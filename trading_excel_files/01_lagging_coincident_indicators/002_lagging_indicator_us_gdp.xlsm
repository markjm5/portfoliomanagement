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AA33A6BF-3159-4D6E-A22D-220AE4813F10}" xr6:coauthVersionLast="47" xr6:coauthVersionMax="47" xr10:uidLastSave="{00000000-0000-0000-0000-000000000000}"/>
  <bookViews>
    <workbookView xWindow="-20010" yWindow="-20895" windowWidth="38490" windowHeight="20310" activeTab="12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  <sheet name="PersonalSaving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9" i="13" l="1"/>
  <c r="B308" i="13"/>
  <c r="B307" i="13"/>
  <c r="B306" i="13"/>
  <c r="B305" i="13"/>
  <c r="B304" i="13"/>
  <c r="B303" i="13"/>
  <c r="B302" i="13"/>
  <c r="B301" i="13"/>
  <c r="D305" i="13" s="1"/>
  <c r="B300" i="13"/>
  <c r="B299" i="13"/>
  <c r="B298" i="13"/>
  <c r="B297" i="13"/>
  <c r="B296" i="13"/>
  <c r="B295" i="13"/>
  <c r="B294" i="13"/>
  <c r="B293" i="13"/>
  <c r="B292" i="13"/>
  <c r="B291" i="13"/>
  <c r="B290" i="13"/>
  <c r="B289" i="13"/>
  <c r="B288" i="13"/>
  <c r="B287" i="13"/>
  <c r="B286" i="13"/>
  <c r="B285" i="13"/>
  <c r="B284" i="13"/>
  <c r="C284" i="13" s="1"/>
  <c r="E284" i="13" s="1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D269" i="13" s="1"/>
  <c r="B268" i="13"/>
  <c r="C269" i="13" s="1"/>
  <c r="E269" i="13" s="1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C234" i="13" s="1"/>
  <c r="E234" i="13" s="1"/>
  <c r="B233" i="13"/>
  <c r="B232" i="13"/>
  <c r="B231" i="13"/>
  <c r="B230" i="13"/>
  <c r="B229" i="13"/>
  <c r="B228" i="13"/>
  <c r="B227" i="13"/>
  <c r="D227" i="13" s="1"/>
  <c r="B226" i="13"/>
  <c r="B225" i="13"/>
  <c r="B224" i="13"/>
  <c r="C224" i="13" s="1"/>
  <c r="E224" i="13" s="1"/>
  <c r="B223" i="13"/>
  <c r="B222" i="13"/>
  <c r="B221" i="13"/>
  <c r="B220" i="13"/>
  <c r="B219" i="13"/>
  <c r="D219" i="13" s="1"/>
  <c r="B218" i="13"/>
  <c r="B217" i="13"/>
  <c r="B216" i="13"/>
  <c r="B215" i="13"/>
  <c r="C215" i="13" s="1"/>
  <c r="E215" i="13" s="1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C203" i="13" s="1"/>
  <c r="E203" i="13" s="1"/>
  <c r="B202" i="13"/>
  <c r="B201" i="13"/>
  <c r="B200" i="13"/>
  <c r="C200" i="13" s="1"/>
  <c r="E200" i="13" s="1"/>
  <c r="B199" i="13"/>
  <c r="B198" i="13"/>
  <c r="B197" i="13"/>
  <c r="B196" i="13"/>
  <c r="C196" i="13" s="1"/>
  <c r="E196" i="13" s="1"/>
  <c r="B195" i="13"/>
  <c r="B194" i="13"/>
  <c r="B193" i="13"/>
  <c r="B192" i="13"/>
  <c r="B191" i="13"/>
  <c r="C191" i="13" s="1"/>
  <c r="E191" i="13" s="1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C176" i="13" s="1"/>
  <c r="E176" i="13" s="1"/>
  <c r="B175" i="13"/>
  <c r="B174" i="13"/>
  <c r="B173" i="13"/>
  <c r="C173" i="13" s="1"/>
  <c r="E173" i="13" s="1"/>
  <c r="B172" i="13"/>
  <c r="B171" i="13"/>
  <c r="C171" i="13" s="1"/>
  <c r="E171" i="13" s="1"/>
  <c r="B170" i="13"/>
  <c r="B169" i="13"/>
  <c r="B168" i="13"/>
  <c r="B167" i="13"/>
  <c r="B166" i="13"/>
  <c r="B165" i="13"/>
  <c r="B164" i="13"/>
  <c r="B163" i="13"/>
  <c r="B162" i="13"/>
  <c r="B161" i="13"/>
  <c r="B160" i="13"/>
  <c r="C161" i="13" s="1"/>
  <c r="E161" i="13" s="1"/>
  <c r="B159" i="13"/>
  <c r="B158" i="13"/>
  <c r="B157" i="13"/>
  <c r="B156" i="13"/>
  <c r="B155" i="13"/>
  <c r="C155" i="13" s="1"/>
  <c r="E155" i="13" s="1"/>
  <c r="B154" i="13"/>
  <c r="B153" i="13"/>
  <c r="B152" i="13"/>
  <c r="B151" i="13"/>
  <c r="D151" i="13" s="1"/>
  <c r="B150" i="13"/>
  <c r="B149" i="13"/>
  <c r="D149" i="13" s="1"/>
  <c r="B148" i="13"/>
  <c r="B147" i="13"/>
  <c r="D147" i="13" s="1"/>
  <c r="B146" i="13"/>
  <c r="B145" i="13"/>
  <c r="B144" i="13"/>
  <c r="B143" i="13"/>
  <c r="B142" i="13"/>
  <c r="B141" i="13"/>
  <c r="D141" i="13" s="1"/>
  <c r="B140" i="13"/>
  <c r="D140" i="13" s="1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C128" i="13" s="1"/>
  <c r="E128" i="13" s="1"/>
  <c r="B127" i="13"/>
  <c r="B126" i="13"/>
  <c r="B125" i="13"/>
  <c r="B124" i="13"/>
  <c r="B123" i="13"/>
  <c r="B122" i="13"/>
  <c r="B121" i="13"/>
  <c r="B120" i="13"/>
  <c r="B119" i="13"/>
  <c r="B118" i="13"/>
  <c r="B117" i="13"/>
  <c r="D117" i="13" s="1"/>
  <c r="C116" i="13"/>
  <c r="E116" i="13" s="1"/>
  <c r="B116" i="13"/>
  <c r="B115" i="13"/>
  <c r="B114" i="13"/>
  <c r="B113" i="13"/>
  <c r="C113" i="13" s="1"/>
  <c r="E113" i="13" s="1"/>
  <c r="B112" i="13"/>
  <c r="B111" i="13"/>
  <c r="B110" i="13"/>
  <c r="B109" i="13"/>
  <c r="B108" i="13"/>
  <c r="B107" i="13"/>
  <c r="B106" i="13"/>
  <c r="B105" i="13"/>
  <c r="B104" i="13"/>
  <c r="B103" i="13"/>
  <c r="B102" i="13"/>
  <c r="C101" i="13"/>
  <c r="E101" i="13" s="1"/>
  <c r="B101" i="13"/>
  <c r="B100" i="13"/>
  <c r="B99" i="13"/>
  <c r="B98" i="13"/>
  <c r="B97" i="13"/>
  <c r="B96" i="13"/>
  <c r="B95" i="13"/>
  <c r="B94" i="13"/>
  <c r="B93" i="13"/>
  <c r="B92" i="13"/>
  <c r="D92" i="13" s="1"/>
  <c r="B91" i="13"/>
  <c r="B90" i="13"/>
  <c r="B89" i="13"/>
  <c r="C89" i="13" s="1"/>
  <c r="E89" i="13" s="1"/>
  <c r="B88" i="13"/>
  <c r="B87" i="13"/>
  <c r="B86" i="13"/>
  <c r="B85" i="13"/>
  <c r="B84" i="13"/>
  <c r="B83" i="13"/>
  <c r="B82" i="13"/>
  <c r="B81" i="13"/>
  <c r="B80" i="13"/>
  <c r="D80" i="13" s="1"/>
  <c r="B79" i="13"/>
  <c r="D79" i="13" s="1"/>
  <c r="B78" i="13"/>
  <c r="B77" i="13"/>
  <c r="B76" i="13"/>
  <c r="B75" i="13"/>
  <c r="B74" i="13"/>
  <c r="B73" i="13"/>
  <c r="B72" i="13"/>
  <c r="B71" i="13"/>
  <c r="B70" i="13"/>
  <c r="B69" i="13"/>
  <c r="D69" i="13" s="1"/>
  <c r="B68" i="13"/>
  <c r="D68" i="13" s="1"/>
  <c r="B67" i="13"/>
  <c r="D67" i="13" s="1"/>
  <c r="B66" i="13"/>
  <c r="B65" i="13"/>
  <c r="C65" i="13" s="1"/>
  <c r="E65" i="13" s="1"/>
  <c r="B64" i="13"/>
  <c r="B63" i="13"/>
  <c r="B62" i="13"/>
  <c r="B61" i="13"/>
  <c r="B60" i="13"/>
  <c r="B59" i="13"/>
  <c r="B58" i="13"/>
  <c r="B57" i="13"/>
  <c r="B56" i="13"/>
  <c r="B55" i="13"/>
  <c r="B54" i="13"/>
  <c r="C309" i="12"/>
  <c r="E309" i="12" s="1"/>
  <c r="B309" i="12"/>
  <c r="B308" i="12"/>
  <c r="D307" i="12"/>
  <c r="B307" i="12"/>
  <c r="B306" i="12"/>
  <c r="B305" i="12"/>
  <c r="D304" i="12"/>
  <c r="B304" i="12"/>
  <c r="B303" i="12"/>
  <c r="B302" i="12"/>
  <c r="E301" i="12"/>
  <c r="C301" i="12"/>
  <c r="B301" i="12"/>
  <c r="D301" i="12" s="1"/>
  <c r="D300" i="12"/>
  <c r="B300" i="12"/>
  <c r="B299" i="12"/>
  <c r="B298" i="12"/>
  <c r="C297" i="12"/>
  <c r="E297" i="12" s="1"/>
  <c r="B297" i="12"/>
  <c r="B296" i="12"/>
  <c r="B295" i="12"/>
  <c r="D295" i="12" s="1"/>
  <c r="B294" i="12"/>
  <c r="B293" i="12"/>
  <c r="B292" i="12"/>
  <c r="C292" i="12" s="1"/>
  <c r="E292" i="12" s="1"/>
  <c r="B291" i="12"/>
  <c r="B290" i="12"/>
  <c r="B289" i="12"/>
  <c r="B288" i="12"/>
  <c r="B287" i="12"/>
  <c r="B286" i="12"/>
  <c r="B285" i="12"/>
  <c r="C285" i="12" s="1"/>
  <c r="E285" i="12" s="1"/>
  <c r="B284" i="12"/>
  <c r="B283" i="12"/>
  <c r="C283" i="12" s="1"/>
  <c r="E283" i="12" s="1"/>
  <c r="B282" i="12"/>
  <c r="B281" i="12"/>
  <c r="B280" i="12"/>
  <c r="D279" i="12"/>
  <c r="B279" i="12"/>
  <c r="C279" i="12" s="1"/>
  <c r="E279" i="12" s="1"/>
  <c r="B278" i="12"/>
  <c r="B277" i="12"/>
  <c r="D277" i="12" s="1"/>
  <c r="B276" i="12"/>
  <c r="B275" i="12"/>
  <c r="B274" i="12"/>
  <c r="B273" i="12"/>
  <c r="C273" i="12" s="1"/>
  <c r="E273" i="12" s="1"/>
  <c r="B272" i="12"/>
  <c r="B271" i="12"/>
  <c r="D271" i="12" s="1"/>
  <c r="B270" i="12"/>
  <c r="B269" i="12"/>
  <c r="B268" i="12"/>
  <c r="B267" i="12"/>
  <c r="C267" i="12" s="1"/>
  <c r="E267" i="12" s="1"/>
  <c r="B266" i="12"/>
  <c r="B265" i="12"/>
  <c r="B264" i="12"/>
  <c r="B263" i="12"/>
  <c r="B262" i="12"/>
  <c r="B261" i="12"/>
  <c r="D261" i="12" s="1"/>
  <c r="B260" i="12"/>
  <c r="B259" i="12"/>
  <c r="D259" i="12" s="1"/>
  <c r="B258" i="12"/>
  <c r="B257" i="12"/>
  <c r="B256" i="12"/>
  <c r="B255" i="12"/>
  <c r="B254" i="12"/>
  <c r="C253" i="12"/>
  <c r="E253" i="12" s="1"/>
  <c r="B253" i="12"/>
  <c r="D253" i="12" s="1"/>
  <c r="B252" i="12"/>
  <c r="C252" i="12" s="1"/>
  <c r="E252" i="12" s="1"/>
  <c r="B251" i="12"/>
  <c r="B250" i="12"/>
  <c r="C249" i="12"/>
  <c r="E249" i="12" s="1"/>
  <c r="B249" i="12"/>
  <c r="B248" i="12"/>
  <c r="B247" i="12"/>
  <c r="B246" i="12"/>
  <c r="B245" i="12"/>
  <c r="D244" i="12"/>
  <c r="B244" i="12"/>
  <c r="C244" i="12" s="1"/>
  <c r="E244" i="12" s="1"/>
  <c r="B243" i="12"/>
  <c r="D243" i="12" s="1"/>
  <c r="B242" i="12"/>
  <c r="B241" i="12"/>
  <c r="B240" i="12"/>
  <c r="C240" i="12" s="1"/>
  <c r="E240" i="12" s="1"/>
  <c r="B239" i="12"/>
  <c r="B238" i="12"/>
  <c r="B237" i="12"/>
  <c r="E236" i="12"/>
  <c r="B236" i="12"/>
  <c r="C236" i="12" s="1"/>
  <c r="B235" i="12"/>
  <c r="C235" i="12" s="1"/>
  <c r="E235" i="12" s="1"/>
  <c r="B234" i="12"/>
  <c r="B233" i="12"/>
  <c r="C232" i="12"/>
  <c r="E232" i="12" s="1"/>
  <c r="B232" i="12"/>
  <c r="B231" i="12"/>
  <c r="B230" i="12"/>
  <c r="B229" i="12"/>
  <c r="B228" i="12"/>
  <c r="B227" i="12"/>
  <c r="B226" i="12"/>
  <c r="C225" i="12"/>
  <c r="E225" i="12" s="1"/>
  <c r="B225" i="12"/>
  <c r="B224" i="12"/>
  <c r="B223" i="12"/>
  <c r="C223" i="12" s="1"/>
  <c r="E223" i="12" s="1"/>
  <c r="B222" i="12"/>
  <c r="B221" i="12"/>
  <c r="D221" i="12" s="1"/>
  <c r="B220" i="12"/>
  <c r="B219" i="12"/>
  <c r="D223" i="12" s="1"/>
  <c r="B218" i="12"/>
  <c r="C217" i="12"/>
  <c r="E217" i="12" s="1"/>
  <c r="B217" i="12"/>
  <c r="B216" i="12"/>
  <c r="C216" i="12" s="1"/>
  <c r="E216" i="12" s="1"/>
  <c r="B215" i="12"/>
  <c r="B214" i="12"/>
  <c r="D214" i="12" s="1"/>
  <c r="B213" i="12"/>
  <c r="D217" i="12" s="1"/>
  <c r="B212" i="12"/>
  <c r="D211" i="12"/>
  <c r="B211" i="12"/>
  <c r="B210" i="12"/>
  <c r="D210" i="12" s="1"/>
  <c r="B209" i="12"/>
  <c r="B208" i="12"/>
  <c r="C207" i="12"/>
  <c r="E207" i="12" s="1"/>
  <c r="B207" i="12"/>
  <c r="B206" i="12"/>
  <c r="B205" i="12"/>
  <c r="B204" i="12"/>
  <c r="C204" i="12" s="1"/>
  <c r="E204" i="12" s="1"/>
  <c r="D203" i="12"/>
  <c r="B203" i="12"/>
  <c r="B202" i="12"/>
  <c r="B201" i="12"/>
  <c r="D201" i="12" s="1"/>
  <c r="B200" i="12"/>
  <c r="C199" i="12"/>
  <c r="E199" i="12" s="1"/>
  <c r="B199" i="12"/>
  <c r="B198" i="12"/>
  <c r="C198" i="12" s="1"/>
  <c r="E198" i="12" s="1"/>
  <c r="B197" i="12"/>
  <c r="B196" i="12"/>
  <c r="D196" i="12" s="1"/>
  <c r="B195" i="12"/>
  <c r="B194" i="12"/>
  <c r="B193" i="12"/>
  <c r="B192" i="12"/>
  <c r="B191" i="12"/>
  <c r="B190" i="12"/>
  <c r="B189" i="12"/>
  <c r="B188" i="12"/>
  <c r="B187" i="12"/>
  <c r="C187" i="12" s="1"/>
  <c r="E187" i="12" s="1"/>
  <c r="B186" i="12"/>
  <c r="C186" i="12" s="1"/>
  <c r="E186" i="12" s="1"/>
  <c r="B185" i="12"/>
  <c r="D185" i="12" s="1"/>
  <c r="B184" i="12"/>
  <c r="B183" i="12"/>
  <c r="B182" i="12"/>
  <c r="B181" i="12"/>
  <c r="C181" i="12" s="1"/>
  <c r="E181" i="12" s="1"/>
  <c r="C180" i="12"/>
  <c r="E180" i="12" s="1"/>
  <c r="B180" i="12"/>
  <c r="B179" i="12"/>
  <c r="B178" i="12"/>
  <c r="C178" i="12" s="1"/>
  <c r="E178" i="12" s="1"/>
  <c r="B177" i="12"/>
  <c r="D181" i="12" s="1"/>
  <c r="B176" i="12"/>
  <c r="B175" i="12"/>
  <c r="C175" i="12" s="1"/>
  <c r="E175" i="12" s="1"/>
  <c r="B174" i="12"/>
  <c r="C174" i="12" s="1"/>
  <c r="E174" i="12" s="1"/>
  <c r="B173" i="12"/>
  <c r="B172" i="12"/>
  <c r="B171" i="12"/>
  <c r="B170" i="12"/>
  <c r="B169" i="12"/>
  <c r="C169" i="12" s="1"/>
  <c r="E169" i="12" s="1"/>
  <c r="B168" i="12"/>
  <c r="C168" i="12" s="1"/>
  <c r="E168" i="12" s="1"/>
  <c r="B167" i="12"/>
  <c r="B166" i="12"/>
  <c r="B165" i="12"/>
  <c r="B164" i="12"/>
  <c r="B163" i="12"/>
  <c r="C162" i="12"/>
  <c r="E162" i="12" s="1"/>
  <c r="B162" i="12"/>
  <c r="B161" i="12"/>
  <c r="C160" i="12"/>
  <c r="E160" i="12" s="1"/>
  <c r="B160" i="12"/>
  <c r="B159" i="12"/>
  <c r="B158" i="12"/>
  <c r="B157" i="12"/>
  <c r="B156" i="12"/>
  <c r="B155" i="12"/>
  <c r="B154" i="12"/>
  <c r="B153" i="12"/>
  <c r="B152" i="12"/>
  <c r="B151" i="12"/>
  <c r="D150" i="12"/>
  <c r="B150" i="12"/>
  <c r="C150" i="12" s="1"/>
  <c r="E150" i="12" s="1"/>
  <c r="B149" i="12"/>
  <c r="B148" i="12"/>
  <c r="B147" i="12"/>
  <c r="B146" i="12"/>
  <c r="C145" i="12"/>
  <c r="E145" i="12" s="1"/>
  <c r="B145" i="12"/>
  <c r="D149" i="12" s="1"/>
  <c r="B144" i="12"/>
  <c r="B143" i="12"/>
  <c r="C142" i="12"/>
  <c r="E142" i="12" s="1"/>
  <c r="B142" i="12"/>
  <c r="B141" i="12"/>
  <c r="B140" i="12"/>
  <c r="B139" i="12"/>
  <c r="B138" i="12"/>
  <c r="B137" i="12"/>
  <c r="B136" i="12"/>
  <c r="B135" i="12"/>
  <c r="D135" i="12" s="1"/>
  <c r="B134" i="12"/>
  <c r="B133" i="12"/>
  <c r="C132" i="12"/>
  <c r="E132" i="12" s="1"/>
  <c r="B132" i="12"/>
  <c r="B131" i="12"/>
  <c r="D131" i="12" s="1"/>
  <c r="B130" i="12"/>
  <c r="B129" i="12"/>
  <c r="B128" i="12"/>
  <c r="D127" i="12"/>
  <c r="B127" i="12"/>
  <c r="C127" i="12" s="1"/>
  <c r="E127" i="12" s="1"/>
  <c r="B126" i="12"/>
  <c r="B125" i="12"/>
  <c r="B124" i="12"/>
  <c r="C123" i="12"/>
  <c r="E123" i="12" s="1"/>
  <c r="B123" i="12"/>
  <c r="B122" i="12"/>
  <c r="B121" i="12"/>
  <c r="D121" i="12" s="1"/>
  <c r="B120" i="12"/>
  <c r="D119" i="12"/>
  <c r="B119" i="12"/>
  <c r="B118" i="12"/>
  <c r="B117" i="12"/>
  <c r="C117" i="12" s="1"/>
  <c r="E117" i="12" s="1"/>
  <c r="B116" i="12"/>
  <c r="B115" i="12"/>
  <c r="B114" i="12"/>
  <c r="B113" i="12"/>
  <c r="B112" i="12"/>
  <c r="D112" i="12" s="1"/>
  <c r="B111" i="12"/>
  <c r="B110" i="12"/>
  <c r="B109" i="12"/>
  <c r="C109" i="12" s="1"/>
  <c r="E109" i="12" s="1"/>
  <c r="B108" i="12"/>
  <c r="C108" i="12" s="1"/>
  <c r="E108" i="12" s="1"/>
  <c r="B107" i="12"/>
  <c r="B106" i="12"/>
  <c r="B105" i="12"/>
  <c r="D105" i="12" s="1"/>
  <c r="B104" i="12"/>
  <c r="B103" i="12"/>
  <c r="C102" i="12"/>
  <c r="E102" i="12" s="1"/>
  <c r="B102" i="12"/>
  <c r="B101" i="12"/>
  <c r="B100" i="12"/>
  <c r="D100" i="12" s="1"/>
  <c r="B99" i="12"/>
  <c r="B98" i="12"/>
  <c r="B97" i="12"/>
  <c r="B96" i="12"/>
  <c r="D96" i="12" s="1"/>
  <c r="B95" i="12"/>
  <c r="B94" i="12"/>
  <c r="B93" i="12"/>
  <c r="D92" i="12"/>
  <c r="B92" i="12"/>
  <c r="D91" i="12"/>
  <c r="B91" i="12"/>
  <c r="C91" i="12" s="1"/>
  <c r="E91" i="12" s="1"/>
  <c r="E90" i="12"/>
  <c r="B90" i="12"/>
  <c r="C90" i="12" s="1"/>
  <c r="B89" i="12"/>
  <c r="B88" i="12"/>
  <c r="D87" i="12"/>
  <c r="C87" i="12"/>
  <c r="E87" i="12" s="1"/>
  <c r="B87" i="12"/>
  <c r="B86" i="12"/>
  <c r="B85" i="12"/>
  <c r="D85" i="12" s="1"/>
  <c r="B84" i="12"/>
  <c r="B83" i="12"/>
  <c r="B82" i="12"/>
  <c r="D81" i="12"/>
  <c r="B81" i="12"/>
  <c r="B80" i="12"/>
  <c r="D79" i="12"/>
  <c r="B79" i="12"/>
  <c r="C79" i="12" s="1"/>
  <c r="E79" i="12" s="1"/>
  <c r="E78" i="12"/>
  <c r="C78" i="12"/>
  <c r="B78" i="12"/>
  <c r="B77" i="12"/>
  <c r="B76" i="12"/>
  <c r="B75" i="12"/>
  <c r="C75" i="12" s="1"/>
  <c r="E75" i="12" s="1"/>
  <c r="B74" i="12"/>
  <c r="C74" i="12" s="1"/>
  <c r="E74" i="12" s="1"/>
  <c r="B73" i="12"/>
  <c r="D77" i="12" s="1"/>
  <c r="D72" i="12"/>
  <c r="B72" i="12"/>
  <c r="C73" i="12" s="1"/>
  <c r="E73" i="12" s="1"/>
  <c r="B71" i="12"/>
  <c r="B70" i="12"/>
  <c r="D70" i="12" s="1"/>
  <c r="B69" i="12"/>
  <c r="B68" i="12"/>
  <c r="B67" i="12"/>
  <c r="D66" i="12"/>
  <c r="B66" i="12"/>
  <c r="B65" i="12"/>
  <c r="D64" i="12"/>
  <c r="B64" i="12"/>
  <c r="D68" i="12" s="1"/>
  <c r="B63" i="12"/>
  <c r="D63" i="12" s="1"/>
  <c r="D62" i="12"/>
  <c r="B62" i="12"/>
  <c r="B61" i="12"/>
  <c r="B60" i="12"/>
  <c r="B59" i="12"/>
  <c r="B58" i="12"/>
  <c r="B57" i="12"/>
  <c r="C57" i="12" s="1"/>
  <c r="E57" i="12" s="1"/>
  <c r="B56" i="12"/>
  <c r="D60" i="12" s="1"/>
  <c r="B55" i="12"/>
  <c r="B54" i="12"/>
  <c r="B309" i="11"/>
  <c r="D309" i="11" s="1"/>
  <c r="B308" i="11"/>
  <c r="D307" i="11"/>
  <c r="B307" i="11"/>
  <c r="B306" i="11"/>
  <c r="B305" i="11"/>
  <c r="B304" i="11"/>
  <c r="B303" i="11"/>
  <c r="C304" i="11" s="1"/>
  <c r="E304" i="11" s="1"/>
  <c r="B302" i="11"/>
  <c r="D302" i="11" s="1"/>
  <c r="B301" i="11"/>
  <c r="D301" i="11" s="1"/>
  <c r="B300" i="11"/>
  <c r="B299" i="11"/>
  <c r="B298" i="11"/>
  <c r="B297" i="11"/>
  <c r="B296" i="11"/>
  <c r="B295" i="11"/>
  <c r="C296" i="11" s="1"/>
  <c r="E296" i="11" s="1"/>
  <c r="B294" i="11"/>
  <c r="C295" i="11" s="1"/>
  <c r="E295" i="11" s="1"/>
  <c r="C293" i="11"/>
  <c r="E293" i="11" s="1"/>
  <c r="B293" i="11"/>
  <c r="D293" i="11" s="1"/>
  <c r="B292" i="11"/>
  <c r="B291" i="11"/>
  <c r="B290" i="11"/>
  <c r="B289" i="11"/>
  <c r="B288" i="11"/>
  <c r="B287" i="11"/>
  <c r="D287" i="11" s="1"/>
  <c r="B286" i="11"/>
  <c r="B285" i="11"/>
  <c r="B284" i="11"/>
  <c r="D284" i="11" s="1"/>
  <c r="B283" i="11"/>
  <c r="B282" i="11"/>
  <c r="D282" i="11" s="1"/>
  <c r="B281" i="11"/>
  <c r="D281" i="11" s="1"/>
  <c r="B280" i="11"/>
  <c r="B279" i="11"/>
  <c r="B278" i="11"/>
  <c r="C278" i="11" s="1"/>
  <c r="E278" i="11" s="1"/>
  <c r="C277" i="11"/>
  <c r="E277" i="11" s="1"/>
  <c r="B277" i="11"/>
  <c r="B276" i="11"/>
  <c r="B275" i="11"/>
  <c r="C275" i="11" s="1"/>
  <c r="E275" i="11" s="1"/>
  <c r="B274" i="11"/>
  <c r="D278" i="11" s="1"/>
  <c r="B273" i="11"/>
  <c r="D277" i="11" s="1"/>
  <c r="B272" i="11"/>
  <c r="C272" i="11" s="1"/>
  <c r="E272" i="11" s="1"/>
  <c r="C271" i="11"/>
  <c r="E271" i="11" s="1"/>
  <c r="B271" i="11"/>
  <c r="B270" i="11"/>
  <c r="B269" i="11"/>
  <c r="B268" i="11"/>
  <c r="B267" i="11"/>
  <c r="D271" i="11" s="1"/>
  <c r="B266" i="11"/>
  <c r="D266" i="11" s="1"/>
  <c r="B265" i="11"/>
  <c r="B264" i="11"/>
  <c r="B263" i="11"/>
  <c r="B262" i="11"/>
  <c r="B261" i="11"/>
  <c r="B260" i="11"/>
  <c r="D259" i="11"/>
  <c r="B259" i="11"/>
  <c r="C259" i="11" s="1"/>
  <c r="E259" i="11" s="1"/>
  <c r="B258" i="11"/>
  <c r="B257" i="11"/>
  <c r="C257" i="11" s="1"/>
  <c r="E257" i="11" s="1"/>
  <c r="B256" i="11"/>
  <c r="B255" i="11"/>
  <c r="B254" i="11"/>
  <c r="B253" i="11"/>
  <c r="B252" i="11"/>
  <c r="B251" i="11"/>
  <c r="E250" i="11"/>
  <c r="C250" i="11"/>
  <c r="B250" i="11"/>
  <c r="D250" i="11" s="1"/>
  <c r="B249" i="11"/>
  <c r="C249" i="11" s="1"/>
  <c r="E249" i="11" s="1"/>
  <c r="B248" i="11"/>
  <c r="B247" i="11"/>
  <c r="C247" i="11" s="1"/>
  <c r="E247" i="11" s="1"/>
  <c r="B246" i="11"/>
  <c r="D246" i="11" s="1"/>
  <c r="B245" i="11"/>
  <c r="B244" i="11"/>
  <c r="B243" i="11"/>
  <c r="D247" i="11" s="1"/>
  <c r="B242" i="11"/>
  <c r="C242" i="11" s="1"/>
  <c r="E242" i="11" s="1"/>
  <c r="B241" i="11"/>
  <c r="B240" i="11"/>
  <c r="D240" i="11" s="1"/>
  <c r="B239" i="11"/>
  <c r="D238" i="11"/>
  <c r="B238" i="11"/>
  <c r="C238" i="11" s="1"/>
  <c r="E238" i="11" s="1"/>
  <c r="E237" i="11"/>
  <c r="C237" i="11"/>
  <c r="B237" i="11"/>
  <c r="B236" i="11"/>
  <c r="B235" i="11"/>
  <c r="C236" i="11" s="1"/>
  <c r="E236" i="11" s="1"/>
  <c r="B234" i="11"/>
  <c r="B233" i="11"/>
  <c r="C234" i="11" s="1"/>
  <c r="E234" i="11" s="1"/>
  <c r="B232" i="11"/>
  <c r="C232" i="11" s="1"/>
  <c r="E232" i="11" s="1"/>
  <c r="B231" i="11"/>
  <c r="D231" i="11" s="1"/>
  <c r="B230" i="11"/>
  <c r="B229" i="11"/>
  <c r="B228" i="11"/>
  <c r="C228" i="11" s="1"/>
  <c r="E228" i="11" s="1"/>
  <c r="B227" i="11"/>
  <c r="B226" i="11"/>
  <c r="C225" i="11"/>
  <c r="E225" i="11" s="1"/>
  <c r="B225" i="11"/>
  <c r="D225" i="11" s="1"/>
  <c r="C224" i="11"/>
  <c r="E224" i="11" s="1"/>
  <c r="B224" i="11"/>
  <c r="D228" i="11" s="1"/>
  <c r="B223" i="11"/>
  <c r="D227" i="11" s="1"/>
  <c r="B222" i="11"/>
  <c r="B221" i="11"/>
  <c r="B220" i="11"/>
  <c r="B219" i="11"/>
  <c r="B218" i="11"/>
  <c r="B217" i="11"/>
  <c r="D217" i="11" s="1"/>
  <c r="B216" i="11"/>
  <c r="B215" i="11"/>
  <c r="D215" i="11" s="1"/>
  <c r="B214" i="11"/>
  <c r="C214" i="11" s="1"/>
  <c r="E214" i="11" s="1"/>
  <c r="B213" i="11"/>
  <c r="B212" i="11"/>
  <c r="D212" i="11" s="1"/>
  <c r="C211" i="11"/>
  <c r="E211" i="11" s="1"/>
  <c r="B211" i="11"/>
  <c r="C212" i="11" s="1"/>
  <c r="E212" i="11" s="1"/>
  <c r="B210" i="11"/>
  <c r="B209" i="11"/>
  <c r="B208" i="11"/>
  <c r="D208" i="11" s="1"/>
  <c r="B207" i="11"/>
  <c r="D207" i="11" s="1"/>
  <c r="B206" i="11"/>
  <c r="B205" i="11"/>
  <c r="B204" i="11"/>
  <c r="B203" i="11"/>
  <c r="D202" i="11"/>
  <c r="B202" i="11"/>
  <c r="C202" i="11" s="1"/>
  <c r="E202" i="11" s="1"/>
  <c r="B201" i="11"/>
  <c r="B200" i="11"/>
  <c r="B199" i="11"/>
  <c r="C200" i="11" s="1"/>
  <c r="E200" i="11" s="1"/>
  <c r="D198" i="11"/>
  <c r="B198" i="11"/>
  <c r="B197" i="11"/>
  <c r="B196" i="11"/>
  <c r="B195" i="11"/>
  <c r="B194" i="11"/>
  <c r="B193" i="11"/>
  <c r="B192" i="11"/>
  <c r="B191" i="11"/>
  <c r="D191" i="11" s="1"/>
  <c r="B190" i="11"/>
  <c r="B189" i="11"/>
  <c r="C188" i="11"/>
  <c r="E188" i="11" s="1"/>
  <c r="B188" i="11"/>
  <c r="C189" i="11" s="1"/>
  <c r="E189" i="11" s="1"/>
  <c r="B187" i="11"/>
  <c r="C186" i="11"/>
  <c r="E186" i="11" s="1"/>
  <c r="B186" i="11"/>
  <c r="C187" i="11" s="1"/>
  <c r="E187" i="11" s="1"/>
  <c r="B185" i="11"/>
  <c r="D185" i="11" s="1"/>
  <c r="B184" i="11"/>
  <c r="B183" i="11"/>
  <c r="B182" i="11"/>
  <c r="B181" i="11"/>
  <c r="D181" i="11" s="1"/>
  <c r="C180" i="11"/>
  <c r="E180" i="11" s="1"/>
  <c r="B180" i="11"/>
  <c r="B179" i="11"/>
  <c r="C179" i="11" s="1"/>
  <c r="E179" i="11" s="1"/>
  <c r="D178" i="11"/>
  <c r="B178" i="11"/>
  <c r="B177" i="11"/>
  <c r="B176" i="11"/>
  <c r="B175" i="11"/>
  <c r="C175" i="11" s="1"/>
  <c r="E175" i="11" s="1"/>
  <c r="B174" i="11"/>
  <c r="D173" i="11"/>
  <c r="B173" i="11"/>
  <c r="B172" i="11"/>
  <c r="D172" i="11" s="1"/>
  <c r="B171" i="11"/>
  <c r="D171" i="11" s="1"/>
  <c r="B170" i="11"/>
  <c r="D169" i="11"/>
  <c r="B169" i="11"/>
  <c r="B168" i="11"/>
  <c r="B167" i="11"/>
  <c r="B166" i="11"/>
  <c r="C166" i="11" s="1"/>
  <c r="E166" i="11" s="1"/>
  <c r="B165" i="11"/>
  <c r="C165" i="11" s="1"/>
  <c r="E165" i="11" s="1"/>
  <c r="B164" i="11"/>
  <c r="B163" i="11"/>
  <c r="B162" i="11"/>
  <c r="B161" i="11"/>
  <c r="B160" i="11"/>
  <c r="B159" i="11"/>
  <c r="D159" i="11" s="1"/>
  <c r="B158" i="11"/>
  <c r="D158" i="11" s="1"/>
  <c r="B157" i="11"/>
  <c r="B156" i="11"/>
  <c r="B155" i="11"/>
  <c r="B154" i="11"/>
  <c r="B153" i="11"/>
  <c r="D153" i="11" s="1"/>
  <c r="B152" i="11"/>
  <c r="C153" i="11" s="1"/>
  <c r="E153" i="11" s="1"/>
  <c r="B151" i="11"/>
  <c r="D155" i="11" s="1"/>
  <c r="D150" i="11"/>
  <c r="B150" i="11"/>
  <c r="C151" i="11" s="1"/>
  <c r="E151" i="11" s="1"/>
  <c r="B149" i="11"/>
  <c r="D149" i="11" s="1"/>
  <c r="B148" i="11"/>
  <c r="B147" i="11"/>
  <c r="B146" i="11"/>
  <c r="B145" i="11"/>
  <c r="B144" i="11"/>
  <c r="C144" i="11" s="1"/>
  <c r="E144" i="11" s="1"/>
  <c r="B143" i="11"/>
  <c r="D143" i="11" s="1"/>
  <c r="D142" i="11"/>
  <c r="B142" i="11"/>
  <c r="C142" i="11" s="1"/>
  <c r="E142" i="11" s="1"/>
  <c r="B141" i="11"/>
  <c r="C140" i="11"/>
  <c r="E140" i="11" s="1"/>
  <c r="B140" i="11"/>
  <c r="B139" i="11"/>
  <c r="B138" i="11"/>
  <c r="C139" i="11" s="1"/>
  <c r="E139" i="11" s="1"/>
  <c r="C137" i="11"/>
  <c r="E137" i="11" s="1"/>
  <c r="B137" i="11"/>
  <c r="C138" i="11" s="1"/>
  <c r="E138" i="11" s="1"/>
  <c r="B136" i="11"/>
  <c r="D136" i="11" s="1"/>
  <c r="B135" i="11"/>
  <c r="D135" i="11" s="1"/>
  <c r="B134" i="11"/>
  <c r="E133" i="11"/>
  <c r="B133" i="11"/>
  <c r="C133" i="11" s="1"/>
  <c r="B132" i="11"/>
  <c r="B131" i="11"/>
  <c r="B130" i="11"/>
  <c r="D130" i="11" s="1"/>
  <c r="B129" i="11"/>
  <c r="C129" i="11" s="1"/>
  <c r="E129" i="11" s="1"/>
  <c r="B128" i="11"/>
  <c r="C128" i="11" s="1"/>
  <c r="E128" i="11" s="1"/>
  <c r="D127" i="11"/>
  <c r="C127" i="11"/>
  <c r="E127" i="11" s="1"/>
  <c r="B127" i="11"/>
  <c r="B126" i="11"/>
  <c r="D126" i="11" s="1"/>
  <c r="B125" i="11"/>
  <c r="B124" i="11"/>
  <c r="B123" i="11"/>
  <c r="D123" i="11" s="1"/>
  <c r="B122" i="11"/>
  <c r="E121" i="11"/>
  <c r="B121" i="11"/>
  <c r="C121" i="11" s="1"/>
  <c r="D120" i="11"/>
  <c r="B120" i="11"/>
  <c r="C120" i="11" s="1"/>
  <c r="E120" i="11" s="1"/>
  <c r="B119" i="11"/>
  <c r="D119" i="11" s="1"/>
  <c r="B118" i="11"/>
  <c r="B117" i="11"/>
  <c r="D117" i="11" s="1"/>
  <c r="D116" i="11"/>
  <c r="B116" i="11"/>
  <c r="C116" i="11" s="1"/>
  <c r="E116" i="11" s="1"/>
  <c r="B115" i="11"/>
  <c r="B114" i="11"/>
  <c r="B113" i="11"/>
  <c r="D113" i="11" s="1"/>
  <c r="B112" i="11"/>
  <c r="C113" i="11" s="1"/>
  <c r="E113" i="11" s="1"/>
  <c r="C111" i="11"/>
  <c r="E111" i="11" s="1"/>
  <c r="B111" i="11"/>
  <c r="D115" i="11" s="1"/>
  <c r="B110" i="11"/>
  <c r="D110" i="11" s="1"/>
  <c r="C109" i="11"/>
  <c r="E109" i="11" s="1"/>
  <c r="B109" i="11"/>
  <c r="B108" i="11"/>
  <c r="C107" i="11"/>
  <c r="E107" i="11" s="1"/>
  <c r="B107" i="11"/>
  <c r="D107" i="11" s="1"/>
  <c r="C106" i="11"/>
  <c r="E106" i="11" s="1"/>
  <c r="B106" i="11"/>
  <c r="C105" i="11"/>
  <c r="E105" i="11" s="1"/>
  <c r="B105" i="11"/>
  <c r="C104" i="11"/>
  <c r="E104" i="11" s="1"/>
  <c r="B104" i="11"/>
  <c r="B103" i="11"/>
  <c r="B102" i="11"/>
  <c r="D101" i="11"/>
  <c r="C101" i="11"/>
  <c r="E101" i="11" s="1"/>
  <c r="B101" i="11"/>
  <c r="D105" i="11" s="1"/>
  <c r="B100" i="11"/>
  <c r="D104" i="11" s="1"/>
  <c r="B99" i="11"/>
  <c r="D103" i="11" s="1"/>
  <c r="B98" i="11"/>
  <c r="B97" i="11"/>
  <c r="B96" i="11"/>
  <c r="D95" i="11"/>
  <c r="B95" i="11"/>
  <c r="C96" i="11" s="1"/>
  <c r="E96" i="11" s="1"/>
  <c r="C94" i="11"/>
  <c r="E94" i="11" s="1"/>
  <c r="B94" i="11"/>
  <c r="B93" i="11"/>
  <c r="C92" i="11"/>
  <c r="E92" i="11" s="1"/>
  <c r="B92" i="11"/>
  <c r="B91" i="11"/>
  <c r="B90" i="11"/>
  <c r="B89" i="11"/>
  <c r="C89" i="11" s="1"/>
  <c r="E89" i="11" s="1"/>
  <c r="B88" i="11"/>
  <c r="D88" i="11" s="1"/>
  <c r="B87" i="11"/>
  <c r="B86" i="11"/>
  <c r="B85" i="11"/>
  <c r="B84" i="11"/>
  <c r="D84" i="11" s="1"/>
  <c r="D83" i="11"/>
  <c r="B83" i="11"/>
  <c r="C84" i="11" s="1"/>
  <c r="E84" i="11" s="1"/>
  <c r="B82" i="11"/>
  <c r="B81" i="11"/>
  <c r="B80" i="11"/>
  <c r="B79" i="11"/>
  <c r="D78" i="11"/>
  <c r="B78" i="11"/>
  <c r="C79" i="11" s="1"/>
  <c r="E79" i="11" s="1"/>
  <c r="C77" i="11"/>
  <c r="E77" i="11" s="1"/>
  <c r="B77" i="11"/>
  <c r="D77" i="11" s="1"/>
  <c r="B76" i="11"/>
  <c r="D76" i="11" s="1"/>
  <c r="B75" i="11"/>
  <c r="C75" i="11" s="1"/>
  <c r="E75" i="11" s="1"/>
  <c r="C74" i="11"/>
  <c r="E74" i="11" s="1"/>
  <c r="B74" i="11"/>
  <c r="B73" i="11"/>
  <c r="C73" i="11" s="1"/>
  <c r="E73" i="11" s="1"/>
  <c r="B72" i="11"/>
  <c r="D72" i="11" s="1"/>
  <c r="D71" i="11"/>
  <c r="C71" i="11"/>
  <c r="E71" i="11" s="1"/>
  <c r="B71" i="11"/>
  <c r="B70" i="11"/>
  <c r="B69" i="11"/>
  <c r="B68" i="11"/>
  <c r="B67" i="11"/>
  <c r="D66" i="11"/>
  <c r="B66" i="11"/>
  <c r="C67" i="11" s="1"/>
  <c r="E67" i="11" s="1"/>
  <c r="B65" i="11"/>
  <c r="B64" i="11"/>
  <c r="D64" i="11" s="1"/>
  <c r="B63" i="11"/>
  <c r="B62" i="11"/>
  <c r="D62" i="11" s="1"/>
  <c r="C61" i="11"/>
  <c r="E61" i="11" s="1"/>
  <c r="B61" i="11"/>
  <c r="B60" i="11"/>
  <c r="C59" i="11"/>
  <c r="E59" i="11" s="1"/>
  <c r="B59" i="11"/>
  <c r="B58" i="11"/>
  <c r="B57" i="11"/>
  <c r="C56" i="11"/>
  <c r="E56" i="11" s="1"/>
  <c r="B56" i="11"/>
  <c r="B55" i="11"/>
  <c r="C54" i="11"/>
  <c r="E54" i="11" s="1"/>
  <c r="B54" i="11"/>
  <c r="B53" i="11"/>
  <c r="B52" i="11"/>
  <c r="C51" i="11"/>
  <c r="E51" i="11" s="1"/>
  <c r="B51" i="11"/>
  <c r="B50" i="11"/>
  <c r="D50" i="11" s="1"/>
  <c r="B49" i="11"/>
  <c r="D49" i="11" s="1"/>
  <c r="B48" i="11"/>
  <c r="B47" i="11"/>
  <c r="C46" i="11"/>
  <c r="E46" i="11" s="1"/>
  <c r="B46" i="11"/>
  <c r="B45" i="11"/>
  <c r="B44" i="11"/>
  <c r="C44" i="11" s="1"/>
  <c r="E44" i="11" s="1"/>
  <c r="B43" i="11"/>
  <c r="C42" i="11"/>
  <c r="E42" i="11" s="1"/>
  <c r="B42" i="11"/>
  <c r="C41" i="11"/>
  <c r="E41" i="11" s="1"/>
  <c r="B41" i="11"/>
  <c r="B40" i="11"/>
  <c r="B39" i="11"/>
  <c r="D39" i="11" s="1"/>
  <c r="B38" i="11"/>
  <c r="B37" i="11"/>
  <c r="B36" i="11"/>
  <c r="B35" i="11"/>
  <c r="B34" i="11"/>
  <c r="D34" i="11" s="1"/>
  <c r="B33" i="11"/>
  <c r="D33" i="11" s="1"/>
  <c r="C32" i="11"/>
  <c r="E32" i="11" s="1"/>
  <c r="B32" i="11"/>
  <c r="D32" i="11" s="1"/>
  <c r="B31" i="11"/>
  <c r="B30" i="11"/>
  <c r="D29" i="11"/>
  <c r="B29" i="11"/>
  <c r="C29" i="11" s="1"/>
  <c r="E29" i="11" s="1"/>
  <c r="B28" i="11"/>
  <c r="B27" i="11"/>
  <c r="B26" i="11"/>
  <c r="C26" i="11" s="1"/>
  <c r="E26" i="11" s="1"/>
  <c r="B25" i="11"/>
  <c r="B24" i="11"/>
  <c r="D24" i="11" s="1"/>
  <c r="B23" i="11"/>
  <c r="C24" i="11" s="1"/>
  <c r="E24" i="11" s="1"/>
  <c r="B22" i="11"/>
  <c r="E21" i="11"/>
  <c r="C21" i="11"/>
  <c r="B21" i="11"/>
  <c r="B20" i="11"/>
  <c r="B19" i="11"/>
  <c r="B18" i="11"/>
  <c r="D17" i="11"/>
  <c r="B17" i="11"/>
  <c r="B16" i="11"/>
  <c r="B15" i="11"/>
  <c r="D14" i="11"/>
  <c r="B14" i="11"/>
  <c r="C14" i="11" s="1"/>
  <c r="E14" i="11" s="1"/>
  <c r="B13" i="11"/>
  <c r="C12" i="11"/>
  <c r="E12" i="11" s="1"/>
  <c r="B12" i="11"/>
  <c r="B11" i="11"/>
  <c r="B10" i="11"/>
  <c r="B9" i="11"/>
  <c r="C9" i="11" s="1"/>
  <c r="E9" i="11" s="1"/>
  <c r="B8" i="11"/>
  <c r="C8" i="11" s="1"/>
  <c r="E8" i="11" s="1"/>
  <c r="B7" i="11"/>
  <c r="E6" i="11"/>
  <c r="B6" i="11"/>
  <c r="C7" i="11" s="1"/>
  <c r="E7" i="11" s="1"/>
  <c r="B309" i="10"/>
  <c r="D309" i="10" s="1"/>
  <c r="E308" i="10"/>
  <c r="C308" i="10"/>
  <c r="B308" i="10"/>
  <c r="B307" i="10"/>
  <c r="B306" i="10"/>
  <c r="B305" i="10"/>
  <c r="B304" i="10"/>
  <c r="B303" i="10"/>
  <c r="D303" i="10" s="1"/>
  <c r="B302" i="10"/>
  <c r="B301" i="10"/>
  <c r="B300" i="10"/>
  <c r="B299" i="10"/>
  <c r="C300" i="10" s="1"/>
  <c r="E300" i="10" s="1"/>
  <c r="B298" i="10"/>
  <c r="B297" i="10"/>
  <c r="D297" i="10" s="1"/>
  <c r="B296" i="10"/>
  <c r="C297" i="10" s="1"/>
  <c r="E297" i="10" s="1"/>
  <c r="B295" i="10"/>
  <c r="B294" i="10"/>
  <c r="D294" i="10" s="1"/>
  <c r="B293" i="10"/>
  <c r="B292" i="10"/>
  <c r="C293" i="10" s="1"/>
  <c r="E293" i="10" s="1"/>
  <c r="B291" i="10"/>
  <c r="B290" i="10"/>
  <c r="D289" i="10"/>
  <c r="B289" i="10"/>
  <c r="D288" i="10"/>
  <c r="B288" i="10"/>
  <c r="B287" i="10"/>
  <c r="B286" i="10"/>
  <c r="D286" i="10" s="1"/>
  <c r="B285" i="10"/>
  <c r="B284" i="10"/>
  <c r="B283" i="10"/>
  <c r="B282" i="10"/>
  <c r="B281" i="10"/>
  <c r="D281" i="10" s="1"/>
  <c r="B280" i="10"/>
  <c r="D280" i="10" s="1"/>
  <c r="B279" i="10"/>
  <c r="C278" i="10"/>
  <c r="E278" i="10" s="1"/>
  <c r="B278" i="10"/>
  <c r="B277" i="10"/>
  <c r="B276" i="10"/>
  <c r="B275" i="10"/>
  <c r="B274" i="10"/>
  <c r="D274" i="10" s="1"/>
  <c r="B273" i="10"/>
  <c r="D273" i="10" s="1"/>
  <c r="B272" i="10"/>
  <c r="D276" i="10" s="1"/>
  <c r="D271" i="10"/>
  <c r="C271" i="10"/>
  <c r="E271" i="10" s="1"/>
  <c r="B271" i="10"/>
  <c r="B270" i="10"/>
  <c r="B269" i="10"/>
  <c r="C268" i="10"/>
  <c r="E268" i="10" s="1"/>
  <c r="B268" i="10"/>
  <c r="D268" i="10" s="1"/>
  <c r="D267" i="10"/>
  <c r="B267" i="10"/>
  <c r="B266" i="10"/>
  <c r="B265" i="10"/>
  <c r="D265" i="10" s="1"/>
  <c r="C264" i="10"/>
  <c r="E264" i="10" s="1"/>
  <c r="B264" i="10"/>
  <c r="B263" i="10"/>
  <c r="B262" i="10"/>
  <c r="B261" i="10"/>
  <c r="B260" i="10"/>
  <c r="B259" i="10"/>
  <c r="D263" i="10" s="1"/>
  <c r="B258" i="10"/>
  <c r="B257" i="10"/>
  <c r="D257" i="10" s="1"/>
  <c r="B256" i="10"/>
  <c r="B255" i="10"/>
  <c r="D255" i="10" s="1"/>
  <c r="D254" i="10"/>
  <c r="B254" i="10"/>
  <c r="C254" i="10" s="1"/>
  <c r="E254" i="10" s="1"/>
  <c r="B253" i="10"/>
  <c r="B252" i="10"/>
  <c r="C251" i="10"/>
  <c r="E251" i="10" s="1"/>
  <c r="B251" i="10"/>
  <c r="B250" i="10"/>
  <c r="C250" i="10" s="1"/>
  <c r="E250" i="10" s="1"/>
  <c r="B249" i="10"/>
  <c r="D249" i="10" s="1"/>
  <c r="B248" i="10"/>
  <c r="C249" i="10" s="1"/>
  <c r="E249" i="10" s="1"/>
  <c r="B247" i="10"/>
  <c r="D247" i="10" s="1"/>
  <c r="B246" i="10"/>
  <c r="B245" i="10"/>
  <c r="D245" i="10" s="1"/>
  <c r="B244" i="10"/>
  <c r="D244" i="10" s="1"/>
  <c r="B243" i="10"/>
  <c r="B242" i="10"/>
  <c r="D242" i="10" s="1"/>
  <c r="B241" i="10"/>
  <c r="C241" i="10" s="1"/>
  <c r="E241" i="10" s="1"/>
  <c r="B240" i="10"/>
  <c r="B239" i="10"/>
  <c r="B238" i="10"/>
  <c r="B237" i="10"/>
  <c r="B236" i="10"/>
  <c r="D235" i="10"/>
  <c r="B235" i="10"/>
  <c r="C236" i="10" s="1"/>
  <c r="E236" i="10" s="1"/>
  <c r="B234" i="10"/>
  <c r="D234" i="10" s="1"/>
  <c r="B233" i="10"/>
  <c r="C232" i="10"/>
  <c r="E232" i="10" s="1"/>
  <c r="B232" i="10"/>
  <c r="D232" i="10" s="1"/>
  <c r="B231" i="10"/>
  <c r="B230" i="10"/>
  <c r="B229" i="10"/>
  <c r="C228" i="10"/>
  <c r="E228" i="10" s="1"/>
  <c r="B228" i="10"/>
  <c r="B227" i="10"/>
  <c r="B226" i="10"/>
  <c r="B225" i="10"/>
  <c r="D225" i="10" s="1"/>
  <c r="B224" i="10"/>
  <c r="B223" i="10"/>
  <c r="B222" i="10"/>
  <c r="B221" i="10"/>
  <c r="B220" i="10"/>
  <c r="D220" i="10" s="1"/>
  <c r="B219" i="10"/>
  <c r="B218" i="10"/>
  <c r="C218" i="10" s="1"/>
  <c r="E218" i="10" s="1"/>
  <c r="D217" i="10"/>
  <c r="B217" i="10"/>
  <c r="B216" i="10"/>
  <c r="B215" i="10"/>
  <c r="C215" i="10" s="1"/>
  <c r="E215" i="10" s="1"/>
  <c r="C214" i="10"/>
  <c r="E214" i="10" s="1"/>
  <c r="B214" i="10"/>
  <c r="B213" i="10"/>
  <c r="B212" i="10"/>
  <c r="B211" i="10"/>
  <c r="B210" i="10"/>
  <c r="D214" i="10" s="1"/>
  <c r="B209" i="10"/>
  <c r="B208" i="10"/>
  <c r="D208" i="10" s="1"/>
  <c r="B207" i="10"/>
  <c r="B206" i="10"/>
  <c r="E205" i="10"/>
  <c r="B205" i="10"/>
  <c r="C205" i="10" s="1"/>
  <c r="B204" i="10"/>
  <c r="B203" i="10"/>
  <c r="B202" i="10"/>
  <c r="D202" i="10" s="1"/>
  <c r="B201" i="10"/>
  <c r="D205" i="10" s="1"/>
  <c r="B200" i="10"/>
  <c r="D204" i="10" s="1"/>
  <c r="B199" i="10"/>
  <c r="C200" i="10" s="1"/>
  <c r="E200" i="10" s="1"/>
  <c r="B198" i="10"/>
  <c r="D198" i="10" s="1"/>
  <c r="B197" i="10"/>
  <c r="D197" i="10" s="1"/>
  <c r="B196" i="10"/>
  <c r="C196" i="10" s="1"/>
  <c r="E196" i="10" s="1"/>
  <c r="B195" i="10"/>
  <c r="B194" i="10"/>
  <c r="C193" i="10"/>
  <c r="E193" i="10" s="1"/>
  <c r="B193" i="10"/>
  <c r="D193" i="10" s="1"/>
  <c r="B192" i="10"/>
  <c r="D192" i="10" s="1"/>
  <c r="B191" i="10"/>
  <c r="D195" i="10" s="1"/>
  <c r="B190" i="10"/>
  <c r="C190" i="10" s="1"/>
  <c r="E190" i="10" s="1"/>
  <c r="C189" i="10"/>
  <c r="E189" i="10" s="1"/>
  <c r="B189" i="10"/>
  <c r="B188" i="10"/>
  <c r="B187" i="10"/>
  <c r="B186" i="10"/>
  <c r="D186" i="10" s="1"/>
  <c r="B185" i="10"/>
  <c r="D185" i="10" s="1"/>
  <c r="B184" i="10"/>
  <c r="C183" i="10"/>
  <c r="E183" i="10" s="1"/>
  <c r="B183" i="10"/>
  <c r="B182" i="10"/>
  <c r="B181" i="10"/>
  <c r="B180" i="10"/>
  <c r="C180" i="10" s="1"/>
  <c r="E180" i="10" s="1"/>
  <c r="B179" i="10"/>
  <c r="D179" i="10" s="1"/>
  <c r="B178" i="10"/>
  <c r="C178" i="10" s="1"/>
  <c r="E178" i="10" s="1"/>
  <c r="C177" i="10"/>
  <c r="E177" i="10" s="1"/>
  <c r="B177" i="10"/>
  <c r="B176" i="10"/>
  <c r="B175" i="10"/>
  <c r="B174" i="10"/>
  <c r="C173" i="10"/>
  <c r="E173" i="10" s="1"/>
  <c r="B173" i="10"/>
  <c r="B172" i="10"/>
  <c r="B171" i="10"/>
  <c r="B170" i="10"/>
  <c r="D170" i="10" s="1"/>
  <c r="B169" i="10"/>
  <c r="C169" i="10" s="1"/>
  <c r="E169" i="10" s="1"/>
  <c r="D168" i="10"/>
  <c r="B168" i="10"/>
  <c r="B167" i="10"/>
  <c r="B166" i="10"/>
  <c r="D166" i="10" s="1"/>
  <c r="B165" i="10"/>
  <c r="D169" i="10" s="1"/>
  <c r="B164" i="10"/>
  <c r="D164" i="10" s="1"/>
  <c r="B163" i="10"/>
  <c r="C164" i="10" s="1"/>
  <c r="E164" i="10" s="1"/>
  <c r="B162" i="10"/>
  <c r="B161" i="10"/>
  <c r="E160" i="10"/>
  <c r="C160" i="10"/>
  <c r="B160" i="10"/>
  <c r="B159" i="10"/>
  <c r="D158" i="10"/>
  <c r="B158" i="10"/>
  <c r="B157" i="10"/>
  <c r="B156" i="10"/>
  <c r="C156" i="10" s="1"/>
  <c r="E156" i="10" s="1"/>
  <c r="B155" i="10"/>
  <c r="C155" i="10" s="1"/>
  <c r="E155" i="10" s="1"/>
  <c r="B154" i="10"/>
  <c r="B153" i="10"/>
  <c r="B152" i="10"/>
  <c r="B151" i="10"/>
  <c r="B150" i="10"/>
  <c r="B149" i="10"/>
  <c r="B148" i="10"/>
  <c r="B147" i="10"/>
  <c r="C147" i="10" s="1"/>
  <c r="E147" i="10" s="1"/>
  <c r="D146" i="10"/>
  <c r="B146" i="10"/>
  <c r="C146" i="10" s="1"/>
  <c r="E146" i="10" s="1"/>
  <c r="D145" i="10"/>
  <c r="B145" i="10"/>
  <c r="B144" i="10"/>
  <c r="B143" i="10"/>
  <c r="C142" i="10"/>
  <c r="E142" i="10" s="1"/>
  <c r="B142" i="10"/>
  <c r="C143" i="10" s="1"/>
  <c r="E143" i="10" s="1"/>
  <c r="B141" i="10"/>
  <c r="C141" i="10" s="1"/>
  <c r="E141" i="10" s="1"/>
  <c r="D140" i="10"/>
  <c r="B140" i="10"/>
  <c r="B139" i="10"/>
  <c r="B138" i="10"/>
  <c r="B137" i="10"/>
  <c r="B136" i="10"/>
  <c r="B135" i="10"/>
  <c r="B134" i="10"/>
  <c r="D133" i="10"/>
  <c r="B133" i="10"/>
  <c r="D137" i="10" s="1"/>
  <c r="B132" i="10"/>
  <c r="C132" i="10" s="1"/>
  <c r="E132" i="10" s="1"/>
  <c r="B131" i="10"/>
  <c r="B130" i="10"/>
  <c r="C130" i="10" s="1"/>
  <c r="E130" i="10" s="1"/>
  <c r="B129" i="10"/>
  <c r="B128" i="10"/>
  <c r="B127" i="10"/>
  <c r="D127" i="10" s="1"/>
  <c r="B126" i="10"/>
  <c r="B125" i="10"/>
  <c r="D125" i="10" s="1"/>
  <c r="D124" i="10"/>
  <c r="B124" i="10"/>
  <c r="B123" i="10"/>
  <c r="B122" i="10"/>
  <c r="C122" i="10" s="1"/>
  <c r="E122" i="10" s="1"/>
  <c r="B121" i="10"/>
  <c r="B120" i="10"/>
  <c r="B119" i="10"/>
  <c r="D119" i="10" s="1"/>
  <c r="B118" i="10"/>
  <c r="B117" i="10"/>
  <c r="B116" i="10"/>
  <c r="D115" i="10"/>
  <c r="B115" i="10"/>
  <c r="B114" i="10"/>
  <c r="C114" i="10" s="1"/>
  <c r="E114" i="10" s="1"/>
  <c r="B113" i="10"/>
  <c r="B112" i="10"/>
  <c r="C112" i="10" s="1"/>
  <c r="E112" i="10" s="1"/>
  <c r="B111" i="10"/>
  <c r="B110" i="10"/>
  <c r="B109" i="10"/>
  <c r="B108" i="10"/>
  <c r="B107" i="10"/>
  <c r="D107" i="10" s="1"/>
  <c r="B106" i="10"/>
  <c r="B105" i="10"/>
  <c r="E104" i="10"/>
  <c r="B104" i="10"/>
  <c r="C104" i="10" s="1"/>
  <c r="D103" i="10"/>
  <c r="B103" i="10"/>
  <c r="B102" i="10"/>
  <c r="B101" i="10"/>
  <c r="B100" i="10"/>
  <c r="B99" i="10"/>
  <c r="B98" i="10"/>
  <c r="D97" i="10"/>
  <c r="B97" i="10"/>
  <c r="B96" i="10"/>
  <c r="B95" i="10"/>
  <c r="C95" i="10" s="1"/>
  <c r="E95" i="10" s="1"/>
  <c r="B94" i="10"/>
  <c r="C94" i="10" s="1"/>
  <c r="E94" i="10" s="1"/>
  <c r="B93" i="10"/>
  <c r="B92" i="10"/>
  <c r="D91" i="10"/>
  <c r="B91" i="10"/>
  <c r="B90" i="10"/>
  <c r="B89" i="10"/>
  <c r="D89" i="10" s="1"/>
  <c r="B88" i="10"/>
  <c r="B87" i="10"/>
  <c r="B86" i="10"/>
  <c r="C86" i="10" s="1"/>
  <c r="E86" i="10" s="1"/>
  <c r="B85" i="10"/>
  <c r="B84" i="10"/>
  <c r="B83" i="10"/>
  <c r="B82" i="10"/>
  <c r="B81" i="10"/>
  <c r="B80" i="10"/>
  <c r="B79" i="10"/>
  <c r="D79" i="10" s="1"/>
  <c r="B78" i="10"/>
  <c r="B77" i="10"/>
  <c r="C77" i="10" s="1"/>
  <c r="E77" i="10" s="1"/>
  <c r="B76" i="10"/>
  <c r="B75" i="10"/>
  <c r="B74" i="10"/>
  <c r="B73" i="10"/>
  <c r="B72" i="10"/>
  <c r="C72" i="10" s="1"/>
  <c r="E72" i="10" s="1"/>
  <c r="B71" i="10"/>
  <c r="B70" i="10"/>
  <c r="B69" i="10"/>
  <c r="C69" i="10" s="1"/>
  <c r="E69" i="10" s="1"/>
  <c r="B68" i="10"/>
  <c r="D67" i="10"/>
  <c r="B67" i="10"/>
  <c r="B66" i="10"/>
  <c r="D65" i="10"/>
  <c r="B65" i="10"/>
  <c r="D64" i="10"/>
  <c r="B64" i="10"/>
  <c r="B63" i="10"/>
  <c r="D63" i="10" s="1"/>
  <c r="B62" i="10"/>
  <c r="D62" i="10" s="1"/>
  <c r="B61" i="10"/>
  <c r="B60" i="10"/>
  <c r="C61" i="10" s="1"/>
  <c r="E61" i="10" s="1"/>
  <c r="D59" i="10"/>
  <c r="B59" i="10"/>
  <c r="B58" i="10"/>
  <c r="D57" i="10"/>
  <c r="B57" i="10"/>
  <c r="D61" i="10" s="1"/>
  <c r="B56" i="10"/>
  <c r="B55" i="10"/>
  <c r="D55" i="10" s="1"/>
  <c r="B54" i="10"/>
  <c r="B53" i="10"/>
  <c r="B52" i="10"/>
  <c r="D51" i="10"/>
  <c r="B51" i="10"/>
  <c r="B50" i="10"/>
  <c r="C50" i="10" s="1"/>
  <c r="E50" i="10" s="1"/>
  <c r="B49" i="10"/>
  <c r="C49" i="10" s="1"/>
  <c r="E49" i="10" s="1"/>
  <c r="D48" i="10"/>
  <c r="B48" i="10"/>
  <c r="B47" i="10"/>
  <c r="D47" i="10" s="1"/>
  <c r="B46" i="10"/>
  <c r="C46" i="10" s="1"/>
  <c r="E46" i="10" s="1"/>
  <c r="B45" i="10"/>
  <c r="C45" i="10" s="1"/>
  <c r="E45" i="10" s="1"/>
  <c r="B44" i="10"/>
  <c r="B43" i="10"/>
  <c r="B42" i="10"/>
  <c r="B41" i="10"/>
  <c r="B40" i="10"/>
  <c r="B39" i="10"/>
  <c r="B38" i="10"/>
  <c r="B37" i="10"/>
  <c r="B36" i="10"/>
  <c r="D36" i="10" s="1"/>
  <c r="B35" i="10"/>
  <c r="B34" i="10"/>
  <c r="B33" i="10"/>
  <c r="B32" i="10"/>
  <c r="C32" i="10" s="1"/>
  <c r="E32" i="10" s="1"/>
  <c r="B31" i="10"/>
  <c r="B30" i="10"/>
  <c r="C31" i="10" s="1"/>
  <c r="E31" i="10" s="1"/>
  <c r="C29" i="10"/>
  <c r="E29" i="10" s="1"/>
  <c r="B29" i="10"/>
  <c r="D29" i="10" s="1"/>
  <c r="B28" i="10"/>
  <c r="B27" i="10"/>
  <c r="D31" i="10" s="1"/>
  <c r="C26" i="10"/>
  <c r="E26" i="10" s="1"/>
  <c r="B26" i="10"/>
  <c r="B25" i="10"/>
  <c r="B24" i="10"/>
  <c r="B23" i="10"/>
  <c r="B22" i="10"/>
  <c r="B21" i="10"/>
  <c r="D25" i="10" s="1"/>
  <c r="B20" i="10"/>
  <c r="D20" i="10" s="1"/>
  <c r="D19" i="10"/>
  <c r="C19" i="10"/>
  <c r="E19" i="10" s="1"/>
  <c r="B19" i="10"/>
  <c r="B18" i="10"/>
  <c r="D22" i="10" s="1"/>
  <c r="B17" i="10"/>
  <c r="B16" i="10"/>
  <c r="C16" i="10" s="1"/>
  <c r="E16" i="10" s="1"/>
  <c r="E15" i="10"/>
  <c r="B15" i="10"/>
  <c r="C15" i="10" s="1"/>
  <c r="B14" i="10"/>
  <c r="C13" i="10"/>
  <c r="E13" i="10" s="1"/>
  <c r="B13" i="10"/>
  <c r="C14" i="10" s="1"/>
  <c r="E14" i="10" s="1"/>
  <c r="B12" i="10"/>
  <c r="B11" i="10"/>
  <c r="B10" i="10"/>
  <c r="B9" i="10"/>
  <c r="B8" i="10"/>
  <c r="C7" i="10"/>
  <c r="E7" i="10" s="1"/>
  <c r="B7" i="10"/>
  <c r="E6" i="10"/>
  <c r="B6" i="10"/>
  <c r="D10" i="10" s="1"/>
  <c r="D309" i="9"/>
  <c r="B309" i="9"/>
  <c r="B308" i="9"/>
  <c r="B307" i="9"/>
  <c r="B306" i="9"/>
  <c r="C306" i="9" s="1"/>
  <c r="E306" i="9" s="1"/>
  <c r="B305" i="9"/>
  <c r="B304" i="9"/>
  <c r="B303" i="9"/>
  <c r="C303" i="9" s="1"/>
  <c r="E303" i="9" s="1"/>
  <c r="B302" i="9"/>
  <c r="D306" i="9" s="1"/>
  <c r="B301" i="9"/>
  <c r="B300" i="9"/>
  <c r="B299" i="9"/>
  <c r="C299" i="9" s="1"/>
  <c r="E299" i="9" s="1"/>
  <c r="B298" i="9"/>
  <c r="B297" i="9"/>
  <c r="D297" i="9" s="1"/>
  <c r="B296" i="9"/>
  <c r="B295" i="9"/>
  <c r="B294" i="9"/>
  <c r="B293" i="9"/>
  <c r="B292" i="9"/>
  <c r="B291" i="9"/>
  <c r="B290" i="9"/>
  <c r="B289" i="9"/>
  <c r="D289" i="9" s="1"/>
  <c r="B288" i="9"/>
  <c r="B287" i="9"/>
  <c r="B286" i="9"/>
  <c r="B285" i="9"/>
  <c r="C285" i="9" s="1"/>
  <c r="E285" i="9" s="1"/>
  <c r="B284" i="9"/>
  <c r="B283" i="9"/>
  <c r="D282" i="9"/>
  <c r="B282" i="9"/>
  <c r="C283" i="9" s="1"/>
  <c r="E283" i="9" s="1"/>
  <c r="B281" i="9"/>
  <c r="C282" i="9" s="1"/>
  <c r="E282" i="9" s="1"/>
  <c r="B280" i="9"/>
  <c r="C279" i="9"/>
  <c r="E279" i="9" s="1"/>
  <c r="B279" i="9"/>
  <c r="D279" i="9" s="1"/>
  <c r="B278" i="9"/>
  <c r="B277" i="9"/>
  <c r="C278" i="9" s="1"/>
  <c r="E278" i="9" s="1"/>
  <c r="B276" i="9"/>
  <c r="B275" i="9"/>
  <c r="B274" i="9"/>
  <c r="B273" i="9"/>
  <c r="B272" i="9"/>
  <c r="B271" i="9"/>
  <c r="D271" i="9" s="1"/>
  <c r="B270" i="9"/>
  <c r="B269" i="9"/>
  <c r="B268" i="9"/>
  <c r="C268" i="9" s="1"/>
  <c r="E268" i="9" s="1"/>
  <c r="B267" i="9"/>
  <c r="B266" i="9"/>
  <c r="B265" i="9"/>
  <c r="B264" i="9"/>
  <c r="C264" i="9" s="1"/>
  <c r="E264" i="9" s="1"/>
  <c r="C263" i="9"/>
  <c r="E263" i="9" s="1"/>
  <c r="B263" i="9"/>
  <c r="D267" i="9" s="1"/>
  <c r="B262" i="9"/>
  <c r="B261" i="9"/>
  <c r="B260" i="9"/>
  <c r="B259" i="9"/>
  <c r="B258" i="9"/>
  <c r="C258" i="9" s="1"/>
  <c r="E258" i="9" s="1"/>
  <c r="B257" i="9"/>
  <c r="B256" i="9"/>
  <c r="B255" i="9"/>
  <c r="C255" i="9" s="1"/>
  <c r="E255" i="9" s="1"/>
  <c r="B254" i="9"/>
  <c r="C254" i="9" s="1"/>
  <c r="E254" i="9" s="1"/>
  <c r="B253" i="9"/>
  <c r="B252" i="9"/>
  <c r="B251" i="9"/>
  <c r="B250" i="9"/>
  <c r="D250" i="9" s="1"/>
  <c r="B249" i="9"/>
  <c r="C250" i="9" s="1"/>
  <c r="E250" i="9" s="1"/>
  <c r="B248" i="9"/>
  <c r="D252" i="9" s="1"/>
  <c r="B247" i="9"/>
  <c r="B246" i="9"/>
  <c r="B245" i="9"/>
  <c r="B244" i="9"/>
  <c r="B243" i="9"/>
  <c r="C243" i="9" s="1"/>
  <c r="E243" i="9" s="1"/>
  <c r="B242" i="9"/>
  <c r="B241" i="9"/>
  <c r="C242" i="9" s="1"/>
  <c r="E242" i="9" s="1"/>
  <c r="B240" i="9"/>
  <c r="D240" i="9" s="1"/>
  <c r="B239" i="9"/>
  <c r="B238" i="9"/>
  <c r="B237" i="9"/>
  <c r="B236" i="9"/>
  <c r="B235" i="9"/>
  <c r="D234" i="9"/>
  <c r="B234" i="9"/>
  <c r="C234" i="9" s="1"/>
  <c r="E234" i="9" s="1"/>
  <c r="B233" i="9"/>
  <c r="B232" i="9"/>
  <c r="C233" i="9" s="1"/>
  <c r="E233" i="9" s="1"/>
  <c r="B231" i="9"/>
  <c r="B230" i="9"/>
  <c r="B229" i="9"/>
  <c r="C230" i="9" s="1"/>
  <c r="E230" i="9" s="1"/>
  <c r="B228" i="9"/>
  <c r="C228" i="9" s="1"/>
  <c r="E228" i="9" s="1"/>
  <c r="B227" i="9"/>
  <c r="B226" i="9"/>
  <c r="B225" i="9"/>
  <c r="C225" i="9" s="1"/>
  <c r="E225" i="9" s="1"/>
  <c r="B224" i="9"/>
  <c r="D224" i="9" s="1"/>
  <c r="B223" i="9"/>
  <c r="B222" i="9"/>
  <c r="C222" i="9" s="1"/>
  <c r="E222" i="9" s="1"/>
  <c r="B221" i="9"/>
  <c r="B220" i="9"/>
  <c r="B219" i="9"/>
  <c r="B218" i="9"/>
  <c r="B217" i="9"/>
  <c r="B216" i="9"/>
  <c r="C216" i="9" s="1"/>
  <c r="E216" i="9" s="1"/>
  <c r="B215" i="9"/>
  <c r="B214" i="9"/>
  <c r="B213" i="9"/>
  <c r="C213" i="9" s="1"/>
  <c r="E213" i="9" s="1"/>
  <c r="B212" i="9"/>
  <c r="C212" i="9" s="1"/>
  <c r="E212" i="9" s="1"/>
  <c r="B211" i="9"/>
  <c r="B210" i="9"/>
  <c r="B209" i="9"/>
  <c r="C209" i="9" s="1"/>
  <c r="E209" i="9" s="1"/>
  <c r="B208" i="9"/>
  <c r="B207" i="9"/>
  <c r="D207" i="9" s="1"/>
  <c r="B206" i="9"/>
  <c r="B205" i="9"/>
  <c r="D204" i="9"/>
  <c r="B204" i="9"/>
  <c r="B203" i="9"/>
  <c r="B202" i="9"/>
  <c r="B201" i="9"/>
  <c r="C201" i="9" s="1"/>
  <c r="E201" i="9" s="1"/>
  <c r="C200" i="9"/>
  <c r="E200" i="9" s="1"/>
  <c r="B200" i="9"/>
  <c r="B199" i="9"/>
  <c r="B198" i="9"/>
  <c r="D198" i="9" s="1"/>
  <c r="B197" i="9"/>
  <c r="B196" i="9"/>
  <c r="B195" i="9"/>
  <c r="B194" i="9"/>
  <c r="B193" i="9"/>
  <c r="B192" i="9"/>
  <c r="C192" i="9" s="1"/>
  <c r="E192" i="9" s="1"/>
  <c r="B191" i="9"/>
  <c r="B190" i="9"/>
  <c r="B189" i="9"/>
  <c r="C189" i="9" s="1"/>
  <c r="E189" i="9" s="1"/>
  <c r="B188" i="9"/>
  <c r="B187" i="9"/>
  <c r="B186" i="9"/>
  <c r="C186" i="9" s="1"/>
  <c r="E186" i="9" s="1"/>
  <c r="B185" i="9"/>
  <c r="D185" i="9" s="1"/>
  <c r="B184" i="9"/>
  <c r="B183" i="9"/>
  <c r="B182" i="9"/>
  <c r="D182" i="9" s="1"/>
  <c r="D181" i="9"/>
  <c r="B181" i="9"/>
  <c r="B180" i="9"/>
  <c r="B179" i="9"/>
  <c r="D179" i="9" s="1"/>
  <c r="B178" i="9"/>
  <c r="C178" i="9" s="1"/>
  <c r="E178" i="9" s="1"/>
  <c r="B177" i="9"/>
  <c r="C177" i="9" s="1"/>
  <c r="E177" i="9" s="1"/>
  <c r="C176" i="9"/>
  <c r="E176" i="9" s="1"/>
  <c r="B176" i="9"/>
  <c r="B175" i="9"/>
  <c r="B174" i="9"/>
  <c r="B173" i="9"/>
  <c r="D172" i="9"/>
  <c r="B172" i="9"/>
  <c r="C172" i="9" s="1"/>
  <c r="E172" i="9" s="1"/>
  <c r="B171" i="9"/>
  <c r="B170" i="9"/>
  <c r="D174" i="9" s="1"/>
  <c r="C169" i="9"/>
  <c r="E169" i="9" s="1"/>
  <c r="B169" i="9"/>
  <c r="B168" i="9"/>
  <c r="B167" i="9"/>
  <c r="B166" i="9"/>
  <c r="B165" i="9"/>
  <c r="D165" i="9" s="1"/>
  <c r="B164" i="9"/>
  <c r="B163" i="9"/>
  <c r="D163" i="9" s="1"/>
  <c r="B162" i="9"/>
  <c r="C162" i="9" s="1"/>
  <c r="E162" i="9" s="1"/>
  <c r="B161" i="9"/>
  <c r="B160" i="9"/>
  <c r="B159" i="9"/>
  <c r="C159" i="9" s="1"/>
  <c r="E159" i="9" s="1"/>
  <c r="B158" i="9"/>
  <c r="B157" i="9"/>
  <c r="B156" i="9"/>
  <c r="B155" i="9"/>
  <c r="C155" i="9" s="1"/>
  <c r="E155" i="9" s="1"/>
  <c r="B154" i="9"/>
  <c r="D158" i="9" s="1"/>
  <c r="B153" i="9"/>
  <c r="B152" i="9"/>
  <c r="D152" i="9" s="1"/>
  <c r="B151" i="9"/>
  <c r="B150" i="9"/>
  <c r="B149" i="9"/>
  <c r="B148" i="9"/>
  <c r="B147" i="9"/>
  <c r="B146" i="9"/>
  <c r="D146" i="9" s="1"/>
  <c r="B145" i="9"/>
  <c r="D145" i="9" s="1"/>
  <c r="B144" i="9"/>
  <c r="D148" i="9" s="1"/>
  <c r="B143" i="9"/>
  <c r="D143" i="9" s="1"/>
  <c r="B142" i="9"/>
  <c r="C142" i="9" s="1"/>
  <c r="E142" i="9" s="1"/>
  <c r="B141" i="9"/>
  <c r="B140" i="9"/>
  <c r="B139" i="9"/>
  <c r="B138" i="9"/>
  <c r="B137" i="9"/>
  <c r="D136" i="9"/>
  <c r="B136" i="9"/>
  <c r="C136" i="9" s="1"/>
  <c r="E136" i="9" s="1"/>
  <c r="B135" i="9"/>
  <c r="B134" i="9"/>
  <c r="D138" i="9" s="1"/>
  <c r="B133" i="9"/>
  <c r="D133" i="9" s="1"/>
  <c r="B132" i="9"/>
  <c r="B131" i="9"/>
  <c r="B130" i="9"/>
  <c r="B129" i="9"/>
  <c r="D129" i="9" s="1"/>
  <c r="B128" i="9"/>
  <c r="B127" i="9"/>
  <c r="B126" i="9"/>
  <c r="C126" i="9" s="1"/>
  <c r="E126" i="9" s="1"/>
  <c r="B125" i="9"/>
  <c r="B124" i="9"/>
  <c r="B123" i="9"/>
  <c r="D123" i="9" s="1"/>
  <c r="B122" i="9"/>
  <c r="B121" i="9"/>
  <c r="D125" i="9" s="1"/>
  <c r="B120" i="9"/>
  <c r="B119" i="9"/>
  <c r="B118" i="9"/>
  <c r="B117" i="9"/>
  <c r="B116" i="9"/>
  <c r="B115" i="9"/>
  <c r="C115" i="9" s="1"/>
  <c r="E115" i="9" s="1"/>
  <c r="B114" i="9"/>
  <c r="B113" i="9"/>
  <c r="B112" i="9"/>
  <c r="C112" i="9" s="1"/>
  <c r="E112" i="9" s="1"/>
  <c r="B111" i="9"/>
  <c r="D111" i="9" s="1"/>
  <c r="B110" i="9"/>
  <c r="B109" i="9"/>
  <c r="B108" i="9"/>
  <c r="B107" i="9"/>
  <c r="D107" i="9" s="1"/>
  <c r="D106" i="9"/>
  <c r="B106" i="9"/>
  <c r="D110" i="9" s="1"/>
  <c r="B105" i="9"/>
  <c r="C105" i="9" s="1"/>
  <c r="E105" i="9" s="1"/>
  <c r="C104" i="9"/>
  <c r="E104" i="9" s="1"/>
  <c r="B104" i="9"/>
  <c r="E103" i="9"/>
  <c r="C103" i="9"/>
  <c r="B103" i="9"/>
  <c r="B102" i="9"/>
  <c r="B101" i="9"/>
  <c r="D100" i="9"/>
  <c r="B100" i="9"/>
  <c r="C100" i="9" s="1"/>
  <c r="E100" i="9" s="1"/>
  <c r="B99" i="9"/>
  <c r="B98" i="9"/>
  <c r="D102" i="9" s="1"/>
  <c r="C97" i="9"/>
  <c r="E97" i="9" s="1"/>
  <c r="B97" i="9"/>
  <c r="B96" i="9"/>
  <c r="B95" i="9"/>
  <c r="B94" i="9"/>
  <c r="C94" i="9" s="1"/>
  <c r="E94" i="9" s="1"/>
  <c r="B93" i="9"/>
  <c r="D93" i="9" s="1"/>
  <c r="B92" i="9"/>
  <c r="B91" i="9"/>
  <c r="B90" i="9"/>
  <c r="D89" i="9"/>
  <c r="B89" i="9"/>
  <c r="B88" i="9"/>
  <c r="B87" i="9"/>
  <c r="C88" i="9" s="1"/>
  <c r="E88" i="9" s="1"/>
  <c r="B86" i="9"/>
  <c r="C86" i="9" s="1"/>
  <c r="E86" i="9" s="1"/>
  <c r="B85" i="9"/>
  <c r="B84" i="9"/>
  <c r="B83" i="9"/>
  <c r="B82" i="9"/>
  <c r="B81" i="9"/>
  <c r="D81" i="9" s="1"/>
  <c r="B80" i="9"/>
  <c r="D80" i="9" s="1"/>
  <c r="B79" i="9"/>
  <c r="B78" i="9"/>
  <c r="D78" i="9" s="1"/>
  <c r="B77" i="9"/>
  <c r="B76" i="9"/>
  <c r="B75" i="9"/>
  <c r="B74" i="9"/>
  <c r="C73" i="9"/>
  <c r="E73" i="9" s="1"/>
  <c r="B73" i="9"/>
  <c r="D73" i="9" s="1"/>
  <c r="B72" i="9"/>
  <c r="D72" i="9" s="1"/>
  <c r="B71" i="9"/>
  <c r="C71" i="9" s="1"/>
  <c r="E71" i="9" s="1"/>
  <c r="E70" i="9"/>
  <c r="C70" i="9"/>
  <c r="B70" i="9"/>
  <c r="B69" i="9"/>
  <c r="B68" i="9"/>
  <c r="B67" i="9"/>
  <c r="B66" i="9"/>
  <c r="B65" i="9"/>
  <c r="C65" i="9" s="1"/>
  <c r="E65" i="9" s="1"/>
  <c r="B64" i="9"/>
  <c r="D64" i="9" s="1"/>
  <c r="B63" i="9"/>
  <c r="D63" i="9" s="1"/>
  <c r="B62" i="9"/>
  <c r="B61" i="9"/>
  <c r="B60" i="9"/>
  <c r="B59" i="9"/>
  <c r="B58" i="9"/>
  <c r="B57" i="9"/>
  <c r="D56" i="9"/>
  <c r="B56" i="9"/>
  <c r="C56" i="9" s="1"/>
  <c r="E56" i="9" s="1"/>
  <c r="B55" i="9"/>
  <c r="B54" i="9"/>
  <c r="B53" i="9"/>
  <c r="C53" i="9" s="1"/>
  <c r="E53" i="9" s="1"/>
  <c r="B52" i="9"/>
  <c r="B51" i="9"/>
  <c r="B50" i="9"/>
  <c r="B49" i="9"/>
  <c r="B48" i="9"/>
  <c r="B47" i="9"/>
  <c r="B46" i="9"/>
  <c r="B45" i="9"/>
  <c r="B44" i="9"/>
  <c r="B43" i="9"/>
  <c r="B42" i="9"/>
  <c r="B41" i="9"/>
  <c r="C41" i="9" s="1"/>
  <c r="E41" i="9" s="1"/>
  <c r="E40" i="9"/>
  <c r="B40" i="9"/>
  <c r="C40" i="9" s="1"/>
  <c r="B39" i="9"/>
  <c r="D38" i="9"/>
  <c r="B38" i="9"/>
  <c r="B37" i="9"/>
  <c r="B36" i="9"/>
  <c r="B35" i="9"/>
  <c r="C35" i="9" s="1"/>
  <c r="E35" i="9" s="1"/>
  <c r="B34" i="9"/>
  <c r="B33" i="9"/>
  <c r="C34" i="9" s="1"/>
  <c r="E34" i="9" s="1"/>
  <c r="B32" i="9"/>
  <c r="D32" i="9" s="1"/>
  <c r="B31" i="9"/>
  <c r="B30" i="9"/>
  <c r="D29" i="9"/>
  <c r="B29" i="9"/>
  <c r="B28" i="9"/>
  <c r="C28" i="9" s="1"/>
  <c r="E28" i="9" s="1"/>
  <c r="B27" i="9"/>
  <c r="B26" i="9"/>
  <c r="B25" i="9"/>
  <c r="D25" i="9" s="1"/>
  <c r="B24" i="9"/>
  <c r="B23" i="9"/>
  <c r="B22" i="9"/>
  <c r="B21" i="9"/>
  <c r="B20" i="9"/>
  <c r="D20" i="9" s="1"/>
  <c r="B19" i="9"/>
  <c r="B18" i="9"/>
  <c r="B17" i="9"/>
  <c r="B16" i="9"/>
  <c r="B15" i="9"/>
  <c r="B14" i="9"/>
  <c r="B13" i="9"/>
  <c r="B12" i="9"/>
  <c r="B11" i="9"/>
  <c r="D11" i="9" s="1"/>
  <c r="B10" i="9"/>
  <c r="D10" i="9" s="1"/>
  <c r="B9" i="9"/>
  <c r="B8" i="9"/>
  <c r="C7" i="9"/>
  <c r="E7" i="9" s="1"/>
  <c r="B7" i="9"/>
  <c r="E6" i="9"/>
  <c r="B6" i="9"/>
  <c r="B309" i="8"/>
  <c r="B308" i="8"/>
  <c r="B307" i="8"/>
  <c r="C307" i="8" s="1"/>
  <c r="E307" i="8" s="1"/>
  <c r="B306" i="8"/>
  <c r="B305" i="8"/>
  <c r="B304" i="8"/>
  <c r="B303" i="8"/>
  <c r="B302" i="8"/>
  <c r="B301" i="8"/>
  <c r="E300" i="8"/>
  <c r="B300" i="8"/>
  <c r="C300" i="8" s="1"/>
  <c r="B299" i="8"/>
  <c r="B298" i="8"/>
  <c r="B297" i="8"/>
  <c r="B296" i="8"/>
  <c r="C296" i="8" s="1"/>
  <c r="E296" i="8" s="1"/>
  <c r="B295" i="8"/>
  <c r="B294" i="8"/>
  <c r="B293" i="8"/>
  <c r="B292" i="8"/>
  <c r="B291" i="8"/>
  <c r="B290" i="8"/>
  <c r="B289" i="8"/>
  <c r="B288" i="8"/>
  <c r="C288" i="8" s="1"/>
  <c r="E288" i="8" s="1"/>
  <c r="B287" i="8"/>
  <c r="B286" i="8"/>
  <c r="B285" i="8"/>
  <c r="B284" i="8"/>
  <c r="B283" i="8"/>
  <c r="B282" i="8"/>
  <c r="B281" i="8"/>
  <c r="D281" i="8" s="1"/>
  <c r="D280" i="8"/>
  <c r="B280" i="8"/>
  <c r="B279" i="8"/>
  <c r="B278" i="8"/>
  <c r="D278" i="8" s="1"/>
  <c r="B277" i="8"/>
  <c r="D276" i="8"/>
  <c r="B276" i="8"/>
  <c r="B275" i="8"/>
  <c r="C275" i="8" s="1"/>
  <c r="E275" i="8" s="1"/>
  <c r="B274" i="8"/>
  <c r="B273" i="8"/>
  <c r="B272" i="8"/>
  <c r="B271" i="8"/>
  <c r="C271" i="8" s="1"/>
  <c r="E271" i="8" s="1"/>
  <c r="B270" i="8"/>
  <c r="B269" i="8"/>
  <c r="B268" i="8"/>
  <c r="B267" i="8"/>
  <c r="B266" i="8"/>
  <c r="B265" i="8"/>
  <c r="B264" i="8"/>
  <c r="B263" i="8"/>
  <c r="B262" i="8"/>
  <c r="D262" i="8" s="1"/>
  <c r="B261" i="8"/>
  <c r="B260" i="8"/>
  <c r="B259" i="8"/>
  <c r="C259" i="8" s="1"/>
  <c r="E259" i="8" s="1"/>
  <c r="B258" i="8"/>
  <c r="B257" i="8"/>
  <c r="B256" i="8"/>
  <c r="B255" i="8"/>
  <c r="C255" i="8" s="1"/>
  <c r="E255" i="8" s="1"/>
  <c r="B254" i="8"/>
  <c r="B253" i="8"/>
  <c r="B252" i="8"/>
  <c r="B251" i="8"/>
  <c r="D251" i="8" s="1"/>
  <c r="B250" i="8"/>
  <c r="B249" i="8"/>
  <c r="C248" i="8"/>
  <c r="E248" i="8" s="1"/>
  <c r="B248" i="8"/>
  <c r="B247" i="8"/>
  <c r="B246" i="8"/>
  <c r="D246" i="8" s="1"/>
  <c r="B245" i="8"/>
  <c r="B244" i="8"/>
  <c r="B243" i="8"/>
  <c r="D243" i="8" s="1"/>
  <c r="B242" i="8"/>
  <c r="C242" i="8" s="1"/>
  <c r="E242" i="8" s="1"/>
  <c r="B241" i="8"/>
  <c r="B240" i="8"/>
  <c r="B239" i="8"/>
  <c r="D239" i="8" s="1"/>
  <c r="B238" i="8"/>
  <c r="C239" i="8" s="1"/>
  <c r="E239" i="8" s="1"/>
  <c r="B237" i="8"/>
  <c r="B236" i="8"/>
  <c r="C236" i="8" s="1"/>
  <c r="E236" i="8" s="1"/>
  <c r="B235" i="8"/>
  <c r="B234" i="8"/>
  <c r="C233" i="8"/>
  <c r="E233" i="8" s="1"/>
  <c r="B233" i="8"/>
  <c r="C234" i="8" s="1"/>
  <c r="E234" i="8" s="1"/>
  <c r="C232" i="8"/>
  <c r="E232" i="8" s="1"/>
  <c r="B232" i="8"/>
  <c r="B231" i="8"/>
  <c r="B230" i="8"/>
  <c r="D234" i="8" s="1"/>
  <c r="B229" i="8"/>
  <c r="B228" i="8"/>
  <c r="D228" i="8" s="1"/>
  <c r="B227" i="8"/>
  <c r="D227" i="8" s="1"/>
  <c r="B226" i="8"/>
  <c r="C226" i="8" s="1"/>
  <c r="E226" i="8" s="1"/>
  <c r="B225" i="8"/>
  <c r="C224" i="8"/>
  <c r="E224" i="8" s="1"/>
  <c r="B224" i="8"/>
  <c r="B223" i="8"/>
  <c r="B222" i="8"/>
  <c r="D221" i="8"/>
  <c r="B221" i="8"/>
  <c r="B220" i="8"/>
  <c r="C221" i="8" s="1"/>
  <c r="E221" i="8" s="1"/>
  <c r="B219" i="8"/>
  <c r="B218" i="8"/>
  <c r="B217" i="8"/>
  <c r="B216" i="8"/>
  <c r="C216" i="8" s="1"/>
  <c r="E216" i="8" s="1"/>
  <c r="B215" i="8"/>
  <c r="C215" i="8" s="1"/>
  <c r="E215" i="8" s="1"/>
  <c r="B214" i="8"/>
  <c r="B213" i="8"/>
  <c r="C214" i="8" s="1"/>
  <c r="E214" i="8" s="1"/>
  <c r="B212" i="8"/>
  <c r="B211" i="8"/>
  <c r="B210" i="8"/>
  <c r="D214" i="8" s="1"/>
  <c r="D209" i="8"/>
  <c r="B209" i="8"/>
  <c r="B208" i="8"/>
  <c r="D208" i="8" s="1"/>
  <c r="B207" i="8"/>
  <c r="D207" i="8" s="1"/>
  <c r="B206" i="8"/>
  <c r="B205" i="8"/>
  <c r="B204" i="8"/>
  <c r="B203" i="8"/>
  <c r="B202" i="8"/>
  <c r="C203" i="8" s="1"/>
  <c r="E203" i="8" s="1"/>
  <c r="C201" i="8"/>
  <c r="E201" i="8" s="1"/>
  <c r="B201" i="8"/>
  <c r="B200" i="8"/>
  <c r="B199" i="8"/>
  <c r="D199" i="8" s="1"/>
  <c r="C198" i="8"/>
  <c r="E198" i="8" s="1"/>
  <c r="B198" i="8"/>
  <c r="B197" i="8"/>
  <c r="B196" i="8"/>
  <c r="C197" i="8" s="1"/>
  <c r="E197" i="8" s="1"/>
  <c r="B195" i="8"/>
  <c r="B194" i="8"/>
  <c r="C195" i="8" s="1"/>
  <c r="E195" i="8" s="1"/>
  <c r="B193" i="8"/>
  <c r="C193" i="8" s="1"/>
  <c r="E193" i="8" s="1"/>
  <c r="B192" i="8"/>
  <c r="B191" i="8"/>
  <c r="B190" i="8"/>
  <c r="D194" i="8" s="1"/>
  <c r="B189" i="8"/>
  <c r="D189" i="8" s="1"/>
  <c r="B188" i="8"/>
  <c r="D188" i="8" s="1"/>
  <c r="B187" i="8"/>
  <c r="D191" i="8" s="1"/>
  <c r="B186" i="8"/>
  <c r="C186" i="8" s="1"/>
  <c r="E186" i="8" s="1"/>
  <c r="B185" i="8"/>
  <c r="D184" i="8"/>
  <c r="B184" i="8"/>
  <c r="C185" i="8" s="1"/>
  <c r="E185" i="8" s="1"/>
  <c r="B183" i="8"/>
  <c r="B182" i="8"/>
  <c r="D182" i="8" s="1"/>
  <c r="B181" i="8"/>
  <c r="D185" i="8" s="1"/>
  <c r="C180" i="8"/>
  <c r="E180" i="8" s="1"/>
  <c r="B180" i="8"/>
  <c r="C179" i="8"/>
  <c r="E179" i="8" s="1"/>
  <c r="B179" i="8"/>
  <c r="B178" i="8"/>
  <c r="C178" i="8" s="1"/>
  <c r="E178" i="8" s="1"/>
  <c r="B177" i="8"/>
  <c r="B176" i="8"/>
  <c r="B175" i="8"/>
  <c r="D175" i="8" s="1"/>
  <c r="B174" i="8"/>
  <c r="D178" i="8" s="1"/>
  <c r="B173" i="8"/>
  <c r="B172" i="8"/>
  <c r="C172" i="8" s="1"/>
  <c r="E172" i="8" s="1"/>
  <c r="B171" i="8"/>
  <c r="D171" i="8" s="1"/>
  <c r="B170" i="8"/>
  <c r="B169" i="8"/>
  <c r="C169" i="8" s="1"/>
  <c r="E169" i="8" s="1"/>
  <c r="B168" i="8"/>
  <c r="C168" i="8" s="1"/>
  <c r="E168" i="8" s="1"/>
  <c r="B167" i="8"/>
  <c r="B166" i="8"/>
  <c r="C167" i="8" s="1"/>
  <c r="E167" i="8" s="1"/>
  <c r="B165" i="8"/>
  <c r="D165" i="8" s="1"/>
  <c r="B164" i="8"/>
  <c r="B163" i="8"/>
  <c r="D167" i="8" s="1"/>
  <c r="B162" i="8"/>
  <c r="B161" i="8"/>
  <c r="C160" i="8"/>
  <c r="E160" i="8" s="1"/>
  <c r="B160" i="8"/>
  <c r="B159" i="8"/>
  <c r="B158" i="8"/>
  <c r="B157" i="8"/>
  <c r="B156" i="8"/>
  <c r="B155" i="8"/>
  <c r="B154" i="8"/>
  <c r="D154" i="8" s="1"/>
  <c r="B153" i="8"/>
  <c r="B152" i="8"/>
  <c r="B151" i="8"/>
  <c r="C151" i="8" s="1"/>
  <c r="E151" i="8" s="1"/>
  <c r="B150" i="8"/>
  <c r="B149" i="8"/>
  <c r="D153" i="8" s="1"/>
  <c r="B148" i="8"/>
  <c r="B147" i="8"/>
  <c r="D147" i="8" s="1"/>
  <c r="B146" i="8"/>
  <c r="B145" i="8"/>
  <c r="B144" i="8"/>
  <c r="C143" i="8"/>
  <c r="E143" i="8" s="1"/>
  <c r="B143" i="8"/>
  <c r="C144" i="8" s="1"/>
  <c r="E144" i="8" s="1"/>
  <c r="C142" i="8"/>
  <c r="E142" i="8" s="1"/>
  <c r="B142" i="8"/>
  <c r="D141" i="8"/>
  <c r="B141" i="8"/>
  <c r="B140" i="8"/>
  <c r="B139" i="8"/>
  <c r="B138" i="8"/>
  <c r="B137" i="8"/>
  <c r="B136" i="8"/>
  <c r="C137" i="8" s="1"/>
  <c r="E137" i="8" s="1"/>
  <c r="D135" i="8"/>
  <c r="B135" i="8"/>
  <c r="C135" i="8" s="1"/>
  <c r="E135" i="8" s="1"/>
  <c r="B134" i="8"/>
  <c r="B133" i="8"/>
  <c r="B132" i="8"/>
  <c r="B131" i="8"/>
  <c r="D131" i="8" s="1"/>
  <c r="B130" i="8"/>
  <c r="B129" i="8"/>
  <c r="B128" i="8"/>
  <c r="B127" i="8"/>
  <c r="D126" i="8"/>
  <c r="B126" i="8"/>
  <c r="C125" i="8"/>
  <c r="E125" i="8" s="1"/>
  <c r="B125" i="8"/>
  <c r="C126" i="8" s="1"/>
  <c r="E126" i="8" s="1"/>
  <c r="B124" i="8"/>
  <c r="B123" i="8"/>
  <c r="D122" i="8"/>
  <c r="B122" i="8"/>
  <c r="B121" i="8"/>
  <c r="C121" i="8" s="1"/>
  <c r="E121" i="8" s="1"/>
  <c r="B120" i="8"/>
  <c r="C119" i="8"/>
  <c r="E119" i="8" s="1"/>
  <c r="B119" i="8"/>
  <c r="B118" i="8"/>
  <c r="D117" i="8"/>
  <c r="B117" i="8"/>
  <c r="C118" i="8" s="1"/>
  <c r="E118" i="8" s="1"/>
  <c r="B116" i="8"/>
  <c r="B115" i="8"/>
  <c r="C115" i="8" s="1"/>
  <c r="E115" i="8" s="1"/>
  <c r="B114" i="8"/>
  <c r="C114" i="8" s="1"/>
  <c r="E114" i="8" s="1"/>
  <c r="B113" i="8"/>
  <c r="B112" i="8"/>
  <c r="C113" i="8" s="1"/>
  <c r="E113" i="8" s="1"/>
  <c r="B111" i="8"/>
  <c r="B110" i="8"/>
  <c r="B109" i="8"/>
  <c r="C108" i="8"/>
  <c r="E108" i="8" s="1"/>
  <c r="B108" i="8"/>
  <c r="B107" i="8"/>
  <c r="C107" i="8" s="1"/>
  <c r="E107" i="8" s="1"/>
  <c r="C106" i="8"/>
  <c r="E106" i="8" s="1"/>
  <c r="B106" i="8"/>
  <c r="B105" i="8"/>
  <c r="B104" i="8"/>
  <c r="B103" i="8"/>
  <c r="D103" i="8" s="1"/>
  <c r="B102" i="8"/>
  <c r="C101" i="8"/>
  <c r="E101" i="8" s="1"/>
  <c r="B101" i="8"/>
  <c r="D101" i="8" s="1"/>
  <c r="B100" i="8"/>
  <c r="C100" i="8" s="1"/>
  <c r="E100" i="8" s="1"/>
  <c r="B99" i="8"/>
  <c r="B98" i="8"/>
  <c r="C97" i="8"/>
  <c r="E97" i="8" s="1"/>
  <c r="B97" i="8"/>
  <c r="C98" i="8" s="1"/>
  <c r="E98" i="8" s="1"/>
  <c r="B96" i="8"/>
  <c r="B95" i="8"/>
  <c r="D95" i="8" s="1"/>
  <c r="B94" i="8"/>
  <c r="B93" i="8"/>
  <c r="B92" i="8"/>
  <c r="B91" i="8"/>
  <c r="B90" i="8"/>
  <c r="C90" i="8" s="1"/>
  <c r="E90" i="8" s="1"/>
  <c r="C89" i="8"/>
  <c r="E89" i="8" s="1"/>
  <c r="B89" i="8"/>
  <c r="B88" i="8"/>
  <c r="D88" i="8" s="1"/>
  <c r="B87" i="8"/>
  <c r="B86" i="8"/>
  <c r="B85" i="8"/>
  <c r="B84" i="8"/>
  <c r="B83" i="8"/>
  <c r="D83" i="8" s="1"/>
  <c r="C82" i="8"/>
  <c r="E82" i="8" s="1"/>
  <c r="B82" i="8"/>
  <c r="D81" i="8"/>
  <c r="B81" i="8"/>
  <c r="B80" i="8"/>
  <c r="B79" i="8"/>
  <c r="B78" i="8"/>
  <c r="C78" i="8" s="1"/>
  <c r="E78" i="8" s="1"/>
  <c r="C77" i="8"/>
  <c r="E77" i="8" s="1"/>
  <c r="B77" i="8"/>
  <c r="B76" i="8"/>
  <c r="B75" i="8"/>
  <c r="C74" i="8"/>
  <c r="E74" i="8" s="1"/>
  <c r="B74" i="8"/>
  <c r="B73" i="8"/>
  <c r="C72" i="8"/>
  <c r="E72" i="8" s="1"/>
  <c r="B72" i="8"/>
  <c r="B71" i="8"/>
  <c r="D71" i="8" s="1"/>
  <c r="B70" i="8"/>
  <c r="B69" i="8"/>
  <c r="B68" i="8"/>
  <c r="B67" i="8"/>
  <c r="B66" i="8"/>
  <c r="D65" i="8"/>
  <c r="B65" i="8"/>
  <c r="B64" i="8"/>
  <c r="B63" i="8"/>
  <c r="B62" i="8"/>
  <c r="C63" i="8" s="1"/>
  <c r="E63" i="8" s="1"/>
  <c r="B61" i="8"/>
  <c r="C61" i="8" s="1"/>
  <c r="E61" i="8" s="1"/>
  <c r="B60" i="8"/>
  <c r="D59" i="8"/>
  <c r="B59" i="8"/>
  <c r="D63" i="8" s="1"/>
  <c r="B58" i="8"/>
  <c r="C57" i="8"/>
  <c r="E57" i="8" s="1"/>
  <c r="B57" i="8"/>
  <c r="C58" i="8" s="1"/>
  <c r="E58" i="8" s="1"/>
  <c r="B56" i="8"/>
  <c r="B55" i="8"/>
  <c r="B54" i="8"/>
  <c r="D54" i="8" s="1"/>
  <c r="B53" i="8"/>
  <c r="D52" i="8"/>
  <c r="B52" i="8"/>
  <c r="B51" i="8"/>
  <c r="D51" i="8" s="1"/>
  <c r="B50" i="8"/>
  <c r="B49" i="8"/>
  <c r="D48" i="8"/>
  <c r="B48" i="8"/>
  <c r="B47" i="8"/>
  <c r="B46" i="8"/>
  <c r="D50" i="8" s="1"/>
  <c r="B45" i="8"/>
  <c r="B44" i="8"/>
  <c r="D43" i="8"/>
  <c r="B43" i="8"/>
  <c r="C44" i="8" s="1"/>
  <c r="E44" i="8" s="1"/>
  <c r="B42" i="8"/>
  <c r="C43" i="8" s="1"/>
  <c r="E43" i="8" s="1"/>
  <c r="B41" i="8"/>
  <c r="B40" i="8"/>
  <c r="C41" i="8" s="1"/>
  <c r="E41" i="8" s="1"/>
  <c r="B39" i="8"/>
  <c r="D39" i="8" s="1"/>
  <c r="B38" i="8"/>
  <c r="C39" i="8" s="1"/>
  <c r="E39" i="8" s="1"/>
  <c r="D37" i="8"/>
  <c r="B37" i="8"/>
  <c r="B36" i="8"/>
  <c r="C36" i="8" s="1"/>
  <c r="E36" i="8" s="1"/>
  <c r="B35" i="8"/>
  <c r="C35" i="8" s="1"/>
  <c r="E35" i="8" s="1"/>
  <c r="B34" i="8"/>
  <c r="D34" i="8" s="1"/>
  <c r="D33" i="8"/>
  <c r="B33" i="8"/>
  <c r="B32" i="8"/>
  <c r="B31" i="8"/>
  <c r="C31" i="8" s="1"/>
  <c r="E31" i="8" s="1"/>
  <c r="B30" i="8"/>
  <c r="B29" i="8"/>
  <c r="B28" i="8"/>
  <c r="B27" i="8"/>
  <c r="D27" i="8" s="1"/>
  <c r="B26" i="8"/>
  <c r="B25" i="8"/>
  <c r="D25" i="8" s="1"/>
  <c r="B24" i="8"/>
  <c r="C24" i="8" s="1"/>
  <c r="E24" i="8" s="1"/>
  <c r="B23" i="8"/>
  <c r="B22" i="8"/>
  <c r="B21" i="8"/>
  <c r="B20" i="8"/>
  <c r="B19" i="8"/>
  <c r="B18" i="8"/>
  <c r="D18" i="8" s="1"/>
  <c r="B17" i="8"/>
  <c r="C17" i="8" s="1"/>
  <c r="E17" i="8" s="1"/>
  <c r="B16" i="8"/>
  <c r="C15" i="8"/>
  <c r="E15" i="8" s="1"/>
  <c r="B15" i="8"/>
  <c r="D14" i="8"/>
  <c r="B14" i="8"/>
  <c r="B13" i="8"/>
  <c r="B12" i="8"/>
  <c r="B11" i="8"/>
  <c r="D15" i="8" s="1"/>
  <c r="B10" i="8"/>
  <c r="B9" i="8"/>
  <c r="E8" i="8"/>
  <c r="B8" i="8"/>
  <c r="C8" i="8" s="1"/>
  <c r="B7" i="8"/>
  <c r="E6" i="8"/>
  <c r="B6" i="8"/>
  <c r="C7" i="8" s="1"/>
  <c r="E7" i="8" s="1"/>
  <c r="B309" i="7"/>
  <c r="B308" i="7"/>
  <c r="C308" i="7" s="1"/>
  <c r="E308" i="7" s="1"/>
  <c r="B307" i="7"/>
  <c r="C307" i="7" s="1"/>
  <c r="E307" i="7" s="1"/>
  <c r="B306" i="7"/>
  <c r="D306" i="7" s="1"/>
  <c r="B305" i="7"/>
  <c r="B304" i="7"/>
  <c r="C303" i="7"/>
  <c r="E303" i="7" s="1"/>
  <c r="B303" i="7"/>
  <c r="D303" i="7" s="1"/>
  <c r="B302" i="7"/>
  <c r="B301" i="7"/>
  <c r="B300" i="7"/>
  <c r="B299" i="7"/>
  <c r="C299" i="7" s="1"/>
  <c r="E299" i="7" s="1"/>
  <c r="B298" i="7"/>
  <c r="B297" i="7"/>
  <c r="B296" i="7"/>
  <c r="B295" i="7"/>
  <c r="D295" i="7" s="1"/>
  <c r="B294" i="7"/>
  <c r="D294" i="7" s="1"/>
  <c r="B293" i="7"/>
  <c r="C293" i="7" s="1"/>
  <c r="E293" i="7" s="1"/>
  <c r="B292" i="7"/>
  <c r="C292" i="7" s="1"/>
  <c r="E292" i="7" s="1"/>
  <c r="B291" i="7"/>
  <c r="E290" i="7"/>
  <c r="C290" i="7"/>
  <c r="B290" i="7"/>
  <c r="B289" i="7"/>
  <c r="B288" i="7"/>
  <c r="B287" i="7"/>
  <c r="C287" i="7" s="1"/>
  <c r="E287" i="7" s="1"/>
  <c r="B286" i="7"/>
  <c r="B285" i="7"/>
  <c r="D285" i="7" s="1"/>
  <c r="B284" i="7"/>
  <c r="C284" i="7" s="1"/>
  <c r="E284" i="7" s="1"/>
  <c r="B283" i="7"/>
  <c r="B282" i="7"/>
  <c r="B281" i="7"/>
  <c r="C281" i="7" s="1"/>
  <c r="E281" i="7" s="1"/>
  <c r="P19" i="4" s="1"/>
  <c r="B280" i="7"/>
  <c r="C280" i="7" s="1"/>
  <c r="E280" i="7" s="1"/>
  <c r="B279" i="7"/>
  <c r="D279" i="7" s="1"/>
  <c r="B278" i="7"/>
  <c r="B277" i="7"/>
  <c r="B276" i="7"/>
  <c r="B275" i="7"/>
  <c r="B274" i="7"/>
  <c r="B273" i="7"/>
  <c r="B272" i="7"/>
  <c r="B271" i="7"/>
  <c r="D271" i="7" s="1"/>
  <c r="B270" i="7"/>
  <c r="C270" i="7" s="1"/>
  <c r="E270" i="7" s="1"/>
  <c r="B269" i="7"/>
  <c r="B268" i="7"/>
  <c r="B267" i="7"/>
  <c r="D267" i="7" s="1"/>
  <c r="B266" i="7"/>
  <c r="B265" i="7"/>
  <c r="D265" i="7" s="1"/>
  <c r="B264" i="7"/>
  <c r="B263" i="7"/>
  <c r="B262" i="7"/>
  <c r="B261" i="7"/>
  <c r="D261" i="7" s="1"/>
  <c r="B260" i="7"/>
  <c r="C260" i="7" s="1"/>
  <c r="E260" i="7" s="1"/>
  <c r="B259" i="7"/>
  <c r="C259" i="7" s="1"/>
  <c r="E259" i="7" s="1"/>
  <c r="B258" i="7"/>
  <c r="D258" i="7" s="1"/>
  <c r="B257" i="7"/>
  <c r="C257" i="7" s="1"/>
  <c r="E257" i="7" s="1"/>
  <c r="B256" i="7"/>
  <c r="B255" i="7"/>
  <c r="B254" i="7"/>
  <c r="C254" i="7" s="1"/>
  <c r="E254" i="7" s="1"/>
  <c r="B253" i="7"/>
  <c r="C253" i="7" s="1"/>
  <c r="E253" i="7" s="1"/>
  <c r="B252" i="7"/>
  <c r="C252" i="7" s="1"/>
  <c r="E252" i="7" s="1"/>
  <c r="B251" i="7"/>
  <c r="B250" i="7"/>
  <c r="C251" i="7" s="1"/>
  <c r="E251" i="7" s="1"/>
  <c r="B249" i="7"/>
  <c r="D249" i="7" s="1"/>
  <c r="B248" i="7"/>
  <c r="B247" i="7"/>
  <c r="B246" i="7"/>
  <c r="D246" i="7" s="1"/>
  <c r="C245" i="7"/>
  <c r="E245" i="7" s="1"/>
  <c r="B245" i="7"/>
  <c r="B244" i="7"/>
  <c r="B243" i="7"/>
  <c r="B242" i="7"/>
  <c r="B241" i="7"/>
  <c r="D240" i="7"/>
  <c r="B240" i="7"/>
  <c r="C240" i="7" s="1"/>
  <c r="E240" i="7" s="1"/>
  <c r="C239" i="7"/>
  <c r="E239" i="7" s="1"/>
  <c r="B239" i="7"/>
  <c r="B238" i="7"/>
  <c r="B237" i="7"/>
  <c r="C236" i="7"/>
  <c r="E236" i="7" s="1"/>
  <c r="B236" i="7"/>
  <c r="C235" i="7"/>
  <c r="E235" i="7" s="1"/>
  <c r="B235" i="7"/>
  <c r="D234" i="7"/>
  <c r="B234" i="7"/>
  <c r="B233" i="7"/>
  <c r="B232" i="7"/>
  <c r="C231" i="7"/>
  <c r="E231" i="7" s="1"/>
  <c r="B231" i="7"/>
  <c r="B230" i="7"/>
  <c r="B229" i="7"/>
  <c r="D228" i="7"/>
  <c r="B228" i="7"/>
  <c r="C228" i="7" s="1"/>
  <c r="E228" i="7" s="1"/>
  <c r="B227" i="7"/>
  <c r="C227" i="7" s="1"/>
  <c r="E227" i="7" s="1"/>
  <c r="B226" i="7"/>
  <c r="B225" i="7"/>
  <c r="B224" i="7"/>
  <c r="B223" i="7"/>
  <c r="B222" i="7"/>
  <c r="B221" i="7"/>
  <c r="D221" i="7" s="1"/>
  <c r="B220" i="7"/>
  <c r="D220" i="7" s="1"/>
  <c r="B219" i="7"/>
  <c r="B218" i="7"/>
  <c r="C218" i="7" s="1"/>
  <c r="E218" i="7" s="1"/>
  <c r="B217" i="7"/>
  <c r="C217" i="7" s="1"/>
  <c r="E217" i="7" s="1"/>
  <c r="D216" i="7"/>
  <c r="B216" i="7"/>
  <c r="B215" i="7"/>
  <c r="B214" i="7"/>
  <c r="C215" i="7" s="1"/>
  <c r="E215" i="7" s="1"/>
  <c r="C213" i="7"/>
  <c r="E213" i="7" s="1"/>
  <c r="B213" i="7"/>
  <c r="B212" i="7"/>
  <c r="B211" i="7"/>
  <c r="D210" i="7"/>
  <c r="B210" i="7"/>
  <c r="C210" i="7" s="1"/>
  <c r="E210" i="7" s="1"/>
  <c r="B209" i="7"/>
  <c r="C209" i="7" s="1"/>
  <c r="E209" i="7" s="1"/>
  <c r="B208" i="7"/>
  <c r="B207" i="7"/>
  <c r="B206" i="7"/>
  <c r="B205" i="7"/>
  <c r="B204" i="7"/>
  <c r="B203" i="7"/>
  <c r="D203" i="7" s="1"/>
  <c r="B202" i="7"/>
  <c r="B201" i="7"/>
  <c r="B200" i="7"/>
  <c r="C200" i="7" s="1"/>
  <c r="E200" i="7" s="1"/>
  <c r="B199" i="7"/>
  <c r="C199" i="7" s="1"/>
  <c r="E199" i="7" s="1"/>
  <c r="B198" i="7"/>
  <c r="C198" i="7" s="1"/>
  <c r="E198" i="7" s="1"/>
  <c r="B197" i="7"/>
  <c r="B196" i="7"/>
  <c r="C197" i="7" s="1"/>
  <c r="E197" i="7" s="1"/>
  <c r="B195" i="7"/>
  <c r="D195" i="7" s="1"/>
  <c r="B194" i="7"/>
  <c r="B193" i="7"/>
  <c r="D193" i="7" s="1"/>
  <c r="C192" i="7"/>
  <c r="E192" i="7" s="1"/>
  <c r="B192" i="7"/>
  <c r="B191" i="7"/>
  <c r="C191" i="7" s="1"/>
  <c r="E191" i="7" s="1"/>
  <c r="B190" i="7"/>
  <c r="B189" i="7"/>
  <c r="B188" i="7"/>
  <c r="D192" i="7" s="1"/>
  <c r="B187" i="7"/>
  <c r="B186" i="7"/>
  <c r="C186" i="7" s="1"/>
  <c r="E186" i="7" s="1"/>
  <c r="B185" i="7"/>
  <c r="C184" i="7"/>
  <c r="E184" i="7" s="1"/>
  <c r="B184" i="7"/>
  <c r="D183" i="7"/>
  <c r="B183" i="7"/>
  <c r="B182" i="7"/>
  <c r="C182" i="7" s="1"/>
  <c r="E182" i="7" s="1"/>
  <c r="C181" i="7"/>
  <c r="E181" i="7" s="1"/>
  <c r="B181" i="7"/>
  <c r="B180" i="7"/>
  <c r="C179" i="7"/>
  <c r="E179" i="7" s="1"/>
  <c r="B179" i="7"/>
  <c r="B178" i="7"/>
  <c r="B177" i="7"/>
  <c r="C176" i="7"/>
  <c r="E176" i="7" s="1"/>
  <c r="B176" i="7"/>
  <c r="B175" i="7"/>
  <c r="C174" i="7"/>
  <c r="E174" i="7" s="1"/>
  <c r="B174" i="7"/>
  <c r="D174" i="7" s="1"/>
  <c r="B173" i="7"/>
  <c r="B172" i="7"/>
  <c r="B171" i="7"/>
  <c r="C171" i="7" s="1"/>
  <c r="E171" i="7" s="1"/>
  <c r="B170" i="7"/>
  <c r="B169" i="7"/>
  <c r="B168" i="7"/>
  <c r="B167" i="7"/>
  <c r="D167" i="7" s="1"/>
  <c r="B166" i="7"/>
  <c r="B165" i="7"/>
  <c r="B164" i="7"/>
  <c r="C164" i="7" s="1"/>
  <c r="E164" i="7" s="1"/>
  <c r="B163" i="7"/>
  <c r="C163" i="7" s="1"/>
  <c r="E163" i="7" s="1"/>
  <c r="B162" i="7"/>
  <c r="D162" i="7" s="1"/>
  <c r="B161" i="7"/>
  <c r="B160" i="7"/>
  <c r="D160" i="7" s="1"/>
  <c r="B159" i="7"/>
  <c r="C159" i="7" s="1"/>
  <c r="E159" i="7" s="1"/>
  <c r="B158" i="7"/>
  <c r="B157" i="7"/>
  <c r="B156" i="7"/>
  <c r="D155" i="7"/>
  <c r="B155" i="7"/>
  <c r="C155" i="7" s="1"/>
  <c r="E155" i="7" s="1"/>
  <c r="B154" i="7"/>
  <c r="B153" i="7"/>
  <c r="C154" i="7" s="1"/>
  <c r="E154" i="7" s="1"/>
  <c r="B152" i="7"/>
  <c r="B151" i="7"/>
  <c r="B150" i="7"/>
  <c r="C150" i="7" s="1"/>
  <c r="E150" i="7" s="1"/>
  <c r="B149" i="7"/>
  <c r="B148" i="7"/>
  <c r="B147" i="7"/>
  <c r="D146" i="7"/>
  <c r="B146" i="7"/>
  <c r="C146" i="7" s="1"/>
  <c r="E146" i="7" s="1"/>
  <c r="B145" i="7"/>
  <c r="B144" i="7"/>
  <c r="C145" i="7" s="1"/>
  <c r="E145" i="7" s="1"/>
  <c r="B143" i="7"/>
  <c r="B142" i="7"/>
  <c r="B141" i="7"/>
  <c r="B140" i="7"/>
  <c r="B139" i="7"/>
  <c r="B138" i="7"/>
  <c r="C138" i="7" s="1"/>
  <c r="E138" i="7" s="1"/>
  <c r="B137" i="7"/>
  <c r="C137" i="7" s="1"/>
  <c r="E137" i="7" s="1"/>
  <c r="B136" i="7"/>
  <c r="B135" i="7"/>
  <c r="C136" i="7" s="1"/>
  <c r="E136" i="7" s="1"/>
  <c r="B134" i="7"/>
  <c r="B133" i="7"/>
  <c r="B132" i="7"/>
  <c r="B131" i="7"/>
  <c r="B130" i="7"/>
  <c r="B129" i="7"/>
  <c r="B128" i="7"/>
  <c r="C128" i="7" s="1"/>
  <c r="E128" i="7" s="1"/>
  <c r="B127" i="7"/>
  <c r="C127" i="7" s="1"/>
  <c r="E127" i="7" s="1"/>
  <c r="B126" i="7"/>
  <c r="B125" i="7"/>
  <c r="B124" i="7"/>
  <c r="B123" i="7"/>
  <c r="C124" i="7" s="1"/>
  <c r="E124" i="7" s="1"/>
  <c r="B122" i="7"/>
  <c r="B121" i="7"/>
  <c r="B120" i="7"/>
  <c r="C120" i="7" s="1"/>
  <c r="E120" i="7" s="1"/>
  <c r="B119" i="7"/>
  <c r="B118" i="7"/>
  <c r="C118" i="7" s="1"/>
  <c r="E118" i="7" s="1"/>
  <c r="B117" i="7"/>
  <c r="B116" i="7"/>
  <c r="B115" i="7"/>
  <c r="C115" i="7" s="1"/>
  <c r="E115" i="7" s="1"/>
  <c r="B114" i="7"/>
  <c r="B113" i="7"/>
  <c r="B112" i="7"/>
  <c r="B111" i="7"/>
  <c r="B110" i="7"/>
  <c r="B109" i="7"/>
  <c r="C109" i="7" s="1"/>
  <c r="E109" i="7" s="1"/>
  <c r="B108" i="7"/>
  <c r="B107" i="7"/>
  <c r="B106" i="7"/>
  <c r="B105" i="7"/>
  <c r="B104" i="7"/>
  <c r="B103" i="7"/>
  <c r="D102" i="7"/>
  <c r="B102" i="7"/>
  <c r="B101" i="7"/>
  <c r="B100" i="7"/>
  <c r="C100" i="7" s="1"/>
  <c r="E100" i="7" s="1"/>
  <c r="B99" i="7"/>
  <c r="B98" i="7"/>
  <c r="B97" i="7"/>
  <c r="B96" i="7"/>
  <c r="B95" i="7"/>
  <c r="B94" i="7"/>
  <c r="B93" i="7"/>
  <c r="C93" i="7" s="1"/>
  <c r="E93" i="7" s="1"/>
  <c r="B92" i="7"/>
  <c r="C92" i="7" s="1"/>
  <c r="E92" i="7" s="1"/>
  <c r="B91" i="7"/>
  <c r="B90" i="7"/>
  <c r="C91" i="7" s="1"/>
  <c r="E91" i="7" s="1"/>
  <c r="B89" i="7"/>
  <c r="B88" i="7"/>
  <c r="D92" i="7" s="1"/>
  <c r="B87" i="7"/>
  <c r="B86" i="7"/>
  <c r="B85" i="7"/>
  <c r="B84" i="7"/>
  <c r="C84" i="7" s="1"/>
  <c r="E84" i="7" s="1"/>
  <c r="B83" i="7"/>
  <c r="B82" i="7"/>
  <c r="C82" i="7" s="1"/>
  <c r="E82" i="7" s="1"/>
  <c r="B81" i="7"/>
  <c r="B80" i="7"/>
  <c r="B79" i="7"/>
  <c r="C79" i="7" s="1"/>
  <c r="E79" i="7" s="1"/>
  <c r="B78" i="7"/>
  <c r="B77" i="7"/>
  <c r="B76" i="7"/>
  <c r="B75" i="7"/>
  <c r="B74" i="7"/>
  <c r="C74" i="7" s="1"/>
  <c r="E74" i="7" s="1"/>
  <c r="B73" i="7"/>
  <c r="B72" i="7"/>
  <c r="C73" i="7" s="1"/>
  <c r="E73" i="7" s="1"/>
  <c r="B71" i="7"/>
  <c r="B70" i="7"/>
  <c r="B69" i="7"/>
  <c r="B68" i="7"/>
  <c r="B67" i="7"/>
  <c r="B66" i="7"/>
  <c r="B65" i="7"/>
  <c r="C65" i="7" s="1"/>
  <c r="E65" i="7" s="1"/>
  <c r="B64" i="7"/>
  <c r="C64" i="7" s="1"/>
  <c r="E64" i="7" s="1"/>
  <c r="B63" i="7"/>
  <c r="B62" i="7"/>
  <c r="B61" i="7"/>
  <c r="B60" i="7"/>
  <c r="C61" i="7" s="1"/>
  <c r="E61" i="7" s="1"/>
  <c r="B59" i="7"/>
  <c r="B58" i="7"/>
  <c r="B57" i="7"/>
  <c r="D56" i="7"/>
  <c r="B56" i="7"/>
  <c r="C56" i="7" s="1"/>
  <c r="E56" i="7" s="1"/>
  <c r="B55" i="7"/>
  <c r="B54" i="7"/>
  <c r="C55" i="7" s="1"/>
  <c r="E55" i="7" s="1"/>
  <c r="B53" i="7"/>
  <c r="B52" i="7"/>
  <c r="B51" i="7"/>
  <c r="C52" i="7" s="1"/>
  <c r="E52" i="7" s="1"/>
  <c r="B50" i="7"/>
  <c r="B49" i="7"/>
  <c r="B48" i="7"/>
  <c r="B47" i="7"/>
  <c r="C47" i="7" s="1"/>
  <c r="E47" i="7" s="1"/>
  <c r="B46" i="7"/>
  <c r="C46" i="7" s="1"/>
  <c r="E46" i="7" s="1"/>
  <c r="B45" i="7"/>
  <c r="B44" i="7"/>
  <c r="B43" i="7"/>
  <c r="C43" i="7" s="1"/>
  <c r="E43" i="7" s="1"/>
  <c r="B42" i="7"/>
  <c r="B41" i="7"/>
  <c r="B40" i="7"/>
  <c r="B39" i="7"/>
  <c r="B38" i="7"/>
  <c r="C38" i="7" s="1"/>
  <c r="E38" i="7" s="1"/>
  <c r="B37" i="7"/>
  <c r="C37" i="7" s="1"/>
  <c r="E37" i="7" s="1"/>
  <c r="B36" i="7"/>
  <c r="D35" i="7"/>
  <c r="B35" i="7"/>
  <c r="D34" i="7"/>
  <c r="B34" i="7"/>
  <c r="B33" i="7"/>
  <c r="C34" i="7" s="1"/>
  <c r="E34" i="7" s="1"/>
  <c r="B32" i="7"/>
  <c r="B31" i="7"/>
  <c r="B30" i="7"/>
  <c r="D29" i="7"/>
  <c r="B29" i="7"/>
  <c r="C29" i="7" s="1"/>
  <c r="E29" i="7" s="1"/>
  <c r="B28" i="7"/>
  <c r="B27" i="7"/>
  <c r="C28" i="7" s="1"/>
  <c r="E28" i="7" s="1"/>
  <c r="B26" i="7"/>
  <c r="B25" i="7"/>
  <c r="B24" i="7"/>
  <c r="C25" i="7" s="1"/>
  <c r="E25" i="7" s="1"/>
  <c r="B23" i="7"/>
  <c r="B22" i="7"/>
  <c r="B21" i="7"/>
  <c r="B20" i="7"/>
  <c r="C20" i="7" s="1"/>
  <c r="E20" i="7" s="1"/>
  <c r="B19" i="7"/>
  <c r="C19" i="7" s="1"/>
  <c r="E19" i="7" s="1"/>
  <c r="B18" i="7"/>
  <c r="B17" i="7"/>
  <c r="B16" i="7"/>
  <c r="B15" i="7"/>
  <c r="B14" i="7"/>
  <c r="B13" i="7"/>
  <c r="B12" i="7"/>
  <c r="B11" i="7"/>
  <c r="C11" i="7" s="1"/>
  <c r="E11" i="7" s="1"/>
  <c r="B10" i="7"/>
  <c r="C10" i="7" s="1"/>
  <c r="E10" i="7" s="1"/>
  <c r="B9" i="7"/>
  <c r="B8" i="7"/>
  <c r="B7" i="7"/>
  <c r="C7" i="7" s="1"/>
  <c r="E7" i="7" s="1"/>
  <c r="E6" i="7"/>
  <c r="B6" i="7"/>
  <c r="D10" i="7" s="1"/>
  <c r="B309" i="6"/>
  <c r="C309" i="5" s="1"/>
  <c r="B308" i="6"/>
  <c r="D308" i="6" s="1"/>
  <c r="B307" i="6"/>
  <c r="D306" i="6"/>
  <c r="B306" i="6"/>
  <c r="C306" i="6" s="1"/>
  <c r="E306" i="6" s="1"/>
  <c r="B305" i="6"/>
  <c r="B304" i="6"/>
  <c r="B303" i="6"/>
  <c r="C303" i="5" s="1"/>
  <c r="B302" i="6"/>
  <c r="C302" i="6" s="1"/>
  <c r="E302" i="6" s="1"/>
  <c r="B301" i="6"/>
  <c r="B300" i="6"/>
  <c r="C300" i="6" s="1"/>
  <c r="E300" i="6" s="1"/>
  <c r="B299" i="6"/>
  <c r="C299" i="6" s="1"/>
  <c r="E299" i="6" s="1"/>
  <c r="B298" i="6"/>
  <c r="B297" i="6"/>
  <c r="C297" i="6" s="1"/>
  <c r="E297" i="6" s="1"/>
  <c r="B296" i="6"/>
  <c r="C296" i="6" s="1"/>
  <c r="E296" i="6" s="1"/>
  <c r="B295" i="6"/>
  <c r="B294" i="6"/>
  <c r="B293" i="6"/>
  <c r="B292" i="6"/>
  <c r="D292" i="6" s="1"/>
  <c r="B291" i="6"/>
  <c r="D291" i="6" s="1"/>
  <c r="B290" i="6"/>
  <c r="C289" i="6"/>
  <c r="E289" i="6" s="1"/>
  <c r="B289" i="6"/>
  <c r="C288" i="6"/>
  <c r="E288" i="6" s="1"/>
  <c r="B288" i="6"/>
  <c r="D288" i="6" s="1"/>
  <c r="B287" i="6"/>
  <c r="B286" i="6"/>
  <c r="C286" i="6" s="1"/>
  <c r="E286" i="6" s="1"/>
  <c r="B285" i="6"/>
  <c r="D285" i="6" s="1"/>
  <c r="B284" i="6"/>
  <c r="C284" i="6" s="1"/>
  <c r="E284" i="6" s="1"/>
  <c r="B283" i="6"/>
  <c r="E282" i="6"/>
  <c r="D282" i="6"/>
  <c r="C282" i="6"/>
  <c r="B282" i="6"/>
  <c r="B281" i="6"/>
  <c r="C281" i="6" s="1"/>
  <c r="E281" i="6" s="1"/>
  <c r="K19" i="4" s="1"/>
  <c r="B280" i="6"/>
  <c r="B279" i="6"/>
  <c r="B278" i="6"/>
  <c r="B277" i="6"/>
  <c r="C278" i="6" s="1"/>
  <c r="E278" i="6" s="1"/>
  <c r="B276" i="6"/>
  <c r="C275" i="6"/>
  <c r="E275" i="6" s="1"/>
  <c r="B275" i="6"/>
  <c r="B274" i="6"/>
  <c r="B273" i="6"/>
  <c r="D273" i="6" s="1"/>
  <c r="B272" i="6"/>
  <c r="B271" i="6"/>
  <c r="C271" i="6" s="1"/>
  <c r="E271" i="6" s="1"/>
  <c r="B270" i="6"/>
  <c r="B269" i="6"/>
  <c r="B268" i="6"/>
  <c r="B267" i="6"/>
  <c r="B266" i="6"/>
  <c r="B265" i="6"/>
  <c r="C266" i="6" s="1"/>
  <c r="E266" i="6" s="1"/>
  <c r="C264" i="6"/>
  <c r="E264" i="6" s="1"/>
  <c r="B264" i="6"/>
  <c r="C263" i="6"/>
  <c r="E263" i="6" s="1"/>
  <c r="B263" i="6"/>
  <c r="B262" i="6"/>
  <c r="B261" i="6"/>
  <c r="C261" i="6" s="1"/>
  <c r="E261" i="6" s="1"/>
  <c r="B260" i="6"/>
  <c r="C260" i="6" s="1"/>
  <c r="E260" i="6" s="1"/>
  <c r="B259" i="6"/>
  <c r="B258" i="6"/>
  <c r="B257" i="6"/>
  <c r="B256" i="6"/>
  <c r="C256" i="6" s="1"/>
  <c r="E256" i="6" s="1"/>
  <c r="B255" i="6"/>
  <c r="B254" i="6"/>
  <c r="B253" i="6"/>
  <c r="C253" i="5" s="1"/>
  <c r="B252" i="6"/>
  <c r="C252" i="6" s="1"/>
  <c r="E252" i="6" s="1"/>
  <c r="B251" i="6"/>
  <c r="B250" i="6"/>
  <c r="C250" i="6" s="1"/>
  <c r="E250" i="6" s="1"/>
  <c r="B249" i="6"/>
  <c r="C249" i="6" s="1"/>
  <c r="E249" i="6" s="1"/>
  <c r="B248" i="6"/>
  <c r="B247" i="6"/>
  <c r="C246" i="6"/>
  <c r="E246" i="6" s="1"/>
  <c r="B246" i="6"/>
  <c r="D246" i="6" s="1"/>
  <c r="B245" i="6"/>
  <c r="B244" i="6"/>
  <c r="C245" i="6" s="1"/>
  <c r="E245" i="6" s="1"/>
  <c r="B243" i="6"/>
  <c r="B242" i="6"/>
  <c r="D242" i="6" s="1"/>
  <c r="B241" i="6"/>
  <c r="D240" i="6"/>
  <c r="B240" i="6"/>
  <c r="B239" i="6"/>
  <c r="B238" i="6"/>
  <c r="B237" i="6"/>
  <c r="C238" i="6" s="1"/>
  <c r="E238" i="6" s="1"/>
  <c r="B236" i="6"/>
  <c r="C236" i="6" s="1"/>
  <c r="E236" i="6" s="1"/>
  <c r="C235" i="6"/>
  <c r="E235" i="6" s="1"/>
  <c r="B235" i="6"/>
  <c r="D235" i="6" s="1"/>
  <c r="E234" i="6"/>
  <c r="B234" i="6"/>
  <c r="C234" i="6" s="1"/>
  <c r="C233" i="6"/>
  <c r="E233" i="6" s="1"/>
  <c r="B233" i="6"/>
  <c r="C232" i="6"/>
  <c r="E232" i="6" s="1"/>
  <c r="B232" i="6"/>
  <c r="D232" i="6" s="1"/>
  <c r="D231" i="6"/>
  <c r="B231" i="6"/>
  <c r="B230" i="6"/>
  <c r="B229" i="6"/>
  <c r="B228" i="6"/>
  <c r="C228" i="6" s="1"/>
  <c r="E228" i="6" s="1"/>
  <c r="B227" i="6"/>
  <c r="C227" i="6" s="1"/>
  <c r="E227" i="6" s="1"/>
  <c r="B226" i="6"/>
  <c r="B225" i="6"/>
  <c r="D225" i="6" s="1"/>
  <c r="B224" i="6"/>
  <c r="B223" i="6"/>
  <c r="B222" i="6"/>
  <c r="C221" i="6"/>
  <c r="E221" i="6" s="1"/>
  <c r="B221" i="6"/>
  <c r="B220" i="6"/>
  <c r="C220" i="6" s="1"/>
  <c r="E220" i="6" s="1"/>
  <c r="B219" i="6"/>
  <c r="D223" i="6" s="1"/>
  <c r="B218" i="6"/>
  <c r="B217" i="6"/>
  <c r="C216" i="6"/>
  <c r="E216" i="6" s="1"/>
  <c r="B216" i="6"/>
  <c r="D220" i="6" s="1"/>
  <c r="B215" i="6"/>
  <c r="B214" i="6"/>
  <c r="C215" i="6" s="1"/>
  <c r="E215" i="6" s="1"/>
  <c r="B213" i="6"/>
  <c r="B212" i="6"/>
  <c r="D211" i="6"/>
  <c r="B211" i="6"/>
  <c r="B210" i="6"/>
  <c r="B209" i="6"/>
  <c r="B208" i="6"/>
  <c r="D208" i="6" s="1"/>
  <c r="C207" i="6"/>
  <c r="E207" i="6" s="1"/>
  <c r="B207" i="6"/>
  <c r="B206" i="6"/>
  <c r="B205" i="6"/>
  <c r="B204" i="6"/>
  <c r="C204" i="6" s="1"/>
  <c r="E204" i="6" s="1"/>
  <c r="B203" i="6"/>
  <c r="B202" i="6"/>
  <c r="D202" i="6" s="1"/>
  <c r="C201" i="6"/>
  <c r="E201" i="6" s="1"/>
  <c r="B201" i="6"/>
  <c r="D201" i="6" s="1"/>
  <c r="B200" i="6"/>
  <c r="B199" i="6"/>
  <c r="C199" i="6" s="1"/>
  <c r="E199" i="6" s="1"/>
  <c r="B198" i="6"/>
  <c r="B197" i="6"/>
  <c r="B196" i="6"/>
  <c r="C196" i="6" s="1"/>
  <c r="E196" i="6" s="1"/>
  <c r="B195" i="6"/>
  <c r="D195" i="6" s="1"/>
  <c r="B194" i="6"/>
  <c r="B193" i="6"/>
  <c r="D193" i="6" s="1"/>
  <c r="B192" i="6"/>
  <c r="C192" i="6" s="1"/>
  <c r="E192" i="6" s="1"/>
  <c r="B191" i="6"/>
  <c r="B190" i="6"/>
  <c r="D189" i="6"/>
  <c r="B189" i="6"/>
  <c r="B188" i="6"/>
  <c r="C189" i="6" s="1"/>
  <c r="E189" i="6" s="1"/>
  <c r="B187" i="6"/>
  <c r="D187" i="6" s="1"/>
  <c r="B186" i="6"/>
  <c r="C185" i="6"/>
  <c r="E185" i="6" s="1"/>
  <c r="B185" i="6"/>
  <c r="B184" i="6"/>
  <c r="B183" i="6"/>
  <c r="C184" i="6" s="1"/>
  <c r="E184" i="6" s="1"/>
  <c r="B182" i="6"/>
  <c r="B181" i="6"/>
  <c r="B180" i="6"/>
  <c r="D184" i="6" s="1"/>
  <c r="B179" i="6"/>
  <c r="B178" i="6"/>
  <c r="C177" i="6"/>
  <c r="E177" i="6" s="1"/>
  <c r="B177" i="6"/>
  <c r="B176" i="6"/>
  <c r="B175" i="6"/>
  <c r="C176" i="6" s="1"/>
  <c r="E176" i="6" s="1"/>
  <c r="B174" i="6"/>
  <c r="B173" i="6"/>
  <c r="B172" i="6"/>
  <c r="B171" i="6"/>
  <c r="D171" i="6" s="1"/>
  <c r="B170" i="6"/>
  <c r="B169" i="6"/>
  <c r="D169" i="6" s="1"/>
  <c r="B168" i="6"/>
  <c r="C168" i="6" s="1"/>
  <c r="E168" i="6" s="1"/>
  <c r="B167" i="6"/>
  <c r="B166" i="6"/>
  <c r="B165" i="6"/>
  <c r="C165" i="6" s="1"/>
  <c r="E165" i="6" s="1"/>
  <c r="C164" i="6"/>
  <c r="E164" i="6" s="1"/>
  <c r="B164" i="6"/>
  <c r="C163" i="6"/>
  <c r="E163" i="6" s="1"/>
  <c r="B163" i="6"/>
  <c r="D163" i="6" s="1"/>
  <c r="C162" i="6"/>
  <c r="E162" i="6" s="1"/>
  <c r="B162" i="6"/>
  <c r="C161" i="6"/>
  <c r="E161" i="6" s="1"/>
  <c r="B161" i="6"/>
  <c r="C160" i="6"/>
  <c r="E160" i="6" s="1"/>
  <c r="B160" i="6"/>
  <c r="B159" i="6"/>
  <c r="B158" i="6"/>
  <c r="C158" i="6" s="1"/>
  <c r="E158" i="6" s="1"/>
  <c r="B157" i="6"/>
  <c r="B156" i="6"/>
  <c r="D160" i="6" s="1"/>
  <c r="B155" i="6"/>
  <c r="B154" i="6"/>
  <c r="C154" i="6" s="1"/>
  <c r="E154" i="6" s="1"/>
  <c r="B153" i="6"/>
  <c r="C153" i="6" s="1"/>
  <c r="E153" i="6" s="1"/>
  <c r="B152" i="6"/>
  <c r="B151" i="6"/>
  <c r="C152" i="6" s="1"/>
  <c r="E152" i="6" s="1"/>
  <c r="B150" i="6"/>
  <c r="D150" i="6" s="1"/>
  <c r="B149" i="6"/>
  <c r="B148" i="6"/>
  <c r="D147" i="6"/>
  <c r="B147" i="6"/>
  <c r="C147" i="6" s="1"/>
  <c r="E147" i="6" s="1"/>
  <c r="B146" i="6"/>
  <c r="B145" i="6"/>
  <c r="B144" i="6"/>
  <c r="D144" i="6" s="1"/>
  <c r="B143" i="6"/>
  <c r="B142" i="6"/>
  <c r="B141" i="6"/>
  <c r="D141" i="6" s="1"/>
  <c r="B140" i="6"/>
  <c r="D140" i="6" s="1"/>
  <c r="B139" i="6"/>
  <c r="C139" i="6" s="1"/>
  <c r="E139" i="6" s="1"/>
  <c r="B138" i="6"/>
  <c r="D138" i="6" s="1"/>
  <c r="B137" i="6"/>
  <c r="D137" i="6" s="1"/>
  <c r="B136" i="6"/>
  <c r="B135" i="6"/>
  <c r="C134" i="6"/>
  <c r="E134" i="6" s="1"/>
  <c r="B134" i="6"/>
  <c r="D134" i="6" s="1"/>
  <c r="D133" i="6"/>
  <c r="B133" i="6"/>
  <c r="B132" i="6"/>
  <c r="B131" i="6"/>
  <c r="C130" i="6"/>
  <c r="E130" i="6" s="1"/>
  <c r="B130" i="6"/>
  <c r="B129" i="6"/>
  <c r="C129" i="6" s="1"/>
  <c r="E129" i="6" s="1"/>
  <c r="B128" i="6"/>
  <c r="B127" i="6"/>
  <c r="D127" i="6" s="1"/>
  <c r="B126" i="6"/>
  <c r="D130" i="6" s="1"/>
  <c r="C125" i="6"/>
  <c r="E125" i="6" s="1"/>
  <c r="B125" i="6"/>
  <c r="D124" i="6"/>
  <c r="B124" i="6"/>
  <c r="B123" i="6"/>
  <c r="B122" i="6"/>
  <c r="C121" i="6"/>
  <c r="E121" i="6" s="1"/>
  <c r="B121" i="6"/>
  <c r="D121" i="6" s="1"/>
  <c r="D120" i="6"/>
  <c r="B120" i="6"/>
  <c r="B119" i="6"/>
  <c r="C120" i="6" s="1"/>
  <c r="E120" i="6" s="1"/>
  <c r="B118" i="6"/>
  <c r="B117" i="6"/>
  <c r="D117" i="6" s="1"/>
  <c r="B116" i="6"/>
  <c r="B115" i="6"/>
  <c r="C116" i="6" s="1"/>
  <c r="E116" i="6" s="1"/>
  <c r="B114" i="6"/>
  <c r="D114" i="6" s="1"/>
  <c r="B113" i="6"/>
  <c r="B112" i="6"/>
  <c r="B111" i="6"/>
  <c r="B110" i="6"/>
  <c r="B109" i="6"/>
  <c r="D108" i="6"/>
  <c r="B108" i="6"/>
  <c r="C108" i="6" s="1"/>
  <c r="E108" i="6" s="1"/>
  <c r="B107" i="6"/>
  <c r="D107" i="6" s="1"/>
  <c r="B106" i="6"/>
  <c r="B105" i="6"/>
  <c r="C105" i="5" s="1"/>
  <c r="B104" i="6"/>
  <c r="B103" i="6"/>
  <c r="B102" i="6"/>
  <c r="C102" i="6" s="1"/>
  <c r="E102" i="6" s="1"/>
  <c r="B101" i="6"/>
  <c r="B100" i="6"/>
  <c r="B99" i="6"/>
  <c r="B98" i="6"/>
  <c r="D97" i="6"/>
  <c r="B97" i="6"/>
  <c r="C98" i="6" s="1"/>
  <c r="E98" i="6" s="1"/>
  <c r="B96" i="6"/>
  <c r="B95" i="6"/>
  <c r="B94" i="6"/>
  <c r="C94" i="6" s="1"/>
  <c r="E94" i="6" s="1"/>
  <c r="B93" i="6"/>
  <c r="C93" i="6" s="1"/>
  <c r="E93" i="6" s="1"/>
  <c r="B92" i="6"/>
  <c r="D92" i="6" s="1"/>
  <c r="B91" i="6"/>
  <c r="B90" i="6"/>
  <c r="D94" i="6" s="1"/>
  <c r="B89" i="6"/>
  <c r="B88" i="6"/>
  <c r="D87" i="6"/>
  <c r="B87" i="6"/>
  <c r="B86" i="6"/>
  <c r="D85" i="6"/>
  <c r="C85" i="6"/>
  <c r="E85" i="6" s="1"/>
  <c r="B85" i="6"/>
  <c r="C84" i="6"/>
  <c r="E84" i="6" s="1"/>
  <c r="B84" i="6"/>
  <c r="D88" i="6" s="1"/>
  <c r="B83" i="6"/>
  <c r="B82" i="6"/>
  <c r="C82" i="6" s="1"/>
  <c r="E82" i="6" s="1"/>
  <c r="C81" i="6"/>
  <c r="E81" i="6" s="1"/>
  <c r="B81" i="6"/>
  <c r="B80" i="6"/>
  <c r="B79" i="6"/>
  <c r="B78" i="6"/>
  <c r="D78" i="6" s="1"/>
  <c r="B77" i="6"/>
  <c r="D81" i="6" s="1"/>
  <c r="C76" i="6"/>
  <c r="E76" i="6" s="1"/>
  <c r="B76" i="6"/>
  <c r="B75" i="6"/>
  <c r="B74" i="6"/>
  <c r="B73" i="6"/>
  <c r="D72" i="6"/>
  <c r="B72" i="6"/>
  <c r="C72" i="6" s="1"/>
  <c r="E72" i="6" s="1"/>
  <c r="B71" i="6"/>
  <c r="D71" i="6" s="1"/>
  <c r="B70" i="6"/>
  <c r="B69" i="6"/>
  <c r="D69" i="6" s="1"/>
  <c r="B68" i="6"/>
  <c r="D68" i="6" s="1"/>
  <c r="B67" i="6"/>
  <c r="C68" i="6" s="1"/>
  <c r="E68" i="6" s="1"/>
  <c r="B66" i="6"/>
  <c r="D70" i="6" s="1"/>
  <c r="D65" i="6"/>
  <c r="B65" i="6"/>
  <c r="B64" i="6"/>
  <c r="C65" i="6" s="1"/>
  <c r="E65" i="6" s="1"/>
  <c r="B63" i="6"/>
  <c r="B62" i="6"/>
  <c r="C62" i="6" s="1"/>
  <c r="E62" i="6" s="1"/>
  <c r="B61" i="6"/>
  <c r="B60" i="6"/>
  <c r="C60" i="6" s="1"/>
  <c r="E60" i="6" s="1"/>
  <c r="B59" i="6"/>
  <c r="B58" i="6"/>
  <c r="B57" i="6"/>
  <c r="B56" i="6"/>
  <c r="C56" i="6" s="1"/>
  <c r="E56" i="6" s="1"/>
  <c r="B55" i="6"/>
  <c r="D55" i="6" s="1"/>
  <c r="B54" i="6"/>
  <c r="C54" i="6" s="1"/>
  <c r="E54" i="6" s="1"/>
  <c r="B53" i="6"/>
  <c r="B52" i="6"/>
  <c r="B51" i="6"/>
  <c r="B50" i="6"/>
  <c r="C50" i="6" s="1"/>
  <c r="E50" i="6" s="1"/>
  <c r="B49" i="6"/>
  <c r="B48" i="6"/>
  <c r="C48" i="6" s="1"/>
  <c r="E48" i="6" s="1"/>
  <c r="B47" i="6"/>
  <c r="B46" i="6"/>
  <c r="B45" i="6"/>
  <c r="B44" i="6"/>
  <c r="C44" i="6" s="1"/>
  <c r="E44" i="6" s="1"/>
  <c r="B43" i="6"/>
  <c r="D43" i="6" s="1"/>
  <c r="B42" i="6"/>
  <c r="C42" i="6" s="1"/>
  <c r="E42" i="6" s="1"/>
  <c r="B41" i="6"/>
  <c r="B40" i="6"/>
  <c r="B39" i="6"/>
  <c r="B38" i="6"/>
  <c r="C38" i="6" s="1"/>
  <c r="E38" i="6" s="1"/>
  <c r="B37" i="6"/>
  <c r="B36" i="6"/>
  <c r="C36" i="6" s="1"/>
  <c r="E36" i="6" s="1"/>
  <c r="B35" i="6"/>
  <c r="B34" i="6"/>
  <c r="B33" i="6"/>
  <c r="B32" i="6"/>
  <c r="C32" i="6" s="1"/>
  <c r="E32" i="6" s="1"/>
  <c r="B31" i="6"/>
  <c r="D31" i="6" s="1"/>
  <c r="B30" i="6"/>
  <c r="C30" i="6" s="1"/>
  <c r="E30" i="6" s="1"/>
  <c r="B29" i="6"/>
  <c r="B28" i="6"/>
  <c r="B27" i="6"/>
  <c r="B26" i="6"/>
  <c r="C26" i="6" s="1"/>
  <c r="E26" i="6" s="1"/>
  <c r="B25" i="6"/>
  <c r="B24" i="6"/>
  <c r="C24" i="6" s="1"/>
  <c r="E24" i="6" s="1"/>
  <c r="B23" i="6"/>
  <c r="B22" i="6"/>
  <c r="B21" i="6"/>
  <c r="B20" i="6"/>
  <c r="C20" i="6" s="1"/>
  <c r="E20" i="6" s="1"/>
  <c r="B19" i="6"/>
  <c r="D19" i="6" s="1"/>
  <c r="B18" i="6"/>
  <c r="C18" i="6" s="1"/>
  <c r="E18" i="6" s="1"/>
  <c r="B17" i="6"/>
  <c r="B16" i="6"/>
  <c r="B15" i="6"/>
  <c r="B14" i="6"/>
  <c r="C14" i="6" s="1"/>
  <c r="E14" i="6" s="1"/>
  <c r="B13" i="6"/>
  <c r="D13" i="6" s="1"/>
  <c r="B12" i="6"/>
  <c r="C12" i="6" s="1"/>
  <c r="E12" i="6" s="1"/>
  <c r="B11" i="6"/>
  <c r="B10" i="6"/>
  <c r="B9" i="6"/>
  <c r="B8" i="6"/>
  <c r="C8" i="6" s="1"/>
  <c r="E8" i="6" s="1"/>
  <c r="B7" i="6"/>
  <c r="E6" i="6"/>
  <c r="B6" i="6"/>
  <c r="C7" i="6" s="1"/>
  <c r="E7" i="6" s="1"/>
  <c r="G309" i="5"/>
  <c r="F309" i="5"/>
  <c r="E309" i="5"/>
  <c r="D309" i="5"/>
  <c r="G308" i="5"/>
  <c r="F308" i="5"/>
  <c r="E308" i="5"/>
  <c r="D308" i="5"/>
  <c r="O308" i="5" s="1"/>
  <c r="C308" i="5"/>
  <c r="O307" i="5"/>
  <c r="G307" i="5"/>
  <c r="F307" i="5"/>
  <c r="E307" i="5"/>
  <c r="D307" i="5"/>
  <c r="C307" i="5"/>
  <c r="G306" i="5"/>
  <c r="F306" i="5"/>
  <c r="E306" i="5"/>
  <c r="D306" i="5"/>
  <c r="C306" i="5"/>
  <c r="G305" i="5"/>
  <c r="F305" i="5"/>
  <c r="E305" i="5"/>
  <c r="D305" i="5"/>
  <c r="C305" i="5"/>
  <c r="G304" i="5"/>
  <c r="F304" i="5"/>
  <c r="E304" i="5"/>
  <c r="D304" i="5"/>
  <c r="C304" i="5"/>
  <c r="G303" i="5"/>
  <c r="F303" i="5"/>
  <c r="E303" i="5"/>
  <c r="D303" i="5"/>
  <c r="G302" i="5"/>
  <c r="F302" i="5"/>
  <c r="E302" i="5"/>
  <c r="D302" i="5"/>
  <c r="C302" i="5"/>
  <c r="G301" i="5"/>
  <c r="F301" i="5"/>
  <c r="E301" i="5"/>
  <c r="D301" i="5"/>
  <c r="C301" i="5"/>
  <c r="G300" i="5"/>
  <c r="F300" i="5"/>
  <c r="E300" i="5"/>
  <c r="D300" i="5"/>
  <c r="C300" i="5"/>
  <c r="G299" i="5"/>
  <c r="F299" i="5"/>
  <c r="E299" i="5"/>
  <c r="D299" i="5"/>
  <c r="C299" i="5"/>
  <c r="G298" i="5"/>
  <c r="F298" i="5"/>
  <c r="E298" i="5"/>
  <c r="D298" i="5"/>
  <c r="C298" i="5"/>
  <c r="G297" i="5"/>
  <c r="F297" i="5"/>
  <c r="O297" i="5" s="1"/>
  <c r="E297" i="5"/>
  <c r="D297" i="5"/>
  <c r="C297" i="5"/>
  <c r="G296" i="5"/>
  <c r="F296" i="5"/>
  <c r="E296" i="5"/>
  <c r="D296" i="5"/>
  <c r="G295" i="5"/>
  <c r="F295" i="5"/>
  <c r="E295" i="5"/>
  <c r="D295" i="5"/>
  <c r="C295" i="5"/>
  <c r="G294" i="5"/>
  <c r="F294" i="5"/>
  <c r="E294" i="5"/>
  <c r="D294" i="5"/>
  <c r="C294" i="5"/>
  <c r="O293" i="5"/>
  <c r="G293" i="5"/>
  <c r="F293" i="5"/>
  <c r="E293" i="5"/>
  <c r="D293" i="5"/>
  <c r="C293" i="5"/>
  <c r="G292" i="5"/>
  <c r="F292" i="5"/>
  <c r="E292" i="5"/>
  <c r="D292" i="5"/>
  <c r="C292" i="5"/>
  <c r="G291" i="5"/>
  <c r="F291" i="5"/>
  <c r="E291" i="5"/>
  <c r="D291" i="5"/>
  <c r="C291" i="5"/>
  <c r="G290" i="5"/>
  <c r="F290" i="5"/>
  <c r="E290" i="5"/>
  <c r="D290" i="5"/>
  <c r="C290" i="5"/>
  <c r="O290" i="5" s="1"/>
  <c r="G289" i="5"/>
  <c r="F289" i="5"/>
  <c r="E289" i="5"/>
  <c r="D289" i="5"/>
  <c r="C289" i="5"/>
  <c r="G288" i="5"/>
  <c r="F288" i="5"/>
  <c r="E288" i="5"/>
  <c r="D288" i="5"/>
  <c r="C288" i="5"/>
  <c r="G287" i="5"/>
  <c r="F287" i="5"/>
  <c r="E287" i="5"/>
  <c r="D287" i="5"/>
  <c r="C287" i="5"/>
  <c r="G286" i="5"/>
  <c r="F286" i="5"/>
  <c r="E286" i="5"/>
  <c r="D286" i="5"/>
  <c r="C286" i="5"/>
  <c r="G285" i="5"/>
  <c r="F285" i="5"/>
  <c r="E285" i="5"/>
  <c r="D285" i="5"/>
  <c r="C285" i="5"/>
  <c r="G284" i="5"/>
  <c r="F284" i="5"/>
  <c r="O284" i="5" s="1"/>
  <c r="E284" i="5"/>
  <c r="D284" i="5"/>
  <c r="C284" i="5"/>
  <c r="G283" i="5"/>
  <c r="F283" i="5"/>
  <c r="E283" i="5"/>
  <c r="D283" i="5"/>
  <c r="C283" i="5"/>
  <c r="G282" i="5"/>
  <c r="F282" i="5"/>
  <c r="E282" i="5"/>
  <c r="O282" i="5" s="1"/>
  <c r="D282" i="5"/>
  <c r="C282" i="5"/>
  <c r="G281" i="5"/>
  <c r="F281" i="5"/>
  <c r="E281" i="5"/>
  <c r="D281" i="5"/>
  <c r="C281" i="5"/>
  <c r="G280" i="5"/>
  <c r="F280" i="5"/>
  <c r="E280" i="5"/>
  <c r="D280" i="5"/>
  <c r="C280" i="5"/>
  <c r="G279" i="5"/>
  <c r="F279" i="5"/>
  <c r="E279" i="5"/>
  <c r="D279" i="5"/>
  <c r="C279" i="5"/>
  <c r="G278" i="5"/>
  <c r="F278" i="5"/>
  <c r="E278" i="5"/>
  <c r="D278" i="5"/>
  <c r="G277" i="5"/>
  <c r="F277" i="5"/>
  <c r="E277" i="5"/>
  <c r="D277" i="5"/>
  <c r="G276" i="5"/>
  <c r="F276" i="5"/>
  <c r="E276" i="5"/>
  <c r="D276" i="5"/>
  <c r="C276" i="5"/>
  <c r="G275" i="5"/>
  <c r="F275" i="5"/>
  <c r="E275" i="5"/>
  <c r="D275" i="5"/>
  <c r="C275" i="5"/>
  <c r="G274" i="5"/>
  <c r="F274" i="5"/>
  <c r="E274" i="5"/>
  <c r="D274" i="5"/>
  <c r="C274" i="5"/>
  <c r="G273" i="5"/>
  <c r="F273" i="5"/>
  <c r="E273" i="5"/>
  <c r="D273" i="5"/>
  <c r="C273" i="5"/>
  <c r="G272" i="5"/>
  <c r="F272" i="5"/>
  <c r="E272" i="5"/>
  <c r="D272" i="5"/>
  <c r="G271" i="5"/>
  <c r="F271" i="5"/>
  <c r="O271" i="5" s="1"/>
  <c r="E271" i="5"/>
  <c r="D271" i="5"/>
  <c r="C271" i="5"/>
  <c r="G270" i="5"/>
  <c r="F270" i="5"/>
  <c r="E270" i="5"/>
  <c r="D270" i="5"/>
  <c r="C270" i="5"/>
  <c r="G269" i="5"/>
  <c r="F269" i="5"/>
  <c r="E269" i="5"/>
  <c r="D269" i="5"/>
  <c r="O269" i="5" s="1"/>
  <c r="C269" i="5"/>
  <c r="G268" i="5"/>
  <c r="F268" i="5"/>
  <c r="E268" i="5"/>
  <c r="D268" i="5"/>
  <c r="C268" i="5"/>
  <c r="G267" i="5"/>
  <c r="F267" i="5"/>
  <c r="E267" i="5"/>
  <c r="D267" i="5"/>
  <c r="G266" i="5"/>
  <c r="F266" i="5"/>
  <c r="E266" i="5"/>
  <c r="D266" i="5"/>
  <c r="C266" i="5"/>
  <c r="G265" i="5"/>
  <c r="F265" i="5"/>
  <c r="E265" i="5"/>
  <c r="D265" i="5"/>
  <c r="C265" i="5"/>
  <c r="G264" i="5"/>
  <c r="F264" i="5"/>
  <c r="E264" i="5"/>
  <c r="C264" i="5"/>
  <c r="G263" i="5"/>
  <c r="F263" i="5"/>
  <c r="E263" i="5"/>
  <c r="D263" i="5"/>
  <c r="C263" i="5"/>
  <c r="G262" i="5"/>
  <c r="F262" i="5"/>
  <c r="E262" i="5"/>
  <c r="D262" i="5"/>
  <c r="C262" i="5"/>
  <c r="G261" i="5"/>
  <c r="F261" i="5"/>
  <c r="E261" i="5"/>
  <c r="D261" i="5"/>
  <c r="G260" i="5"/>
  <c r="F260" i="5"/>
  <c r="E260" i="5"/>
  <c r="D260" i="5"/>
  <c r="C260" i="5"/>
  <c r="G259" i="5"/>
  <c r="F259" i="5"/>
  <c r="E259" i="5"/>
  <c r="D259" i="5"/>
  <c r="C259" i="5"/>
  <c r="G258" i="5"/>
  <c r="F258" i="5"/>
  <c r="E258" i="5"/>
  <c r="D258" i="5"/>
  <c r="O258" i="5" s="1"/>
  <c r="C258" i="5"/>
  <c r="O257" i="5"/>
  <c r="G257" i="5"/>
  <c r="F257" i="5"/>
  <c r="E257" i="5"/>
  <c r="D257" i="5"/>
  <c r="C257" i="5"/>
  <c r="G256" i="5"/>
  <c r="F256" i="5"/>
  <c r="E256" i="5"/>
  <c r="D256" i="5"/>
  <c r="C256" i="5"/>
  <c r="G255" i="5"/>
  <c r="F255" i="5"/>
  <c r="E255" i="5"/>
  <c r="D255" i="5"/>
  <c r="C255" i="5"/>
  <c r="G254" i="5"/>
  <c r="F254" i="5"/>
  <c r="E254" i="5"/>
  <c r="D254" i="5"/>
  <c r="C254" i="5"/>
  <c r="G253" i="5"/>
  <c r="F253" i="5"/>
  <c r="E253" i="5"/>
  <c r="D253" i="5"/>
  <c r="G252" i="5"/>
  <c r="F252" i="5"/>
  <c r="E252" i="5"/>
  <c r="D252" i="5"/>
  <c r="C252" i="5"/>
  <c r="G251" i="5"/>
  <c r="F251" i="5"/>
  <c r="E251" i="5"/>
  <c r="D251" i="5"/>
  <c r="C251" i="5"/>
  <c r="G250" i="5"/>
  <c r="F250" i="5"/>
  <c r="E250" i="5"/>
  <c r="D250" i="5"/>
  <c r="C250" i="5"/>
  <c r="G249" i="5"/>
  <c r="F249" i="5"/>
  <c r="E249" i="5"/>
  <c r="D249" i="5"/>
  <c r="C249" i="5"/>
  <c r="G248" i="5"/>
  <c r="F248" i="5"/>
  <c r="E248" i="5"/>
  <c r="D248" i="5"/>
  <c r="C248" i="5"/>
  <c r="G247" i="5"/>
  <c r="F247" i="5"/>
  <c r="E247" i="5"/>
  <c r="D247" i="5"/>
  <c r="C247" i="5"/>
  <c r="O247" i="5" s="1"/>
  <c r="G246" i="5"/>
  <c r="F246" i="5"/>
  <c r="E246" i="5"/>
  <c r="D246" i="5"/>
  <c r="C246" i="5"/>
  <c r="G245" i="5"/>
  <c r="F245" i="5"/>
  <c r="E245" i="5"/>
  <c r="D245" i="5"/>
  <c r="C245" i="5"/>
  <c r="G244" i="5"/>
  <c r="F244" i="5"/>
  <c r="E244" i="5"/>
  <c r="D244" i="5"/>
  <c r="C244" i="5"/>
  <c r="G243" i="5"/>
  <c r="F243" i="5"/>
  <c r="E243" i="5"/>
  <c r="D243" i="5"/>
  <c r="C243" i="5"/>
  <c r="G242" i="5"/>
  <c r="F242" i="5"/>
  <c r="E242" i="5"/>
  <c r="D242" i="5"/>
  <c r="C242" i="5"/>
  <c r="G241" i="5"/>
  <c r="F241" i="5"/>
  <c r="E241" i="5"/>
  <c r="D241" i="5"/>
  <c r="C241" i="5"/>
  <c r="G240" i="5"/>
  <c r="F240" i="5"/>
  <c r="E240" i="5"/>
  <c r="D240" i="5"/>
  <c r="C240" i="5"/>
  <c r="G239" i="5"/>
  <c r="F239" i="5"/>
  <c r="E239" i="5"/>
  <c r="D239" i="5"/>
  <c r="C239" i="5"/>
  <c r="G238" i="5"/>
  <c r="F238" i="5"/>
  <c r="E238" i="5"/>
  <c r="D238" i="5"/>
  <c r="C238" i="5"/>
  <c r="G237" i="5"/>
  <c r="F237" i="5"/>
  <c r="E237" i="5"/>
  <c r="D237" i="5"/>
  <c r="G236" i="5"/>
  <c r="F236" i="5"/>
  <c r="E236" i="5"/>
  <c r="D236" i="5"/>
  <c r="C236" i="5"/>
  <c r="G235" i="5"/>
  <c r="F235" i="5"/>
  <c r="E235" i="5"/>
  <c r="D235" i="5"/>
  <c r="C235" i="5"/>
  <c r="G234" i="5"/>
  <c r="F234" i="5"/>
  <c r="E234" i="5"/>
  <c r="D234" i="5"/>
  <c r="C234" i="5"/>
  <c r="G233" i="5"/>
  <c r="F233" i="5"/>
  <c r="E233" i="5"/>
  <c r="D233" i="5"/>
  <c r="C233" i="5"/>
  <c r="G232" i="5"/>
  <c r="F232" i="5"/>
  <c r="E232" i="5"/>
  <c r="D232" i="5"/>
  <c r="C232" i="5"/>
  <c r="G231" i="5"/>
  <c r="F231" i="5"/>
  <c r="E231" i="5"/>
  <c r="D231" i="5"/>
  <c r="C231" i="5"/>
  <c r="G230" i="5"/>
  <c r="F230" i="5"/>
  <c r="E230" i="5"/>
  <c r="D230" i="5"/>
  <c r="C230" i="5"/>
  <c r="O230" i="5" s="1"/>
  <c r="G229" i="5"/>
  <c r="F229" i="5"/>
  <c r="E229" i="5"/>
  <c r="D229" i="5"/>
  <c r="G228" i="5"/>
  <c r="F228" i="5"/>
  <c r="E228" i="5"/>
  <c r="D228" i="5"/>
  <c r="C228" i="5"/>
  <c r="G227" i="5"/>
  <c r="F227" i="5"/>
  <c r="E227" i="5"/>
  <c r="D227" i="5"/>
  <c r="C227" i="5"/>
  <c r="G226" i="5"/>
  <c r="F226" i="5"/>
  <c r="E226" i="5"/>
  <c r="D226" i="5"/>
  <c r="C226" i="5"/>
  <c r="G225" i="5"/>
  <c r="F225" i="5"/>
  <c r="E225" i="5"/>
  <c r="D225" i="5"/>
  <c r="O225" i="5" s="1"/>
  <c r="C225" i="5"/>
  <c r="G224" i="5"/>
  <c r="F224" i="5"/>
  <c r="E224" i="5"/>
  <c r="D224" i="5"/>
  <c r="C224" i="5"/>
  <c r="G223" i="5"/>
  <c r="F223" i="5"/>
  <c r="E223" i="5"/>
  <c r="D223" i="5"/>
  <c r="C223" i="5"/>
  <c r="G222" i="5"/>
  <c r="F222" i="5"/>
  <c r="E222" i="5"/>
  <c r="D222" i="5"/>
  <c r="C222" i="5"/>
  <c r="G221" i="5"/>
  <c r="F221" i="5"/>
  <c r="E221" i="5"/>
  <c r="D221" i="5"/>
  <c r="O221" i="5" s="1"/>
  <c r="C221" i="5"/>
  <c r="G220" i="5"/>
  <c r="F220" i="5"/>
  <c r="E220" i="5"/>
  <c r="D220" i="5"/>
  <c r="C220" i="5"/>
  <c r="G219" i="5"/>
  <c r="F219" i="5"/>
  <c r="E219" i="5"/>
  <c r="D219" i="5"/>
  <c r="C219" i="5"/>
  <c r="G218" i="5"/>
  <c r="F218" i="5"/>
  <c r="E218" i="5"/>
  <c r="D218" i="5"/>
  <c r="G217" i="5"/>
  <c r="F217" i="5"/>
  <c r="E217" i="5"/>
  <c r="D217" i="5"/>
  <c r="G216" i="5"/>
  <c r="O216" i="5" s="1"/>
  <c r="F216" i="5"/>
  <c r="E216" i="5"/>
  <c r="D216" i="5"/>
  <c r="C216" i="5"/>
  <c r="G215" i="5"/>
  <c r="F215" i="5"/>
  <c r="E215" i="5"/>
  <c r="D215" i="5"/>
  <c r="C215" i="5"/>
  <c r="G214" i="5"/>
  <c r="F214" i="5"/>
  <c r="E214" i="5"/>
  <c r="D214" i="5"/>
  <c r="C214" i="5"/>
  <c r="G213" i="5"/>
  <c r="F213" i="5"/>
  <c r="E213" i="5"/>
  <c r="D213" i="5"/>
  <c r="C213" i="5"/>
  <c r="O213" i="5" s="1"/>
  <c r="G212" i="5"/>
  <c r="F212" i="5"/>
  <c r="E212" i="5"/>
  <c r="D212" i="5"/>
  <c r="C212" i="5"/>
  <c r="G211" i="5"/>
  <c r="F211" i="5"/>
  <c r="E211" i="5"/>
  <c r="D211" i="5"/>
  <c r="C211" i="5"/>
  <c r="G210" i="5"/>
  <c r="F210" i="5"/>
  <c r="E210" i="5"/>
  <c r="D210" i="5"/>
  <c r="C210" i="5"/>
  <c r="G209" i="5"/>
  <c r="F209" i="5"/>
  <c r="E209" i="5"/>
  <c r="D209" i="5"/>
  <c r="C209" i="5"/>
  <c r="G208" i="5"/>
  <c r="F208" i="5"/>
  <c r="E208" i="5"/>
  <c r="D208" i="5"/>
  <c r="C208" i="5"/>
  <c r="G207" i="5"/>
  <c r="F207" i="5"/>
  <c r="E207" i="5"/>
  <c r="D207" i="5"/>
  <c r="C207" i="5"/>
  <c r="G206" i="5"/>
  <c r="F206" i="5"/>
  <c r="D206" i="5"/>
  <c r="C206" i="5"/>
  <c r="G205" i="5"/>
  <c r="F205" i="5"/>
  <c r="E205" i="5"/>
  <c r="D205" i="5"/>
  <c r="O205" i="5" s="1"/>
  <c r="C205" i="5"/>
  <c r="G204" i="5"/>
  <c r="F204" i="5"/>
  <c r="E204" i="5"/>
  <c r="D204" i="5"/>
  <c r="C204" i="5"/>
  <c r="G203" i="5"/>
  <c r="F203" i="5"/>
  <c r="E203" i="5"/>
  <c r="D203" i="5"/>
  <c r="C203" i="5"/>
  <c r="O203" i="5" s="1"/>
  <c r="G202" i="5"/>
  <c r="F202" i="5"/>
  <c r="E202" i="5"/>
  <c r="D202" i="5"/>
  <c r="C202" i="5"/>
  <c r="G201" i="5"/>
  <c r="F201" i="5"/>
  <c r="E201" i="5"/>
  <c r="D201" i="5"/>
  <c r="C201" i="5"/>
  <c r="G200" i="5"/>
  <c r="F200" i="5"/>
  <c r="E200" i="5"/>
  <c r="D200" i="5"/>
  <c r="C200" i="5"/>
  <c r="G199" i="5"/>
  <c r="F199" i="5"/>
  <c r="E199" i="5"/>
  <c r="D199" i="5"/>
  <c r="C199" i="5"/>
  <c r="G198" i="5"/>
  <c r="F198" i="5"/>
  <c r="E198" i="5"/>
  <c r="D198" i="5"/>
  <c r="C198" i="5"/>
  <c r="G197" i="5"/>
  <c r="F197" i="5"/>
  <c r="E197" i="5"/>
  <c r="D197" i="5"/>
  <c r="C197" i="5"/>
  <c r="G196" i="5"/>
  <c r="F196" i="5"/>
  <c r="E196" i="5"/>
  <c r="D196" i="5"/>
  <c r="C196" i="5"/>
  <c r="O196" i="5" s="1"/>
  <c r="G195" i="5"/>
  <c r="F195" i="5"/>
  <c r="E195" i="5"/>
  <c r="D195" i="5"/>
  <c r="C195" i="5"/>
  <c r="G194" i="5"/>
  <c r="F194" i="5"/>
  <c r="E194" i="5"/>
  <c r="D194" i="5"/>
  <c r="G193" i="5"/>
  <c r="F193" i="5"/>
  <c r="E193" i="5"/>
  <c r="D193" i="5"/>
  <c r="C193" i="5"/>
  <c r="G192" i="5"/>
  <c r="F192" i="5"/>
  <c r="E192" i="5"/>
  <c r="D192" i="5"/>
  <c r="C192" i="5"/>
  <c r="G191" i="5"/>
  <c r="F191" i="5"/>
  <c r="E191" i="5"/>
  <c r="O191" i="5" s="1"/>
  <c r="D191" i="5"/>
  <c r="C191" i="5"/>
  <c r="G190" i="5"/>
  <c r="F190" i="5"/>
  <c r="E190" i="5"/>
  <c r="D190" i="5"/>
  <c r="C190" i="5"/>
  <c r="G189" i="5"/>
  <c r="F189" i="5"/>
  <c r="E189" i="5"/>
  <c r="O189" i="5" s="1"/>
  <c r="D189" i="5"/>
  <c r="C189" i="5"/>
  <c r="G188" i="5"/>
  <c r="F188" i="5"/>
  <c r="E188" i="5"/>
  <c r="D188" i="5"/>
  <c r="C188" i="5"/>
  <c r="G187" i="5"/>
  <c r="F187" i="5"/>
  <c r="E187" i="5"/>
  <c r="D187" i="5"/>
  <c r="C187" i="5"/>
  <c r="G186" i="5"/>
  <c r="F186" i="5"/>
  <c r="E186" i="5"/>
  <c r="D186" i="5"/>
  <c r="C186" i="5"/>
  <c r="G185" i="5"/>
  <c r="F185" i="5"/>
  <c r="E185" i="5"/>
  <c r="D185" i="5"/>
  <c r="C185" i="5"/>
  <c r="G184" i="5"/>
  <c r="F184" i="5"/>
  <c r="E184" i="5"/>
  <c r="D184" i="5"/>
  <c r="C184" i="5"/>
  <c r="G183" i="5"/>
  <c r="F183" i="5"/>
  <c r="E183" i="5"/>
  <c r="D183" i="5"/>
  <c r="C183" i="5"/>
  <c r="G182" i="5"/>
  <c r="F182" i="5"/>
  <c r="E182" i="5"/>
  <c r="D182" i="5"/>
  <c r="G181" i="5"/>
  <c r="F181" i="5"/>
  <c r="E181" i="5"/>
  <c r="D181" i="5"/>
  <c r="G180" i="5"/>
  <c r="F180" i="5"/>
  <c r="E180" i="5"/>
  <c r="D180" i="5"/>
  <c r="C180" i="5"/>
  <c r="G179" i="5"/>
  <c r="F179" i="5"/>
  <c r="E179" i="5"/>
  <c r="D179" i="5"/>
  <c r="C179" i="5"/>
  <c r="G178" i="5"/>
  <c r="F178" i="5"/>
  <c r="E178" i="5"/>
  <c r="D178" i="5"/>
  <c r="O178" i="5" s="1"/>
  <c r="C178" i="5"/>
  <c r="G177" i="5"/>
  <c r="F177" i="5"/>
  <c r="E177" i="5"/>
  <c r="D177" i="5"/>
  <c r="C177" i="5"/>
  <c r="O177" i="5" s="1"/>
  <c r="G176" i="5"/>
  <c r="F176" i="5"/>
  <c r="E176" i="5"/>
  <c r="D176" i="5"/>
  <c r="C176" i="5"/>
  <c r="G175" i="5"/>
  <c r="F175" i="5"/>
  <c r="E175" i="5"/>
  <c r="D175" i="5"/>
  <c r="C175" i="5"/>
  <c r="G174" i="5"/>
  <c r="F174" i="5"/>
  <c r="E174" i="5"/>
  <c r="D174" i="5"/>
  <c r="C174" i="5"/>
  <c r="G173" i="5"/>
  <c r="F173" i="5"/>
  <c r="E173" i="5"/>
  <c r="D173" i="5"/>
  <c r="C173" i="5"/>
  <c r="G172" i="5"/>
  <c r="F172" i="5"/>
  <c r="E172" i="5"/>
  <c r="D172" i="5"/>
  <c r="C172" i="5"/>
  <c r="G171" i="5"/>
  <c r="F171" i="5"/>
  <c r="E171" i="5"/>
  <c r="D171" i="5"/>
  <c r="C171" i="5"/>
  <c r="G170" i="5"/>
  <c r="F170" i="5"/>
  <c r="E170" i="5"/>
  <c r="D170" i="5"/>
  <c r="C170" i="5"/>
  <c r="G169" i="5"/>
  <c r="F169" i="5"/>
  <c r="E169" i="5"/>
  <c r="D169" i="5"/>
  <c r="C169" i="5"/>
  <c r="G168" i="5"/>
  <c r="F168" i="5"/>
  <c r="E168" i="5"/>
  <c r="D168" i="5"/>
  <c r="C168" i="5"/>
  <c r="G167" i="5"/>
  <c r="F167" i="5"/>
  <c r="E167" i="5"/>
  <c r="D167" i="5"/>
  <c r="C167" i="5"/>
  <c r="G166" i="5"/>
  <c r="F166" i="5"/>
  <c r="E166" i="5"/>
  <c r="D166" i="5"/>
  <c r="C166" i="5"/>
  <c r="G165" i="5"/>
  <c r="F165" i="5"/>
  <c r="E165" i="5"/>
  <c r="D165" i="5"/>
  <c r="C165" i="5"/>
  <c r="G164" i="5"/>
  <c r="F164" i="5"/>
  <c r="E164" i="5"/>
  <c r="D164" i="5"/>
  <c r="C164" i="5"/>
  <c r="G163" i="5"/>
  <c r="F163" i="5"/>
  <c r="E163" i="5"/>
  <c r="D163" i="5"/>
  <c r="C163" i="5"/>
  <c r="G162" i="5"/>
  <c r="F162" i="5"/>
  <c r="E162" i="5"/>
  <c r="D162" i="5"/>
  <c r="C162" i="5"/>
  <c r="G161" i="5"/>
  <c r="F161" i="5"/>
  <c r="E161" i="5"/>
  <c r="D161" i="5"/>
  <c r="C161" i="5"/>
  <c r="G160" i="5"/>
  <c r="F160" i="5"/>
  <c r="E160" i="5"/>
  <c r="D160" i="5"/>
  <c r="C160" i="5"/>
  <c r="G159" i="5"/>
  <c r="F159" i="5"/>
  <c r="E159" i="5"/>
  <c r="D159" i="5"/>
  <c r="C159" i="5"/>
  <c r="G158" i="5"/>
  <c r="F158" i="5"/>
  <c r="E158" i="5"/>
  <c r="D158" i="5"/>
  <c r="C158" i="5"/>
  <c r="G157" i="5"/>
  <c r="F157" i="5"/>
  <c r="E157" i="5"/>
  <c r="D157" i="5"/>
  <c r="C157" i="5"/>
  <c r="G156" i="5"/>
  <c r="F156" i="5"/>
  <c r="E156" i="5"/>
  <c r="D156" i="5"/>
  <c r="C156" i="5"/>
  <c r="G155" i="5"/>
  <c r="F155" i="5"/>
  <c r="E155" i="5"/>
  <c r="D155" i="5"/>
  <c r="C155" i="5"/>
  <c r="O155" i="5" s="1"/>
  <c r="G154" i="5"/>
  <c r="F154" i="5"/>
  <c r="E154" i="5"/>
  <c r="D154" i="5"/>
  <c r="C154" i="5"/>
  <c r="G153" i="5"/>
  <c r="F153" i="5"/>
  <c r="E153" i="5"/>
  <c r="D153" i="5"/>
  <c r="C153" i="5"/>
  <c r="G152" i="5"/>
  <c r="F152" i="5"/>
  <c r="E152" i="5"/>
  <c r="D152" i="5"/>
  <c r="C152" i="5"/>
  <c r="G151" i="5"/>
  <c r="F151" i="5"/>
  <c r="E151" i="5"/>
  <c r="D151" i="5"/>
  <c r="C151" i="5"/>
  <c r="G150" i="5"/>
  <c r="F150" i="5"/>
  <c r="E150" i="5"/>
  <c r="D150" i="5"/>
  <c r="C150" i="5"/>
  <c r="G149" i="5"/>
  <c r="F149" i="5"/>
  <c r="E149" i="5"/>
  <c r="D149" i="5"/>
  <c r="C149" i="5"/>
  <c r="G148" i="5"/>
  <c r="F148" i="5"/>
  <c r="E148" i="5"/>
  <c r="D148" i="5"/>
  <c r="C148" i="5"/>
  <c r="O147" i="5"/>
  <c r="G147" i="5"/>
  <c r="F147" i="5"/>
  <c r="E147" i="5"/>
  <c r="D147" i="5"/>
  <c r="C147" i="5"/>
  <c r="G146" i="5"/>
  <c r="F146" i="5"/>
  <c r="E146" i="5"/>
  <c r="D146" i="5"/>
  <c r="C146" i="5"/>
  <c r="G145" i="5"/>
  <c r="F145" i="5"/>
  <c r="E145" i="5"/>
  <c r="D145" i="5"/>
  <c r="C145" i="5"/>
  <c r="G144" i="5"/>
  <c r="F144" i="5"/>
  <c r="E144" i="5"/>
  <c r="D144" i="5"/>
  <c r="C144" i="5"/>
  <c r="G143" i="5"/>
  <c r="F143" i="5"/>
  <c r="E143" i="5"/>
  <c r="D143" i="5"/>
  <c r="C143" i="5"/>
  <c r="G142" i="5"/>
  <c r="F142" i="5"/>
  <c r="E142" i="5"/>
  <c r="D142" i="5"/>
  <c r="C142" i="5"/>
  <c r="G141" i="5"/>
  <c r="F141" i="5"/>
  <c r="E141" i="5"/>
  <c r="D141" i="5"/>
  <c r="C141" i="5"/>
  <c r="G140" i="5"/>
  <c r="F140" i="5"/>
  <c r="E140" i="5"/>
  <c r="D140" i="5"/>
  <c r="C140" i="5"/>
  <c r="G139" i="5"/>
  <c r="F139" i="5"/>
  <c r="E139" i="5"/>
  <c r="D139" i="5"/>
  <c r="C139" i="5"/>
  <c r="G138" i="5"/>
  <c r="F138" i="5"/>
  <c r="E138" i="5"/>
  <c r="D138" i="5"/>
  <c r="C138" i="5"/>
  <c r="G137" i="5"/>
  <c r="F137" i="5"/>
  <c r="E137" i="5"/>
  <c r="D137" i="5"/>
  <c r="C137" i="5"/>
  <c r="G136" i="5"/>
  <c r="F136" i="5"/>
  <c r="E136" i="5"/>
  <c r="D136" i="5"/>
  <c r="C136" i="5"/>
  <c r="G135" i="5"/>
  <c r="F135" i="5"/>
  <c r="E135" i="5"/>
  <c r="D135" i="5"/>
  <c r="C135" i="5"/>
  <c r="O135" i="5" s="1"/>
  <c r="G134" i="5"/>
  <c r="F134" i="5"/>
  <c r="E134" i="5"/>
  <c r="D134" i="5"/>
  <c r="C134" i="5"/>
  <c r="G133" i="5"/>
  <c r="F133" i="5"/>
  <c r="E133" i="5"/>
  <c r="D133" i="5"/>
  <c r="C133" i="5"/>
  <c r="G132" i="5"/>
  <c r="F132" i="5"/>
  <c r="E132" i="5"/>
  <c r="D132" i="5"/>
  <c r="G131" i="5"/>
  <c r="O131" i="5" s="1"/>
  <c r="F131" i="5"/>
  <c r="E131" i="5"/>
  <c r="D131" i="5"/>
  <c r="C131" i="5"/>
  <c r="G130" i="5"/>
  <c r="F130" i="5"/>
  <c r="E130" i="5"/>
  <c r="D130" i="5"/>
  <c r="O130" i="5" s="1"/>
  <c r="C130" i="5"/>
  <c r="G129" i="5"/>
  <c r="F129" i="5"/>
  <c r="E129" i="5"/>
  <c r="D129" i="5"/>
  <c r="C129" i="5"/>
  <c r="G128" i="5"/>
  <c r="F128" i="5"/>
  <c r="E128" i="5"/>
  <c r="D128" i="5"/>
  <c r="C128" i="5"/>
  <c r="G127" i="5"/>
  <c r="F127" i="5"/>
  <c r="E127" i="5"/>
  <c r="D127" i="5"/>
  <c r="C127" i="5"/>
  <c r="G126" i="5"/>
  <c r="F126" i="5"/>
  <c r="K126" i="5" s="1"/>
  <c r="E126" i="5"/>
  <c r="D126" i="5"/>
  <c r="C126" i="5"/>
  <c r="G125" i="5"/>
  <c r="F125" i="5"/>
  <c r="E125" i="5"/>
  <c r="D125" i="5"/>
  <c r="C125" i="5"/>
  <c r="G124" i="5"/>
  <c r="F124" i="5"/>
  <c r="E124" i="5"/>
  <c r="D124" i="5"/>
  <c r="C124" i="5"/>
  <c r="G123" i="5"/>
  <c r="F123" i="5"/>
  <c r="E123" i="5"/>
  <c r="D123" i="5"/>
  <c r="C123" i="5"/>
  <c r="O123" i="5" s="1"/>
  <c r="G122" i="5"/>
  <c r="F122" i="5"/>
  <c r="E122" i="5"/>
  <c r="D122" i="5"/>
  <c r="C122" i="5"/>
  <c r="G121" i="5"/>
  <c r="F121" i="5"/>
  <c r="E121" i="5"/>
  <c r="D121" i="5"/>
  <c r="C121" i="5"/>
  <c r="O121" i="5" s="1"/>
  <c r="O120" i="5"/>
  <c r="G120" i="5"/>
  <c r="F120" i="5"/>
  <c r="E120" i="5"/>
  <c r="D120" i="5"/>
  <c r="C120" i="5"/>
  <c r="G119" i="5"/>
  <c r="F119" i="5"/>
  <c r="E119" i="5"/>
  <c r="D119" i="5"/>
  <c r="C119" i="5"/>
  <c r="B119" i="5"/>
  <c r="J119" i="5" s="1"/>
  <c r="G118" i="5"/>
  <c r="F118" i="5"/>
  <c r="E118" i="5"/>
  <c r="D118" i="5"/>
  <c r="C118" i="5"/>
  <c r="G117" i="5"/>
  <c r="F117" i="5"/>
  <c r="E117" i="5"/>
  <c r="D117" i="5"/>
  <c r="C117" i="5"/>
  <c r="O117" i="5" s="1"/>
  <c r="G116" i="5"/>
  <c r="F116" i="5"/>
  <c r="E116" i="5"/>
  <c r="D116" i="5"/>
  <c r="C116" i="5"/>
  <c r="G115" i="5"/>
  <c r="F115" i="5"/>
  <c r="E115" i="5"/>
  <c r="D115" i="5"/>
  <c r="C115" i="5"/>
  <c r="G114" i="5"/>
  <c r="F114" i="5"/>
  <c r="E114" i="5"/>
  <c r="D114" i="5"/>
  <c r="C114" i="5"/>
  <c r="G113" i="5"/>
  <c r="F113" i="5"/>
  <c r="E113" i="5"/>
  <c r="D113" i="5"/>
  <c r="C113" i="5"/>
  <c r="G112" i="5"/>
  <c r="F112" i="5"/>
  <c r="E112" i="5"/>
  <c r="D112" i="5"/>
  <c r="C112" i="5"/>
  <c r="O112" i="5" s="1"/>
  <c r="G111" i="5"/>
  <c r="F111" i="5"/>
  <c r="E111" i="5"/>
  <c r="D111" i="5"/>
  <c r="C111" i="5"/>
  <c r="G110" i="5"/>
  <c r="F110" i="5"/>
  <c r="E110" i="5"/>
  <c r="D110" i="5"/>
  <c r="C110" i="5"/>
  <c r="G109" i="5"/>
  <c r="F109" i="5"/>
  <c r="E109" i="5"/>
  <c r="D109" i="5"/>
  <c r="C109" i="5"/>
  <c r="G108" i="5"/>
  <c r="F108" i="5"/>
  <c r="E108" i="5"/>
  <c r="D108" i="5"/>
  <c r="C108" i="5"/>
  <c r="O108" i="5" s="1"/>
  <c r="G107" i="5"/>
  <c r="F107" i="5"/>
  <c r="E107" i="5"/>
  <c r="D107" i="5"/>
  <c r="C107" i="5"/>
  <c r="G106" i="5"/>
  <c r="F106" i="5"/>
  <c r="E106" i="5"/>
  <c r="D106" i="5"/>
  <c r="C106" i="5"/>
  <c r="O106" i="5" s="1"/>
  <c r="G105" i="5"/>
  <c r="F105" i="5"/>
  <c r="E105" i="5"/>
  <c r="J105" i="5" s="1"/>
  <c r="D105" i="5"/>
  <c r="G104" i="5"/>
  <c r="F104" i="5"/>
  <c r="E104" i="5"/>
  <c r="D104" i="5"/>
  <c r="C104" i="5"/>
  <c r="G103" i="5"/>
  <c r="F103" i="5"/>
  <c r="E103" i="5"/>
  <c r="D103" i="5"/>
  <c r="C103" i="5"/>
  <c r="G102" i="5"/>
  <c r="F102" i="5"/>
  <c r="E102" i="5"/>
  <c r="D102" i="5"/>
  <c r="C102" i="5"/>
  <c r="G101" i="5"/>
  <c r="F101" i="5"/>
  <c r="E101" i="5"/>
  <c r="D101" i="5"/>
  <c r="C101" i="5"/>
  <c r="G100" i="5"/>
  <c r="F100" i="5"/>
  <c r="E100" i="5"/>
  <c r="D100" i="5"/>
  <c r="C100" i="5"/>
  <c r="G99" i="5"/>
  <c r="F99" i="5"/>
  <c r="E99" i="5"/>
  <c r="D99" i="5"/>
  <c r="C99" i="5"/>
  <c r="O99" i="5" s="1"/>
  <c r="G98" i="5"/>
  <c r="F98" i="5"/>
  <c r="E98" i="5"/>
  <c r="D98" i="5"/>
  <c r="C98" i="5"/>
  <c r="O98" i="5" s="1"/>
  <c r="G97" i="5"/>
  <c r="F97" i="5"/>
  <c r="E97" i="5"/>
  <c r="D97" i="5"/>
  <c r="C97" i="5"/>
  <c r="G96" i="5"/>
  <c r="F96" i="5"/>
  <c r="E96" i="5"/>
  <c r="D96" i="5"/>
  <c r="C96" i="5"/>
  <c r="G95" i="5"/>
  <c r="O95" i="5" s="1"/>
  <c r="F95" i="5"/>
  <c r="E95" i="5"/>
  <c r="D95" i="5"/>
  <c r="C95" i="5"/>
  <c r="G94" i="5"/>
  <c r="F94" i="5"/>
  <c r="E94" i="5"/>
  <c r="D94" i="5"/>
  <c r="O94" i="5" s="1"/>
  <c r="C94" i="5"/>
  <c r="G93" i="5"/>
  <c r="F93" i="5"/>
  <c r="E93" i="5"/>
  <c r="D93" i="5"/>
  <c r="C93" i="5"/>
  <c r="G92" i="5"/>
  <c r="F92" i="5"/>
  <c r="E92" i="5"/>
  <c r="D92" i="5"/>
  <c r="O92" i="5" s="1"/>
  <c r="C92" i="5"/>
  <c r="G91" i="5"/>
  <c r="E91" i="5"/>
  <c r="D91" i="5"/>
  <c r="C91" i="5"/>
  <c r="G90" i="5"/>
  <c r="F90" i="5"/>
  <c r="E90" i="5"/>
  <c r="D90" i="5"/>
  <c r="C90" i="5"/>
  <c r="G89" i="5"/>
  <c r="F89" i="5"/>
  <c r="E89" i="5"/>
  <c r="D89" i="5"/>
  <c r="C89" i="5"/>
  <c r="O89" i="5" s="1"/>
  <c r="G88" i="5"/>
  <c r="F88" i="5"/>
  <c r="E88" i="5"/>
  <c r="D88" i="5"/>
  <c r="C88" i="5"/>
  <c r="G87" i="5"/>
  <c r="F87" i="5"/>
  <c r="E87" i="5"/>
  <c r="D87" i="5"/>
  <c r="C87" i="5"/>
  <c r="G86" i="5"/>
  <c r="L86" i="5" s="1"/>
  <c r="F86" i="5"/>
  <c r="E86" i="5"/>
  <c r="D86" i="5"/>
  <c r="C86" i="5"/>
  <c r="G85" i="5"/>
  <c r="F85" i="5"/>
  <c r="E85" i="5"/>
  <c r="D85" i="5"/>
  <c r="C85" i="5"/>
  <c r="G84" i="5"/>
  <c r="F84" i="5"/>
  <c r="E84" i="5"/>
  <c r="D84" i="5"/>
  <c r="I84" i="5" s="1"/>
  <c r="C84" i="5"/>
  <c r="G83" i="5"/>
  <c r="F83" i="5"/>
  <c r="E83" i="5"/>
  <c r="D83" i="5"/>
  <c r="C83" i="5"/>
  <c r="G82" i="5"/>
  <c r="F82" i="5"/>
  <c r="E82" i="5"/>
  <c r="D82" i="5"/>
  <c r="O82" i="5" s="1"/>
  <c r="C82" i="5"/>
  <c r="G81" i="5"/>
  <c r="F81" i="5"/>
  <c r="E81" i="5"/>
  <c r="D81" i="5"/>
  <c r="C81" i="5"/>
  <c r="G80" i="5"/>
  <c r="F80" i="5"/>
  <c r="E80" i="5"/>
  <c r="D80" i="5"/>
  <c r="C80" i="5"/>
  <c r="G79" i="5"/>
  <c r="F79" i="5"/>
  <c r="E79" i="5"/>
  <c r="D79" i="5"/>
  <c r="C79" i="5"/>
  <c r="G78" i="5"/>
  <c r="F78" i="5"/>
  <c r="E78" i="5"/>
  <c r="D78" i="5"/>
  <c r="C78" i="5"/>
  <c r="G77" i="5"/>
  <c r="F77" i="5"/>
  <c r="E77" i="5"/>
  <c r="D77" i="5"/>
  <c r="C77" i="5"/>
  <c r="G76" i="5"/>
  <c r="F76" i="5"/>
  <c r="E76" i="5"/>
  <c r="D76" i="5"/>
  <c r="C76" i="5"/>
  <c r="G75" i="5"/>
  <c r="F75" i="5"/>
  <c r="E75" i="5"/>
  <c r="D75" i="5"/>
  <c r="C75" i="5"/>
  <c r="G74" i="5"/>
  <c r="F74" i="5"/>
  <c r="E74" i="5"/>
  <c r="J74" i="5" s="1"/>
  <c r="D74" i="5"/>
  <c r="O74" i="5" s="1"/>
  <c r="C74" i="5"/>
  <c r="G73" i="5"/>
  <c r="F73" i="5"/>
  <c r="E73" i="5"/>
  <c r="D73" i="5"/>
  <c r="C73" i="5"/>
  <c r="G72" i="5"/>
  <c r="F72" i="5"/>
  <c r="E72" i="5"/>
  <c r="D72" i="5"/>
  <c r="C72" i="5"/>
  <c r="G71" i="5"/>
  <c r="F71" i="5"/>
  <c r="E71" i="5"/>
  <c r="D71" i="5"/>
  <c r="C71" i="5"/>
  <c r="O71" i="5" s="1"/>
  <c r="G70" i="5"/>
  <c r="F70" i="5"/>
  <c r="E70" i="5"/>
  <c r="D70" i="5"/>
  <c r="C70" i="5"/>
  <c r="G69" i="5"/>
  <c r="F69" i="5"/>
  <c r="E69" i="5"/>
  <c r="D69" i="5"/>
  <c r="C69" i="5"/>
  <c r="G68" i="5"/>
  <c r="F68" i="5"/>
  <c r="E68" i="5"/>
  <c r="D68" i="5"/>
  <c r="C68" i="5"/>
  <c r="G67" i="5"/>
  <c r="F67" i="5"/>
  <c r="E67" i="5"/>
  <c r="D67" i="5"/>
  <c r="C67" i="5"/>
  <c r="G66" i="5"/>
  <c r="F66" i="5"/>
  <c r="E66" i="5"/>
  <c r="D66" i="5"/>
  <c r="C66" i="5"/>
  <c r="G65" i="5"/>
  <c r="F65" i="5"/>
  <c r="E65" i="5"/>
  <c r="D65" i="5"/>
  <c r="C65" i="5"/>
  <c r="G64" i="5"/>
  <c r="F64" i="5"/>
  <c r="E64" i="5"/>
  <c r="D64" i="5"/>
  <c r="C64" i="5"/>
  <c r="O64" i="5" s="1"/>
  <c r="G63" i="5"/>
  <c r="F63" i="5"/>
  <c r="E63" i="5"/>
  <c r="D63" i="5"/>
  <c r="C63" i="5"/>
  <c r="G62" i="5"/>
  <c r="F62" i="5"/>
  <c r="E62" i="5"/>
  <c r="D62" i="5"/>
  <c r="C62" i="5"/>
  <c r="O62" i="5" s="1"/>
  <c r="O61" i="5"/>
  <c r="G61" i="5"/>
  <c r="F61" i="5"/>
  <c r="E61" i="5"/>
  <c r="D61" i="5"/>
  <c r="C61" i="5"/>
  <c r="G60" i="5"/>
  <c r="F60" i="5"/>
  <c r="E60" i="5"/>
  <c r="D60" i="5"/>
  <c r="C60" i="5"/>
  <c r="G59" i="5"/>
  <c r="F59" i="5"/>
  <c r="E59" i="5"/>
  <c r="D59" i="5"/>
  <c r="C59" i="5"/>
  <c r="G58" i="5"/>
  <c r="F58" i="5"/>
  <c r="E58" i="5"/>
  <c r="D58" i="5"/>
  <c r="C58" i="5"/>
  <c r="G57" i="5"/>
  <c r="F57" i="5"/>
  <c r="E57" i="5"/>
  <c r="D57" i="5"/>
  <c r="G56" i="5"/>
  <c r="F56" i="5"/>
  <c r="E56" i="5"/>
  <c r="D56" i="5"/>
  <c r="C56" i="5"/>
  <c r="G55" i="5"/>
  <c r="F55" i="5"/>
  <c r="E55" i="5"/>
  <c r="D55" i="5"/>
  <c r="C55" i="5"/>
  <c r="G54" i="5"/>
  <c r="F54" i="5"/>
  <c r="E54" i="5"/>
  <c r="D54" i="5"/>
  <c r="C54" i="5"/>
  <c r="G53" i="5"/>
  <c r="F53" i="5"/>
  <c r="E53" i="5"/>
  <c r="D53" i="5"/>
  <c r="C53" i="5"/>
  <c r="G52" i="5"/>
  <c r="F52" i="5"/>
  <c r="E52" i="5"/>
  <c r="D52" i="5"/>
  <c r="C52" i="5"/>
  <c r="G51" i="5"/>
  <c r="F51" i="5"/>
  <c r="E51" i="5"/>
  <c r="D51" i="5"/>
  <c r="C51" i="5"/>
  <c r="O51" i="5" s="1"/>
  <c r="G50" i="5"/>
  <c r="F50" i="5"/>
  <c r="E50" i="5"/>
  <c r="D50" i="5"/>
  <c r="C50" i="5"/>
  <c r="G49" i="5"/>
  <c r="F49" i="5"/>
  <c r="E49" i="5"/>
  <c r="D49" i="5"/>
  <c r="C49" i="5"/>
  <c r="O49" i="5" s="1"/>
  <c r="G48" i="5"/>
  <c r="F48" i="5"/>
  <c r="E48" i="5"/>
  <c r="D48" i="5"/>
  <c r="C48" i="5"/>
  <c r="G47" i="5"/>
  <c r="F47" i="5"/>
  <c r="E47" i="5"/>
  <c r="D47" i="5"/>
  <c r="C47" i="5"/>
  <c r="G46" i="5"/>
  <c r="F46" i="5"/>
  <c r="E46" i="5"/>
  <c r="D46" i="5"/>
  <c r="C46" i="5"/>
  <c r="G45" i="5"/>
  <c r="F45" i="5"/>
  <c r="E45" i="5"/>
  <c r="D45" i="5"/>
  <c r="G44" i="5"/>
  <c r="F44" i="5"/>
  <c r="E44" i="5"/>
  <c r="J44" i="5" s="1"/>
  <c r="D44" i="5"/>
  <c r="I44" i="5" s="1"/>
  <c r="C44" i="5"/>
  <c r="G43" i="5"/>
  <c r="F43" i="5"/>
  <c r="E43" i="5"/>
  <c r="D43" i="5"/>
  <c r="C43" i="5"/>
  <c r="G42" i="5"/>
  <c r="F42" i="5"/>
  <c r="E42" i="5"/>
  <c r="D42" i="5"/>
  <c r="C42" i="5"/>
  <c r="O42" i="5" s="1"/>
  <c r="G41" i="5"/>
  <c r="F41" i="5"/>
  <c r="E41" i="5"/>
  <c r="D41" i="5"/>
  <c r="C41" i="5"/>
  <c r="G40" i="5"/>
  <c r="F40" i="5"/>
  <c r="E40" i="5"/>
  <c r="D40" i="5"/>
  <c r="C40" i="5"/>
  <c r="O40" i="5" s="1"/>
  <c r="G39" i="5"/>
  <c r="F39" i="5"/>
  <c r="E39" i="5"/>
  <c r="D39" i="5"/>
  <c r="C39" i="5"/>
  <c r="O39" i="5" s="1"/>
  <c r="G38" i="5"/>
  <c r="F38" i="5"/>
  <c r="E38" i="5"/>
  <c r="D38" i="5"/>
  <c r="C38" i="5"/>
  <c r="G37" i="5"/>
  <c r="F37" i="5"/>
  <c r="E37" i="5"/>
  <c r="D37" i="5"/>
  <c r="C37" i="5"/>
  <c r="G36" i="5"/>
  <c r="F36" i="5"/>
  <c r="E36" i="5"/>
  <c r="D36" i="5"/>
  <c r="C36" i="5"/>
  <c r="G35" i="5"/>
  <c r="F35" i="5"/>
  <c r="E35" i="5"/>
  <c r="D35" i="5"/>
  <c r="C35" i="5"/>
  <c r="G34" i="5"/>
  <c r="F34" i="5"/>
  <c r="E34" i="5"/>
  <c r="D34" i="5"/>
  <c r="C34" i="5"/>
  <c r="G33" i="5"/>
  <c r="L33" i="5" s="1"/>
  <c r="F33" i="5"/>
  <c r="E33" i="5"/>
  <c r="D33" i="5"/>
  <c r="I33" i="5" s="1"/>
  <c r="G32" i="5"/>
  <c r="F32" i="5"/>
  <c r="E32" i="5"/>
  <c r="D32" i="5"/>
  <c r="C32" i="5"/>
  <c r="G31" i="5"/>
  <c r="F31" i="5"/>
  <c r="E31" i="5"/>
  <c r="D31" i="5"/>
  <c r="C31" i="5"/>
  <c r="G30" i="5"/>
  <c r="F30" i="5"/>
  <c r="E30" i="5"/>
  <c r="D30" i="5"/>
  <c r="C30" i="5"/>
  <c r="G29" i="5"/>
  <c r="F29" i="5"/>
  <c r="E29" i="5"/>
  <c r="D29" i="5"/>
  <c r="C29" i="5"/>
  <c r="G28" i="5"/>
  <c r="F28" i="5"/>
  <c r="E28" i="5"/>
  <c r="D28" i="5"/>
  <c r="C28" i="5"/>
  <c r="O28" i="5" s="1"/>
  <c r="G27" i="5"/>
  <c r="F27" i="5"/>
  <c r="E27" i="5"/>
  <c r="D27" i="5"/>
  <c r="C27" i="5"/>
  <c r="H27" i="5" s="1"/>
  <c r="G26" i="5"/>
  <c r="F26" i="5"/>
  <c r="E26" i="5"/>
  <c r="D26" i="5"/>
  <c r="C26" i="5"/>
  <c r="G25" i="5"/>
  <c r="F25" i="5"/>
  <c r="E25" i="5"/>
  <c r="D25" i="5"/>
  <c r="C25" i="5"/>
  <c r="G24" i="5"/>
  <c r="F24" i="5"/>
  <c r="E24" i="5"/>
  <c r="D24" i="5"/>
  <c r="C24" i="5"/>
  <c r="G23" i="5"/>
  <c r="F23" i="5"/>
  <c r="E23" i="5"/>
  <c r="D23" i="5"/>
  <c r="C23" i="5"/>
  <c r="G22" i="5"/>
  <c r="F22" i="5"/>
  <c r="E22" i="5"/>
  <c r="D22" i="5"/>
  <c r="C22" i="5"/>
  <c r="G21" i="5"/>
  <c r="F21" i="5"/>
  <c r="E21" i="5"/>
  <c r="D21" i="5"/>
  <c r="G20" i="5"/>
  <c r="O20" i="5" s="1"/>
  <c r="F20" i="5"/>
  <c r="E20" i="5"/>
  <c r="D20" i="5"/>
  <c r="C20" i="5"/>
  <c r="G19" i="5"/>
  <c r="F19" i="5"/>
  <c r="E19" i="5"/>
  <c r="D19" i="5"/>
  <c r="O19" i="5" s="1"/>
  <c r="C19" i="5"/>
  <c r="G18" i="5"/>
  <c r="F18" i="5"/>
  <c r="E18" i="5"/>
  <c r="D18" i="5"/>
  <c r="C18" i="5"/>
  <c r="G17" i="5"/>
  <c r="F17" i="5"/>
  <c r="K17" i="5" s="1"/>
  <c r="E17" i="5"/>
  <c r="J17" i="5" s="1"/>
  <c r="D17" i="5"/>
  <c r="C17" i="5"/>
  <c r="G16" i="5"/>
  <c r="F16" i="5"/>
  <c r="E16" i="5"/>
  <c r="D16" i="5"/>
  <c r="C16" i="5"/>
  <c r="G15" i="5"/>
  <c r="F15" i="5"/>
  <c r="E15" i="5"/>
  <c r="D15" i="5"/>
  <c r="C15" i="5"/>
  <c r="G14" i="5"/>
  <c r="F14" i="5"/>
  <c r="E14" i="5"/>
  <c r="D14" i="5"/>
  <c r="C14" i="5"/>
  <c r="G13" i="5"/>
  <c r="F13" i="5"/>
  <c r="E13" i="5"/>
  <c r="D13" i="5"/>
  <c r="C13" i="5"/>
  <c r="G12" i="5"/>
  <c r="F12" i="5"/>
  <c r="E12" i="5"/>
  <c r="D12" i="5"/>
  <c r="C12" i="5"/>
  <c r="O11" i="5"/>
  <c r="G11" i="5"/>
  <c r="F11" i="5"/>
  <c r="E11" i="5"/>
  <c r="D11" i="5"/>
  <c r="C11" i="5"/>
  <c r="G10" i="5"/>
  <c r="F10" i="5"/>
  <c r="E10" i="5"/>
  <c r="D10" i="5"/>
  <c r="C10" i="5"/>
  <c r="G9" i="5"/>
  <c r="F9" i="5"/>
  <c r="E9" i="5"/>
  <c r="D9" i="5"/>
  <c r="C9" i="5"/>
  <c r="G8" i="5"/>
  <c r="F8" i="5"/>
  <c r="E8" i="5"/>
  <c r="D8" i="5"/>
  <c r="C8" i="5"/>
  <c r="O8" i="5" s="1"/>
  <c r="G7" i="5"/>
  <c r="F7" i="5"/>
  <c r="E7" i="5"/>
  <c r="D7" i="5"/>
  <c r="C7" i="5"/>
  <c r="G6" i="5"/>
  <c r="L6" i="5" s="1"/>
  <c r="F6" i="5"/>
  <c r="K6" i="5" s="1"/>
  <c r="E6" i="5"/>
  <c r="J6" i="5" s="1"/>
  <c r="D6" i="5"/>
  <c r="C6" i="5"/>
  <c r="O6" i="5" s="1"/>
  <c r="AN47" i="4"/>
  <c r="AM47" i="4"/>
  <c r="AL47" i="4"/>
  <c r="AJ47" i="4"/>
  <c r="AH47" i="4"/>
  <c r="AG47" i="4"/>
  <c r="AC47" i="4"/>
  <c r="AB47" i="4"/>
  <c r="X47" i="4"/>
  <c r="W47" i="4"/>
  <c r="S47" i="4"/>
  <c r="R47" i="4"/>
  <c r="N47" i="4"/>
  <c r="M47" i="4"/>
  <c r="I47" i="4"/>
  <c r="H47" i="4"/>
  <c r="D47" i="4"/>
  <c r="C47" i="4"/>
  <c r="AM46" i="4"/>
  <c r="AL46" i="4"/>
  <c r="AH46" i="4"/>
  <c r="AG46" i="4"/>
  <c r="AE46" i="4"/>
  <c r="AD46" i="4"/>
  <c r="AC46" i="4"/>
  <c r="AB46" i="4"/>
  <c r="X46" i="4"/>
  <c r="W46" i="4"/>
  <c r="S46" i="4"/>
  <c r="R46" i="4"/>
  <c r="P46" i="4"/>
  <c r="O46" i="4"/>
  <c r="N46" i="4"/>
  <c r="M46" i="4"/>
  <c r="I46" i="4"/>
  <c r="H46" i="4"/>
  <c r="C46" i="4"/>
  <c r="AO45" i="4"/>
  <c r="AM45" i="4"/>
  <c r="AL45" i="4"/>
  <c r="AJ45" i="4"/>
  <c r="AH45" i="4"/>
  <c r="AG45" i="4"/>
  <c r="AC45" i="4"/>
  <c r="AB45" i="4"/>
  <c r="X45" i="4"/>
  <c r="W45" i="4"/>
  <c r="U45" i="4"/>
  <c r="T45" i="4"/>
  <c r="S45" i="4"/>
  <c r="R45" i="4"/>
  <c r="P45" i="4"/>
  <c r="O45" i="4"/>
  <c r="N45" i="4"/>
  <c r="M45" i="4"/>
  <c r="I45" i="4"/>
  <c r="H45" i="4"/>
  <c r="C45" i="4"/>
  <c r="AM44" i="4"/>
  <c r="AL44" i="4"/>
  <c r="AH44" i="4"/>
  <c r="AG44" i="4"/>
  <c r="AC44" i="4"/>
  <c r="AB44" i="4"/>
  <c r="Z44" i="4"/>
  <c r="Y44" i="4"/>
  <c r="X44" i="4"/>
  <c r="W44" i="4"/>
  <c r="S44" i="4"/>
  <c r="R44" i="4"/>
  <c r="N44" i="4"/>
  <c r="M44" i="4"/>
  <c r="K44" i="4"/>
  <c r="J44" i="4"/>
  <c r="I44" i="4"/>
  <c r="H44" i="4"/>
  <c r="C44" i="4"/>
  <c r="AM43" i="4"/>
  <c r="AL43" i="4"/>
  <c r="AH43" i="4"/>
  <c r="AG43" i="4"/>
  <c r="AC43" i="4"/>
  <c r="AB43" i="4"/>
  <c r="X43" i="4"/>
  <c r="W43" i="4"/>
  <c r="S43" i="4"/>
  <c r="R43" i="4"/>
  <c r="N43" i="4"/>
  <c r="M43" i="4"/>
  <c r="I43" i="4"/>
  <c r="H43" i="4"/>
  <c r="C43" i="4"/>
  <c r="AO42" i="4"/>
  <c r="AM42" i="4"/>
  <c r="AL42" i="4"/>
  <c r="AI42" i="4"/>
  <c r="AH42" i="4"/>
  <c r="AG42" i="4"/>
  <c r="AC42" i="4"/>
  <c r="AB42" i="4"/>
  <c r="X42" i="4"/>
  <c r="W42" i="4"/>
  <c r="S42" i="4"/>
  <c r="R42" i="4"/>
  <c r="N42" i="4"/>
  <c r="M42" i="4"/>
  <c r="I42" i="4"/>
  <c r="H42" i="4"/>
  <c r="C42" i="4"/>
  <c r="AM41" i="4"/>
  <c r="AL41" i="4"/>
  <c r="AH41" i="4"/>
  <c r="AG41" i="4"/>
  <c r="AC41" i="4"/>
  <c r="AB41" i="4"/>
  <c r="Z41" i="4"/>
  <c r="Y41" i="4"/>
  <c r="X41" i="4"/>
  <c r="W41" i="4"/>
  <c r="S41" i="4"/>
  <c r="R41" i="4"/>
  <c r="P41" i="4"/>
  <c r="O41" i="4"/>
  <c r="N41" i="4"/>
  <c r="M41" i="4"/>
  <c r="I41" i="4"/>
  <c r="H41" i="4"/>
  <c r="C41" i="4"/>
  <c r="AM40" i="4"/>
  <c r="AL40" i="4"/>
  <c r="AJ40" i="4"/>
  <c r="AH40" i="4"/>
  <c r="AG40" i="4"/>
  <c r="AC40" i="4"/>
  <c r="AB40" i="4"/>
  <c r="X40" i="4"/>
  <c r="W40" i="4"/>
  <c r="S40" i="4"/>
  <c r="R40" i="4"/>
  <c r="N40" i="4"/>
  <c r="M40" i="4"/>
  <c r="K40" i="4"/>
  <c r="J40" i="4"/>
  <c r="I40" i="4"/>
  <c r="H40" i="4"/>
  <c r="C40" i="4"/>
  <c r="AO39" i="4"/>
  <c r="AN39" i="4"/>
  <c r="AM39" i="4"/>
  <c r="AL39" i="4"/>
  <c r="AJ39" i="4"/>
  <c r="AH39" i="4"/>
  <c r="AG39" i="4"/>
  <c r="AC39" i="4"/>
  <c r="AB39" i="4"/>
  <c r="X39" i="4"/>
  <c r="W39" i="4"/>
  <c r="S39" i="4"/>
  <c r="R39" i="4"/>
  <c r="N39" i="4"/>
  <c r="M39" i="4"/>
  <c r="I39" i="4"/>
  <c r="H39" i="4"/>
  <c r="C39" i="4"/>
  <c r="AO38" i="4"/>
  <c r="AM38" i="4"/>
  <c r="AL38" i="4"/>
  <c r="AH38" i="4"/>
  <c r="AG38" i="4"/>
  <c r="AE38" i="4"/>
  <c r="AD38" i="4"/>
  <c r="AC38" i="4"/>
  <c r="AB38" i="4"/>
  <c r="X38" i="4"/>
  <c r="W38" i="4"/>
  <c r="U38" i="4"/>
  <c r="T38" i="4"/>
  <c r="S38" i="4"/>
  <c r="R38" i="4"/>
  <c r="N38" i="4"/>
  <c r="M38" i="4"/>
  <c r="K38" i="4"/>
  <c r="I38" i="4"/>
  <c r="H38" i="4"/>
  <c r="C38" i="4"/>
  <c r="AM37" i="4"/>
  <c r="AL37" i="4"/>
  <c r="AH37" i="4"/>
  <c r="AG37" i="4"/>
  <c r="AC37" i="4"/>
  <c r="AB37" i="4"/>
  <c r="Z37" i="4"/>
  <c r="Y37" i="4"/>
  <c r="X37" i="4"/>
  <c r="W37" i="4"/>
  <c r="S37" i="4"/>
  <c r="R37" i="4"/>
  <c r="P37" i="4"/>
  <c r="O37" i="4"/>
  <c r="N37" i="4"/>
  <c r="M37" i="4"/>
  <c r="K37" i="4"/>
  <c r="J37" i="4"/>
  <c r="I37" i="4"/>
  <c r="H37" i="4"/>
  <c r="C37" i="4"/>
  <c r="AM36" i="4"/>
  <c r="AL36" i="4"/>
  <c r="AH36" i="4"/>
  <c r="AG36" i="4"/>
  <c r="AC36" i="4"/>
  <c r="AB36" i="4"/>
  <c r="X36" i="4"/>
  <c r="W36" i="4"/>
  <c r="S36" i="4"/>
  <c r="R36" i="4"/>
  <c r="N36" i="4"/>
  <c r="M36" i="4"/>
  <c r="I36" i="4"/>
  <c r="H36" i="4"/>
  <c r="C36" i="4"/>
  <c r="AN35" i="4"/>
  <c r="AM35" i="4"/>
  <c r="AL35" i="4"/>
  <c r="AH35" i="4"/>
  <c r="AG35" i="4"/>
  <c r="AE35" i="4"/>
  <c r="AD35" i="4"/>
  <c r="AC35" i="4"/>
  <c r="AB35" i="4"/>
  <c r="X35" i="4"/>
  <c r="W35" i="4"/>
  <c r="S35" i="4"/>
  <c r="R35" i="4"/>
  <c r="N35" i="4"/>
  <c r="M35" i="4"/>
  <c r="K35" i="4"/>
  <c r="J35" i="4"/>
  <c r="I35" i="4"/>
  <c r="H35" i="4"/>
  <c r="C35" i="4"/>
  <c r="AM34" i="4"/>
  <c r="AL34" i="4"/>
  <c r="AI34" i="4"/>
  <c r="AH34" i="4"/>
  <c r="AG34" i="4"/>
  <c r="AC34" i="4"/>
  <c r="AB34" i="4"/>
  <c r="X34" i="4"/>
  <c r="W34" i="4"/>
  <c r="U34" i="4"/>
  <c r="T34" i="4"/>
  <c r="S34" i="4"/>
  <c r="R34" i="4"/>
  <c r="N34" i="4"/>
  <c r="M34" i="4"/>
  <c r="K34" i="4"/>
  <c r="J34" i="4"/>
  <c r="I34" i="4"/>
  <c r="H34" i="4"/>
  <c r="C34" i="4"/>
  <c r="AO33" i="4"/>
  <c r="AM33" i="4"/>
  <c r="AL33" i="4"/>
  <c r="AI33" i="4"/>
  <c r="AH33" i="4"/>
  <c r="AG33" i="4"/>
  <c r="AC33" i="4"/>
  <c r="AB33" i="4"/>
  <c r="X33" i="4"/>
  <c r="W33" i="4"/>
  <c r="S33" i="4"/>
  <c r="R33" i="4"/>
  <c r="N33" i="4"/>
  <c r="M33" i="4"/>
  <c r="I33" i="4"/>
  <c r="H33" i="4"/>
  <c r="C33" i="4"/>
  <c r="AM32" i="4"/>
  <c r="AL32" i="4"/>
  <c r="AH32" i="4"/>
  <c r="AG32" i="4"/>
  <c r="AC32" i="4"/>
  <c r="AB32" i="4"/>
  <c r="X32" i="4"/>
  <c r="W32" i="4"/>
  <c r="S32" i="4"/>
  <c r="R32" i="4"/>
  <c r="N32" i="4"/>
  <c r="M32" i="4"/>
  <c r="I32" i="4"/>
  <c r="H32" i="4"/>
  <c r="C32" i="4"/>
  <c r="AM31" i="4"/>
  <c r="AL31" i="4"/>
  <c r="AJ31" i="4"/>
  <c r="AI31" i="4"/>
  <c r="AH31" i="4"/>
  <c r="AG31" i="4"/>
  <c r="AE31" i="4"/>
  <c r="AD31" i="4"/>
  <c r="AC31" i="4"/>
  <c r="AB31" i="4"/>
  <c r="X31" i="4"/>
  <c r="W31" i="4"/>
  <c r="S31" i="4"/>
  <c r="R31" i="4"/>
  <c r="P31" i="4"/>
  <c r="O31" i="4"/>
  <c r="N31" i="4"/>
  <c r="M31" i="4"/>
  <c r="I31" i="4"/>
  <c r="H31" i="4"/>
  <c r="C31" i="4"/>
  <c r="AN30" i="4"/>
  <c r="AM30" i="4"/>
  <c r="AL30" i="4"/>
  <c r="AH30" i="4"/>
  <c r="AG30" i="4"/>
  <c r="AC30" i="4"/>
  <c r="AB30" i="4"/>
  <c r="X30" i="4"/>
  <c r="W30" i="4"/>
  <c r="S30" i="4"/>
  <c r="R30" i="4"/>
  <c r="P30" i="4"/>
  <c r="O30" i="4"/>
  <c r="N30" i="4"/>
  <c r="M30" i="4"/>
  <c r="I30" i="4"/>
  <c r="H30" i="4"/>
  <c r="C30" i="4"/>
  <c r="AM29" i="4"/>
  <c r="AL29" i="4"/>
  <c r="AH29" i="4"/>
  <c r="AG29" i="4"/>
  <c r="AC29" i="4"/>
  <c r="AB29" i="4"/>
  <c r="X29" i="4"/>
  <c r="W29" i="4"/>
  <c r="S29" i="4"/>
  <c r="R29" i="4"/>
  <c r="N29" i="4"/>
  <c r="M29" i="4"/>
  <c r="I29" i="4"/>
  <c r="H29" i="4"/>
  <c r="C29" i="4"/>
  <c r="AM28" i="4"/>
  <c r="AL28" i="4"/>
  <c r="AH28" i="4"/>
  <c r="AG28" i="4"/>
  <c r="AC28" i="4"/>
  <c r="AB28" i="4"/>
  <c r="X28" i="4"/>
  <c r="W28" i="4"/>
  <c r="S28" i="4"/>
  <c r="R28" i="4"/>
  <c r="P28" i="4"/>
  <c r="O28" i="4"/>
  <c r="N28" i="4"/>
  <c r="M28" i="4"/>
  <c r="I28" i="4"/>
  <c r="H28" i="4"/>
  <c r="C28" i="4"/>
  <c r="AM27" i="4"/>
  <c r="AL27" i="4"/>
  <c r="AH27" i="4"/>
  <c r="AG27" i="4"/>
  <c r="AC27" i="4"/>
  <c r="AB27" i="4"/>
  <c r="X27" i="4"/>
  <c r="W27" i="4"/>
  <c r="S27" i="4"/>
  <c r="R27" i="4"/>
  <c r="N27" i="4"/>
  <c r="M27" i="4"/>
  <c r="K27" i="4"/>
  <c r="J27" i="4"/>
  <c r="I27" i="4"/>
  <c r="H27" i="4"/>
  <c r="C27" i="4"/>
  <c r="AM26" i="4"/>
  <c r="AL26" i="4"/>
  <c r="AH26" i="4"/>
  <c r="AG26" i="4"/>
  <c r="AC26" i="4"/>
  <c r="AB26" i="4"/>
  <c r="X26" i="4"/>
  <c r="W26" i="4"/>
  <c r="U26" i="4"/>
  <c r="T26" i="4"/>
  <c r="S26" i="4"/>
  <c r="R26" i="4"/>
  <c r="N26" i="4"/>
  <c r="M26" i="4"/>
  <c r="K26" i="4"/>
  <c r="J26" i="4"/>
  <c r="I26" i="4"/>
  <c r="H26" i="4"/>
  <c r="C26" i="4"/>
  <c r="AM25" i="4"/>
  <c r="AL25" i="4"/>
  <c r="AJ25" i="4"/>
  <c r="AH25" i="4"/>
  <c r="AG25" i="4"/>
  <c r="AC25" i="4"/>
  <c r="AB25" i="4"/>
  <c r="X25" i="4"/>
  <c r="W25" i="4"/>
  <c r="S25" i="4"/>
  <c r="R25" i="4"/>
  <c r="P25" i="4"/>
  <c r="O25" i="4"/>
  <c r="N25" i="4"/>
  <c r="M25" i="4"/>
  <c r="I25" i="4"/>
  <c r="H25" i="4"/>
  <c r="C25" i="4"/>
  <c r="AM24" i="4"/>
  <c r="AL24" i="4"/>
  <c r="AH24" i="4"/>
  <c r="AG24" i="4"/>
  <c r="AC24" i="4"/>
  <c r="AB24" i="4"/>
  <c r="X24" i="4"/>
  <c r="W24" i="4"/>
  <c r="S24" i="4"/>
  <c r="R24" i="4"/>
  <c r="N24" i="4"/>
  <c r="M24" i="4"/>
  <c r="K24" i="4"/>
  <c r="J24" i="4"/>
  <c r="I24" i="4"/>
  <c r="H24" i="4"/>
  <c r="C24" i="4"/>
  <c r="AN23" i="4"/>
  <c r="AM23" i="4"/>
  <c r="AL23" i="4"/>
  <c r="AH23" i="4"/>
  <c r="AG23" i="4"/>
  <c r="AC23" i="4"/>
  <c r="AB23" i="4"/>
  <c r="Z23" i="4"/>
  <c r="Y23" i="4"/>
  <c r="X23" i="4"/>
  <c r="W23" i="4"/>
  <c r="S23" i="4"/>
  <c r="R23" i="4"/>
  <c r="N23" i="4"/>
  <c r="M23" i="4"/>
  <c r="I23" i="4"/>
  <c r="H23" i="4"/>
  <c r="C23" i="4"/>
  <c r="AM22" i="4"/>
  <c r="AL22" i="4"/>
  <c r="AJ22" i="4"/>
  <c r="AH22" i="4"/>
  <c r="AG22" i="4"/>
  <c r="AC22" i="4"/>
  <c r="AB22" i="4"/>
  <c r="X22" i="4"/>
  <c r="W22" i="4"/>
  <c r="S22" i="4"/>
  <c r="R22" i="4"/>
  <c r="P22" i="4"/>
  <c r="O22" i="4"/>
  <c r="N22" i="4"/>
  <c r="M22" i="4"/>
  <c r="K22" i="4"/>
  <c r="J22" i="4"/>
  <c r="I22" i="4"/>
  <c r="H22" i="4"/>
  <c r="C22" i="4"/>
  <c r="AN21" i="4"/>
  <c r="AM21" i="4"/>
  <c r="AL21" i="4"/>
  <c r="AH21" i="4"/>
  <c r="AG21" i="4"/>
  <c r="AC21" i="4"/>
  <c r="AB21" i="4"/>
  <c r="Z21" i="4"/>
  <c r="Y21" i="4"/>
  <c r="X21" i="4"/>
  <c r="W21" i="4"/>
  <c r="S21" i="4"/>
  <c r="R21" i="4"/>
  <c r="N21" i="4"/>
  <c r="M21" i="4"/>
  <c r="I21" i="4"/>
  <c r="H21" i="4"/>
  <c r="C21" i="4"/>
  <c r="AM20" i="4"/>
  <c r="AL20" i="4"/>
  <c r="AJ20" i="4"/>
  <c r="AH20" i="4"/>
  <c r="AG20" i="4"/>
  <c r="AC20" i="4"/>
  <c r="AB20" i="4"/>
  <c r="Z20" i="4"/>
  <c r="Y20" i="4"/>
  <c r="X20" i="4"/>
  <c r="W20" i="4"/>
  <c r="S20" i="4"/>
  <c r="R20" i="4"/>
  <c r="N20" i="4"/>
  <c r="M20" i="4"/>
  <c r="K20" i="4"/>
  <c r="J20" i="4"/>
  <c r="I20" i="4"/>
  <c r="H20" i="4"/>
  <c r="C20" i="4"/>
  <c r="AM19" i="4"/>
  <c r="AL19" i="4"/>
  <c r="AJ19" i="4"/>
  <c r="AH19" i="4"/>
  <c r="AG19" i="4"/>
  <c r="AC19" i="4"/>
  <c r="AB19" i="4"/>
  <c r="X19" i="4"/>
  <c r="W19" i="4"/>
  <c r="S19" i="4"/>
  <c r="R19" i="4"/>
  <c r="N19" i="4"/>
  <c r="M19" i="4"/>
  <c r="I19" i="4"/>
  <c r="H19" i="4"/>
  <c r="C19" i="4"/>
  <c r="AM18" i="4"/>
  <c r="AL18" i="4"/>
  <c r="AH18" i="4"/>
  <c r="AG18" i="4"/>
  <c r="AC18" i="4"/>
  <c r="AB18" i="4"/>
  <c r="X18" i="4"/>
  <c r="W18" i="4"/>
  <c r="S18" i="4"/>
  <c r="R18" i="4"/>
  <c r="P18" i="4"/>
  <c r="O18" i="4"/>
  <c r="N18" i="4"/>
  <c r="M18" i="4"/>
  <c r="I18" i="4"/>
  <c r="H18" i="4"/>
  <c r="C18" i="4"/>
  <c r="AO17" i="4"/>
  <c r="AN17" i="4"/>
  <c r="AM17" i="4"/>
  <c r="AL17" i="4"/>
  <c r="AH17" i="4"/>
  <c r="AG17" i="4"/>
  <c r="AC17" i="4"/>
  <c r="AB17" i="4"/>
  <c r="Z17" i="4"/>
  <c r="Y17" i="4"/>
  <c r="X17" i="4"/>
  <c r="W17" i="4"/>
  <c r="S17" i="4"/>
  <c r="R17" i="4"/>
  <c r="N17" i="4"/>
  <c r="M17" i="4"/>
  <c r="I17" i="4"/>
  <c r="H17" i="4"/>
  <c r="C17" i="4"/>
  <c r="AM16" i="4"/>
  <c r="AL16" i="4"/>
  <c r="AJ16" i="4"/>
  <c r="AI16" i="4"/>
  <c r="AH16" i="4"/>
  <c r="AG16" i="4"/>
  <c r="AE16" i="4"/>
  <c r="AD16" i="4"/>
  <c r="AC16" i="4"/>
  <c r="AB16" i="4"/>
  <c r="Z16" i="4"/>
  <c r="Y16" i="4"/>
  <c r="X16" i="4"/>
  <c r="W16" i="4"/>
  <c r="S16" i="4"/>
  <c r="R16" i="4"/>
  <c r="N16" i="4"/>
  <c r="M16" i="4"/>
  <c r="K16" i="4"/>
  <c r="J16" i="4"/>
  <c r="I16" i="4"/>
  <c r="H16" i="4"/>
  <c r="C16" i="4"/>
  <c r="AO15" i="4"/>
  <c r="AM15" i="4"/>
  <c r="AL15" i="4"/>
  <c r="AJ15" i="4"/>
  <c r="AI15" i="4"/>
  <c r="AH15" i="4"/>
  <c r="AG15" i="4"/>
  <c r="AC15" i="4"/>
  <c r="AB15" i="4"/>
  <c r="X15" i="4"/>
  <c r="W15" i="4"/>
  <c r="S15" i="4"/>
  <c r="R15" i="4"/>
  <c r="N15" i="4"/>
  <c r="M15" i="4"/>
  <c r="I15" i="4"/>
  <c r="H15" i="4"/>
  <c r="C15" i="4"/>
  <c r="AM14" i="4"/>
  <c r="AL14" i="4"/>
  <c r="AH14" i="4"/>
  <c r="AG14" i="4"/>
  <c r="AC14" i="4"/>
  <c r="AB14" i="4"/>
  <c r="X14" i="4"/>
  <c r="W14" i="4"/>
  <c r="S14" i="4"/>
  <c r="R14" i="4"/>
  <c r="N14" i="4"/>
  <c r="M14" i="4"/>
  <c r="I14" i="4"/>
  <c r="H14" i="4"/>
  <c r="C14" i="4"/>
  <c r="AM13" i="4"/>
  <c r="AL13" i="4"/>
  <c r="AI13" i="4"/>
  <c r="AH13" i="4"/>
  <c r="AG13" i="4"/>
  <c r="AC13" i="4"/>
  <c r="AB13" i="4"/>
  <c r="X13" i="4"/>
  <c r="W13" i="4"/>
  <c r="U13" i="4"/>
  <c r="T13" i="4"/>
  <c r="S13" i="4"/>
  <c r="R13" i="4"/>
  <c r="N13" i="4"/>
  <c r="M13" i="4"/>
  <c r="K13" i="4"/>
  <c r="J13" i="4"/>
  <c r="I13" i="4"/>
  <c r="H13" i="4"/>
  <c r="C13" i="4"/>
  <c r="AM12" i="4"/>
  <c r="AL12" i="4"/>
  <c r="AH12" i="4"/>
  <c r="AG12" i="4"/>
  <c r="AC12" i="4"/>
  <c r="AB12" i="4"/>
  <c r="X12" i="4"/>
  <c r="W12" i="4"/>
  <c r="S12" i="4"/>
  <c r="R12" i="4"/>
  <c r="N12" i="4"/>
  <c r="M12" i="4"/>
  <c r="I12" i="4"/>
  <c r="H12" i="4"/>
  <c r="C12" i="4"/>
  <c r="AN11" i="4"/>
  <c r="AM11" i="4"/>
  <c r="AL11" i="4"/>
  <c r="AH11" i="4"/>
  <c r="AG11" i="4"/>
  <c r="AC11" i="4"/>
  <c r="AB11" i="4"/>
  <c r="X11" i="4"/>
  <c r="W11" i="4"/>
  <c r="S11" i="4"/>
  <c r="R11" i="4"/>
  <c r="N11" i="4"/>
  <c r="M11" i="4"/>
  <c r="I11" i="4"/>
  <c r="H11" i="4"/>
  <c r="C11" i="4"/>
  <c r="AM10" i="4"/>
  <c r="AL10" i="4"/>
  <c r="AI10" i="4"/>
  <c r="AH10" i="4"/>
  <c r="AG10" i="4"/>
  <c r="AC10" i="4"/>
  <c r="AB10" i="4"/>
  <c r="X10" i="4"/>
  <c r="W10" i="4"/>
  <c r="S10" i="4"/>
  <c r="R10" i="4"/>
  <c r="N10" i="4"/>
  <c r="M10" i="4"/>
  <c r="I10" i="4"/>
  <c r="H10" i="4"/>
  <c r="C10" i="4"/>
  <c r="AO9" i="4"/>
  <c r="AM9" i="4"/>
  <c r="AL9" i="4"/>
  <c r="AJ9" i="4"/>
  <c r="AI9" i="4"/>
  <c r="AH9" i="4"/>
  <c r="AG9" i="4"/>
  <c r="AE9" i="4"/>
  <c r="AD9" i="4"/>
  <c r="AC9" i="4"/>
  <c r="AB9" i="4"/>
  <c r="X9" i="4"/>
  <c r="W9" i="4"/>
  <c r="U9" i="4"/>
  <c r="T9" i="4"/>
  <c r="S9" i="4"/>
  <c r="R9" i="4"/>
  <c r="N9" i="4"/>
  <c r="M9" i="4"/>
  <c r="K9" i="4"/>
  <c r="J9" i="4"/>
  <c r="I9" i="4"/>
  <c r="H9" i="4"/>
  <c r="C9" i="4"/>
  <c r="AM8" i="4"/>
  <c r="AL8" i="4"/>
  <c r="AH8" i="4"/>
  <c r="AG8" i="4"/>
  <c r="AC8" i="4"/>
  <c r="AB8" i="4"/>
  <c r="X8" i="4"/>
  <c r="W8" i="4"/>
  <c r="S8" i="4"/>
  <c r="R8" i="4"/>
  <c r="P8" i="4"/>
  <c r="O8" i="4"/>
  <c r="N8" i="4"/>
  <c r="M8" i="4"/>
  <c r="I8" i="4"/>
  <c r="H8" i="4"/>
  <c r="C8" i="4"/>
  <c r="AM7" i="4"/>
  <c r="AL7" i="4"/>
  <c r="AH7" i="4"/>
  <c r="AG7" i="4"/>
  <c r="AC7" i="4"/>
  <c r="AB7" i="4"/>
  <c r="X7" i="4"/>
  <c r="W7" i="4"/>
  <c r="S7" i="4"/>
  <c r="R7" i="4"/>
  <c r="N7" i="4"/>
  <c r="M7" i="4"/>
  <c r="I7" i="4"/>
  <c r="H7" i="4"/>
  <c r="C7" i="4"/>
  <c r="AM6" i="4"/>
  <c r="AL6" i="4"/>
  <c r="AH6" i="4"/>
  <c r="AG6" i="4"/>
  <c r="AE6" i="4"/>
  <c r="AD6" i="4"/>
  <c r="AC6" i="4"/>
  <c r="AB6" i="4"/>
  <c r="Z6" i="4"/>
  <c r="Y6" i="4"/>
  <c r="X6" i="4"/>
  <c r="W6" i="4"/>
  <c r="S6" i="4"/>
  <c r="R6" i="4"/>
  <c r="N6" i="4"/>
  <c r="M6" i="4"/>
  <c r="I6" i="4"/>
  <c r="H6" i="4"/>
  <c r="C6" i="4"/>
  <c r="AN5" i="4"/>
  <c r="AM5" i="4"/>
  <c r="AL5" i="4"/>
  <c r="AH5" i="4"/>
  <c r="AG5" i="4"/>
  <c r="AC5" i="4"/>
  <c r="AB5" i="4"/>
  <c r="X5" i="4"/>
  <c r="W5" i="4"/>
  <c r="S5" i="4"/>
  <c r="R5" i="4"/>
  <c r="N5" i="4"/>
  <c r="M5" i="4"/>
  <c r="H5" i="4"/>
  <c r="C5" i="4"/>
  <c r="AM4" i="4"/>
  <c r="AL4" i="4"/>
  <c r="AJ4" i="4"/>
  <c r="AH4" i="4"/>
  <c r="AG4" i="4"/>
  <c r="AC4" i="4"/>
  <c r="AB4" i="4"/>
  <c r="X4" i="4"/>
  <c r="W4" i="4"/>
  <c r="S4" i="4"/>
  <c r="R4" i="4"/>
  <c r="N4" i="4"/>
  <c r="M4" i="4"/>
  <c r="K4" i="4"/>
  <c r="J4" i="4"/>
  <c r="I4" i="4"/>
  <c r="H4" i="4"/>
  <c r="C4" i="4"/>
  <c r="B309" i="3"/>
  <c r="B309" i="5" s="1"/>
  <c r="B308" i="3"/>
  <c r="B308" i="5" s="1"/>
  <c r="B307" i="3"/>
  <c r="C307" i="3" s="1"/>
  <c r="B306" i="3"/>
  <c r="B306" i="5" s="1"/>
  <c r="K306" i="5" s="1"/>
  <c r="B305" i="3"/>
  <c r="C305" i="3" s="1"/>
  <c r="E305" i="3" s="1"/>
  <c r="F43" i="4" s="1"/>
  <c r="B304" i="3"/>
  <c r="B303" i="3"/>
  <c r="B303" i="5" s="1"/>
  <c r="H303" i="5" s="1"/>
  <c r="B302" i="3"/>
  <c r="B301" i="3"/>
  <c r="C301" i="3" s="1"/>
  <c r="E39" i="4" s="1"/>
  <c r="B300" i="3"/>
  <c r="B300" i="5" s="1"/>
  <c r="B299" i="3"/>
  <c r="C300" i="3" s="1"/>
  <c r="B298" i="3"/>
  <c r="D36" i="4" s="1"/>
  <c r="B297" i="3"/>
  <c r="B297" i="5" s="1"/>
  <c r="B296" i="3"/>
  <c r="B295" i="3"/>
  <c r="B294" i="3"/>
  <c r="B294" i="5" s="1"/>
  <c r="B293" i="3"/>
  <c r="D31" i="4" s="1"/>
  <c r="B292" i="3"/>
  <c r="D291" i="3"/>
  <c r="B291" i="3"/>
  <c r="B291" i="5" s="1"/>
  <c r="H291" i="5" s="1"/>
  <c r="B290" i="3"/>
  <c r="D294" i="3" s="1"/>
  <c r="N26" i="1" s="1"/>
  <c r="E289" i="3"/>
  <c r="F27" i="4" s="1"/>
  <c r="C289" i="3"/>
  <c r="E27" i="4" s="1"/>
  <c r="B289" i="3"/>
  <c r="B288" i="3"/>
  <c r="B288" i="5" s="1"/>
  <c r="B287" i="3"/>
  <c r="D25" i="4" s="1"/>
  <c r="B286" i="3"/>
  <c r="B285" i="3"/>
  <c r="B284" i="3"/>
  <c r="B283" i="3"/>
  <c r="B282" i="3"/>
  <c r="D282" i="3" s="1"/>
  <c r="B281" i="3"/>
  <c r="B280" i="3"/>
  <c r="B279" i="3"/>
  <c r="B278" i="3"/>
  <c r="D16" i="4" s="1"/>
  <c r="B277" i="3"/>
  <c r="B276" i="3"/>
  <c r="D276" i="3" s="1"/>
  <c r="D275" i="3"/>
  <c r="B275" i="3"/>
  <c r="D13" i="4" s="1"/>
  <c r="B274" i="3"/>
  <c r="B273" i="3"/>
  <c r="B272" i="3"/>
  <c r="D10" i="4" s="1"/>
  <c r="B271" i="3"/>
  <c r="B270" i="3"/>
  <c r="B269" i="3"/>
  <c r="D269" i="3" s="1"/>
  <c r="B268" i="3"/>
  <c r="B267" i="3"/>
  <c r="B267" i="5" s="1"/>
  <c r="B266" i="3"/>
  <c r="D4" i="4" s="1"/>
  <c r="B265" i="3"/>
  <c r="D264" i="3"/>
  <c r="B264" i="3"/>
  <c r="B264" i="5" s="1"/>
  <c r="B263" i="3"/>
  <c r="C264" i="3" s="1"/>
  <c r="E264" i="3" s="1"/>
  <c r="B262" i="3"/>
  <c r="B261" i="3"/>
  <c r="B261" i="5" s="1"/>
  <c r="B260" i="3"/>
  <c r="B259" i="3"/>
  <c r="C259" i="3" s="1"/>
  <c r="E259" i="3" s="1"/>
  <c r="D258" i="3"/>
  <c r="B258" i="3"/>
  <c r="B258" i="5" s="1"/>
  <c r="B257" i="3"/>
  <c r="D257" i="3" s="1"/>
  <c r="B256" i="3"/>
  <c r="B255" i="3"/>
  <c r="B254" i="3"/>
  <c r="B253" i="3"/>
  <c r="B252" i="3"/>
  <c r="B252" i="5" s="1"/>
  <c r="D251" i="3"/>
  <c r="B251" i="3"/>
  <c r="B250" i="3"/>
  <c r="D254" i="3" s="1"/>
  <c r="B249" i="3"/>
  <c r="B249" i="5" s="1"/>
  <c r="B248" i="3"/>
  <c r="D248" i="3" s="1"/>
  <c r="B247" i="3"/>
  <c r="B246" i="3"/>
  <c r="B246" i="5" s="1"/>
  <c r="B245" i="3"/>
  <c r="B244" i="3"/>
  <c r="B243" i="3"/>
  <c r="B243" i="5" s="1"/>
  <c r="B242" i="3"/>
  <c r="B241" i="3"/>
  <c r="B240" i="3"/>
  <c r="B240" i="5" s="1"/>
  <c r="B239" i="3"/>
  <c r="B238" i="3"/>
  <c r="B237" i="3"/>
  <c r="B236" i="3"/>
  <c r="B235" i="3"/>
  <c r="D239" i="3" s="1"/>
  <c r="B234" i="3"/>
  <c r="B234" i="5" s="1"/>
  <c r="B233" i="3"/>
  <c r="D233" i="3" s="1"/>
  <c r="B232" i="3"/>
  <c r="B231" i="3"/>
  <c r="B231" i="5" s="1"/>
  <c r="B230" i="3"/>
  <c r="B229" i="3"/>
  <c r="B228" i="3"/>
  <c r="B228" i="5" s="1"/>
  <c r="B227" i="3"/>
  <c r="B226" i="3"/>
  <c r="B225" i="3"/>
  <c r="B225" i="5" s="1"/>
  <c r="L225" i="5" s="1"/>
  <c r="B224" i="3"/>
  <c r="B223" i="3"/>
  <c r="C223" i="3" s="1"/>
  <c r="E223" i="3" s="1"/>
  <c r="D222" i="3"/>
  <c r="B222" i="3"/>
  <c r="B222" i="5" s="1"/>
  <c r="H222" i="5" s="1"/>
  <c r="B221" i="3"/>
  <c r="D221" i="3" s="1"/>
  <c r="B220" i="3"/>
  <c r="B219" i="3"/>
  <c r="B218" i="3"/>
  <c r="B217" i="3"/>
  <c r="B216" i="3"/>
  <c r="B216" i="5" s="1"/>
  <c r="D215" i="3"/>
  <c r="B215" i="3"/>
  <c r="B214" i="3"/>
  <c r="B213" i="3"/>
  <c r="B213" i="5" s="1"/>
  <c r="L213" i="5" s="1"/>
  <c r="B212" i="3"/>
  <c r="B211" i="3"/>
  <c r="B210" i="3"/>
  <c r="B210" i="5" s="1"/>
  <c r="H210" i="5" s="1"/>
  <c r="B209" i="3"/>
  <c r="B208" i="3"/>
  <c r="B207" i="3"/>
  <c r="B207" i="5" s="1"/>
  <c r="I207" i="5" s="1"/>
  <c r="B206" i="3"/>
  <c r="B205" i="3"/>
  <c r="B204" i="3"/>
  <c r="B204" i="5" s="1"/>
  <c r="D203" i="3"/>
  <c r="B203" i="3"/>
  <c r="B202" i="3"/>
  <c r="B201" i="3"/>
  <c r="B200" i="3"/>
  <c r="B199" i="3"/>
  <c r="B198" i="3"/>
  <c r="B198" i="5" s="1"/>
  <c r="H198" i="5" s="1"/>
  <c r="B197" i="3"/>
  <c r="D197" i="3" s="1"/>
  <c r="B196" i="3"/>
  <c r="D200" i="3" s="1"/>
  <c r="B195" i="3"/>
  <c r="B195" i="5" s="1"/>
  <c r="B194" i="3"/>
  <c r="B193" i="3"/>
  <c r="D192" i="3"/>
  <c r="B192" i="3"/>
  <c r="B192" i="5" s="1"/>
  <c r="K192" i="5" s="1"/>
  <c r="B191" i="3"/>
  <c r="B190" i="3"/>
  <c r="B189" i="3"/>
  <c r="B189" i="5" s="1"/>
  <c r="L189" i="5" s="1"/>
  <c r="B188" i="3"/>
  <c r="B187" i="3"/>
  <c r="D186" i="3"/>
  <c r="B186" i="3"/>
  <c r="B186" i="5" s="1"/>
  <c r="H186" i="5" s="1"/>
  <c r="B185" i="3"/>
  <c r="D185" i="3" s="1"/>
  <c r="B184" i="3"/>
  <c r="B183" i="3"/>
  <c r="B182" i="3"/>
  <c r="B181" i="3"/>
  <c r="B180" i="3"/>
  <c r="B180" i="5" s="1"/>
  <c r="B179" i="3"/>
  <c r="D179" i="3" s="1"/>
  <c r="B178" i="3"/>
  <c r="B177" i="3"/>
  <c r="B177" i="5" s="1"/>
  <c r="J177" i="5" s="1"/>
  <c r="B176" i="3"/>
  <c r="B175" i="3"/>
  <c r="B174" i="3"/>
  <c r="B174" i="5" s="1"/>
  <c r="B173" i="3"/>
  <c r="B172" i="3"/>
  <c r="B171" i="3"/>
  <c r="B171" i="5" s="1"/>
  <c r="B170" i="3"/>
  <c r="B169" i="3"/>
  <c r="B168" i="3"/>
  <c r="B168" i="5" s="1"/>
  <c r="J168" i="5" s="1"/>
  <c r="D167" i="3"/>
  <c r="B167" i="3"/>
  <c r="B166" i="3"/>
  <c r="B165" i="3"/>
  <c r="B164" i="3"/>
  <c r="B163" i="3"/>
  <c r="B162" i="3"/>
  <c r="B162" i="5" s="1"/>
  <c r="B161" i="3"/>
  <c r="D161" i="3" s="1"/>
  <c r="B160" i="3"/>
  <c r="B159" i="3"/>
  <c r="B159" i="5" s="1"/>
  <c r="B158" i="3"/>
  <c r="B157" i="3"/>
  <c r="D156" i="3"/>
  <c r="B156" i="3"/>
  <c r="B156" i="5" s="1"/>
  <c r="I156" i="5" s="1"/>
  <c r="B155" i="3"/>
  <c r="D155" i="3" s="1"/>
  <c r="B154" i="3"/>
  <c r="B153" i="3"/>
  <c r="B153" i="5" s="1"/>
  <c r="B152" i="3"/>
  <c r="B151" i="3"/>
  <c r="B150" i="3"/>
  <c r="B150" i="5" s="1"/>
  <c r="B149" i="3"/>
  <c r="D149" i="3" s="1"/>
  <c r="B148" i="3"/>
  <c r="B147" i="3"/>
  <c r="B146" i="3"/>
  <c r="D150" i="3" s="1"/>
  <c r="B145" i="3"/>
  <c r="B144" i="3"/>
  <c r="B144" i="5" s="1"/>
  <c r="I144" i="5" s="1"/>
  <c r="B143" i="3"/>
  <c r="B143" i="5" s="1"/>
  <c r="K143" i="5" s="1"/>
  <c r="B142" i="3"/>
  <c r="B141" i="3"/>
  <c r="B141" i="5" s="1"/>
  <c r="B140" i="3"/>
  <c r="B140" i="5" s="1"/>
  <c r="J140" i="5" s="1"/>
  <c r="B139" i="3"/>
  <c r="B138" i="3"/>
  <c r="B138" i="5" s="1"/>
  <c r="B137" i="3"/>
  <c r="C136" i="3"/>
  <c r="E136" i="3" s="1"/>
  <c r="B136" i="3"/>
  <c r="B135" i="3"/>
  <c r="B135" i="5" s="1"/>
  <c r="J135" i="5" s="1"/>
  <c r="B134" i="3"/>
  <c r="B134" i="5" s="1"/>
  <c r="K134" i="5" s="1"/>
  <c r="B133" i="3"/>
  <c r="B132" i="3"/>
  <c r="B132" i="5" s="1"/>
  <c r="I132" i="5" s="1"/>
  <c r="B131" i="3"/>
  <c r="B131" i="5" s="1"/>
  <c r="B130" i="3"/>
  <c r="C130" i="3" s="1"/>
  <c r="E130" i="3" s="1"/>
  <c r="B129" i="3"/>
  <c r="B129" i="5" s="1"/>
  <c r="B128" i="3"/>
  <c r="B128" i="5" s="1"/>
  <c r="B127" i="3"/>
  <c r="B126" i="3"/>
  <c r="B126" i="5" s="1"/>
  <c r="B125" i="3"/>
  <c r="D125" i="3" s="1"/>
  <c r="B124" i="3"/>
  <c r="B123" i="3"/>
  <c r="B123" i="5" s="1"/>
  <c r="I123" i="5" s="1"/>
  <c r="B122" i="3"/>
  <c r="B122" i="5" s="1"/>
  <c r="B121" i="3"/>
  <c r="D120" i="3"/>
  <c r="B120" i="3"/>
  <c r="B120" i="5" s="1"/>
  <c r="I120" i="5" s="1"/>
  <c r="B119" i="3"/>
  <c r="D119" i="3" s="1"/>
  <c r="B118" i="3"/>
  <c r="D122" i="3" s="1"/>
  <c r="B117" i="3"/>
  <c r="B117" i="5" s="1"/>
  <c r="L117" i="5" s="1"/>
  <c r="B116" i="3"/>
  <c r="B115" i="3"/>
  <c r="B114" i="3"/>
  <c r="B113" i="3"/>
  <c r="B113" i="5" s="1"/>
  <c r="B112" i="3"/>
  <c r="B111" i="3"/>
  <c r="B111" i="5" s="1"/>
  <c r="L111" i="5" s="1"/>
  <c r="C110" i="3"/>
  <c r="E110" i="3" s="1"/>
  <c r="B110" i="3"/>
  <c r="B110" i="5" s="1"/>
  <c r="L110" i="5" s="1"/>
  <c r="B109" i="3"/>
  <c r="B108" i="3"/>
  <c r="B108" i="5" s="1"/>
  <c r="B107" i="3"/>
  <c r="B107" i="5" s="1"/>
  <c r="L107" i="5" s="1"/>
  <c r="B106" i="3"/>
  <c r="B105" i="3"/>
  <c r="B105" i="5" s="1"/>
  <c r="D104" i="3"/>
  <c r="B104" i="3"/>
  <c r="B104" i="5" s="1"/>
  <c r="B103" i="3"/>
  <c r="C104" i="3" s="1"/>
  <c r="E104" i="3" s="1"/>
  <c r="B102" i="3"/>
  <c r="B102" i="5" s="1"/>
  <c r="K102" i="5" s="1"/>
  <c r="B101" i="3"/>
  <c r="B100" i="3"/>
  <c r="C100" i="3" s="1"/>
  <c r="E100" i="3" s="1"/>
  <c r="B99" i="3"/>
  <c r="B99" i="5" s="1"/>
  <c r="B98" i="3"/>
  <c r="B98" i="5" s="1"/>
  <c r="B97" i="3"/>
  <c r="B96" i="3"/>
  <c r="B96" i="5" s="1"/>
  <c r="J96" i="5" s="1"/>
  <c r="B95" i="3"/>
  <c r="B95" i="5" s="1"/>
  <c r="J95" i="5" s="1"/>
  <c r="B94" i="3"/>
  <c r="B93" i="3"/>
  <c r="D93" i="3" s="1"/>
  <c r="B92" i="3"/>
  <c r="B92" i="5" s="1"/>
  <c r="I92" i="5" s="1"/>
  <c r="B91" i="3"/>
  <c r="B90" i="3"/>
  <c r="B90" i="5" s="1"/>
  <c r="B89" i="3"/>
  <c r="B89" i="5" s="1"/>
  <c r="H89" i="5" s="1"/>
  <c r="B88" i="3"/>
  <c r="B87" i="3"/>
  <c r="B87" i="5" s="1"/>
  <c r="J87" i="5" s="1"/>
  <c r="B86" i="3"/>
  <c r="B86" i="5" s="1"/>
  <c r="K86" i="5" s="1"/>
  <c r="B85" i="3"/>
  <c r="B84" i="3"/>
  <c r="B84" i="5" s="1"/>
  <c r="D83" i="3"/>
  <c r="B83" i="3"/>
  <c r="B83" i="5" s="1"/>
  <c r="H83" i="5" s="1"/>
  <c r="B82" i="3"/>
  <c r="D81" i="3"/>
  <c r="B81" i="3"/>
  <c r="B81" i="5" s="1"/>
  <c r="H81" i="5" s="1"/>
  <c r="B80" i="3"/>
  <c r="B80" i="5" s="1"/>
  <c r="B79" i="3"/>
  <c r="B78" i="3"/>
  <c r="B77" i="3"/>
  <c r="B77" i="5" s="1"/>
  <c r="H77" i="5" s="1"/>
  <c r="B76" i="3"/>
  <c r="B75" i="3"/>
  <c r="B75" i="5" s="1"/>
  <c r="B74" i="3"/>
  <c r="B74" i="5" s="1"/>
  <c r="H74" i="5" s="1"/>
  <c r="B73" i="3"/>
  <c r="B72" i="3"/>
  <c r="B72" i="5" s="1"/>
  <c r="B71" i="3"/>
  <c r="B71" i="5" s="1"/>
  <c r="B70" i="3"/>
  <c r="D74" i="3" s="1"/>
  <c r="B69" i="3"/>
  <c r="B69" i="5" s="1"/>
  <c r="L69" i="5" s="1"/>
  <c r="B68" i="3"/>
  <c r="B68" i="5" s="1"/>
  <c r="K68" i="5" s="1"/>
  <c r="B67" i="3"/>
  <c r="B66" i="3"/>
  <c r="B66" i="5" s="1"/>
  <c r="I66" i="5" s="1"/>
  <c r="B65" i="3"/>
  <c r="B64" i="3"/>
  <c r="C64" i="3" s="1"/>
  <c r="E64" i="3" s="1"/>
  <c r="B63" i="3"/>
  <c r="B63" i="5" s="1"/>
  <c r="B62" i="3"/>
  <c r="B62" i="5" s="1"/>
  <c r="I62" i="5" s="1"/>
  <c r="B61" i="3"/>
  <c r="B60" i="3"/>
  <c r="B60" i="5" s="1"/>
  <c r="B59" i="3"/>
  <c r="B59" i="5" s="1"/>
  <c r="B58" i="3"/>
  <c r="C58" i="3" s="1"/>
  <c r="E58" i="3" s="1"/>
  <c r="B57" i="3"/>
  <c r="D57" i="3" s="1"/>
  <c r="B56" i="3"/>
  <c r="B56" i="5" s="1"/>
  <c r="J56" i="5" s="1"/>
  <c r="B55" i="3"/>
  <c r="B54" i="3"/>
  <c r="B54" i="5" s="1"/>
  <c r="B53" i="3"/>
  <c r="B53" i="5" s="1"/>
  <c r="L53" i="5" s="1"/>
  <c r="B52" i="3"/>
  <c r="B51" i="3"/>
  <c r="B51" i="5" s="1"/>
  <c r="J51" i="5" s="1"/>
  <c r="B50" i="3"/>
  <c r="B50" i="5" s="1"/>
  <c r="K50" i="5" s="1"/>
  <c r="B49" i="3"/>
  <c r="D49" i="3" s="1"/>
  <c r="D48" i="3"/>
  <c r="B48" i="3"/>
  <c r="B48" i="5" s="1"/>
  <c r="B47" i="3"/>
  <c r="B47" i="5" s="1"/>
  <c r="B46" i="3"/>
  <c r="B45" i="3"/>
  <c r="B45" i="5" s="1"/>
  <c r="I45" i="5" s="1"/>
  <c r="B44" i="3"/>
  <c r="B44" i="5" s="1"/>
  <c r="H44" i="5" s="1"/>
  <c r="B43" i="3"/>
  <c r="B42" i="3"/>
  <c r="B41" i="3"/>
  <c r="B41" i="5" s="1"/>
  <c r="B40" i="3"/>
  <c r="B39" i="3"/>
  <c r="B39" i="5" s="1"/>
  <c r="J39" i="5" s="1"/>
  <c r="B38" i="3"/>
  <c r="B38" i="5" s="1"/>
  <c r="K38" i="5" s="1"/>
  <c r="B37" i="3"/>
  <c r="B36" i="3"/>
  <c r="B36" i="5" s="1"/>
  <c r="I36" i="5" s="1"/>
  <c r="B35" i="3"/>
  <c r="B35" i="5" s="1"/>
  <c r="B34" i="3"/>
  <c r="B33" i="3"/>
  <c r="B33" i="5" s="1"/>
  <c r="D32" i="3"/>
  <c r="C32" i="3"/>
  <c r="E32" i="3" s="1"/>
  <c r="B32" i="3"/>
  <c r="B32" i="5" s="1"/>
  <c r="J32" i="5" s="1"/>
  <c r="B31" i="3"/>
  <c r="B30" i="3"/>
  <c r="B30" i="5" s="1"/>
  <c r="B29" i="3"/>
  <c r="B28" i="3"/>
  <c r="C28" i="3" s="1"/>
  <c r="E28" i="3" s="1"/>
  <c r="B27" i="3"/>
  <c r="B27" i="5" s="1"/>
  <c r="J27" i="5" s="1"/>
  <c r="B26" i="3"/>
  <c r="B26" i="5" s="1"/>
  <c r="K26" i="5" s="1"/>
  <c r="B25" i="3"/>
  <c r="B25" i="5" s="1"/>
  <c r="L25" i="5" s="1"/>
  <c r="B24" i="3"/>
  <c r="B24" i="5" s="1"/>
  <c r="B23" i="3"/>
  <c r="B23" i="5" s="1"/>
  <c r="K23" i="5" s="1"/>
  <c r="C22" i="3"/>
  <c r="E22" i="3" s="1"/>
  <c r="B22" i="3"/>
  <c r="B21" i="3"/>
  <c r="B21" i="5" s="1"/>
  <c r="B20" i="3"/>
  <c r="B20" i="5" s="1"/>
  <c r="I20" i="5" s="1"/>
  <c r="B19" i="3"/>
  <c r="B18" i="3"/>
  <c r="B18" i="5" s="1"/>
  <c r="I18" i="5" s="1"/>
  <c r="B17" i="3"/>
  <c r="B17" i="5" s="1"/>
  <c r="L17" i="5" s="1"/>
  <c r="B16" i="3"/>
  <c r="B15" i="3"/>
  <c r="B15" i="5" s="1"/>
  <c r="B14" i="3"/>
  <c r="B14" i="5" s="1"/>
  <c r="B13" i="3"/>
  <c r="B12" i="3"/>
  <c r="B12" i="5" s="1"/>
  <c r="J12" i="5" s="1"/>
  <c r="B11" i="3"/>
  <c r="C11" i="3" s="1"/>
  <c r="E11" i="3" s="1"/>
  <c r="B10" i="3"/>
  <c r="B9" i="3"/>
  <c r="B8" i="3"/>
  <c r="C8" i="3" s="1"/>
  <c r="E8" i="3" s="1"/>
  <c r="B7" i="3"/>
  <c r="E6" i="3"/>
  <c r="B6" i="3"/>
  <c r="B6" i="5" s="1"/>
  <c r="I6" i="5" s="1"/>
  <c r="I4" i="3"/>
  <c r="C80" i="13" l="1"/>
  <c r="E80" i="13" s="1"/>
  <c r="C205" i="13"/>
  <c r="E205" i="13" s="1"/>
  <c r="D127" i="13"/>
  <c r="D139" i="13"/>
  <c r="D218" i="13"/>
  <c r="D299" i="13"/>
  <c r="C140" i="13"/>
  <c r="E140" i="13" s="1"/>
  <c r="C152" i="13"/>
  <c r="E152" i="13" s="1"/>
  <c r="C185" i="13"/>
  <c r="E185" i="13" s="1"/>
  <c r="C220" i="13"/>
  <c r="E220" i="13" s="1"/>
  <c r="C231" i="13"/>
  <c r="E231" i="13" s="1"/>
  <c r="C61" i="13"/>
  <c r="E61" i="13" s="1"/>
  <c r="C209" i="13"/>
  <c r="E209" i="13" s="1"/>
  <c r="C221" i="13"/>
  <c r="E221" i="13" s="1"/>
  <c r="C232" i="13"/>
  <c r="E232" i="13" s="1"/>
  <c r="C290" i="13"/>
  <c r="E290" i="13" s="1"/>
  <c r="D62" i="13"/>
  <c r="C97" i="13"/>
  <c r="E97" i="13" s="1"/>
  <c r="D108" i="13"/>
  <c r="C131" i="13"/>
  <c r="E131" i="13" s="1"/>
  <c r="D187" i="13"/>
  <c r="D199" i="13"/>
  <c r="C245" i="13"/>
  <c r="E245" i="13" s="1"/>
  <c r="D98" i="13"/>
  <c r="D188" i="13"/>
  <c r="D211" i="13"/>
  <c r="D284" i="13"/>
  <c r="D99" i="13"/>
  <c r="C121" i="13"/>
  <c r="E121" i="13" s="1"/>
  <c r="D156" i="13"/>
  <c r="D189" i="13"/>
  <c r="D235" i="13"/>
  <c r="D281" i="13"/>
  <c r="D77" i="13"/>
  <c r="D122" i="13"/>
  <c r="D236" i="13"/>
  <c r="D248" i="13"/>
  <c r="D260" i="13"/>
  <c r="D266" i="13"/>
  <c r="C56" i="13"/>
  <c r="E56" i="13" s="1"/>
  <c r="C137" i="13"/>
  <c r="E137" i="13" s="1"/>
  <c r="C181" i="13"/>
  <c r="E181" i="13" s="1"/>
  <c r="C239" i="13"/>
  <c r="E239" i="13" s="1"/>
  <c r="D75" i="13"/>
  <c r="D84" i="13"/>
  <c r="D104" i="13"/>
  <c r="C124" i="13"/>
  <c r="E124" i="13" s="1"/>
  <c r="D134" i="13"/>
  <c r="D164" i="13"/>
  <c r="D194" i="13"/>
  <c r="D213" i="13"/>
  <c r="C299" i="13"/>
  <c r="E299" i="13" s="1"/>
  <c r="C55" i="13"/>
  <c r="E55" i="13" s="1"/>
  <c r="C75" i="13"/>
  <c r="E75" i="13" s="1"/>
  <c r="C85" i="13"/>
  <c r="E85" i="13" s="1"/>
  <c r="C95" i="13"/>
  <c r="E95" i="13" s="1"/>
  <c r="C104" i="13"/>
  <c r="E104" i="13" s="1"/>
  <c r="D115" i="13"/>
  <c r="D125" i="13"/>
  <c r="C145" i="13"/>
  <c r="E145" i="13" s="1"/>
  <c r="C164" i="13"/>
  <c r="E164" i="13" s="1"/>
  <c r="D195" i="13"/>
  <c r="D204" i="13"/>
  <c r="C256" i="13"/>
  <c r="E256" i="13" s="1"/>
  <c r="D278" i="13"/>
  <c r="C76" i="13"/>
  <c r="E76" i="13" s="1"/>
  <c r="D86" i="13"/>
  <c r="D116" i="13"/>
  <c r="C125" i="13"/>
  <c r="E125" i="13" s="1"/>
  <c r="D146" i="13"/>
  <c r="D165" i="13"/>
  <c r="D175" i="13"/>
  <c r="C195" i="13"/>
  <c r="E195" i="13" s="1"/>
  <c r="C57" i="13"/>
  <c r="E57" i="13" s="1"/>
  <c r="C77" i="13"/>
  <c r="E77" i="13" s="1"/>
  <c r="C107" i="13"/>
  <c r="E107" i="13" s="1"/>
  <c r="C147" i="13"/>
  <c r="E147" i="13" s="1"/>
  <c r="C157" i="13"/>
  <c r="E157" i="13" s="1"/>
  <c r="C167" i="13"/>
  <c r="E167" i="13" s="1"/>
  <c r="C217" i="13"/>
  <c r="E217" i="13" s="1"/>
  <c r="C247" i="13"/>
  <c r="E247" i="13" s="1"/>
  <c r="C68" i="13"/>
  <c r="E68" i="13" s="1"/>
  <c r="C148" i="13"/>
  <c r="E148" i="13" s="1"/>
  <c r="C197" i="13"/>
  <c r="E197" i="13" s="1"/>
  <c r="C281" i="13"/>
  <c r="E281" i="13" s="1"/>
  <c r="C59" i="13"/>
  <c r="E59" i="13" s="1"/>
  <c r="C99" i="13"/>
  <c r="E99" i="13" s="1"/>
  <c r="C109" i="13"/>
  <c r="E109" i="13" s="1"/>
  <c r="C119" i="13"/>
  <c r="E119" i="13" s="1"/>
  <c r="C169" i="13"/>
  <c r="E169" i="13" s="1"/>
  <c r="C188" i="13"/>
  <c r="E188" i="13" s="1"/>
  <c r="D60" i="13"/>
  <c r="C100" i="13"/>
  <c r="E100" i="13" s="1"/>
  <c r="D110" i="13"/>
  <c r="C149" i="13"/>
  <c r="E149" i="13" s="1"/>
  <c r="D170" i="13"/>
  <c r="C179" i="13"/>
  <c r="E179" i="13" s="1"/>
  <c r="C219" i="13"/>
  <c r="E219" i="13" s="1"/>
  <c r="C228" i="13"/>
  <c r="E228" i="13" s="1"/>
  <c r="C250" i="13"/>
  <c r="E250" i="13" s="1"/>
  <c r="D91" i="13"/>
  <c r="D101" i="13"/>
  <c r="D171" i="13"/>
  <c r="D180" i="13"/>
  <c r="C73" i="13"/>
  <c r="E73" i="13" s="1"/>
  <c r="C92" i="13"/>
  <c r="E92" i="13" s="1"/>
  <c r="D123" i="13"/>
  <c r="D132" i="13"/>
  <c r="C172" i="13"/>
  <c r="E172" i="13" s="1"/>
  <c r="D212" i="13"/>
  <c r="C241" i="13"/>
  <c r="E241" i="13" s="1"/>
  <c r="C308" i="13"/>
  <c r="E308" i="13" s="1"/>
  <c r="D74" i="13"/>
  <c r="C83" i="13"/>
  <c r="E83" i="13" s="1"/>
  <c r="D93" i="13"/>
  <c r="D103" i="13"/>
  <c r="C123" i="13"/>
  <c r="E123" i="13" s="1"/>
  <c r="C133" i="13"/>
  <c r="E133" i="13" s="1"/>
  <c r="C143" i="13"/>
  <c r="E143" i="13" s="1"/>
  <c r="D163" i="13"/>
  <c r="C193" i="13"/>
  <c r="E193" i="13" s="1"/>
  <c r="C212" i="13"/>
  <c r="E212" i="13" s="1"/>
  <c r="D242" i="13"/>
  <c r="D287" i="13"/>
  <c r="D309" i="13"/>
  <c r="D12" i="3"/>
  <c r="D47" i="3"/>
  <c r="C74" i="3"/>
  <c r="E74" i="3" s="1"/>
  <c r="C117" i="3"/>
  <c r="E117" i="3" s="1"/>
  <c r="D143" i="3"/>
  <c r="D240" i="3"/>
  <c r="C271" i="3"/>
  <c r="C303" i="3"/>
  <c r="E41" i="4" s="1"/>
  <c r="D41" i="4"/>
  <c r="O7" i="5"/>
  <c r="O9" i="5"/>
  <c r="O16" i="5"/>
  <c r="O43" i="5"/>
  <c r="J54" i="5"/>
  <c r="K74" i="5"/>
  <c r="O107" i="5"/>
  <c r="I129" i="5"/>
  <c r="O143" i="5"/>
  <c r="J156" i="5"/>
  <c r="O192" i="5"/>
  <c r="L192" i="5"/>
  <c r="O227" i="5"/>
  <c r="D214" i="3"/>
  <c r="B214" i="5"/>
  <c r="D117" i="3"/>
  <c r="D236" i="3"/>
  <c r="C282" i="3"/>
  <c r="D7" i="4"/>
  <c r="J38" i="4"/>
  <c r="O14" i="5"/>
  <c r="O34" i="5"/>
  <c r="O41" i="5"/>
  <c r="O100" i="5"/>
  <c r="J120" i="5"/>
  <c r="B125" i="5"/>
  <c r="I140" i="5"/>
  <c r="L156" i="5"/>
  <c r="O215" i="5"/>
  <c r="D28" i="4"/>
  <c r="J14" i="5"/>
  <c r="L27" i="5"/>
  <c r="L84" i="5"/>
  <c r="C68" i="3"/>
  <c r="E68" i="3" s="1"/>
  <c r="C7" i="3"/>
  <c r="E7" i="3" s="1"/>
  <c r="C15" i="3"/>
  <c r="E15" i="3" s="1"/>
  <c r="D25" i="3"/>
  <c r="D38" i="3"/>
  <c r="L59" i="5"/>
  <c r="D68" i="3"/>
  <c r="D84" i="3"/>
  <c r="D146" i="3"/>
  <c r="D204" i="3"/>
  <c r="D297" i="3"/>
  <c r="N23" i="1" s="1"/>
  <c r="D44" i="4"/>
  <c r="I12" i="5"/>
  <c r="K14" i="5"/>
  <c r="O17" i="5"/>
  <c r="I60" i="5"/>
  <c r="J71" i="5"/>
  <c r="O167" i="5"/>
  <c r="C94" i="3"/>
  <c r="E94" i="3" s="1"/>
  <c r="C205" i="3"/>
  <c r="E205" i="3" s="1"/>
  <c r="C291" i="3"/>
  <c r="E291" i="3" s="1"/>
  <c r="F29" i="4" s="1"/>
  <c r="D5" i="4"/>
  <c r="B8" i="5"/>
  <c r="H8" i="5" s="1"/>
  <c r="I30" i="5"/>
  <c r="L48" i="5"/>
  <c r="O58" i="5"/>
  <c r="O201" i="5"/>
  <c r="C297" i="3"/>
  <c r="E35" i="4" s="1"/>
  <c r="D35" i="3"/>
  <c r="C44" i="3"/>
  <c r="E44" i="3" s="1"/>
  <c r="C51" i="3"/>
  <c r="E51" i="3" s="1"/>
  <c r="J19" i="4"/>
  <c r="D45" i="4"/>
  <c r="L23" i="5"/>
  <c r="B49" i="5"/>
  <c r="K60" i="5"/>
  <c r="O80" i="5"/>
  <c r="C119" i="3"/>
  <c r="E119" i="3" s="1"/>
  <c r="H80" i="5"/>
  <c r="C121" i="3"/>
  <c r="E121" i="3" s="1"/>
  <c r="C140" i="3"/>
  <c r="E140" i="3" s="1"/>
  <c r="D178" i="3"/>
  <c r="B178" i="5"/>
  <c r="D227" i="3"/>
  <c r="D246" i="3"/>
  <c r="D290" i="3"/>
  <c r="D174" i="3"/>
  <c r="C16" i="3"/>
  <c r="E16" i="3" s="1"/>
  <c r="D14" i="3"/>
  <c r="C45" i="3"/>
  <c r="E45" i="3" s="1"/>
  <c r="D71" i="3"/>
  <c r="C80" i="3"/>
  <c r="E80" i="3" s="1"/>
  <c r="C87" i="3"/>
  <c r="E87" i="3" s="1"/>
  <c r="D110" i="3"/>
  <c r="D140" i="3"/>
  <c r="D168" i="3"/>
  <c r="C309" i="3"/>
  <c r="E47" i="4" s="1"/>
  <c r="O15" i="5"/>
  <c r="H47" i="5"/>
  <c r="I51" i="5"/>
  <c r="I69" i="5"/>
  <c r="I81" i="5"/>
  <c r="O113" i="5"/>
  <c r="K144" i="5"/>
  <c r="D305" i="3"/>
  <c r="N15" i="1" s="1"/>
  <c r="D45" i="3"/>
  <c r="D116" i="3"/>
  <c r="D164" i="3"/>
  <c r="C169" i="3"/>
  <c r="E169" i="3" s="1"/>
  <c r="D209" i="3"/>
  <c r="D228" i="3"/>
  <c r="D272" i="3"/>
  <c r="D287" i="3"/>
  <c r="D293" i="3"/>
  <c r="N27" i="1" s="1"/>
  <c r="D309" i="3"/>
  <c r="H17" i="5"/>
  <c r="K35" i="5"/>
  <c r="J72" i="5"/>
  <c r="O104" i="5"/>
  <c r="O111" i="5"/>
  <c r="J113" i="5"/>
  <c r="O115" i="5"/>
  <c r="O137" i="5"/>
  <c r="O15" i="1"/>
  <c r="D11" i="3"/>
  <c r="C38" i="3"/>
  <c r="E38" i="3" s="1"/>
  <c r="D50" i="3"/>
  <c r="C81" i="3"/>
  <c r="E81" i="3" s="1"/>
  <c r="C88" i="3"/>
  <c r="E88" i="3" s="1"/>
  <c r="D107" i="3"/>
  <c r="C116" i="3"/>
  <c r="E116" i="3" s="1"/>
  <c r="C123" i="3"/>
  <c r="E123" i="3" s="1"/>
  <c r="O19" i="4"/>
  <c r="D38" i="4"/>
  <c r="O31" i="5"/>
  <c r="L35" i="5"/>
  <c r="O54" i="5"/>
  <c r="O68" i="5"/>
  <c r="I74" i="5"/>
  <c r="B93" i="5"/>
  <c r="I93" i="5" s="1"/>
  <c r="H135" i="5"/>
  <c r="L144" i="5"/>
  <c r="K156" i="5"/>
  <c r="O180" i="5"/>
  <c r="O190" i="5"/>
  <c r="O222" i="5"/>
  <c r="I14" i="5"/>
  <c r="D21" i="3"/>
  <c r="D191" i="3"/>
  <c r="D210" i="3"/>
  <c r="D279" i="3"/>
  <c r="C288" i="3"/>
  <c r="E43" i="4"/>
  <c r="B7" i="5"/>
  <c r="H7" i="5" s="1"/>
  <c r="K56" i="5"/>
  <c r="O166" i="5"/>
  <c r="O168" i="5"/>
  <c r="O249" i="5"/>
  <c r="D166" i="11"/>
  <c r="D162" i="11"/>
  <c r="D243" i="13"/>
  <c r="C243" i="13"/>
  <c r="E243" i="13" s="1"/>
  <c r="C261" i="5"/>
  <c r="O266" i="5"/>
  <c r="C9" i="6"/>
  <c r="E9" i="6" s="1"/>
  <c r="C66" i="6"/>
  <c r="E66" i="6" s="1"/>
  <c r="C71" i="6"/>
  <c r="E71" i="6" s="1"/>
  <c r="C80" i="6"/>
  <c r="E80" i="6" s="1"/>
  <c r="D84" i="6"/>
  <c r="D91" i="6"/>
  <c r="C107" i="6"/>
  <c r="E107" i="6" s="1"/>
  <c r="C115" i="6"/>
  <c r="E115" i="6" s="1"/>
  <c r="D128" i="6"/>
  <c r="C141" i="6"/>
  <c r="E141" i="6" s="1"/>
  <c r="D146" i="6"/>
  <c r="C151" i="6"/>
  <c r="E151" i="6" s="1"/>
  <c r="C169" i="6"/>
  <c r="E169" i="6" s="1"/>
  <c r="D176" i="6"/>
  <c r="C205" i="6"/>
  <c r="E205" i="6" s="1"/>
  <c r="D219" i="6"/>
  <c r="D283" i="6"/>
  <c r="C303" i="6"/>
  <c r="C309" i="6"/>
  <c r="D11" i="7"/>
  <c r="C30" i="7"/>
  <c r="E30" i="7" s="1"/>
  <c r="C39" i="7"/>
  <c r="E39" i="7" s="1"/>
  <c r="C57" i="7"/>
  <c r="E57" i="7" s="1"/>
  <c r="C66" i="7"/>
  <c r="E66" i="7" s="1"/>
  <c r="D112" i="7"/>
  <c r="C129" i="7"/>
  <c r="E129" i="7" s="1"/>
  <c r="D138" i="7"/>
  <c r="D198" i="7"/>
  <c r="C221" i="7"/>
  <c r="E221" i="7" s="1"/>
  <c r="C291" i="7"/>
  <c r="C9" i="8"/>
  <c r="E9" i="8" s="1"/>
  <c r="C34" i="8"/>
  <c r="E34" i="8" s="1"/>
  <c r="C40" i="8"/>
  <c r="E40" i="8" s="1"/>
  <c r="D47" i="8"/>
  <c r="C60" i="8"/>
  <c r="E60" i="8" s="1"/>
  <c r="C105" i="8"/>
  <c r="E105" i="8" s="1"/>
  <c r="D124" i="8"/>
  <c r="C161" i="8"/>
  <c r="E161" i="8" s="1"/>
  <c r="D186" i="8"/>
  <c r="D200" i="8"/>
  <c r="D230" i="8"/>
  <c r="D235" i="8"/>
  <c r="C243" i="8"/>
  <c r="E243" i="8" s="1"/>
  <c r="C8" i="9"/>
  <c r="E8" i="9" s="1"/>
  <c r="D66" i="9"/>
  <c r="D84" i="9"/>
  <c r="D90" i="9"/>
  <c r="D118" i="9"/>
  <c r="C146" i="9"/>
  <c r="E146" i="9" s="1"/>
  <c r="C157" i="9"/>
  <c r="E157" i="9" s="1"/>
  <c r="D166" i="9"/>
  <c r="C182" i="9"/>
  <c r="E182" i="9" s="1"/>
  <c r="D189" i="9"/>
  <c r="D246" i="9"/>
  <c r="C273" i="9"/>
  <c r="D273" i="9"/>
  <c r="C135" i="10"/>
  <c r="E135" i="10" s="1"/>
  <c r="D139" i="10"/>
  <c r="C174" i="13"/>
  <c r="E174" i="13" s="1"/>
  <c r="D174" i="13"/>
  <c r="O245" i="5"/>
  <c r="O252" i="5"/>
  <c r="O273" i="5"/>
  <c r="O276" i="5"/>
  <c r="O285" i="5"/>
  <c r="L306" i="5"/>
  <c r="D10" i="6"/>
  <c r="D66" i="6"/>
  <c r="D115" i="6"/>
  <c r="D151" i="6"/>
  <c r="C197" i="6"/>
  <c r="E197" i="6" s="1"/>
  <c r="D212" i="6"/>
  <c r="C255" i="6"/>
  <c r="E255" i="6" s="1"/>
  <c r="C270" i="6"/>
  <c r="D303" i="6"/>
  <c r="D309" i="6"/>
  <c r="C12" i="7"/>
  <c r="E12" i="7" s="1"/>
  <c r="D94" i="7"/>
  <c r="D103" i="7"/>
  <c r="D121" i="7"/>
  <c r="D148" i="7"/>
  <c r="C165" i="7"/>
  <c r="E165" i="7" s="1"/>
  <c r="C222" i="7"/>
  <c r="E222" i="7" s="1"/>
  <c r="D238" i="7"/>
  <c r="C246" i="7"/>
  <c r="E246" i="7" s="1"/>
  <c r="D269" i="7"/>
  <c r="C285" i="7"/>
  <c r="D291" i="7"/>
  <c r="D10" i="8"/>
  <c r="D40" i="8"/>
  <c r="C47" i="8"/>
  <c r="E47" i="8" s="1"/>
  <c r="C54" i="8"/>
  <c r="E54" i="8" s="1"/>
  <c r="C83" i="8"/>
  <c r="E83" i="8" s="1"/>
  <c r="D105" i="8"/>
  <c r="D128" i="8"/>
  <c r="C136" i="8"/>
  <c r="E136" i="8" s="1"/>
  <c r="C200" i="8"/>
  <c r="E200" i="8" s="1"/>
  <c r="D231" i="8"/>
  <c r="C306" i="8"/>
  <c r="D19" i="9"/>
  <c r="D41" i="9"/>
  <c r="D62" i="9"/>
  <c r="D67" i="9"/>
  <c r="C74" i="9"/>
  <c r="E74" i="9" s="1"/>
  <c r="C84" i="9"/>
  <c r="E84" i="9" s="1"/>
  <c r="D97" i="9"/>
  <c r="C119" i="9"/>
  <c r="E119" i="9" s="1"/>
  <c r="C129" i="9"/>
  <c r="E129" i="9" s="1"/>
  <c r="D161" i="9"/>
  <c r="D236" i="9"/>
  <c r="C99" i="11"/>
  <c r="E99" i="11" s="1"/>
  <c r="D98" i="11"/>
  <c r="C98" i="11"/>
  <c r="E98" i="11" s="1"/>
  <c r="D228" i="12"/>
  <c r="D232" i="12"/>
  <c r="O154" i="5"/>
  <c r="O156" i="5"/>
  <c r="O195" i="5"/>
  <c r="O233" i="5"/>
  <c r="C11" i="6"/>
  <c r="E11" i="6" s="1"/>
  <c r="C23" i="6"/>
  <c r="E23" i="6" s="1"/>
  <c r="C35" i="6"/>
  <c r="E35" i="6" s="1"/>
  <c r="C47" i="6"/>
  <c r="E47" i="6" s="1"/>
  <c r="C59" i="6"/>
  <c r="E59" i="6" s="1"/>
  <c r="C92" i="6"/>
  <c r="E92" i="6" s="1"/>
  <c r="D164" i="6"/>
  <c r="D192" i="6"/>
  <c r="C240" i="6"/>
  <c r="E240" i="6" s="1"/>
  <c r="D255" i="6"/>
  <c r="D270" i="6"/>
  <c r="D289" i="6"/>
  <c r="D298" i="6"/>
  <c r="D130" i="7"/>
  <c r="D139" i="7"/>
  <c r="C158" i="7"/>
  <c r="E158" i="7" s="1"/>
  <c r="C183" i="7"/>
  <c r="E183" i="7" s="1"/>
  <c r="C216" i="7"/>
  <c r="E216" i="7" s="1"/>
  <c r="D222" i="7"/>
  <c r="D231" i="7"/>
  <c r="D239" i="7"/>
  <c r="C269" i="7"/>
  <c r="C10" i="8"/>
  <c r="E10" i="8" s="1"/>
  <c r="C48" i="8"/>
  <c r="E48" i="8" s="1"/>
  <c r="D137" i="8"/>
  <c r="C162" i="8"/>
  <c r="E162" i="8" s="1"/>
  <c r="C187" i="8"/>
  <c r="E187" i="8" s="1"/>
  <c r="C231" i="8"/>
  <c r="E231" i="8" s="1"/>
  <c r="D306" i="8"/>
  <c r="C19" i="9"/>
  <c r="E19" i="9" s="1"/>
  <c r="C29" i="9"/>
  <c r="E29" i="9" s="1"/>
  <c r="C38" i="9"/>
  <c r="E38" i="9" s="1"/>
  <c r="C58" i="9"/>
  <c r="E58" i="9" s="1"/>
  <c r="D68" i="9"/>
  <c r="D104" i="9"/>
  <c r="C111" i="9"/>
  <c r="E111" i="9" s="1"/>
  <c r="D119" i="9"/>
  <c r="C139" i="9"/>
  <c r="E139" i="9" s="1"/>
  <c r="D151" i="9"/>
  <c r="C147" i="9"/>
  <c r="E147" i="9" s="1"/>
  <c r="C183" i="9"/>
  <c r="E183" i="9" s="1"/>
  <c r="D191" i="9"/>
  <c r="D228" i="9"/>
  <c r="D264" i="9"/>
  <c r="O207" i="5"/>
  <c r="O243" i="5"/>
  <c r="O274" i="5"/>
  <c r="O286" i="5"/>
  <c r="C142" i="6"/>
  <c r="E142" i="6" s="1"/>
  <c r="C304" i="6"/>
  <c r="D262" i="7"/>
  <c r="D99" i="8"/>
  <c r="C131" i="8"/>
  <c r="E131" i="8" s="1"/>
  <c r="D130" i="8"/>
  <c r="D218" i="9"/>
  <c r="D191" i="10"/>
  <c r="C187" i="10"/>
  <c r="E187" i="10" s="1"/>
  <c r="O219" i="5"/>
  <c r="O231" i="5"/>
  <c r="O248" i="5"/>
  <c r="D101" i="6"/>
  <c r="C117" i="6"/>
  <c r="E117" i="6" s="1"/>
  <c r="D142" i="6"/>
  <c r="C193" i="6"/>
  <c r="E193" i="6" s="1"/>
  <c r="D199" i="6"/>
  <c r="D228" i="6"/>
  <c r="D249" i="6"/>
  <c r="C285" i="6"/>
  <c r="D38" i="7"/>
  <c r="D65" i="7"/>
  <c r="C88" i="7"/>
  <c r="E88" i="7" s="1"/>
  <c r="C106" i="7"/>
  <c r="E106" i="7" s="1"/>
  <c r="D128" i="7"/>
  <c r="C233" i="7"/>
  <c r="E233" i="7" s="1"/>
  <c r="D256" i="7"/>
  <c r="D270" i="7"/>
  <c r="D11" i="8"/>
  <c r="C18" i="8"/>
  <c r="E18" i="8" s="1"/>
  <c r="D28" i="8"/>
  <c r="C62" i="8"/>
  <c r="E62" i="8" s="1"/>
  <c r="C71" i="8"/>
  <c r="E71" i="8" s="1"/>
  <c r="D92" i="8"/>
  <c r="D155" i="8"/>
  <c r="C188" i="8"/>
  <c r="E188" i="8" s="1"/>
  <c r="C196" i="8"/>
  <c r="E196" i="8" s="1"/>
  <c r="D217" i="8"/>
  <c r="D225" i="8"/>
  <c r="C225" i="8"/>
  <c r="E225" i="8" s="1"/>
  <c r="D238" i="8"/>
  <c r="C278" i="8"/>
  <c r="D307" i="8"/>
  <c r="C98" i="9"/>
  <c r="E98" i="9" s="1"/>
  <c r="D159" i="9"/>
  <c r="C229" i="9"/>
  <c r="E229" i="9" s="1"/>
  <c r="C23" i="10"/>
  <c r="E23" i="10" s="1"/>
  <c r="D23" i="10"/>
  <c r="D36" i="11"/>
  <c r="C36" i="11"/>
  <c r="E36" i="11" s="1"/>
  <c r="O204" i="5"/>
  <c r="O298" i="5"/>
  <c r="O309" i="5"/>
  <c r="D74" i="6"/>
  <c r="D110" i="6"/>
  <c r="D123" i="6"/>
  <c r="D131" i="6"/>
  <c r="C138" i="6"/>
  <c r="E138" i="6" s="1"/>
  <c r="D143" i="6"/>
  <c r="C172" i="6"/>
  <c r="E172" i="6" s="1"/>
  <c r="C208" i="6"/>
  <c r="E208" i="6" s="1"/>
  <c r="C80" i="7"/>
  <c r="E80" i="7" s="1"/>
  <c r="D88" i="7"/>
  <c r="C151" i="7"/>
  <c r="E151" i="7" s="1"/>
  <c r="C160" i="7"/>
  <c r="E160" i="7" s="1"/>
  <c r="C263" i="7"/>
  <c r="E263" i="7" s="1"/>
  <c r="C309" i="7"/>
  <c r="C37" i="8"/>
  <c r="E37" i="8" s="1"/>
  <c r="C93" i="8"/>
  <c r="E93" i="8" s="1"/>
  <c r="C140" i="8"/>
  <c r="E140" i="8" s="1"/>
  <c r="C149" i="8"/>
  <c r="E149" i="8" s="1"/>
  <c r="C155" i="8"/>
  <c r="E155" i="8" s="1"/>
  <c r="D164" i="8"/>
  <c r="D173" i="8"/>
  <c r="D196" i="8"/>
  <c r="D202" i="8"/>
  <c r="C211" i="8"/>
  <c r="E211" i="8" s="1"/>
  <c r="D211" i="8"/>
  <c r="D232" i="8"/>
  <c r="C247" i="8"/>
  <c r="E247" i="8" s="1"/>
  <c r="C279" i="8"/>
  <c r="C87" i="9"/>
  <c r="E87" i="9" s="1"/>
  <c r="C93" i="9"/>
  <c r="E93" i="9" s="1"/>
  <c r="D105" i="9"/>
  <c r="C113" i="9"/>
  <c r="E113" i="9" s="1"/>
  <c r="C132" i="9"/>
  <c r="E132" i="9" s="1"/>
  <c r="D149" i="9"/>
  <c r="D169" i="9"/>
  <c r="C185" i="9"/>
  <c r="E185" i="9" s="1"/>
  <c r="C249" i="9"/>
  <c r="E249" i="9" s="1"/>
  <c r="L186" i="5"/>
  <c r="O193" i="5"/>
  <c r="O210" i="5"/>
  <c r="O228" i="5"/>
  <c r="O246" i="5"/>
  <c r="C296" i="5"/>
  <c r="O296" i="5" s="1"/>
  <c r="C75" i="6"/>
  <c r="E75" i="6" s="1"/>
  <c r="C87" i="6"/>
  <c r="E87" i="6" s="1"/>
  <c r="C111" i="6"/>
  <c r="E111" i="6" s="1"/>
  <c r="D118" i="6"/>
  <c r="C124" i="6"/>
  <c r="E124" i="6" s="1"/>
  <c r="C131" i="6"/>
  <c r="E131" i="6" s="1"/>
  <c r="C143" i="6"/>
  <c r="E143" i="6" s="1"/>
  <c r="D257" i="6"/>
  <c r="C26" i="7"/>
  <c r="E26" i="7" s="1"/>
  <c r="C53" i="7"/>
  <c r="E53" i="7" s="1"/>
  <c r="D61" i="7"/>
  <c r="D124" i="7"/>
  <c r="D185" i="7"/>
  <c r="D202" i="7"/>
  <c r="C234" i="7"/>
  <c r="E234" i="7" s="1"/>
  <c r="C249" i="7"/>
  <c r="E249" i="7" s="1"/>
  <c r="D309" i="7"/>
  <c r="D12" i="8"/>
  <c r="C19" i="8"/>
  <c r="E19" i="8" s="1"/>
  <c r="C95" i="8"/>
  <c r="E95" i="8" s="1"/>
  <c r="C133" i="8"/>
  <c r="E133" i="8" s="1"/>
  <c r="C148" i="8"/>
  <c r="E148" i="8" s="1"/>
  <c r="C182" i="8"/>
  <c r="E182" i="8" s="1"/>
  <c r="D197" i="8"/>
  <c r="D203" i="8"/>
  <c r="C308" i="8"/>
  <c r="D87" i="9"/>
  <c r="C106" i="9"/>
  <c r="E106" i="9" s="1"/>
  <c r="D201" i="9"/>
  <c r="D249" i="9"/>
  <c r="O234" i="5"/>
  <c r="D75" i="6"/>
  <c r="D82" i="6"/>
  <c r="D111" i="6"/>
  <c r="D154" i="6"/>
  <c r="D173" i="6"/>
  <c r="D24" i="8"/>
  <c r="D190" i="8"/>
  <c r="D260" i="8"/>
  <c r="C309" i="8"/>
  <c r="D309" i="8"/>
  <c r="D150" i="10"/>
  <c r="C150" i="10"/>
  <c r="E150" i="10" s="1"/>
  <c r="C213" i="10"/>
  <c r="E213" i="10" s="1"/>
  <c r="D212" i="10"/>
  <c r="C283" i="10"/>
  <c r="D283" i="10"/>
  <c r="C106" i="12"/>
  <c r="E106" i="12" s="1"/>
  <c r="K189" i="5"/>
  <c r="O208" i="5"/>
  <c r="O244" i="5"/>
  <c r="O253" i="5"/>
  <c r="O275" i="5"/>
  <c r="O287" i="5"/>
  <c r="C17" i="6"/>
  <c r="E17" i="6" s="1"/>
  <c r="C29" i="6"/>
  <c r="E29" i="6" s="1"/>
  <c r="C41" i="6"/>
  <c r="E41" i="6" s="1"/>
  <c r="C53" i="6"/>
  <c r="E53" i="6" s="1"/>
  <c r="C69" i="6"/>
  <c r="E69" i="6" s="1"/>
  <c r="D76" i="6"/>
  <c r="C88" i="6"/>
  <c r="E88" i="6" s="1"/>
  <c r="D95" i="6"/>
  <c r="D104" i="6"/>
  <c r="D112" i="6"/>
  <c r="C144" i="6"/>
  <c r="E144" i="6" s="1"/>
  <c r="C150" i="6"/>
  <c r="E150" i="6" s="1"/>
  <c r="D167" i="6"/>
  <c r="C173" i="6"/>
  <c r="E173" i="6" s="1"/>
  <c r="C180" i="6"/>
  <c r="E180" i="6" s="1"/>
  <c r="D216" i="6"/>
  <c r="C223" i="6"/>
  <c r="E223" i="6" s="1"/>
  <c r="D301" i="6"/>
  <c r="C180" i="7"/>
  <c r="E180" i="7" s="1"/>
  <c r="C195" i="7"/>
  <c r="E195" i="7" s="1"/>
  <c r="C203" i="7"/>
  <c r="E203" i="7" s="1"/>
  <c r="C275" i="7"/>
  <c r="C294" i="7"/>
  <c r="D21" i="8"/>
  <c r="C38" i="8"/>
  <c r="E38" i="8" s="1"/>
  <c r="C51" i="8"/>
  <c r="E51" i="8" s="1"/>
  <c r="D58" i="8"/>
  <c r="C65" i="8"/>
  <c r="E65" i="8" s="1"/>
  <c r="C88" i="8"/>
  <c r="E88" i="8" s="1"/>
  <c r="D134" i="8"/>
  <c r="D149" i="8"/>
  <c r="C166" i="8"/>
  <c r="E166" i="8" s="1"/>
  <c r="C190" i="8"/>
  <c r="E190" i="8" s="1"/>
  <c r="D204" i="8"/>
  <c r="C220" i="8"/>
  <c r="E220" i="8" s="1"/>
  <c r="D272" i="8"/>
  <c r="D71" i="9"/>
  <c r="D88" i="9"/>
  <c r="D94" i="9"/>
  <c r="D115" i="9"/>
  <c r="C134" i="9"/>
  <c r="E134" i="9" s="1"/>
  <c r="C143" i="9"/>
  <c r="E143" i="9" s="1"/>
  <c r="D162" i="9"/>
  <c r="C170" i="9"/>
  <c r="E170" i="9" s="1"/>
  <c r="C181" i="9"/>
  <c r="E181" i="9" s="1"/>
  <c r="D195" i="9"/>
  <c r="C195" i="9"/>
  <c r="E195" i="9" s="1"/>
  <c r="D306" i="10"/>
  <c r="C306" i="10"/>
  <c r="O220" i="5"/>
  <c r="O232" i="5"/>
  <c r="C83" i="7"/>
  <c r="E83" i="7" s="1"/>
  <c r="C101" i="7"/>
  <c r="E101" i="7" s="1"/>
  <c r="C110" i="7"/>
  <c r="E110" i="7" s="1"/>
  <c r="C119" i="7"/>
  <c r="E119" i="7" s="1"/>
  <c r="C204" i="7"/>
  <c r="E204" i="7" s="1"/>
  <c r="C53" i="8"/>
  <c r="E53" i="8" s="1"/>
  <c r="C73" i="8"/>
  <c r="E73" i="8" s="1"/>
  <c r="C150" i="8"/>
  <c r="E150" i="8" s="1"/>
  <c r="D159" i="8"/>
  <c r="D220" i="8"/>
  <c r="D292" i="8"/>
  <c r="C64" i="9"/>
  <c r="E64" i="9" s="1"/>
  <c r="D116" i="9"/>
  <c r="D135" i="9"/>
  <c r="C171" i="9"/>
  <c r="E171" i="9" s="1"/>
  <c r="D38" i="10"/>
  <c r="C38" i="10"/>
  <c r="E38" i="10" s="1"/>
  <c r="C101" i="10"/>
  <c r="E101" i="10" s="1"/>
  <c r="D101" i="10"/>
  <c r="D85" i="11"/>
  <c r="D89" i="11"/>
  <c r="C86" i="11"/>
  <c r="E86" i="11" s="1"/>
  <c r="C85" i="11"/>
  <c r="E85" i="11" s="1"/>
  <c r="O263" i="5"/>
  <c r="O299" i="5"/>
  <c r="C70" i="6"/>
  <c r="E70" i="6" s="1"/>
  <c r="D157" i="6"/>
  <c r="D168" i="6"/>
  <c r="C211" i="6"/>
  <c r="E211" i="6" s="1"/>
  <c r="D252" i="6"/>
  <c r="D83" i="7"/>
  <c r="C102" i="7"/>
  <c r="E102" i="7" s="1"/>
  <c r="D110" i="7"/>
  <c r="D119" i="7"/>
  <c r="D204" i="7"/>
  <c r="D213" i="7"/>
  <c r="D252" i="7"/>
  <c r="C267" i="7"/>
  <c r="C306" i="7"/>
  <c r="D111" i="8"/>
  <c r="D119" i="8"/>
  <c r="D86" i="9"/>
  <c r="C188" i="9"/>
  <c r="E188" i="9" s="1"/>
  <c r="D188" i="9"/>
  <c r="D213" i="9"/>
  <c r="C201" i="11"/>
  <c r="E201" i="11" s="1"/>
  <c r="D205" i="11"/>
  <c r="D13" i="9"/>
  <c r="D26" i="9"/>
  <c r="C59" i="9"/>
  <c r="E59" i="9" s="1"/>
  <c r="D75" i="9"/>
  <c r="C96" i="9"/>
  <c r="E96" i="9" s="1"/>
  <c r="D112" i="9"/>
  <c r="D140" i="9"/>
  <c r="C158" i="9"/>
  <c r="E158" i="9" s="1"/>
  <c r="D171" i="9"/>
  <c r="D225" i="9"/>
  <c r="C237" i="9"/>
  <c r="E237" i="9" s="1"/>
  <c r="D260" i="9"/>
  <c r="D83" i="10"/>
  <c r="C92" i="10"/>
  <c r="E92" i="10" s="1"/>
  <c r="C110" i="10"/>
  <c r="E110" i="10" s="1"/>
  <c r="D136" i="10"/>
  <c r="C159" i="10"/>
  <c r="E159" i="10" s="1"/>
  <c r="D178" i="10"/>
  <c r="C181" i="10"/>
  <c r="E181" i="10" s="1"/>
  <c r="C194" i="10"/>
  <c r="E194" i="10" s="1"/>
  <c r="D221" i="10"/>
  <c r="D229" i="10"/>
  <c r="D260" i="10"/>
  <c r="D18" i="11"/>
  <c r="D60" i="11"/>
  <c r="D67" i="11"/>
  <c r="D97" i="11"/>
  <c r="C93" i="11"/>
  <c r="E93" i="11" s="1"/>
  <c r="D186" i="11"/>
  <c r="C218" i="11"/>
  <c r="E218" i="11" s="1"/>
  <c r="D218" i="11"/>
  <c r="D248" i="11"/>
  <c r="D251" i="11"/>
  <c r="D298" i="11"/>
  <c r="AJ36" i="4" s="1"/>
  <c r="D88" i="12"/>
  <c r="C88" i="12"/>
  <c r="E88" i="12" s="1"/>
  <c r="C136" i="12"/>
  <c r="E136" i="12" s="1"/>
  <c r="D136" i="12"/>
  <c r="D167" i="12"/>
  <c r="C229" i="12"/>
  <c r="E229" i="12" s="1"/>
  <c r="D218" i="8"/>
  <c r="C264" i="8"/>
  <c r="E264" i="8" s="1"/>
  <c r="C294" i="8"/>
  <c r="C303" i="8"/>
  <c r="C14" i="9"/>
  <c r="E14" i="9" s="1"/>
  <c r="C22" i="9"/>
  <c r="E22" i="9" s="1"/>
  <c r="C50" i="9"/>
  <c r="E50" i="9" s="1"/>
  <c r="D60" i="9"/>
  <c r="D69" i="9"/>
  <c r="D76" i="9"/>
  <c r="D85" i="9"/>
  <c r="C90" i="9"/>
  <c r="E90" i="9" s="1"/>
  <c r="D96" i="9"/>
  <c r="D113" i="9"/>
  <c r="C116" i="9"/>
  <c r="E116" i="9" s="1"/>
  <c r="C133" i="9"/>
  <c r="E133" i="9" s="1"/>
  <c r="C140" i="9"/>
  <c r="E140" i="9" s="1"/>
  <c r="C168" i="9"/>
  <c r="E168" i="9" s="1"/>
  <c r="D175" i="9"/>
  <c r="D203" i="9"/>
  <c r="C246" i="9"/>
  <c r="E246" i="9" s="1"/>
  <c r="D261" i="9"/>
  <c r="C10" i="10"/>
  <c r="E10" i="10" s="1"/>
  <c r="C65" i="10"/>
  <c r="E65" i="10" s="1"/>
  <c r="C74" i="10"/>
  <c r="E74" i="10" s="1"/>
  <c r="D88" i="10"/>
  <c r="D159" i="10"/>
  <c r="D175" i="10"/>
  <c r="D181" i="10"/>
  <c r="C195" i="10"/>
  <c r="E195" i="10" s="1"/>
  <c r="C223" i="10"/>
  <c r="E223" i="10" s="1"/>
  <c r="C229" i="10"/>
  <c r="E229" i="10" s="1"/>
  <c r="D240" i="10"/>
  <c r="C245" i="10"/>
  <c r="E245" i="10" s="1"/>
  <c r="D261" i="10"/>
  <c r="D11" i="11"/>
  <c r="D45" i="11"/>
  <c r="C60" i="11"/>
  <c r="E60" i="11" s="1"/>
  <c r="C80" i="11"/>
  <c r="E80" i="11" s="1"/>
  <c r="D86" i="11"/>
  <c r="D93" i="11"/>
  <c r="D109" i="11"/>
  <c r="C110" i="11"/>
  <c r="E110" i="11" s="1"/>
  <c r="C117" i="11"/>
  <c r="E117" i="11" s="1"/>
  <c r="C130" i="11"/>
  <c r="E130" i="11" s="1"/>
  <c r="C155" i="11"/>
  <c r="E155" i="11" s="1"/>
  <c r="C164" i="11"/>
  <c r="E164" i="11" s="1"/>
  <c r="D194" i="11"/>
  <c r="C219" i="11"/>
  <c r="E219" i="11" s="1"/>
  <c r="D237" i="11"/>
  <c r="C245" i="11"/>
  <c r="E245" i="11" s="1"/>
  <c r="C260" i="11"/>
  <c r="E260" i="11" s="1"/>
  <c r="D289" i="11"/>
  <c r="AJ27" i="4" s="1"/>
  <c r="D299" i="11"/>
  <c r="AJ37" i="4" s="1"/>
  <c r="C126" i="13"/>
  <c r="E126" i="13" s="1"/>
  <c r="D126" i="13"/>
  <c r="D206" i="13"/>
  <c r="D210" i="13"/>
  <c r="C207" i="13"/>
  <c r="E207" i="13" s="1"/>
  <c r="C204" i="8"/>
  <c r="E204" i="8" s="1"/>
  <c r="D236" i="8"/>
  <c r="C244" i="8"/>
  <c r="E244" i="8" s="1"/>
  <c r="D294" i="8"/>
  <c r="D303" i="8"/>
  <c r="D14" i="9"/>
  <c r="D70" i="9"/>
  <c r="C85" i="9"/>
  <c r="E85" i="9" s="1"/>
  <c r="C141" i="9"/>
  <c r="E141" i="9" s="1"/>
  <c r="C149" i="9"/>
  <c r="E149" i="9" s="1"/>
  <c r="D176" i="9"/>
  <c r="C184" i="9"/>
  <c r="E184" i="9" s="1"/>
  <c r="D196" i="9"/>
  <c r="C204" i="9"/>
  <c r="E204" i="9" s="1"/>
  <c r="C238" i="9"/>
  <c r="E238" i="9" s="1"/>
  <c r="C296" i="9"/>
  <c r="D21" i="10"/>
  <c r="C48" i="10"/>
  <c r="E48" i="10" s="1"/>
  <c r="C167" i="10"/>
  <c r="E167" i="10" s="1"/>
  <c r="D176" i="10"/>
  <c r="C182" i="10"/>
  <c r="E182" i="10" s="1"/>
  <c r="D222" i="10"/>
  <c r="D237" i="10"/>
  <c r="C253" i="10"/>
  <c r="E253" i="10" s="1"/>
  <c r="D253" i="10"/>
  <c r="D270" i="10"/>
  <c r="D12" i="11"/>
  <c r="C68" i="11"/>
  <c r="E68" i="11" s="1"/>
  <c r="D74" i="11"/>
  <c r="D80" i="11"/>
  <c r="D146" i="11"/>
  <c r="D163" i="11"/>
  <c r="D179" i="11"/>
  <c r="D195" i="11"/>
  <c r="D220" i="11"/>
  <c r="C262" i="11"/>
  <c r="E262" i="11" s="1"/>
  <c r="D58" i="12"/>
  <c r="C98" i="12"/>
  <c r="E98" i="12" s="1"/>
  <c r="D98" i="12"/>
  <c r="D102" i="12"/>
  <c r="C39" i="10"/>
  <c r="E39" i="10" s="1"/>
  <c r="D153" i="10"/>
  <c r="D177" i="10"/>
  <c r="D182" i="10"/>
  <c r="D227" i="10"/>
  <c r="C231" i="10"/>
  <c r="E231" i="10" s="1"/>
  <c r="D231" i="10"/>
  <c r="C272" i="10"/>
  <c r="D285" i="10"/>
  <c r="D300" i="10"/>
  <c r="D38" i="11"/>
  <c r="D68" i="11"/>
  <c r="C156" i="11"/>
  <c r="E156" i="11" s="1"/>
  <c r="D160" i="11"/>
  <c r="D221" i="11"/>
  <c r="C255" i="11"/>
  <c r="E255" i="11" s="1"/>
  <c r="D254" i="11"/>
  <c r="D262" i="11"/>
  <c r="D291" i="11"/>
  <c r="AJ29" i="4" s="1"/>
  <c r="C82" i="12"/>
  <c r="E82" i="12" s="1"/>
  <c r="D82" i="12"/>
  <c r="D192" i="12"/>
  <c r="C78" i="13"/>
  <c r="E78" i="13" s="1"/>
  <c r="D78" i="13"/>
  <c r="D158" i="13"/>
  <c r="C159" i="13"/>
  <c r="E159" i="13" s="1"/>
  <c r="C12" i="10"/>
  <c r="E12" i="10" s="1"/>
  <c r="C76" i="10"/>
  <c r="E76" i="10" s="1"/>
  <c r="D86" i="10"/>
  <c r="D160" i="10"/>
  <c r="D183" i="10"/>
  <c r="D189" i="10"/>
  <c r="D196" i="10"/>
  <c r="D238" i="10"/>
  <c r="D13" i="11"/>
  <c r="D30" i="11"/>
  <c r="D54" i="11"/>
  <c r="D140" i="11"/>
  <c r="D156" i="11"/>
  <c r="C174" i="11"/>
  <c r="E174" i="11" s="1"/>
  <c r="D213" i="11"/>
  <c r="C254" i="11"/>
  <c r="E254" i="11" s="1"/>
  <c r="D75" i="12"/>
  <c r="D171" i="12"/>
  <c r="C171" i="12"/>
  <c r="E171" i="12" s="1"/>
  <c r="C222" i="12"/>
  <c r="E222" i="12" s="1"/>
  <c r="C264" i="12"/>
  <c r="E264" i="12" s="1"/>
  <c r="D268" i="12"/>
  <c r="AO6" i="4" s="1"/>
  <c r="D264" i="12"/>
  <c r="C198" i="13"/>
  <c r="E198" i="13" s="1"/>
  <c r="D198" i="13"/>
  <c r="D287" i="10"/>
  <c r="D48" i="11"/>
  <c r="D133" i="11"/>
  <c r="D189" i="11"/>
  <c r="D273" i="11"/>
  <c r="AJ11" i="4" s="1"/>
  <c r="C309" i="9"/>
  <c r="C34" i="10"/>
  <c r="E34" i="10" s="1"/>
  <c r="C62" i="10"/>
  <c r="E62" i="10" s="1"/>
  <c r="D109" i="10"/>
  <c r="C133" i="10"/>
  <c r="E133" i="10" s="1"/>
  <c r="C225" i="10"/>
  <c r="E225" i="10" s="1"/>
  <c r="D248" i="10"/>
  <c r="C296" i="10"/>
  <c r="C48" i="11"/>
  <c r="E48" i="11" s="1"/>
  <c r="C63" i="11"/>
  <c r="E63" i="11" s="1"/>
  <c r="C83" i="11"/>
  <c r="E83" i="11" s="1"/>
  <c r="C95" i="11"/>
  <c r="E95" i="11" s="1"/>
  <c r="C182" i="11"/>
  <c r="E182" i="11" s="1"/>
  <c r="D182" i="11"/>
  <c r="D214" i="11"/>
  <c r="C248" i="11"/>
  <c r="E248" i="11" s="1"/>
  <c r="C282" i="11"/>
  <c r="C305" i="11"/>
  <c r="D304" i="11"/>
  <c r="AJ42" i="4" s="1"/>
  <c r="C288" i="12"/>
  <c r="D288" i="12"/>
  <c r="AO26" i="4" s="1"/>
  <c r="C150" i="13"/>
  <c r="E150" i="13" s="1"/>
  <c r="D150" i="13"/>
  <c r="D228" i="13"/>
  <c r="C281" i="10"/>
  <c r="D263" i="13"/>
  <c r="C263" i="13"/>
  <c r="E263" i="13" s="1"/>
  <c r="C281" i="9"/>
  <c r="C300" i="9"/>
  <c r="D13" i="10"/>
  <c r="C28" i="10"/>
  <c r="E28" i="10" s="1"/>
  <c r="C58" i="10"/>
  <c r="E58" i="10" s="1"/>
  <c r="D69" i="10"/>
  <c r="C90" i="10"/>
  <c r="E90" i="10" s="1"/>
  <c r="C98" i="10"/>
  <c r="E98" i="10" s="1"/>
  <c r="C116" i="10"/>
  <c r="E116" i="10" s="1"/>
  <c r="C179" i="10"/>
  <c r="E179" i="10" s="1"/>
  <c r="C192" i="10"/>
  <c r="E192" i="10" s="1"/>
  <c r="D199" i="10"/>
  <c r="C259" i="10"/>
  <c r="E259" i="10" s="1"/>
  <c r="C267" i="10"/>
  <c r="C289" i="10"/>
  <c r="D42" i="11"/>
  <c r="C57" i="11"/>
  <c r="E57" i="11" s="1"/>
  <c r="D100" i="11"/>
  <c r="C199" i="11"/>
  <c r="E199" i="11" s="1"/>
  <c r="C215" i="11"/>
  <c r="E215" i="11" s="1"/>
  <c r="D275" i="11"/>
  <c r="AJ13" i="4" s="1"/>
  <c r="D86" i="12"/>
  <c r="C163" i="12"/>
  <c r="E163" i="12" s="1"/>
  <c r="C196" i="12"/>
  <c r="E196" i="12" s="1"/>
  <c r="C102" i="13"/>
  <c r="E102" i="13" s="1"/>
  <c r="D102" i="13"/>
  <c r="D182" i="13"/>
  <c r="D186" i="13"/>
  <c r="D257" i="9"/>
  <c r="C267" i="9"/>
  <c r="D290" i="9"/>
  <c r="D26" i="10"/>
  <c r="D58" i="10"/>
  <c r="C80" i="10"/>
  <c r="E80" i="10" s="1"/>
  <c r="C107" i="10"/>
  <c r="E107" i="10" s="1"/>
  <c r="C126" i="10"/>
  <c r="E126" i="10" s="1"/>
  <c r="C134" i="10"/>
  <c r="E134" i="10" s="1"/>
  <c r="D163" i="10"/>
  <c r="C186" i="10"/>
  <c r="E186" i="10" s="1"/>
  <c r="D218" i="10"/>
  <c r="C242" i="10"/>
  <c r="E242" i="10" s="1"/>
  <c r="C258" i="10"/>
  <c r="E258" i="10" s="1"/>
  <c r="C65" i="11"/>
  <c r="E65" i="11" s="1"/>
  <c r="C143" i="11"/>
  <c r="E143" i="11" s="1"/>
  <c r="C192" i="11"/>
  <c r="E192" i="11" s="1"/>
  <c r="D199" i="11"/>
  <c r="D118" i="12"/>
  <c r="C114" i="12"/>
  <c r="E114" i="12" s="1"/>
  <c r="C222" i="13"/>
  <c r="E222" i="13" s="1"/>
  <c r="D222" i="13"/>
  <c r="C254" i="13"/>
  <c r="E254" i="13" s="1"/>
  <c r="D253" i="13"/>
  <c r="D37" i="10"/>
  <c r="C51" i="10"/>
  <c r="E51" i="10" s="1"/>
  <c r="C59" i="10"/>
  <c r="E59" i="10" s="1"/>
  <c r="C64" i="10"/>
  <c r="E64" i="10" s="1"/>
  <c r="D71" i="10"/>
  <c r="D104" i="10"/>
  <c r="D134" i="10"/>
  <c r="D173" i="10"/>
  <c r="D215" i="10"/>
  <c r="D219" i="10"/>
  <c r="C235" i="10"/>
  <c r="E235" i="10" s="1"/>
  <c r="C243" i="10"/>
  <c r="E243" i="10" s="1"/>
  <c r="D258" i="10"/>
  <c r="D290" i="10"/>
  <c r="C18" i="11"/>
  <c r="E18" i="11" s="1"/>
  <c r="C17" i="11"/>
  <c r="E17" i="11" s="1"/>
  <c r="D51" i="11"/>
  <c r="C72" i="11"/>
  <c r="E72" i="11" s="1"/>
  <c r="C78" i="11"/>
  <c r="E78" i="11" s="1"/>
  <c r="D92" i="11"/>
  <c r="C97" i="11"/>
  <c r="E97" i="11" s="1"/>
  <c r="C152" i="11"/>
  <c r="E152" i="11" s="1"/>
  <c r="D192" i="11"/>
  <c r="D234" i="11"/>
  <c r="C287" i="11"/>
  <c r="D104" i="12"/>
  <c r="C115" i="12"/>
  <c r="E115" i="12" s="1"/>
  <c r="D187" i="12"/>
  <c r="D237" i="12"/>
  <c r="C237" i="12"/>
  <c r="E237" i="12" s="1"/>
  <c r="C272" i="13"/>
  <c r="E272" i="13" s="1"/>
  <c r="C302" i="13"/>
  <c r="E302" i="13" s="1"/>
  <c r="D69" i="11"/>
  <c r="C118" i="11"/>
  <c r="E118" i="11" s="1"/>
  <c r="D164" i="11"/>
  <c r="C204" i="11"/>
  <c r="E204" i="11" s="1"/>
  <c r="D245" i="11"/>
  <c r="C59" i="12"/>
  <c r="E59" i="12" s="1"/>
  <c r="D76" i="12"/>
  <c r="C94" i="12"/>
  <c r="E94" i="12" s="1"/>
  <c r="D189" i="12"/>
  <c r="D255" i="12"/>
  <c r="C280" i="12"/>
  <c r="C303" i="12"/>
  <c r="D63" i="13"/>
  <c r="D87" i="13"/>
  <c r="D111" i="13"/>
  <c r="D135" i="13"/>
  <c r="D159" i="13"/>
  <c r="D183" i="13"/>
  <c r="D207" i="13"/>
  <c r="C229" i="13"/>
  <c r="E229" i="13" s="1"/>
  <c r="C236" i="13"/>
  <c r="E236" i="13" s="1"/>
  <c r="C244" i="13"/>
  <c r="E244" i="13" s="1"/>
  <c r="D254" i="13"/>
  <c r="D272" i="13"/>
  <c r="D293" i="13"/>
  <c r="D302" i="13"/>
  <c r="D112" i="11"/>
  <c r="D145" i="11"/>
  <c r="D168" i="11"/>
  <c r="D176" i="11"/>
  <c r="D187" i="11"/>
  <c r="D201" i="11"/>
  <c r="D204" i="11"/>
  <c r="D230" i="11"/>
  <c r="C83" i="12"/>
  <c r="E83" i="12" s="1"/>
  <c r="D94" i="12"/>
  <c r="C122" i="12"/>
  <c r="E122" i="12" s="1"/>
  <c r="C128" i="12"/>
  <c r="E128" i="12" s="1"/>
  <c r="C156" i="12"/>
  <c r="E156" i="12" s="1"/>
  <c r="C172" i="12"/>
  <c r="E172" i="12" s="1"/>
  <c r="C189" i="12"/>
  <c r="E189" i="12" s="1"/>
  <c r="C214" i="12"/>
  <c r="E214" i="12" s="1"/>
  <c r="D235" i="12"/>
  <c r="D247" i="12"/>
  <c r="C256" i="12"/>
  <c r="E256" i="12" s="1"/>
  <c r="D265" i="12"/>
  <c r="D280" i="12"/>
  <c r="AO18" i="4" s="1"/>
  <c r="D289" i="12"/>
  <c r="AO27" i="4" s="1"/>
  <c r="D303" i="12"/>
  <c r="AO41" i="4" s="1"/>
  <c r="C63" i="13"/>
  <c r="E63" i="13" s="1"/>
  <c r="C71" i="13"/>
  <c r="E71" i="13" s="1"/>
  <c r="C87" i="13"/>
  <c r="E87" i="13" s="1"/>
  <c r="C111" i="13"/>
  <c r="E111" i="13" s="1"/>
  <c r="C135" i="13"/>
  <c r="E135" i="13" s="1"/>
  <c r="C183" i="13"/>
  <c r="E183" i="13" s="1"/>
  <c r="D230" i="13"/>
  <c r="D206" i="10"/>
  <c r="D228" i="10"/>
  <c r="D250" i="10"/>
  <c r="C277" i="10"/>
  <c r="C284" i="10"/>
  <c r="D25" i="11"/>
  <c r="C108" i="11"/>
  <c r="E108" i="11" s="1"/>
  <c r="D132" i="11"/>
  <c r="C146" i="11"/>
  <c r="E146" i="11" s="1"/>
  <c r="D165" i="11"/>
  <c r="C169" i="11"/>
  <c r="E169" i="11" s="1"/>
  <c r="C183" i="11"/>
  <c r="E183" i="11" s="1"/>
  <c r="C205" i="11"/>
  <c r="E205" i="11" s="1"/>
  <c r="D256" i="11"/>
  <c r="D265" i="11"/>
  <c r="C297" i="11"/>
  <c r="D83" i="12"/>
  <c r="C89" i="12"/>
  <c r="E89" i="12" s="1"/>
  <c r="D177" i="12"/>
  <c r="D256" i="12"/>
  <c r="C265" i="12"/>
  <c r="E265" i="12" s="1"/>
  <c r="C289" i="12"/>
  <c r="D297" i="12"/>
  <c r="AO35" i="4" s="1"/>
  <c r="C304" i="12"/>
  <c r="C64" i="13"/>
  <c r="E64" i="13" s="1"/>
  <c r="D71" i="13"/>
  <c r="C88" i="13"/>
  <c r="E88" i="13" s="1"/>
  <c r="D95" i="13"/>
  <c r="C112" i="13"/>
  <c r="E112" i="13" s="1"/>
  <c r="D119" i="13"/>
  <c r="C136" i="13"/>
  <c r="E136" i="13" s="1"/>
  <c r="D143" i="13"/>
  <c r="C160" i="13"/>
  <c r="E160" i="13" s="1"/>
  <c r="D167" i="13"/>
  <c r="C184" i="13"/>
  <c r="E184" i="13" s="1"/>
  <c r="D191" i="13"/>
  <c r="C208" i="13"/>
  <c r="E208" i="13" s="1"/>
  <c r="D215" i="13"/>
  <c r="D223" i="13"/>
  <c r="D231" i="13"/>
  <c r="D237" i="13"/>
  <c r="C266" i="13"/>
  <c r="E266" i="13" s="1"/>
  <c r="D108" i="12"/>
  <c r="D134" i="12"/>
  <c r="D183" i="12"/>
  <c r="D207" i="12"/>
  <c r="D65" i="13"/>
  <c r="D72" i="13"/>
  <c r="D89" i="13"/>
  <c r="D96" i="13"/>
  <c r="D113" i="13"/>
  <c r="D120" i="13"/>
  <c r="D128" i="13"/>
  <c r="D137" i="13"/>
  <c r="D144" i="13"/>
  <c r="D152" i="13"/>
  <c r="D168" i="13"/>
  <c r="D176" i="13"/>
  <c r="D192" i="13"/>
  <c r="D200" i="13"/>
  <c r="D216" i="13"/>
  <c r="D224" i="13"/>
  <c r="D275" i="13"/>
  <c r="D296" i="13"/>
  <c r="D163" i="12"/>
  <c r="D170" i="12"/>
  <c r="D240" i="12"/>
  <c r="D257" i="13"/>
  <c r="D290" i="13"/>
  <c r="D308" i="11"/>
  <c r="AJ46" i="4" s="1"/>
  <c r="D117" i="12"/>
  <c r="C124" i="12"/>
  <c r="E124" i="12" s="1"/>
  <c r="D145" i="12"/>
  <c r="D159" i="12"/>
  <c r="C208" i="12"/>
  <c r="E208" i="12" s="1"/>
  <c r="D241" i="12"/>
  <c r="D267" i="12"/>
  <c r="AO5" i="4" s="1"/>
  <c r="C276" i="12"/>
  <c r="D283" i="12"/>
  <c r="AO21" i="4" s="1"/>
  <c r="C291" i="12"/>
  <c r="C66" i="13"/>
  <c r="E66" i="13" s="1"/>
  <c r="D81" i="13"/>
  <c r="C90" i="13"/>
  <c r="E90" i="13" s="1"/>
  <c r="D105" i="13"/>
  <c r="C114" i="13"/>
  <c r="E114" i="13" s="1"/>
  <c r="D129" i="13"/>
  <c r="C138" i="13"/>
  <c r="E138" i="13" s="1"/>
  <c r="D153" i="13"/>
  <c r="C162" i="13"/>
  <c r="E162" i="13" s="1"/>
  <c r="D177" i="13"/>
  <c r="C186" i="13"/>
  <c r="E186" i="13" s="1"/>
  <c r="D201" i="13"/>
  <c r="C210" i="13"/>
  <c r="E210" i="13" s="1"/>
  <c r="D239" i="13"/>
  <c r="C72" i="12"/>
  <c r="E72" i="12" s="1"/>
  <c r="D109" i="12"/>
  <c r="C118" i="12"/>
  <c r="E118" i="12" s="1"/>
  <c r="D124" i="12"/>
  <c r="C193" i="12"/>
  <c r="E193" i="12" s="1"/>
  <c r="D225" i="12"/>
  <c r="C241" i="12"/>
  <c r="E241" i="12" s="1"/>
  <c r="C268" i="12"/>
  <c r="D276" i="12"/>
  <c r="AO14" i="4" s="1"/>
  <c r="D291" i="12"/>
  <c r="AO29" i="4" s="1"/>
  <c r="C300" i="12"/>
  <c r="C58" i="13"/>
  <c r="E58" i="13" s="1"/>
  <c r="D66" i="13"/>
  <c r="D90" i="13"/>
  <c r="D114" i="13"/>
  <c r="D138" i="13"/>
  <c r="D162" i="13"/>
  <c r="D225" i="13"/>
  <c r="C233" i="13"/>
  <c r="E233" i="13" s="1"/>
  <c r="C240" i="13"/>
  <c r="E240" i="13" s="1"/>
  <c r="C287" i="13"/>
  <c r="E287" i="13" s="1"/>
  <c r="D240" i="13"/>
  <c r="D270" i="11"/>
  <c r="AJ8" i="4" s="1"/>
  <c r="C55" i="12"/>
  <c r="E55" i="12" s="1"/>
  <c r="C65" i="12"/>
  <c r="E65" i="12" s="1"/>
  <c r="C92" i="12"/>
  <c r="E92" i="12" s="1"/>
  <c r="C151" i="12"/>
  <c r="E151" i="12" s="1"/>
  <c r="C161" i="12"/>
  <c r="E161" i="12" s="1"/>
  <c r="D199" i="12"/>
  <c r="C211" i="12"/>
  <c r="E211" i="12" s="1"/>
  <c r="C226" i="12"/>
  <c r="E226" i="12" s="1"/>
  <c r="D252" i="12"/>
  <c r="C261" i="12"/>
  <c r="E261" i="12" s="1"/>
  <c r="C277" i="12"/>
  <c r="D292" i="12"/>
  <c r="AO30" i="4" s="1"/>
  <c r="D59" i="13"/>
  <c r="D83" i="13"/>
  <c r="D107" i="13"/>
  <c r="D131" i="13"/>
  <c r="D155" i="13"/>
  <c r="D179" i="13"/>
  <c r="D203" i="13"/>
  <c r="C227" i="13"/>
  <c r="E227" i="13" s="1"/>
  <c r="D234" i="13"/>
  <c r="D251" i="13"/>
  <c r="D308" i="13"/>
  <c r="D274" i="13"/>
  <c r="C274" i="13"/>
  <c r="E274" i="13" s="1"/>
  <c r="C248" i="13"/>
  <c r="E248" i="13" s="1"/>
  <c r="C260" i="13"/>
  <c r="E260" i="13" s="1"/>
  <c r="D267" i="13"/>
  <c r="C267" i="13"/>
  <c r="E267" i="13" s="1"/>
  <c r="D289" i="13"/>
  <c r="C289" i="13"/>
  <c r="E289" i="13" s="1"/>
  <c r="C296" i="13"/>
  <c r="E296" i="13" s="1"/>
  <c r="D303" i="13"/>
  <c r="C303" i="13"/>
  <c r="E303" i="13" s="1"/>
  <c r="D268" i="13"/>
  <c r="C268" i="13"/>
  <c r="E268" i="13" s="1"/>
  <c r="C275" i="13"/>
  <c r="E275" i="13" s="1"/>
  <c r="D282" i="13"/>
  <c r="C282" i="13"/>
  <c r="E282" i="13" s="1"/>
  <c r="D304" i="13"/>
  <c r="C304" i="13"/>
  <c r="E304" i="13" s="1"/>
  <c r="D288" i="13"/>
  <c r="C288" i="13"/>
  <c r="E288" i="13" s="1"/>
  <c r="C60" i="13"/>
  <c r="E60" i="13" s="1"/>
  <c r="D64" i="13"/>
  <c r="C72" i="13"/>
  <c r="E72" i="13" s="1"/>
  <c r="D76" i="13"/>
  <c r="C84" i="13"/>
  <c r="E84" i="13" s="1"/>
  <c r="D88" i="13"/>
  <c r="C96" i="13"/>
  <c r="E96" i="13" s="1"/>
  <c r="D100" i="13"/>
  <c r="C108" i="13"/>
  <c r="E108" i="13" s="1"/>
  <c r="D112" i="13"/>
  <c r="C120" i="13"/>
  <c r="E120" i="13" s="1"/>
  <c r="D124" i="13"/>
  <c r="C132" i="13"/>
  <c r="E132" i="13" s="1"/>
  <c r="D136" i="13"/>
  <c r="C144" i="13"/>
  <c r="E144" i="13" s="1"/>
  <c r="D148" i="13"/>
  <c r="C156" i="13"/>
  <c r="E156" i="13" s="1"/>
  <c r="D160" i="13"/>
  <c r="C168" i="13"/>
  <c r="E168" i="13" s="1"/>
  <c r="D172" i="13"/>
  <c r="C180" i="13"/>
  <c r="E180" i="13" s="1"/>
  <c r="D184" i="13"/>
  <c r="C192" i="13"/>
  <c r="E192" i="13" s="1"/>
  <c r="D196" i="13"/>
  <c r="C204" i="13"/>
  <c r="E204" i="13" s="1"/>
  <c r="D208" i="13"/>
  <c r="C216" i="13"/>
  <c r="E216" i="13" s="1"/>
  <c r="D220" i="13"/>
  <c r="D232" i="13"/>
  <c r="D244" i="13"/>
  <c r="D261" i="13"/>
  <c r="C261" i="13"/>
  <c r="E261" i="13" s="1"/>
  <c r="D283" i="13"/>
  <c r="C283" i="13"/>
  <c r="E283" i="13" s="1"/>
  <c r="D297" i="13"/>
  <c r="C297" i="13"/>
  <c r="E297" i="13" s="1"/>
  <c r="D249" i="13"/>
  <c r="C249" i="13"/>
  <c r="E249" i="13" s="1"/>
  <c r="D255" i="13"/>
  <c r="C255" i="13"/>
  <c r="E255" i="13" s="1"/>
  <c r="D262" i="13"/>
  <c r="C262" i="13"/>
  <c r="E262" i="13" s="1"/>
  <c r="D276" i="13"/>
  <c r="C276" i="13"/>
  <c r="E276" i="13" s="1"/>
  <c r="D298" i="13"/>
  <c r="C298" i="13"/>
  <c r="E298" i="13" s="1"/>
  <c r="C305" i="13"/>
  <c r="E305" i="13" s="1"/>
  <c r="D277" i="13"/>
  <c r="C277" i="13"/>
  <c r="E277" i="13" s="1"/>
  <c r="D291" i="13"/>
  <c r="C291" i="13"/>
  <c r="E291" i="13" s="1"/>
  <c r="D61" i="13"/>
  <c r="C69" i="13"/>
  <c r="E69" i="13" s="1"/>
  <c r="D73" i="13"/>
  <c r="C81" i="13"/>
  <c r="E81" i="13" s="1"/>
  <c r="D85" i="13"/>
  <c r="C93" i="13"/>
  <c r="E93" i="13" s="1"/>
  <c r="D97" i="13"/>
  <c r="C105" i="13"/>
  <c r="E105" i="13" s="1"/>
  <c r="D109" i="13"/>
  <c r="C117" i="13"/>
  <c r="E117" i="13" s="1"/>
  <c r="D121" i="13"/>
  <c r="C129" i="13"/>
  <c r="E129" i="13" s="1"/>
  <c r="D133" i="13"/>
  <c r="C141" i="13"/>
  <c r="E141" i="13" s="1"/>
  <c r="D145" i="13"/>
  <c r="C153" i="13"/>
  <c r="E153" i="13" s="1"/>
  <c r="D157" i="13"/>
  <c r="D161" i="13"/>
  <c r="C165" i="13"/>
  <c r="E165" i="13" s="1"/>
  <c r="D169" i="13"/>
  <c r="D173" i="13"/>
  <c r="C177" i="13"/>
  <c r="E177" i="13" s="1"/>
  <c r="D181" i="13"/>
  <c r="D185" i="13"/>
  <c r="C189" i="13"/>
  <c r="E189" i="13" s="1"/>
  <c r="D193" i="13"/>
  <c r="D197" i="13"/>
  <c r="C201" i="13"/>
  <c r="E201" i="13" s="1"/>
  <c r="D205" i="13"/>
  <c r="D209" i="13"/>
  <c r="C213" i="13"/>
  <c r="E213" i="13" s="1"/>
  <c r="D217" i="13"/>
  <c r="D221" i="13"/>
  <c r="C225" i="13"/>
  <c r="E225" i="13" s="1"/>
  <c r="D229" i="13"/>
  <c r="D233" i="13"/>
  <c r="C237" i="13"/>
  <c r="E237" i="13" s="1"/>
  <c r="D241" i="13"/>
  <c r="D245" i="13"/>
  <c r="D250" i="13"/>
  <c r="D256" i="13"/>
  <c r="D270" i="13"/>
  <c r="C270" i="13"/>
  <c r="E270" i="13" s="1"/>
  <c r="D292" i="13"/>
  <c r="C292" i="13"/>
  <c r="E292" i="13" s="1"/>
  <c r="D306" i="13"/>
  <c r="C306" i="13"/>
  <c r="E306" i="13" s="1"/>
  <c r="D271" i="13"/>
  <c r="C271" i="13"/>
  <c r="E271" i="13" s="1"/>
  <c r="C278" i="13"/>
  <c r="E278" i="13" s="1"/>
  <c r="D285" i="13"/>
  <c r="C285" i="13"/>
  <c r="E285" i="13" s="1"/>
  <c r="D307" i="13"/>
  <c r="C307" i="13"/>
  <c r="E307" i="13" s="1"/>
  <c r="C62" i="13"/>
  <c r="E62" i="13" s="1"/>
  <c r="C70" i="13"/>
  <c r="E70" i="13" s="1"/>
  <c r="C74" i="13"/>
  <c r="E74" i="13" s="1"/>
  <c r="C82" i="13"/>
  <c r="E82" i="13" s="1"/>
  <c r="C86" i="13"/>
  <c r="E86" i="13" s="1"/>
  <c r="C94" i="13"/>
  <c r="E94" i="13" s="1"/>
  <c r="C98" i="13"/>
  <c r="E98" i="13" s="1"/>
  <c r="C106" i="13"/>
  <c r="E106" i="13" s="1"/>
  <c r="C110" i="13"/>
  <c r="E110" i="13" s="1"/>
  <c r="C118" i="13"/>
  <c r="E118" i="13" s="1"/>
  <c r="C122" i="13"/>
  <c r="E122" i="13" s="1"/>
  <c r="C130" i="13"/>
  <c r="E130" i="13" s="1"/>
  <c r="C134" i="13"/>
  <c r="E134" i="13" s="1"/>
  <c r="C142" i="13"/>
  <c r="E142" i="13" s="1"/>
  <c r="C146" i="13"/>
  <c r="E146" i="13" s="1"/>
  <c r="C154" i="13"/>
  <c r="E154" i="13" s="1"/>
  <c r="C158" i="13"/>
  <c r="E158" i="13" s="1"/>
  <c r="C166" i="13"/>
  <c r="E166" i="13" s="1"/>
  <c r="C170" i="13"/>
  <c r="E170" i="13" s="1"/>
  <c r="C178" i="13"/>
  <c r="E178" i="13" s="1"/>
  <c r="C182" i="13"/>
  <c r="E182" i="13" s="1"/>
  <c r="C190" i="13"/>
  <c r="E190" i="13" s="1"/>
  <c r="C194" i="13"/>
  <c r="E194" i="13" s="1"/>
  <c r="C202" i="13"/>
  <c r="E202" i="13" s="1"/>
  <c r="C206" i="13"/>
  <c r="E206" i="13" s="1"/>
  <c r="C214" i="13"/>
  <c r="E214" i="13" s="1"/>
  <c r="C218" i="13"/>
  <c r="E218" i="13" s="1"/>
  <c r="C226" i="13"/>
  <c r="E226" i="13" s="1"/>
  <c r="C230" i="13"/>
  <c r="E230" i="13" s="1"/>
  <c r="C238" i="13"/>
  <c r="E238" i="13" s="1"/>
  <c r="C242" i="13"/>
  <c r="E242" i="13" s="1"/>
  <c r="C246" i="13"/>
  <c r="E246" i="13" s="1"/>
  <c r="C251" i="13"/>
  <c r="E251" i="13" s="1"/>
  <c r="C257" i="13"/>
  <c r="E257" i="13" s="1"/>
  <c r="D264" i="13"/>
  <c r="C264" i="13"/>
  <c r="E264" i="13" s="1"/>
  <c r="D286" i="13"/>
  <c r="C286" i="13"/>
  <c r="E286" i="13" s="1"/>
  <c r="C293" i="13"/>
  <c r="E293" i="13" s="1"/>
  <c r="D300" i="13"/>
  <c r="C300" i="13"/>
  <c r="E300" i="13" s="1"/>
  <c r="D58" i="13"/>
  <c r="D70" i="13"/>
  <c r="D82" i="13"/>
  <c r="D94" i="13"/>
  <c r="D106" i="13"/>
  <c r="D118" i="13"/>
  <c r="D130" i="13"/>
  <c r="D142" i="13"/>
  <c r="D154" i="13"/>
  <c r="D166" i="13"/>
  <c r="D178" i="13"/>
  <c r="D190" i="13"/>
  <c r="D202" i="13"/>
  <c r="D214" i="13"/>
  <c r="D226" i="13"/>
  <c r="D238" i="13"/>
  <c r="D246" i="13"/>
  <c r="D265" i="13"/>
  <c r="C265" i="13"/>
  <c r="E265" i="13" s="1"/>
  <c r="D279" i="13"/>
  <c r="C279" i="13"/>
  <c r="E279" i="13" s="1"/>
  <c r="D301" i="13"/>
  <c r="C301" i="13"/>
  <c r="E301" i="13" s="1"/>
  <c r="D252" i="13"/>
  <c r="C252" i="13"/>
  <c r="E252" i="13" s="1"/>
  <c r="D258" i="13"/>
  <c r="C258" i="13"/>
  <c r="E258" i="13" s="1"/>
  <c r="D280" i="13"/>
  <c r="C280" i="13"/>
  <c r="E280" i="13" s="1"/>
  <c r="D294" i="13"/>
  <c r="C294" i="13"/>
  <c r="E294" i="13" s="1"/>
  <c r="C67" i="13"/>
  <c r="E67" i="13" s="1"/>
  <c r="C79" i="13"/>
  <c r="E79" i="13" s="1"/>
  <c r="C91" i="13"/>
  <c r="E91" i="13" s="1"/>
  <c r="C103" i="13"/>
  <c r="E103" i="13" s="1"/>
  <c r="C115" i="13"/>
  <c r="E115" i="13" s="1"/>
  <c r="C127" i="13"/>
  <c r="E127" i="13" s="1"/>
  <c r="C139" i="13"/>
  <c r="E139" i="13" s="1"/>
  <c r="C151" i="13"/>
  <c r="E151" i="13" s="1"/>
  <c r="C163" i="13"/>
  <c r="E163" i="13" s="1"/>
  <c r="C175" i="13"/>
  <c r="E175" i="13" s="1"/>
  <c r="C187" i="13"/>
  <c r="E187" i="13" s="1"/>
  <c r="C199" i="13"/>
  <c r="E199" i="13" s="1"/>
  <c r="C211" i="13"/>
  <c r="E211" i="13" s="1"/>
  <c r="C223" i="13"/>
  <c r="E223" i="13" s="1"/>
  <c r="C235" i="13"/>
  <c r="E235" i="13" s="1"/>
  <c r="D247" i="13"/>
  <c r="C253" i="13"/>
  <c r="E253" i="13" s="1"/>
  <c r="D259" i="13"/>
  <c r="C259" i="13"/>
  <c r="E259" i="13" s="1"/>
  <c r="D273" i="13"/>
  <c r="C273" i="13"/>
  <c r="E273" i="13" s="1"/>
  <c r="D295" i="13"/>
  <c r="C295" i="13"/>
  <c r="E295" i="13" s="1"/>
  <c r="C309" i="13"/>
  <c r="E309" i="13" s="1"/>
  <c r="C9" i="3"/>
  <c r="E9" i="3" s="1"/>
  <c r="B9" i="5"/>
  <c r="J9" i="5" s="1"/>
  <c r="B183" i="5"/>
  <c r="D183" i="3"/>
  <c r="C183" i="3"/>
  <c r="E183" i="3" s="1"/>
  <c r="B154" i="5"/>
  <c r="D154" i="3"/>
  <c r="C154" i="3"/>
  <c r="E154" i="3" s="1"/>
  <c r="B78" i="5"/>
  <c r="H78" i="5" s="1"/>
  <c r="D78" i="3"/>
  <c r="C78" i="3"/>
  <c r="E78" i="3" s="1"/>
  <c r="B137" i="5"/>
  <c r="H137" i="5" s="1"/>
  <c r="D137" i="3"/>
  <c r="C137" i="3"/>
  <c r="E137" i="3" s="1"/>
  <c r="B165" i="5"/>
  <c r="L165" i="5" s="1"/>
  <c r="C165" i="3"/>
  <c r="E165" i="3" s="1"/>
  <c r="D165" i="3"/>
  <c r="E38" i="4"/>
  <c r="E300" i="3"/>
  <c r="E45" i="4"/>
  <c r="E307" i="3"/>
  <c r="F45" i="4" s="1"/>
  <c r="B280" i="5"/>
  <c r="J280" i="5" s="1"/>
  <c r="D18" i="4"/>
  <c r="D280" i="3"/>
  <c r="C280" i="3"/>
  <c r="B262" i="5"/>
  <c r="D262" i="3"/>
  <c r="C262" i="3"/>
  <c r="E262" i="3" s="1"/>
  <c r="J63" i="5"/>
  <c r="L63" i="5"/>
  <c r="E271" i="3"/>
  <c r="F9" i="4" s="1"/>
  <c r="E9" i="4"/>
  <c r="B55" i="5"/>
  <c r="D55" i="3"/>
  <c r="C55" i="3"/>
  <c r="E55" i="3" s="1"/>
  <c r="D158" i="3"/>
  <c r="E282" i="3"/>
  <c r="F20" i="4" s="1"/>
  <c r="E20" i="4"/>
  <c r="B65" i="5"/>
  <c r="C65" i="3"/>
  <c r="E65" i="3" s="1"/>
  <c r="D65" i="3"/>
  <c r="J99" i="5"/>
  <c r="I99" i="5"/>
  <c r="K99" i="5"/>
  <c r="L99" i="5"/>
  <c r="B244" i="5"/>
  <c r="D244" i="3"/>
  <c r="C244" i="3"/>
  <c r="E244" i="3" s="1"/>
  <c r="B226" i="5"/>
  <c r="D226" i="3"/>
  <c r="C226" i="3"/>
  <c r="E226" i="3" s="1"/>
  <c r="B273" i="5"/>
  <c r="D11" i="4"/>
  <c r="C273" i="3"/>
  <c r="D273" i="3"/>
  <c r="D91" i="3"/>
  <c r="B91" i="5"/>
  <c r="C91" i="3"/>
  <c r="E91" i="3" s="1"/>
  <c r="B208" i="5"/>
  <c r="D208" i="3"/>
  <c r="C208" i="3"/>
  <c r="E208" i="3" s="1"/>
  <c r="B255" i="5"/>
  <c r="C255" i="3"/>
  <c r="E255" i="3" s="1"/>
  <c r="D255" i="3"/>
  <c r="B237" i="5"/>
  <c r="L237" i="5" s="1"/>
  <c r="C237" i="3"/>
  <c r="E237" i="3" s="1"/>
  <c r="D237" i="3"/>
  <c r="D19" i="3"/>
  <c r="C19" i="3"/>
  <c r="E19" i="3" s="1"/>
  <c r="B19" i="5"/>
  <c r="B147" i="5"/>
  <c r="D147" i="3"/>
  <c r="C147" i="3"/>
  <c r="E147" i="3" s="1"/>
  <c r="B29" i="5"/>
  <c r="D29" i="3"/>
  <c r="C29" i="3"/>
  <c r="E29" i="3" s="1"/>
  <c r="B114" i="5"/>
  <c r="C114" i="3"/>
  <c r="E114" i="3" s="1"/>
  <c r="D114" i="3"/>
  <c r="B42" i="5"/>
  <c r="D42" i="3"/>
  <c r="C42" i="3"/>
  <c r="E42" i="3" s="1"/>
  <c r="B101" i="5"/>
  <c r="J101" i="5" s="1"/>
  <c r="C101" i="3"/>
  <c r="E101" i="3" s="1"/>
  <c r="D101" i="3"/>
  <c r="B190" i="5"/>
  <c r="D190" i="3"/>
  <c r="C190" i="3"/>
  <c r="E190" i="3" s="1"/>
  <c r="B172" i="5"/>
  <c r="D172" i="3"/>
  <c r="C172" i="3"/>
  <c r="E172" i="3" s="1"/>
  <c r="B219" i="5"/>
  <c r="D219" i="3"/>
  <c r="C219" i="3"/>
  <c r="E219" i="3" s="1"/>
  <c r="B127" i="5"/>
  <c r="L127" i="5" s="1"/>
  <c r="D127" i="3"/>
  <c r="C127" i="3"/>
  <c r="E127" i="3" s="1"/>
  <c r="B201" i="5"/>
  <c r="L201" i="5" s="1"/>
  <c r="D201" i="3"/>
  <c r="C201" i="3"/>
  <c r="E201" i="3" s="1"/>
  <c r="K98" i="5"/>
  <c r="J98" i="5"/>
  <c r="B295" i="5"/>
  <c r="D33" i="4"/>
  <c r="D295" i="3"/>
  <c r="N25" i="1" s="1"/>
  <c r="D13" i="3"/>
  <c r="C62" i="3"/>
  <c r="E62" i="3" s="1"/>
  <c r="C75" i="3"/>
  <c r="E75" i="3" s="1"/>
  <c r="D151" i="3"/>
  <c r="B151" i="5"/>
  <c r="J151" i="5" s="1"/>
  <c r="K234" i="5"/>
  <c r="J234" i="5"/>
  <c r="I234" i="5"/>
  <c r="H234" i="5"/>
  <c r="C295" i="3"/>
  <c r="C13" i="3"/>
  <c r="E13" i="3" s="1"/>
  <c r="B82" i="5"/>
  <c r="H82" i="5" s="1"/>
  <c r="D82" i="3"/>
  <c r="C144" i="3"/>
  <c r="E144" i="3" s="1"/>
  <c r="C21" i="3"/>
  <c r="E21" i="3" s="1"/>
  <c r="D24" i="3"/>
  <c r="H113" i="5"/>
  <c r="L113" i="5"/>
  <c r="I113" i="5"/>
  <c r="B139" i="5"/>
  <c r="D139" i="3"/>
  <c r="C142" i="3"/>
  <c r="E142" i="3" s="1"/>
  <c r="D18" i="3"/>
  <c r="D54" i="3"/>
  <c r="K71" i="5"/>
  <c r="L71" i="5"/>
  <c r="D77" i="3"/>
  <c r="D97" i="3"/>
  <c r="B97" i="5"/>
  <c r="D126" i="3"/>
  <c r="D153" i="3"/>
  <c r="B157" i="5"/>
  <c r="D157" i="3"/>
  <c r="D171" i="3"/>
  <c r="B175" i="5"/>
  <c r="D175" i="3"/>
  <c r="D182" i="3"/>
  <c r="D189" i="3"/>
  <c r="B193" i="5"/>
  <c r="D193" i="3"/>
  <c r="J204" i="5"/>
  <c r="I204" i="5"/>
  <c r="K204" i="5"/>
  <c r="L204" i="5"/>
  <c r="D207" i="3"/>
  <c r="B211" i="5"/>
  <c r="D211" i="3"/>
  <c r="D218" i="3"/>
  <c r="D225" i="3"/>
  <c r="B229" i="5"/>
  <c r="D229" i="3"/>
  <c r="I240" i="5"/>
  <c r="H240" i="5"/>
  <c r="D243" i="3"/>
  <c r="B247" i="5"/>
  <c r="D247" i="3"/>
  <c r="L258" i="5"/>
  <c r="K258" i="5"/>
  <c r="D261" i="3"/>
  <c r="B265" i="5"/>
  <c r="L265" i="5" s="1"/>
  <c r="D265" i="3"/>
  <c r="B276" i="5"/>
  <c r="D14" i="4"/>
  <c r="B283" i="5"/>
  <c r="D21" i="4"/>
  <c r="D283" i="3"/>
  <c r="C294" i="3"/>
  <c r="B298" i="5"/>
  <c r="D298" i="3"/>
  <c r="N22" i="1" s="1"/>
  <c r="B302" i="5"/>
  <c r="C302" i="3"/>
  <c r="D40" i="4"/>
  <c r="C306" i="3"/>
  <c r="J7" i="5"/>
  <c r="L15" i="5"/>
  <c r="K18" i="5"/>
  <c r="O27" i="5"/>
  <c r="I35" i="5"/>
  <c r="O35" i="5"/>
  <c r="O37" i="5"/>
  <c r="J48" i="5"/>
  <c r="I50" i="5"/>
  <c r="O67" i="5"/>
  <c r="J86" i="5"/>
  <c r="K94" i="5"/>
  <c r="J110" i="5"/>
  <c r="K120" i="5"/>
  <c r="J122" i="5"/>
  <c r="L128" i="5"/>
  <c r="K140" i="5"/>
  <c r="J154" i="5"/>
  <c r="B194" i="5"/>
  <c r="C194" i="3"/>
  <c r="E194" i="3" s="1"/>
  <c r="B284" i="5"/>
  <c r="C284" i="3"/>
  <c r="L26" i="5"/>
  <c r="C98" i="3"/>
  <c r="E98" i="3" s="1"/>
  <c r="J180" i="5"/>
  <c r="K180" i="5"/>
  <c r="I180" i="5"/>
  <c r="L180" i="5"/>
  <c r="I252" i="5"/>
  <c r="K252" i="5"/>
  <c r="J252" i="5"/>
  <c r="D266" i="3"/>
  <c r="H39" i="5"/>
  <c r="C23" i="3"/>
  <c r="E23" i="3" s="1"/>
  <c r="I141" i="5"/>
  <c r="L141" i="5"/>
  <c r="J141" i="5"/>
  <c r="H41" i="5"/>
  <c r="K41" i="5"/>
  <c r="J41" i="5"/>
  <c r="L41" i="5"/>
  <c r="C57" i="3"/>
  <c r="E57" i="3" s="1"/>
  <c r="C93" i="3"/>
  <c r="E93" i="3" s="1"/>
  <c r="D96" i="3"/>
  <c r="C106" i="3"/>
  <c r="E106" i="3" s="1"/>
  <c r="H171" i="5"/>
  <c r="J171" i="5"/>
  <c r="I171" i="5"/>
  <c r="D41" i="3"/>
  <c r="B61" i="5"/>
  <c r="J61" i="5" s="1"/>
  <c r="D61" i="3"/>
  <c r="D90" i="3"/>
  <c r="K107" i="5"/>
  <c r="J107" i="5"/>
  <c r="D113" i="3"/>
  <c r="B133" i="5"/>
  <c r="D133" i="3"/>
  <c r="C12" i="3"/>
  <c r="E12" i="3" s="1"/>
  <c r="D15" i="3"/>
  <c r="B22" i="5"/>
  <c r="D22" i="3"/>
  <c r="C25" i="3"/>
  <c r="E25" i="3" s="1"/>
  <c r="C35" i="3"/>
  <c r="E35" i="3" s="1"/>
  <c r="C48" i="3"/>
  <c r="E48" i="3" s="1"/>
  <c r="D51" i="3"/>
  <c r="B58" i="5"/>
  <c r="H58" i="5" s="1"/>
  <c r="D58" i="3"/>
  <c r="C61" i="3"/>
  <c r="E61" i="3" s="1"/>
  <c r="C71" i="3"/>
  <c r="E71" i="3" s="1"/>
  <c r="C84" i="3"/>
  <c r="E84" i="3" s="1"/>
  <c r="D87" i="3"/>
  <c r="D94" i="3"/>
  <c r="B94" i="5"/>
  <c r="L94" i="5" s="1"/>
  <c r="C97" i="3"/>
  <c r="E97" i="3" s="1"/>
  <c r="I104" i="5"/>
  <c r="K104" i="5"/>
  <c r="C107" i="3"/>
  <c r="E107" i="3" s="1"/>
  <c r="C120" i="3"/>
  <c r="E120" i="3" s="1"/>
  <c r="D123" i="3"/>
  <c r="B130" i="5"/>
  <c r="D130" i="3"/>
  <c r="C133" i="3"/>
  <c r="E133" i="3" s="1"/>
  <c r="C143" i="3"/>
  <c r="E143" i="3" s="1"/>
  <c r="C150" i="3"/>
  <c r="E150" i="3" s="1"/>
  <c r="C157" i="3"/>
  <c r="E157" i="3" s="1"/>
  <c r="B161" i="5"/>
  <c r="H161" i="5" s="1"/>
  <c r="C161" i="3"/>
  <c r="E161" i="3" s="1"/>
  <c r="C168" i="3"/>
  <c r="E168" i="3" s="1"/>
  <c r="C175" i="3"/>
  <c r="E175" i="3" s="1"/>
  <c r="B179" i="5"/>
  <c r="I179" i="5" s="1"/>
  <c r="C179" i="3"/>
  <c r="E179" i="3" s="1"/>
  <c r="C186" i="3"/>
  <c r="E186" i="3" s="1"/>
  <c r="C193" i="3"/>
  <c r="E193" i="3" s="1"/>
  <c r="B197" i="5"/>
  <c r="L197" i="5" s="1"/>
  <c r="C197" i="3"/>
  <c r="E197" i="3" s="1"/>
  <c r="C204" i="3"/>
  <c r="E204" i="3" s="1"/>
  <c r="C211" i="3"/>
  <c r="E211" i="3" s="1"/>
  <c r="B215" i="5"/>
  <c r="C215" i="3"/>
  <c r="E215" i="3" s="1"/>
  <c r="C222" i="3"/>
  <c r="E222" i="3" s="1"/>
  <c r="C229" i="3"/>
  <c r="E229" i="3" s="1"/>
  <c r="B233" i="5"/>
  <c r="C233" i="3"/>
  <c r="E233" i="3" s="1"/>
  <c r="C240" i="3"/>
  <c r="E240" i="3" s="1"/>
  <c r="C247" i="3"/>
  <c r="E247" i="3" s="1"/>
  <c r="B251" i="5"/>
  <c r="C251" i="3"/>
  <c r="E251" i="3" s="1"/>
  <c r="C258" i="3"/>
  <c r="E258" i="3" s="1"/>
  <c r="C265" i="3"/>
  <c r="E265" i="3" s="1"/>
  <c r="B269" i="5"/>
  <c r="L269" i="5" s="1"/>
  <c r="C269" i="3"/>
  <c r="C276" i="3"/>
  <c r="C283" i="3"/>
  <c r="B287" i="5"/>
  <c r="C287" i="3"/>
  <c r="C298" i="3"/>
  <c r="D302" i="3"/>
  <c r="N18" i="1" s="1"/>
  <c r="D306" i="3"/>
  <c r="D43" i="4"/>
  <c r="K7" i="5"/>
  <c r="J15" i="5"/>
  <c r="L18" i="5"/>
  <c r="J20" i="5"/>
  <c r="I24" i="5"/>
  <c r="J26" i="5"/>
  <c r="J35" i="5"/>
  <c r="K48" i="5"/>
  <c r="H60" i="5"/>
  <c r="O60" i="5"/>
  <c r="H62" i="5"/>
  <c r="K84" i="5"/>
  <c r="O109" i="5"/>
  <c r="K110" i="5"/>
  <c r="L120" i="5"/>
  <c r="L126" i="5"/>
  <c r="O128" i="5"/>
  <c r="J144" i="5"/>
  <c r="L177" i="5"/>
  <c r="B52" i="5"/>
  <c r="L52" i="5" s="1"/>
  <c r="D52" i="3"/>
  <c r="B248" i="5"/>
  <c r="C248" i="3"/>
  <c r="E248" i="3" s="1"/>
  <c r="B85" i="5"/>
  <c r="D85" i="3"/>
  <c r="J131" i="5"/>
  <c r="H131" i="5"/>
  <c r="C134" i="3"/>
  <c r="E134" i="3" s="1"/>
  <c r="B187" i="5"/>
  <c r="D187" i="3"/>
  <c r="D194" i="3"/>
  <c r="B241" i="5"/>
  <c r="H241" i="5" s="1"/>
  <c r="D241" i="3"/>
  <c r="D284" i="3"/>
  <c r="L105" i="5"/>
  <c r="I105" i="5"/>
  <c r="D134" i="3"/>
  <c r="B245" i="5"/>
  <c r="C245" i="3"/>
  <c r="E245" i="3" s="1"/>
  <c r="L56" i="5"/>
  <c r="O125" i="5"/>
  <c r="I125" i="5"/>
  <c r="C267" i="5"/>
  <c r="D267" i="6"/>
  <c r="C267" i="6"/>
  <c r="C20" i="3"/>
  <c r="E20" i="3" s="1"/>
  <c r="D23" i="3"/>
  <c r="B43" i="5"/>
  <c r="D43" i="3"/>
  <c r="C46" i="3"/>
  <c r="E46" i="3" s="1"/>
  <c r="C69" i="3"/>
  <c r="E69" i="3" s="1"/>
  <c r="D72" i="3"/>
  <c r="C92" i="3"/>
  <c r="E92" i="3" s="1"/>
  <c r="D95" i="3"/>
  <c r="B115" i="5"/>
  <c r="H115" i="5" s="1"/>
  <c r="D115" i="3"/>
  <c r="C118" i="3"/>
  <c r="E118" i="3" s="1"/>
  <c r="C128" i="3"/>
  <c r="E128" i="3" s="1"/>
  <c r="D131" i="3"/>
  <c r="C141" i="3"/>
  <c r="E141" i="3" s="1"/>
  <c r="B148" i="5"/>
  <c r="I148" i="5" s="1"/>
  <c r="D148" i="3"/>
  <c r="B166" i="5"/>
  <c r="D166" i="3"/>
  <c r="D180" i="3"/>
  <c r="B184" i="5"/>
  <c r="D184" i="3"/>
  <c r="K195" i="5"/>
  <c r="J195" i="5"/>
  <c r="I195" i="5"/>
  <c r="H195" i="5"/>
  <c r="D198" i="3"/>
  <c r="B202" i="5"/>
  <c r="D202" i="3"/>
  <c r="D216" i="3"/>
  <c r="B220" i="5"/>
  <c r="D220" i="3"/>
  <c r="L231" i="5"/>
  <c r="J231" i="5"/>
  <c r="H231" i="5"/>
  <c r="K231" i="5"/>
  <c r="D234" i="3"/>
  <c r="B238" i="5"/>
  <c r="D238" i="3"/>
  <c r="D245" i="3"/>
  <c r="L249" i="5"/>
  <c r="H249" i="5"/>
  <c r="K249" i="5"/>
  <c r="J249" i="5"/>
  <c r="I249" i="5"/>
  <c r="D252" i="3"/>
  <c r="B256" i="5"/>
  <c r="L256" i="5" s="1"/>
  <c r="D256" i="3"/>
  <c r="D263" i="3"/>
  <c r="D270" i="3"/>
  <c r="B274" i="5"/>
  <c r="D12" i="4"/>
  <c r="D274" i="3"/>
  <c r="D281" i="3"/>
  <c r="B285" i="5"/>
  <c r="D23" i="4"/>
  <c r="D288" i="3"/>
  <c r="B292" i="5"/>
  <c r="I292" i="5" s="1"/>
  <c r="D30" i="4"/>
  <c r="D292" i="3"/>
  <c r="B296" i="5"/>
  <c r="C296" i="3"/>
  <c r="B304" i="5"/>
  <c r="L304" i="5" s="1"/>
  <c r="D42" i="4"/>
  <c r="D304" i="3"/>
  <c r="N16" i="1" s="1"/>
  <c r="K12" i="5"/>
  <c r="I21" i="5"/>
  <c r="O25" i="5"/>
  <c r="H25" i="5"/>
  <c r="J30" i="5"/>
  <c r="K32" i="5"/>
  <c r="I38" i="5"/>
  <c r="J49" i="5"/>
  <c r="H56" i="5"/>
  <c r="O75" i="5"/>
  <c r="H75" i="5"/>
  <c r="J81" i="5"/>
  <c r="N81" i="5" s="1"/>
  <c r="O81" i="5"/>
  <c r="K87" i="5"/>
  <c r="L89" i="5"/>
  <c r="L91" i="5"/>
  <c r="J125" i="5"/>
  <c r="I134" i="5"/>
  <c r="J143" i="5"/>
  <c r="K171" i="5"/>
  <c r="J187" i="5"/>
  <c r="I214" i="5"/>
  <c r="B124" i="5"/>
  <c r="D124" i="3"/>
  <c r="B212" i="5"/>
  <c r="I212" i="5" s="1"/>
  <c r="C212" i="3"/>
  <c r="E212" i="3" s="1"/>
  <c r="L72" i="5"/>
  <c r="K72" i="5"/>
  <c r="D212" i="3"/>
  <c r="B259" i="5"/>
  <c r="I259" i="5" s="1"/>
  <c r="D259" i="3"/>
  <c r="D26" i="3"/>
  <c r="B173" i="5"/>
  <c r="H173" i="5" s="1"/>
  <c r="C173" i="3"/>
  <c r="E173" i="3" s="1"/>
  <c r="C180" i="3"/>
  <c r="E180" i="3" s="1"/>
  <c r="C198" i="3"/>
  <c r="E198" i="3" s="1"/>
  <c r="C234" i="3"/>
  <c r="E234" i="3" s="1"/>
  <c r="J91" i="5"/>
  <c r="C10" i="3"/>
  <c r="E10" i="3" s="1"/>
  <c r="L30" i="5"/>
  <c r="K30" i="5"/>
  <c r="C33" i="3"/>
  <c r="E33" i="3" s="1"/>
  <c r="D36" i="3"/>
  <c r="H53" i="5"/>
  <c r="J53" i="5"/>
  <c r="C56" i="3"/>
  <c r="E56" i="3" s="1"/>
  <c r="D59" i="3"/>
  <c r="B79" i="5"/>
  <c r="H79" i="5" s="1"/>
  <c r="D79" i="3"/>
  <c r="C82" i="3"/>
  <c r="E82" i="3" s="1"/>
  <c r="C105" i="3"/>
  <c r="E105" i="3" s="1"/>
  <c r="D108" i="3"/>
  <c r="H138" i="5"/>
  <c r="I138" i="5"/>
  <c r="D144" i="3"/>
  <c r="J159" i="5"/>
  <c r="K159" i="5"/>
  <c r="D162" i="3"/>
  <c r="D173" i="3"/>
  <c r="C17" i="3"/>
  <c r="E17" i="3" s="1"/>
  <c r="D20" i="3"/>
  <c r="C30" i="3"/>
  <c r="E30" i="3" s="1"/>
  <c r="D33" i="3"/>
  <c r="D40" i="3"/>
  <c r="C43" i="3"/>
  <c r="E43" i="3" s="1"/>
  <c r="C53" i="3"/>
  <c r="E53" i="3" s="1"/>
  <c r="D56" i="3"/>
  <c r="C66" i="3"/>
  <c r="E66" i="3" s="1"/>
  <c r="D69" i="3"/>
  <c r="D76" i="3"/>
  <c r="B76" i="5"/>
  <c r="J76" i="5" s="1"/>
  <c r="C79" i="3"/>
  <c r="E79" i="3" s="1"/>
  <c r="C89" i="3"/>
  <c r="E89" i="3" s="1"/>
  <c r="D92" i="3"/>
  <c r="C102" i="3"/>
  <c r="E102" i="3" s="1"/>
  <c r="D105" i="3"/>
  <c r="B112" i="5"/>
  <c r="D112" i="3"/>
  <c r="C115" i="3"/>
  <c r="E115" i="3" s="1"/>
  <c r="L122" i="5"/>
  <c r="K122" i="5"/>
  <c r="C125" i="3"/>
  <c r="E125" i="3" s="1"/>
  <c r="D128" i="3"/>
  <c r="C138" i="3"/>
  <c r="E138" i="3" s="1"/>
  <c r="D141" i="3"/>
  <c r="C148" i="3"/>
  <c r="E148" i="3" s="1"/>
  <c r="B152" i="5"/>
  <c r="C152" i="3"/>
  <c r="E152" i="3" s="1"/>
  <c r="C159" i="3"/>
  <c r="E159" i="3" s="1"/>
  <c r="C166" i="3"/>
  <c r="E166" i="3" s="1"/>
  <c r="B170" i="5"/>
  <c r="C170" i="3"/>
  <c r="E170" i="3" s="1"/>
  <c r="C177" i="3"/>
  <c r="E177" i="3" s="1"/>
  <c r="C184" i="3"/>
  <c r="E184" i="3" s="1"/>
  <c r="B188" i="5"/>
  <c r="C188" i="3"/>
  <c r="E188" i="3" s="1"/>
  <c r="C195" i="3"/>
  <c r="E195" i="3" s="1"/>
  <c r="C202" i="3"/>
  <c r="E202" i="3" s="1"/>
  <c r="B206" i="5"/>
  <c r="C206" i="3"/>
  <c r="E206" i="3" s="1"/>
  <c r="C213" i="3"/>
  <c r="E213" i="3" s="1"/>
  <c r="C220" i="3"/>
  <c r="E220" i="3" s="1"/>
  <c r="B224" i="5"/>
  <c r="C224" i="3"/>
  <c r="E224" i="3" s="1"/>
  <c r="C231" i="3"/>
  <c r="E231" i="3" s="1"/>
  <c r="C238" i="3"/>
  <c r="E238" i="3" s="1"/>
  <c r="B242" i="5"/>
  <c r="L242" i="5" s="1"/>
  <c r="C242" i="3"/>
  <c r="E242" i="3" s="1"/>
  <c r="C249" i="3"/>
  <c r="E249" i="3" s="1"/>
  <c r="C256" i="3"/>
  <c r="E256" i="3" s="1"/>
  <c r="B260" i="5"/>
  <c r="C260" i="3"/>
  <c r="E260" i="3" s="1"/>
  <c r="C267" i="3"/>
  <c r="C274" i="3"/>
  <c r="B278" i="5"/>
  <c r="I278" i="5" s="1"/>
  <c r="C278" i="3"/>
  <c r="C285" i="3"/>
  <c r="C292" i="3"/>
  <c r="D296" i="3"/>
  <c r="N24" i="1" s="1"/>
  <c r="D300" i="3"/>
  <c r="N20" i="1" s="1"/>
  <c r="C304" i="3"/>
  <c r="D308" i="3"/>
  <c r="D34" i="4"/>
  <c r="B11" i="5"/>
  <c r="H14" i="5"/>
  <c r="J21" i="5"/>
  <c r="I25" i="5"/>
  <c r="L32" i="5"/>
  <c r="J38" i="5"/>
  <c r="B40" i="5"/>
  <c r="L43" i="5"/>
  <c r="K51" i="5"/>
  <c r="I56" i="5"/>
  <c r="J68" i="5"/>
  <c r="O79" i="5"/>
  <c r="K81" i="5"/>
  <c r="I89" i="5"/>
  <c r="I102" i="5"/>
  <c r="K111" i="5"/>
  <c r="J134" i="5"/>
  <c r="L143" i="5"/>
  <c r="O163" i="5"/>
  <c r="O172" i="5"/>
  <c r="H172" i="5"/>
  <c r="B230" i="5"/>
  <c r="C230" i="3"/>
  <c r="E230" i="3" s="1"/>
  <c r="C26" i="3"/>
  <c r="E26" i="3" s="1"/>
  <c r="C39" i="3"/>
  <c r="E39" i="3" s="1"/>
  <c r="C52" i="3"/>
  <c r="E52" i="3" s="1"/>
  <c r="L162" i="5"/>
  <c r="H162" i="5"/>
  <c r="B205" i="5"/>
  <c r="D205" i="3"/>
  <c r="K288" i="5"/>
  <c r="J288" i="5"/>
  <c r="I288" i="5"/>
  <c r="H288" i="5"/>
  <c r="C36" i="3"/>
  <c r="E36" i="3" s="1"/>
  <c r="D39" i="3"/>
  <c r="C49" i="3"/>
  <c r="E49" i="3" s="1"/>
  <c r="C59" i="3"/>
  <c r="E59" i="3" s="1"/>
  <c r="C72" i="3"/>
  <c r="E72" i="3" s="1"/>
  <c r="B209" i="5"/>
  <c r="L209" i="5" s="1"/>
  <c r="C209" i="3"/>
  <c r="E209" i="3" s="1"/>
  <c r="C216" i="3"/>
  <c r="E216" i="3" s="1"/>
  <c r="C252" i="3"/>
  <c r="E252" i="3" s="1"/>
  <c r="E29" i="4"/>
  <c r="L39" i="5"/>
  <c r="I119" i="5"/>
  <c r="O149" i="5"/>
  <c r="O174" i="5"/>
  <c r="H174" i="5"/>
  <c r="H214" i="5"/>
  <c r="O214" i="5"/>
  <c r="K24" i="5"/>
  <c r="J24" i="5"/>
  <c r="C27" i="3"/>
  <c r="E27" i="3" s="1"/>
  <c r="D30" i="3"/>
  <c r="C50" i="3"/>
  <c r="E50" i="3" s="1"/>
  <c r="D53" i="3"/>
  <c r="B73" i="5"/>
  <c r="D73" i="3"/>
  <c r="C76" i="3"/>
  <c r="E76" i="3" s="1"/>
  <c r="C86" i="3"/>
  <c r="E86" i="3" s="1"/>
  <c r="D89" i="3"/>
  <c r="C99" i="3"/>
  <c r="E99" i="3" s="1"/>
  <c r="D102" i="3"/>
  <c r="B109" i="5"/>
  <c r="D109" i="3"/>
  <c r="C112" i="3"/>
  <c r="E112" i="3" s="1"/>
  <c r="C122" i="3"/>
  <c r="E122" i="3" s="1"/>
  <c r="C135" i="3"/>
  <c r="E135" i="3" s="1"/>
  <c r="D138" i="3"/>
  <c r="B145" i="5"/>
  <c r="I145" i="5" s="1"/>
  <c r="D145" i="3"/>
  <c r="D152" i="3"/>
  <c r="D159" i="3"/>
  <c r="D163" i="3"/>
  <c r="B163" i="5"/>
  <c r="I163" i="5" s="1"/>
  <c r="D170" i="3"/>
  <c r="D177" i="3"/>
  <c r="B181" i="5"/>
  <c r="K181" i="5" s="1"/>
  <c r="D181" i="3"/>
  <c r="D188" i="3"/>
  <c r="J192" i="5"/>
  <c r="I192" i="5"/>
  <c r="D195" i="3"/>
  <c r="B199" i="5"/>
  <c r="K199" i="5" s="1"/>
  <c r="D199" i="3"/>
  <c r="D206" i="3"/>
  <c r="D213" i="3"/>
  <c r="B217" i="5"/>
  <c r="D217" i="3"/>
  <c r="D224" i="3"/>
  <c r="J228" i="5"/>
  <c r="I228" i="5"/>
  <c r="K228" i="5"/>
  <c r="L228" i="5"/>
  <c r="D231" i="3"/>
  <c r="B235" i="5"/>
  <c r="D235" i="3"/>
  <c r="D242" i="3"/>
  <c r="H246" i="5"/>
  <c r="L246" i="5"/>
  <c r="K246" i="5"/>
  <c r="I246" i="5"/>
  <c r="D249" i="3"/>
  <c r="B253" i="5"/>
  <c r="D253" i="3"/>
  <c r="D260" i="3"/>
  <c r="K264" i="5"/>
  <c r="J264" i="5"/>
  <c r="D267" i="3"/>
  <c r="B271" i="5"/>
  <c r="D9" i="4"/>
  <c r="D271" i="3"/>
  <c r="D278" i="3"/>
  <c r="B282" i="5"/>
  <c r="D20" i="4"/>
  <c r="D285" i="3"/>
  <c r="B289" i="5"/>
  <c r="D27" i="4"/>
  <c r="D289" i="3"/>
  <c r="I5" i="4"/>
  <c r="B13" i="5"/>
  <c r="H13" i="5" s="1"/>
  <c r="H15" i="5"/>
  <c r="J25" i="5"/>
  <c r="K27" i="5"/>
  <c r="H32" i="5"/>
  <c r="O55" i="5"/>
  <c r="I55" i="5"/>
  <c r="B57" i="5"/>
  <c r="I57" i="5" s="1"/>
  <c r="H63" i="5"/>
  <c r="O63" i="5"/>
  <c r="O72" i="5"/>
  <c r="K83" i="5"/>
  <c r="O83" i="5"/>
  <c r="O88" i="5"/>
  <c r="J102" i="5"/>
  <c r="J104" i="5"/>
  <c r="I117" i="5"/>
  <c r="L119" i="5"/>
  <c r="J132" i="5"/>
  <c r="O142" i="5"/>
  <c r="L161" i="5"/>
  <c r="O76" i="5"/>
  <c r="D88" i="3"/>
  <c r="B88" i="5"/>
  <c r="I88" i="5" s="1"/>
  <c r="B307" i="5"/>
  <c r="D307" i="3"/>
  <c r="O30" i="5"/>
  <c r="H30" i="5"/>
  <c r="D62" i="3"/>
  <c r="D75" i="3"/>
  <c r="C85" i="3"/>
  <c r="E85" i="3" s="1"/>
  <c r="C151" i="3"/>
  <c r="E151" i="3" s="1"/>
  <c r="B227" i="5"/>
  <c r="C227" i="3"/>
  <c r="E227" i="3" s="1"/>
  <c r="C241" i="3"/>
  <c r="E241" i="3" s="1"/>
  <c r="C270" i="3"/>
  <c r="D19" i="4"/>
  <c r="O52" i="5"/>
  <c r="J69" i="5"/>
  <c r="K129" i="5"/>
  <c r="O129" i="5"/>
  <c r="C14" i="3"/>
  <c r="E14" i="3" s="1"/>
  <c r="D17" i="3"/>
  <c r="D37" i="3"/>
  <c r="C40" i="3"/>
  <c r="E40" i="3" s="1"/>
  <c r="C63" i="3"/>
  <c r="E63" i="3" s="1"/>
  <c r="D66" i="3"/>
  <c r="C24" i="3"/>
  <c r="E24" i="3" s="1"/>
  <c r="D27" i="3"/>
  <c r="B34" i="5"/>
  <c r="I34" i="5" s="1"/>
  <c r="D34" i="3"/>
  <c r="C37" i="3"/>
  <c r="E37" i="3" s="1"/>
  <c r="C47" i="3"/>
  <c r="E47" i="3" s="1"/>
  <c r="C60" i="3"/>
  <c r="E60" i="3" s="1"/>
  <c r="D63" i="3"/>
  <c r="B70" i="5"/>
  <c r="J70" i="5" s="1"/>
  <c r="D70" i="3"/>
  <c r="C73" i="3"/>
  <c r="E73" i="3" s="1"/>
  <c r="C83" i="3"/>
  <c r="E83" i="3" s="1"/>
  <c r="D86" i="3"/>
  <c r="C96" i="3"/>
  <c r="E96" i="3" s="1"/>
  <c r="D99" i="3"/>
  <c r="B106" i="5"/>
  <c r="H106" i="5" s="1"/>
  <c r="D106" i="3"/>
  <c r="C109" i="3"/>
  <c r="E109" i="3" s="1"/>
  <c r="L129" i="5"/>
  <c r="H129" i="5"/>
  <c r="C132" i="3"/>
  <c r="E132" i="3" s="1"/>
  <c r="D135" i="3"/>
  <c r="B142" i="5"/>
  <c r="D142" i="3"/>
  <c r="C145" i="3"/>
  <c r="E145" i="3" s="1"/>
  <c r="C149" i="3"/>
  <c r="E149" i="3" s="1"/>
  <c r="B149" i="5"/>
  <c r="J149" i="5" s="1"/>
  <c r="C156" i="3"/>
  <c r="E156" i="3" s="1"/>
  <c r="C163" i="3"/>
  <c r="E163" i="3" s="1"/>
  <c r="B167" i="5"/>
  <c r="C167" i="3"/>
  <c r="E167" i="3" s="1"/>
  <c r="C174" i="3"/>
  <c r="E174" i="3" s="1"/>
  <c r="C181" i="3"/>
  <c r="E181" i="3" s="1"/>
  <c r="B185" i="5"/>
  <c r="C185" i="3"/>
  <c r="E185" i="3" s="1"/>
  <c r="C192" i="3"/>
  <c r="E192" i="3" s="1"/>
  <c r="C199" i="3"/>
  <c r="E199" i="3" s="1"/>
  <c r="B203" i="5"/>
  <c r="C203" i="3"/>
  <c r="E203" i="3" s="1"/>
  <c r="C210" i="3"/>
  <c r="E210" i="3" s="1"/>
  <c r="C217" i="3"/>
  <c r="E217" i="3" s="1"/>
  <c r="B221" i="5"/>
  <c r="C221" i="3"/>
  <c r="E221" i="3" s="1"/>
  <c r="C228" i="3"/>
  <c r="E228" i="3" s="1"/>
  <c r="C235" i="3"/>
  <c r="E235" i="3" s="1"/>
  <c r="B239" i="5"/>
  <c r="C239" i="3"/>
  <c r="E239" i="3" s="1"/>
  <c r="C246" i="3"/>
  <c r="E246" i="3" s="1"/>
  <c r="C253" i="3"/>
  <c r="E253" i="3" s="1"/>
  <c r="B257" i="5"/>
  <c r="C257" i="3"/>
  <c r="E257" i="3" s="1"/>
  <c r="B275" i="5"/>
  <c r="C275" i="3"/>
  <c r="B293" i="5"/>
  <c r="L293" i="5" s="1"/>
  <c r="C293" i="3"/>
  <c r="B301" i="5"/>
  <c r="L301" i="5" s="1"/>
  <c r="D301" i="3"/>
  <c r="N19" i="1" s="1"/>
  <c r="D39" i="4"/>
  <c r="I8" i="5"/>
  <c r="O13" i="5"/>
  <c r="I15" i="5"/>
  <c r="L21" i="5"/>
  <c r="J23" i="5"/>
  <c r="I32" i="5"/>
  <c r="L38" i="5"/>
  <c r="K45" i="5"/>
  <c r="L47" i="5"/>
  <c r="L51" i="5"/>
  <c r="K61" i="5"/>
  <c r="I63" i="5"/>
  <c r="J66" i="5"/>
  <c r="I72" i="5"/>
  <c r="L77" i="5"/>
  <c r="O101" i="5"/>
  <c r="L102" i="5"/>
  <c r="J108" i="5"/>
  <c r="B116" i="5"/>
  <c r="I116" i="5" s="1"/>
  <c r="K132" i="5"/>
  <c r="O136" i="5"/>
  <c r="J224" i="5"/>
  <c r="J302" i="5"/>
  <c r="J78" i="5"/>
  <c r="K137" i="5"/>
  <c r="I165" i="5"/>
  <c r="O165" i="5"/>
  <c r="J111" i="5"/>
  <c r="I111" i="5"/>
  <c r="B176" i="5"/>
  <c r="J176" i="5" s="1"/>
  <c r="C176" i="3"/>
  <c r="E176" i="3" s="1"/>
  <c r="B299" i="5"/>
  <c r="D37" i="4"/>
  <c r="C299" i="3"/>
  <c r="O12" i="5"/>
  <c r="H12" i="5"/>
  <c r="H87" i="5"/>
  <c r="O87" i="5"/>
  <c r="H98" i="5"/>
  <c r="O127" i="5"/>
  <c r="L139" i="5"/>
  <c r="L146" i="5"/>
  <c r="L178" i="5"/>
  <c r="K178" i="5"/>
  <c r="J216" i="5"/>
  <c r="I216" i="5"/>
  <c r="K216" i="5"/>
  <c r="L216" i="5"/>
  <c r="D230" i="3"/>
  <c r="B277" i="5"/>
  <c r="K277" i="5" s="1"/>
  <c r="D15" i="4"/>
  <c r="D277" i="3"/>
  <c r="D303" i="3"/>
  <c r="N17" i="1" s="1"/>
  <c r="I19" i="5"/>
  <c r="O84" i="5"/>
  <c r="O93" i="5"/>
  <c r="L98" i="5"/>
  <c r="K165" i="5"/>
  <c r="K209" i="5"/>
  <c r="L211" i="5"/>
  <c r="B10" i="5"/>
  <c r="D10" i="3"/>
  <c r="B46" i="5"/>
  <c r="H46" i="5" s="1"/>
  <c r="D46" i="3"/>
  <c r="C95" i="3"/>
  <c r="E95" i="3" s="1"/>
  <c r="D98" i="3"/>
  <c r="C108" i="3"/>
  <c r="E108" i="3" s="1"/>
  <c r="D111" i="3"/>
  <c r="C131" i="3"/>
  <c r="E131" i="3" s="1"/>
  <c r="B155" i="5"/>
  <c r="C155" i="3"/>
  <c r="E155" i="3" s="1"/>
  <c r="C162" i="3"/>
  <c r="E162" i="3" s="1"/>
  <c r="C187" i="3"/>
  <c r="E187" i="3" s="1"/>
  <c r="B263" i="5"/>
  <c r="C263" i="3"/>
  <c r="E263" i="3" s="1"/>
  <c r="C277" i="3"/>
  <c r="E303" i="3"/>
  <c r="H153" i="5"/>
  <c r="I153" i="5"/>
  <c r="L153" i="5"/>
  <c r="J153" i="5"/>
  <c r="K207" i="5"/>
  <c r="H207" i="5"/>
  <c r="J207" i="5"/>
  <c r="B232" i="5"/>
  <c r="H232" i="5" s="1"/>
  <c r="D232" i="3"/>
  <c r="K66" i="5"/>
  <c r="L132" i="5"/>
  <c r="H134" i="5"/>
  <c r="J142" i="5"/>
  <c r="I159" i="5"/>
  <c r="L170" i="5"/>
  <c r="I222" i="5"/>
  <c r="K224" i="5"/>
  <c r="K302" i="5"/>
  <c r="B305" i="5"/>
  <c r="L305" i="5" s="1"/>
  <c r="L22" i="5"/>
  <c r="L175" i="5"/>
  <c r="D91" i="9"/>
  <c r="C91" i="9"/>
  <c r="E91" i="9" s="1"/>
  <c r="F91" i="5"/>
  <c r="K91" i="5" s="1"/>
  <c r="B16" i="5"/>
  <c r="I16" i="5" s="1"/>
  <c r="D16" i="3"/>
  <c r="I75" i="5"/>
  <c r="J75" i="5"/>
  <c r="B158" i="5"/>
  <c r="C158" i="3"/>
  <c r="E158" i="3" s="1"/>
  <c r="B266" i="5"/>
  <c r="J266" i="5" s="1"/>
  <c r="C266" i="3"/>
  <c r="H91" i="5"/>
  <c r="H125" i="5"/>
  <c r="L125" i="5"/>
  <c r="L137" i="5"/>
  <c r="J165" i="5"/>
  <c r="D206" i="8"/>
  <c r="C206" i="8"/>
  <c r="E206" i="8" s="1"/>
  <c r="C207" i="8"/>
  <c r="E207" i="8" s="1"/>
  <c r="E206" i="5"/>
  <c r="J206" i="5" s="1"/>
  <c r="I108" i="5"/>
  <c r="L108" i="5"/>
  <c r="K108" i="5"/>
  <c r="C111" i="3"/>
  <c r="E111" i="3" s="1"/>
  <c r="B121" i="5"/>
  <c r="D121" i="3"/>
  <c r="C124" i="3"/>
  <c r="E124" i="3" s="1"/>
  <c r="B169" i="5"/>
  <c r="J169" i="5" s="1"/>
  <c r="D169" i="3"/>
  <c r="D176" i="3"/>
  <c r="B223" i="5"/>
  <c r="D223" i="3"/>
  <c r="B270" i="5"/>
  <c r="H270" i="5" s="1"/>
  <c r="D8" i="4"/>
  <c r="D299" i="3"/>
  <c r="N21" i="1" s="1"/>
  <c r="I26" i="5"/>
  <c r="I91" i="5"/>
  <c r="H119" i="5"/>
  <c r="O119" i="5"/>
  <c r="L214" i="5"/>
  <c r="K214" i="5"/>
  <c r="B118" i="5"/>
  <c r="D118" i="3"/>
  <c r="B191" i="5"/>
  <c r="C191" i="3"/>
  <c r="E191" i="3" s="1"/>
  <c r="B281" i="5"/>
  <c r="L281" i="5" s="1"/>
  <c r="C281" i="3"/>
  <c r="H212" i="5"/>
  <c r="O212" i="5"/>
  <c r="D31" i="3"/>
  <c r="B31" i="5"/>
  <c r="C34" i="3"/>
  <c r="E34" i="3" s="1"/>
  <c r="I54" i="5"/>
  <c r="L54" i="5"/>
  <c r="K54" i="5"/>
  <c r="D60" i="3"/>
  <c r="B67" i="5"/>
  <c r="H67" i="5" s="1"/>
  <c r="D67" i="3"/>
  <c r="C70" i="3"/>
  <c r="E70" i="3" s="1"/>
  <c r="B103" i="5"/>
  <c r="D103" i="3"/>
  <c r="C129" i="3"/>
  <c r="E129" i="3" s="1"/>
  <c r="D132" i="3"/>
  <c r="B160" i="5"/>
  <c r="I160" i="5" s="1"/>
  <c r="D160" i="3"/>
  <c r="B196" i="5"/>
  <c r="D196" i="3"/>
  <c r="K243" i="5"/>
  <c r="J243" i="5"/>
  <c r="H243" i="5"/>
  <c r="B250" i="5"/>
  <c r="D250" i="3"/>
  <c r="I261" i="5"/>
  <c r="H261" i="5"/>
  <c r="L261" i="5"/>
  <c r="J261" i="5"/>
  <c r="B268" i="5"/>
  <c r="D6" i="4"/>
  <c r="D268" i="3"/>
  <c r="B279" i="5"/>
  <c r="H279" i="5" s="1"/>
  <c r="D17" i="4"/>
  <c r="B286" i="5"/>
  <c r="D24" i="4"/>
  <c r="D286" i="3"/>
  <c r="D22" i="4"/>
  <c r="J8" i="5"/>
  <c r="K36" i="5"/>
  <c r="L61" i="5"/>
  <c r="I68" i="5"/>
  <c r="I94" i="5"/>
  <c r="O116" i="5"/>
  <c r="H118" i="5"/>
  <c r="O118" i="5"/>
  <c r="O122" i="5"/>
  <c r="H122" i="5"/>
  <c r="N122" i="5" s="1"/>
  <c r="H124" i="5"/>
  <c r="O124" i="5"/>
  <c r="C18" i="3"/>
  <c r="E18" i="3" s="1"/>
  <c r="B28" i="5"/>
  <c r="D28" i="3"/>
  <c r="C31" i="3"/>
  <c r="E31" i="3" s="1"/>
  <c r="C41" i="3"/>
  <c r="E41" i="3" s="1"/>
  <c r="D44" i="3"/>
  <c r="C54" i="3"/>
  <c r="E54" i="3" s="1"/>
  <c r="D64" i="3"/>
  <c r="B64" i="5"/>
  <c r="C67" i="3"/>
  <c r="E67" i="3" s="1"/>
  <c r="C77" i="3"/>
  <c r="E77" i="3" s="1"/>
  <c r="D80" i="3"/>
  <c r="C90" i="3"/>
  <c r="E90" i="3" s="1"/>
  <c r="B100" i="5"/>
  <c r="D100" i="3"/>
  <c r="C103" i="3"/>
  <c r="E103" i="3" s="1"/>
  <c r="C113" i="3"/>
  <c r="E113" i="3" s="1"/>
  <c r="J123" i="5"/>
  <c r="L123" i="5"/>
  <c r="K123" i="5"/>
  <c r="C126" i="3"/>
  <c r="E126" i="3" s="1"/>
  <c r="D129" i="3"/>
  <c r="B136" i="5"/>
  <c r="D136" i="3"/>
  <c r="C139" i="3"/>
  <c r="E139" i="3" s="1"/>
  <c r="B146" i="5"/>
  <c r="J146" i="5" s="1"/>
  <c r="C146" i="3"/>
  <c r="E146" i="3" s="1"/>
  <c r="C153" i="3"/>
  <c r="E153" i="3" s="1"/>
  <c r="C160" i="3"/>
  <c r="E160" i="3" s="1"/>
  <c r="C164" i="3"/>
  <c r="E164" i="3" s="1"/>
  <c r="B164" i="5"/>
  <c r="K164" i="5" s="1"/>
  <c r="C171" i="3"/>
  <c r="E171" i="3" s="1"/>
  <c r="C178" i="3"/>
  <c r="E178" i="3" s="1"/>
  <c r="B182" i="5"/>
  <c r="C182" i="3"/>
  <c r="E182" i="3" s="1"/>
  <c r="C189" i="3"/>
  <c r="E189" i="3" s="1"/>
  <c r="C196" i="3"/>
  <c r="E196" i="3" s="1"/>
  <c r="B200" i="5"/>
  <c r="C200" i="3"/>
  <c r="E200" i="3" s="1"/>
  <c r="C207" i="3"/>
  <c r="E207" i="3" s="1"/>
  <c r="C214" i="3"/>
  <c r="E214" i="3" s="1"/>
  <c r="B218" i="5"/>
  <c r="L218" i="5" s="1"/>
  <c r="C218" i="3"/>
  <c r="E218" i="3" s="1"/>
  <c r="C225" i="3"/>
  <c r="E225" i="3" s="1"/>
  <c r="C232" i="3"/>
  <c r="E232" i="3" s="1"/>
  <c r="B236" i="5"/>
  <c r="J236" i="5" s="1"/>
  <c r="C236" i="3"/>
  <c r="E236" i="3" s="1"/>
  <c r="C243" i="3"/>
  <c r="E243" i="3" s="1"/>
  <c r="C250" i="3"/>
  <c r="E250" i="3" s="1"/>
  <c r="B254" i="5"/>
  <c r="H254" i="5" s="1"/>
  <c r="C254" i="3"/>
  <c r="E254" i="3" s="1"/>
  <c r="C261" i="3"/>
  <c r="E261" i="3" s="1"/>
  <c r="C268" i="3"/>
  <c r="B272" i="5"/>
  <c r="C272" i="3"/>
  <c r="C279" i="3"/>
  <c r="C286" i="3"/>
  <c r="B290" i="5"/>
  <c r="K290" i="5" s="1"/>
  <c r="C290" i="3"/>
  <c r="E301" i="3"/>
  <c r="E309" i="3"/>
  <c r="F47" i="4" s="1"/>
  <c r="I7" i="5"/>
  <c r="L8" i="5"/>
  <c r="O10" i="5"/>
  <c r="K15" i="5"/>
  <c r="J18" i="5"/>
  <c r="H20" i="5"/>
  <c r="I22" i="5"/>
  <c r="O26" i="5"/>
  <c r="I29" i="5"/>
  <c r="B37" i="5"/>
  <c r="K37" i="5" s="1"/>
  <c r="J42" i="5"/>
  <c r="I48" i="5"/>
  <c r="H50" i="5"/>
  <c r="O50" i="5"/>
  <c r="K53" i="5"/>
  <c r="K63" i="5"/>
  <c r="L66" i="5"/>
  <c r="I86" i="5"/>
  <c r="O86" i="5"/>
  <c r="I90" i="5"/>
  <c r="H96" i="5"/>
  <c r="O96" i="5"/>
  <c r="I110" i="5"/>
  <c r="I122" i="5"/>
  <c r="O160" i="5"/>
  <c r="I162" i="5"/>
  <c r="I168" i="5"/>
  <c r="J222" i="5"/>
  <c r="L224" i="5"/>
  <c r="L302" i="5"/>
  <c r="L294" i="5"/>
  <c r="K294" i="5"/>
  <c r="I297" i="5"/>
  <c r="H297" i="5"/>
  <c r="J297" i="5"/>
  <c r="L297" i="5"/>
  <c r="K297" i="5"/>
  <c r="K300" i="5"/>
  <c r="J300" i="5"/>
  <c r="I300" i="5"/>
  <c r="L7" i="5"/>
  <c r="H16" i="5"/>
  <c r="I27" i="5"/>
  <c r="N27" i="5" s="1"/>
  <c r="L36" i="5"/>
  <c r="L44" i="5"/>
  <c r="O46" i="5"/>
  <c r="L49" i="5"/>
  <c r="J59" i="5"/>
  <c r="I61" i="5"/>
  <c r="I65" i="5"/>
  <c r="L74" i="5"/>
  <c r="N74" i="5" s="1"/>
  <c r="J77" i="5"/>
  <c r="K82" i="5"/>
  <c r="J89" i="5"/>
  <c r="K92" i="5"/>
  <c r="K95" i="5"/>
  <c r="J126" i="5"/>
  <c r="J128" i="5"/>
  <c r="I130" i="5"/>
  <c r="K135" i="5"/>
  <c r="I137" i="5"/>
  <c r="I147" i="5"/>
  <c r="L150" i="5"/>
  <c r="J161" i="5"/>
  <c r="K168" i="5"/>
  <c r="K173" i="5"/>
  <c r="O175" i="5"/>
  <c r="O179" i="5"/>
  <c r="J226" i="5"/>
  <c r="O256" i="5"/>
  <c r="I258" i="5"/>
  <c r="C105" i="6"/>
  <c r="E105" i="6" s="1"/>
  <c r="D136" i="6"/>
  <c r="C133" i="6"/>
  <c r="E133" i="6" s="1"/>
  <c r="D132" i="6"/>
  <c r="C132" i="6"/>
  <c r="E132" i="6" s="1"/>
  <c r="C132" i="5"/>
  <c r="D26" i="4"/>
  <c r="D29" i="4"/>
  <c r="D32" i="4"/>
  <c r="O22" i="5"/>
  <c r="H35" i="5"/>
  <c r="H38" i="5"/>
  <c r="K39" i="5"/>
  <c r="I46" i="5"/>
  <c r="H48" i="5"/>
  <c r="N48" i="5" s="1"/>
  <c r="O48" i="5"/>
  <c r="J52" i="5"/>
  <c r="K59" i="5"/>
  <c r="K77" i="5"/>
  <c r="L82" i="5"/>
  <c r="J84" i="5"/>
  <c r="H86" i="5"/>
  <c r="K89" i="5"/>
  <c r="H94" i="5"/>
  <c r="L95" i="5"/>
  <c r="J117" i="5"/>
  <c r="K128" i="5"/>
  <c r="L135" i="5"/>
  <c r="J137" i="5"/>
  <c r="O139" i="5"/>
  <c r="K161" i="5"/>
  <c r="L168" i="5"/>
  <c r="I203" i="5"/>
  <c r="I224" i="5"/>
  <c r="K304" i="5"/>
  <c r="D21" i="6"/>
  <c r="C21" i="6"/>
  <c r="E21" i="6" s="1"/>
  <c r="C21" i="5"/>
  <c r="D33" i="6"/>
  <c r="C33" i="6"/>
  <c r="E33" i="6" s="1"/>
  <c r="C33" i="5"/>
  <c r="D45" i="6"/>
  <c r="C45" i="6"/>
  <c r="E45" i="6" s="1"/>
  <c r="C45" i="5"/>
  <c r="D57" i="6"/>
  <c r="C57" i="6"/>
  <c r="E57" i="6" s="1"/>
  <c r="C57" i="5"/>
  <c r="D105" i="6"/>
  <c r="L14" i="5"/>
  <c r="K21" i="5"/>
  <c r="H24" i="5"/>
  <c r="O24" i="5"/>
  <c r="K25" i="5"/>
  <c r="H26" i="5"/>
  <c r="O29" i="5"/>
  <c r="I41" i="5"/>
  <c r="J45" i="5"/>
  <c r="J50" i="5"/>
  <c r="H51" i="5"/>
  <c r="L55" i="5"/>
  <c r="K58" i="5"/>
  <c r="J60" i="5"/>
  <c r="L76" i="5"/>
  <c r="I78" i="5"/>
  <c r="L81" i="5"/>
  <c r="J83" i="5"/>
  <c r="O85" i="5"/>
  <c r="O90" i="5"/>
  <c r="H90" i="5"/>
  <c r="I96" i="5"/>
  <c r="K119" i="5"/>
  <c r="J127" i="5"/>
  <c r="J129" i="5"/>
  <c r="L134" i="5"/>
  <c r="H139" i="5"/>
  <c r="O141" i="5"/>
  <c r="O153" i="5"/>
  <c r="L167" i="5"/>
  <c r="L174" i="5"/>
  <c r="I178" i="5"/>
  <c r="K187" i="5"/>
  <c r="L199" i="5"/>
  <c r="J212" i="5"/>
  <c r="K220" i="5"/>
  <c r="K235" i="5"/>
  <c r="O240" i="5"/>
  <c r="J240" i="5"/>
  <c r="H264" i="5"/>
  <c r="H300" i="5"/>
  <c r="H148" i="5"/>
  <c r="O148" i="5"/>
  <c r="H164" i="5"/>
  <c r="O164" i="5"/>
  <c r="L176" i="5"/>
  <c r="H180" i="5"/>
  <c r="N180" i="5" s="1"/>
  <c r="L183" i="5"/>
  <c r="L187" i="5"/>
  <c r="H200" i="5"/>
  <c r="O200" i="5"/>
  <c r="H202" i="5"/>
  <c r="O202" i="5"/>
  <c r="L235" i="5"/>
  <c r="I238" i="5"/>
  <c r="K240" i="5"/>
  <c r="J308" i="5"/>
  <c r="I308" i="5"/>
  <c r="L308" i="5"/>
  <c r="K308" i="5"/>
  <c r="L12" i="5"/>
  <c r="O18" i="5"/>
  <c r="H18" i="5"/>
  <c r="K20" i="5"/>
  <c r="H36" i="5"/>
  <c r="O36" i="5"/>
  <c r="O38" i="5"/>
  <c r="H40" i="5"/>
  <c r="O44" i="5"/>
  <c r="L45" i="5"/>
  <c r="I47" i="5"/>
  <c r="O47" i="5"/>
  <c r="H49" i="5"/>
  <c r="L50" i="5"/>
  <c r="O53" i="5"/>
  <c r="L60" i="5"/>
  <c r="H66" i="5"/>
  <c r="O70" i="5"/>
  <c r="K75" i="5"/>
  <c r="K78" i="5"/>
  <c r="I80" i="5"/>
  <c r="L83" i="5"/>
  <c r="I87" i="5"/>
  <c r="J90" i="5"/>
  <c r="K96" i="5"/>
  <c r="O97" i="5"/>
  <c r="H99" i="5"/>
  <c r="O103" i="5"/>
  <c r="O133" i="5"/>
  <c r="L136" i="5"/>
  <c r="I164" i="5"/>
  <c r="I166" i="5"/>
  <c r="H188" i="5"/>
  <c r="O188" i="5"/>
  <c r="I200" i="5"/>
  <c r="J238" i="5"/>
  <c r="L240" i="5"/>
  <c r="C308" i="3"/>
  <c r="D35" i="4"/>
  <c r="D46" i="4"/>
  <c r="H6" i="5"/>
  <c r="N6" i="5" s="1"/>
  <c r="L20" i="5"/>
  <c r="H28" i="5"/>
  <c r="L34" i="5"/>
  <c r="J47" i="5"/>
  <c r="I49" i="5"/>
  <c r="I53" i="5"/>
  <c r="J57" i="5"/>
  <c r="J62" i="5"/>
  <c r="L75" i="5"/>
  <c r="L78" i="5"/>
  <c r="J80" i="5"/>
  <c r="K90" i="5"/>
  <c r="H92" i="5"/>
  <c r="H95" i="5"/>
  <c r="L96" i="5"/>
  <c r="J121" i="5"/>
  <c r="J124" i="5"/>
  <c r="K131" i="5"/>
  <c r="K138" i="5"/>
  <c r="O140" i="5"/>
  <c r="O144" i="5"/>
  <c r="J148" i="5"/>
  <c r="I150" i="5"/>
  <c r="O152" i="5"/>
  <c r="J164" i="5"/>
  <c r="J166" i="5"/>
  <c r="I177" i="5"/>
  <c r="O184" i="5"/>
  <c r="L19" i="5"/>
  <c r="H23" i="5"/>
  <c r="L24" i="5"/>
  <c r="J33" i="5"/>
  <c r="J36" i="5"/>
  <c r="J40" i="5"/>
  <c r="K47" i="5"/>
  <c r="K57" i="5"/>
  <c r="H59" i="5"/>
  <c r="K62" i="5"/>
  <c r="K80" i="5"/>
  <c r="I82" i="5"/>
  <c r="L90" i="5"/>
  <c r="I95" i="5"/>
  <c r="H110" i="5"/>
  <c r="O126" i="5"/>
  <c r="H126" i="5"/>
  <c r="L131" i="5"/>
  <c r="I135" i="5"/>
  <c r="N135" i="5" s="1"/>
  <c r="L138" i="5"/>
  <c r="J150" i="5"/>
  <c r="O159" i="5"/>
  <c r="H159" i="5"/>
  <c r="N159" i="5" s="1"/>
  <c r="O173" i="5"/>
  <c r="I173" i="5"/>
  <c r="L206" i="5"/>
  <c r="H226" i="5"/>
  <c r="O226" i="5"/>
  <c r="D148" i="6"/>
  <c r="C148" i="6"/>
  <c r="E148" i="6" s="1"/>
  <c r="K8" i="5"/>
  <c r="I17" i="5"/>
  <c r="I23" i="5"/>
  <c r="O23" i="5"/>
  <c r="J28" i="5"/>
  <c r="O32" i="5"/>
  <c r="K33" i="5"/>
  <c r="I39" i="5"/>
  <c r="K44" i="5"/>
  <c r="K49" i="5"/>
  <c r="H52" i="5"/>
  <c r="O56" i="5"/>
  <c r="L57" i="5"/>
  <c r="I59" i="5"/>
  <c r="O59" i="5"/>
  <c r="H61" i="5"/>
  <c r="L62" i="5"/>
  <c r="O65" i="5"/>
  <c r="O69" i="5"/>
  <c r="O73" i="5"/>
  <c r="O77" i="5"/>
  <c r="L80" i="5"/>
  <c r="J82" i="5"/>
  <c r="L87" i="5"/>
  <c r="J92" i="5"/>
  <c r="I98" i="5"/>
  <c r="H102" i="5"/>
  <c r="I114" i="5"/>
  <c r="H117" i="5"/>
  <c r="L118" i="5"/>
  <c r="H120" i="5"/>
  <c r="H123" i="5"/>
  <c r="I126" i="5"/>
  <c r="I128" i="5"/>
  <c r="K150" i="5"/>
  <c r="O161" i="5"/>
  <c r="O170" i="5"/>
  <c r="J173" i="5"/>
  <c r="I226" i="5"/>
  <c r="O105" i="5"/>
  <c r="H105" i="5"/>
  <c r="L68" i="5"/>
  <c r="O78" i="5"/>
  <c r="H84" i="5"/>
  <c r="L104" i="5"/>
  <c r="L112" i="5"/>
  <c r="O134" i="5"/>
  <c r="K162" i="5"/>
  <c r="H168" i="5"/>
  <c r="N168" i="5" s="1"/>
  <c r="O169" i="5"/>
  <c r="L171" i="5"/>
  <c r="J174" i="5"/>
  <c r="K177" i="5"/>
  <c r="O185" i="5"/>
  <c r="H187" i="5"/>
  <c r="I189" i="5"/>
  <c r="I199" i="5"/>
  <c r="O199" i="5"/>
  <c r="J201" i="5"/>
  <c r="L207" i="5"/>
  <c r="O209" i="5"/>
  <c r="J211" i="5"/>
  <c r="K213" i="5"/>
  <c r="K221" i="5"/>
  <c r="L223" i="5"/>
  <c r="O239" i="5"/>
  <c r="I268" i="5"/>
  <c r="L291" i="5"/>
  <c r="J306" i="5"/>
  <c r="D218" i="6"/>
  <c r="C218" i="6"/>
  <c r="E218" i="6" s="1"/>
  <c r="C218" i="5"/>
  <c r="C62" i="7"/>
  <c r="E62" i="7" s="1"/>
  <c r="D66" i="7"/>
  <c r="D62" i="7"/>
  <c r="H42" i="5"/>
  <c r="H54" i="5"/>
  <c r="H68" i="5"/>
  <c r="H69" i="5"/>
  <c r="H71" i="5"/>
  <c r="H73" i="5"/>
  <c r="I83" i="5"/>
  <c r="N83" i="5" s="1"/>
  <c r="H103" i="5"/>
  <c r="H104" i="5"/>
  <c r="H107" i="5"/>
  <c r="H111" i="5"/>
  <c r="H112" i="5"/>
  <c r="H128" i="5"/>
  <c r="I131" i="5"/>
  <c r="J138" i="5"/>
  <c r="L140" i="5"/>
  <c r="H141" i="5"/>
  <c r="H142" i="5"/>
  <c r="H143" i="5"/>
  <c r="O150" i="5"/>
  <c r="L152" i="5"/>
  <c r="H165" i="5"/>
  <c r="I167" i="5"/>
  <c r="K174" i="5"/>
  <c r="O176" i="5"/>
  <c r="I187" i="5"/>
  <c r="O187" i="5"/>
  <c r="J189" i="5"/>
  <c r="L195" i="5"/>
  <c r="O197" i="5"/>
  <c r="J199" i="5"/>
  <c r="K201" i="5"/>
  <c r="O206" i="5"/>
  <c r="J209" i="5"/>
  <c r="K211" i="5"/>
  <c r="I215" i="5"/>
  <c r="L221" i="5"/>
  <c r="H224" i="5"/>
  <c r="O224" i="5"/>
  <c r="L230" i="5"/>
  <c r="O235" i="5"/>
  <c r="J268" i="5"/>
  <c r="O292" i="5"/>
  <c r="H294" i="5"/>
  <c r="O294" i="5"/>
  <c r="I77" i="5"/>
  <c r="J94" i="5"/>
  <c r="J118" i="5"/>
  <c r="O146" i="5"/>
  <c r="H150" i="5"/>
  <c r="O158" i="5"/>
  <c r="I161" i="5"/>
  <c r="L173" i="5"/>
  <c r="H175" i="5"/>
  <c r="H178" i="5"/>
  <c r="O183" i="5"/>
  <c r="K184" i="5"/>
  <c r="O186" i="5"/>
  <c r="I188" i="5"/>
  <c r="H190" i="5"/>
  <c r="O198" i="5"/>
  <c r="J200" i="5"/>
  <c r="I202" i="5"/>
  <c r="I210" i="5"/>
  <c r="N210" i="5" s="1"/>
  <c r="K212" i="5"/>
  <c r="J214" i="5"/>
  <c r="L220" i="5"/>
  <c r="K222" i="5"/>
  <c r="H228" i="5"/>
  <c r="N228" i="5" s="1"/>
  <c r="O236" i="5"/>
  <c r="J254" i="5"/>
  <c r="D194" i="6"/>
  <c r="C194" i="6"/>
  <c r="E194" i="6" s="1"/>
  <c r="C195" i="6"/>
  <c r="E195" i="6" s="1"/>
  <c r="C194" i="5"/>
  <c r="C147" i="7"/>
  <c r="E147" i="7" s="1"/>
  <c r="D147" i="7"/>
  <c r="D151" i="7"/>
  <c r="O114" i="5"/>
  <c r="I115" i="5"/>
  <c r="K117" i="5"/>
  <c r="K125" i="5"/>
  <c r="K148" i="5"/>
  <c r="O151" i="5"/>
  <c r="L164" i="5"/>
  <c r="I175" i="5"/>
  <c r="I186" i="5"/>
  <c r="J188" i="5"/>
  <c r="I190" i="5"/>
  <c r="I198" i="5"/>
  <c r="K200" i="5"/>
  <c r="J202" i="5"/>
  <c r="K208" i="5"/>
  <c r="J210" i="5"/>
  <c r="L212" i="5"/>
  <c r="L222" i="5"/>
  <c r="H225" i="5"/>
  <c r="L238" i="5"/>
  <c r="I241" i="5"/>
  <c r="K254" i="5"/>
  <c r="L260" i="5"/>
  <c r="D67" i="6"/>
  <c r="O66" i="5"/>
  <c r="H72" i="5"/>
  <c r="N72" i="5" s="1"/>
  <c r="L92" i="5"/>
  <c r="O102" i="5"/>
  <c r="H108" i="5"/>
  <c r="O110" i="5"/>
  <c r="L124" i="5"/>
  <c r="H144" i="5"/>
  <c r="O145" i="5"/>
  <c r="L148" i="5"/>
  <c r="H156" i="5"/>
  <c r="N156" i="5" s="1"/>
  <c r="O157" i="5"/>
  <c r="L159" i="5"/>
  <c r="O171" i="5"/>
  <c r="K172" i="5"/>
  <c r="J175" i="5"/>
  <c r="J178" i="5"/>
  <c r="J186" i="5"/>
  <c r="K188" i="5"/>
  <c r="J190" i="5"/>
  <c r="K196" i="5"/>
  <c r="J198" i="5"/>
  <c r="L200" i="5"/>
  <c r="L208" i="5"/>
  <c r="K210" i="5"/>
  <c r="H216" i="5"/>
  <c r="H223" i="5"/>
  <c r="I225" i="5"/>
  <c r="O241" i="5"/>
  <c r="J241" i="5"/>
  <c r="L254" i="5"/>
  <c r="D25" i="6"/>
  <c r="D37" i="6"/>
  <c r="D49" i="6"/>
  <c r="D61" i="6"/>
  <c r="D103" i="6"/>
  <c r="D99" i="6"/>
  <c r="C99" i="6"/>
  <c r="E99" i="6" s="1"/>
  <c r="C181" i="6"/>
  <c r="E181" i="6" s="1"/>
  <c r="C181" i="5"/>
  <c r="C229" i="5"/>
  <c r="D229" i="6"/>
  <c r="I71" i="5"/>
  <c r="I107" i="5"/>
  <c r="J114" i="5"/>
  <c r="H140" i="5"/>
  <c r="N140" i="5" s="1"/>
  <c r="I143" i="5"/>
  <c r="L147" i="5"/>
  <c r="H152" i="5"/>
  <c r="O162" i="5"/>
  <c r="L172" i="5"/>
  <c r="K175" i="5"/>
  <c r="H177" i="5"/>
  <c r="K186" i="5"/>
  <c r="N186" i="5" s="1"/>
  <c r="L188" i="5"/>
  <c r="L196" i="5"/>
  <c r="K198" i="5"/>
  <c r="H204" i="5"/>
  <c r="N204" i="5" s="1"/>
  <c r="L210" i="5"/>
  <c r="H213" i="5"/>
  <c r="K219" i="5"/>
  <c r="I223" i="5"/>
  <c r="O223" i="5"/>
  <c r="J225" i="5"/>
  <c r="L234" i="5"/>
  <c r="K236" i="5"/>
  <c r="K241" i="5"/>
  <c r="L243" i="5"/>
  <c r="H283" i="5"/>
  <c r="O283" i="5"/>
  <c r="D181" i="6"/>
  <c r="C229" i="6"/>
  <c r="E229" i="6" s="1"/>
  <c r="C69" i="7"/>
  <c r="E69" i="7" s="1"/>
  <c r="D73" i="7"/>
  <c r="D69" i="7"/>
  <c r="H192" i="5"/>
  <c r="N192" i="5" s="1"/>
  <c r="L198" i="5"/>
  <c r="H201" i="5"/>
  <c r="N201" i="5" s="1"/>
  <c r="H211" i="5"/>
  <c r="I213" i="5"/>
  <c r="L219" i="5"/>
  <c r="J223" i="5"/>
  <c r="K225" i="5"/>
  <c r="L236" i="5"/>
  <c r="L241" i="5"/>
  <c r="O259" i="5"/>
  <c r="O270" i="5"/>
  <c r="I281" i="5"/>
  <c r="D15" i="6"/>
  <c r="C15" i="6"/>
  <c r="E15" i="6" s="1"/>
  <c r="D27" i="6"/>
  <c r="C27" i="6"/>
  <c r="E27" i="6" s="1"/>
  <c r="D39" i="6"/>
  <c r="C39" i="6"/>
  <c r="E39" i="6" s="1"/>
  <c r="D51" i="6"/>
  <c r="C51" i="6"/>
  <c r="E51" i="6" s="1"/>
  <c r="D63" i="6"/>
  <c r="C63" i="6"/>
  <c r="E63" i="6" s="1"/>
  <c r="D182" i="6"/>
  <c r="C183" i="6"/>
  <c r="E183" i="6" s="1"/>
  <c r="C182" i="5"/>
  <c r="C182" i="6"/>
  <c r="E182" i="6" s="1"/>
  <c r="C217" i="6"/>
  <c r="E217" i="6" s="1"/>
  <c r="C217" i="5"/>
  <c r="D272" i="6"/>
  <c r="C272" i="6"/>
  <c r="C272" i="5"/>
  <c r="D70" i="7"/>
  <c r="D74" i="7"/>
  <c r="I309" i="5"/>
  <c r="H309" i="5"/>
  <c r="L309" i="5"/>
  <c r="K309" i="5"/>
  <c r="J309" i="5"/>
  <c r="K69" i="5"/>
  <c r="K105" i="5"/>
  <c r="K113" i="5"/>
  <c r="O138" i="5"/>
  <c r="I139" i="5"/>
  <c r="K141" i="5"/>
  <c r="H146" i="5"/>
  <c r="K153" i="5"/>
  <c r="J162" i="5"/>
  <c r="I174" i="5"/>
  <c r="H189" i="5"/>
  <c r="N189" i="5" s="1"/>
  <c r="H199" i="5"/>
  <c r="I201" i="5"/>
  <c r="I211" i="5"/>
  <c r="O211" i="5"/>
  <c r="J213" i="5"/>
  <c r="J221" i="5"/>
  <c r="K223" i="5"/>
  <c r="K239" i="5"/>
  <c r="O261" i="5"/>
  <c r="K261" i="5"/>
  <c r="I263" i="5"/>
  <c r="H268" i="5"/>
  <c r="O268" i="5"/>
  <c r="I270" i="5"/>
  <c r="O279" i="5"/>
  <c r="J281" i="5"/>
  <c r="L299" i="5"/>
  <c r="D217" i="6"/>
  <c r="C273" i="6"/>
  <c r="C70" i="7"/>
  <c r="E70" i="7" s="1"/>
  <c r="O238" i="5"/>
  <c r="O254" i="5"/>
  <c r="K267" i="5"/>
  <c r="L278" i="5"/>
  <c r="K289" i="5"/>
  <c r="J291" i="5"/>
  <c r="K293" i="5"/>
  <c r="H295" i="5"/>
  <c r="O302" i="5"/>
  <c r="I304" i="5"/>
  <c r="H306" i="5"/>
  <c r="D12" i="6"/>
  <c r="D18" i="6"/>
  <c r="D24" i="6"/>
  <c r="D30" i="6"/>
  <c r="D36" i="6"/>
  <c r="D42" i="6"/>
  <c r="D48" i="6"/>
  <c r="D54" i="6"/>
  <c r="D60" i="6"/>
  <c r="C136" i="6"/>
  <c r="E136" i="6" s="1"/>
  <c r="D186" i="6"/>
  <c r="C186" i="6"/>
  <c r="E186" i="6" s="1"/>
  <c r="D205" i="6"/>
  <c r="D238" i="6"/>
  <c r="C239" i="6"/>
  <c r="E239" i="6" s="1"/>
  <c r="D43" i="7"/>
  <c r="D47" i="7"/>
  <c r="J242" i="5"/>
  <c r="L244" i="5"/>
  <c r="K257" i="5"/>
  <c r="H260" i="5"/>
  <c r="O265" i="5"/>
  <c r="L267" i="5"/>
  <c r="O288" i="5"/>
  <c r="O289" i="5"/>
  <c r="L289" i="5"/>
  <c r="K291" i="5"/>
  <c r="I295" i="5"/>
  <c r="L300" i="5"/>
  <c r="J304" i="5"/>
  <c r="I306" i="5"/>
  <c r="D86" i="6"/>
  <c r="D90" i="6"/>
  <c r="C86" i="6"/>
  <c r="E86" i="6" s="1"/>
  <c r="C110" i="6"/>
  <c r="E110" i="6" s="1"/>
  <c r="D109" i="6"/>
  <c r="C109" i="6"/>
  <c r="E109" i="6" s="1"/>
  <c r="D125" i="6"/>
  <c r="D129" i="6"/>
  <c r="C126" i="6"/>
  <c r="E126" i="6" s="1"/>
  <c r="D158" i="6"/>
  <c r="D162" i="6"/>
  <c r="C159" i="6"/>
  <c r="E159" i="6" s="1"/>
  <c r="D222" i="6"/>
  <c r="C35" i="7"/>
  <c r="E35" i="7" s="1"/>
  <c r="D39" i="7"/>
  <c r="D76" i="7"/>
  <c r="C76" i="7"/>
  <c r="E76" i="7" s="1"/>
  <c r="C111" i="7"/>
  <c r="E111" i="7" s="1"/>
  <c r="D111" i="7"/>
  <c r="D115" i="7"/>
  <c r="J256" i="5"/>
  <c r="L264" i="5"/>
  <c r="K268" i="5"/>
  <c r="J270" i="5"/>
  <c r="I283" i="5"/>
  <c r="L288" i="5"/>
  <c r="I294" i="5"/>
  <c r="H308" i="5"/>
  <c r="D213" i="6"/>
  <c r="C214" i="6"/>
  <c r="E214" i="6" s="1"/>
  <c r="C219" i="6"/>
  <c r="E219" i="6" s="1"/>
  <c r="D247" i="6"/>
  <c r="C247" i="6"/>
  <c r="E247" i="6" s="1"/>
  <c r="C248" i="6"/>
  <c r="E248" i="6" s="1"/>
  <c r="C21" i="7"/>
  <c r="E21" i="7" s="1"/>
  <c r="D25" i="7"/>
  <c r="C96" i="7"/>
  <c r="E96" i="7" s="1"/>
  <c r="D100" i="7"/>
  <c r="D96" i="7"/>
  <c r="C45" i="8"/>
  <c r="E45" i="8" s="1"/>
  <c r="D45" i="8"/>
  <c r="D49" i="8"/>
  <c r="C46" i="8"/>
  <c r="E46" i="8" s="1"/>
  <c r="C66" i="8"/>
  <c r="E66" i="8" s="1"/>
  <c r="D66" i="8"/>
  <c r="D70" i="8"/>
  <c r="K253" i="5"/>
  <c r="H258" i="5"/>
  <c r="L268" i="5"/>
  <c r="O281" i="5"/>
  <c r="J294" i="5"/>
  <c r="O303" i="5"/>
  <c r="I305" i="5"/>
  <c r="O306" i="5"/>
  <c r="C79" i="6"/>
  <c r="E79" i="6" s="1"/>
  <c r="C100" i="6"/>
  <c r="E100" i="6" s="1"/>
  <c r="C106" i="6"/>
  <c r="E106" i="6" s="1"/>
  <c r="C213" i="6"/>
  <c r="E213" i="6" s="1"/>
  <c r="C225" i="6"/>
  <c r="E225" i="6" s="1"/>
  <c r="C292" i="6"/>
  <c r="D21" i="7"/>
  <c r="D97" i="7"/>
  <c r="C97" i="7"/>
  <c r="E97" i="7" s="1"/>
  <c r="D101" i="7"/>
  <c r="C132" i="7"/>
  <c r="E132" i="7" s="1"/>
  <c r="D136" i="7"/>
  <c r="D132" i="7"/>
  <c r="O251" i="5"/>
  <c r="L253" i="5"/>
  <c r="O280" i="5"/>
  <c r="L292" i="5"/>
  <c r="O295" i="5"/>
  <c r="I303" i="5"/>
  <c r="J305" i="5"/>
  <c r="C74" i="6"/>
  <c r="E74" i="6" s="1"/>
  <c r="D73" i="6"/>
  <c r="C73" i="6"/>
  <c r="E73" i="6" s="1"/>
  <c r="D79" i="6"/>
  <c r="D89" i="6"/>
  <c r="D93" i="6"/>
  <c r="C90" i="6"/>
  <c r="E90" i="6" s="1"/>
  <c r="C112" i="6"/>
  <c r="E112" i="6" s="1"/>
  <c r="C118" i="6"/>
  <c r="E118" i="6" s="1"/>
  <c r="D122" i="6"/>
  <c r="D126" i="6"/>
  <c r="C122" i="6"/>
  <c r="E122" i="6" s="1"/>
  <c r="C128" i="6"/>
  <c r="E128" i="6" s="1"/>
  <c r="D170" i="6"/>
  <c r="C171" i="6"/>
  <c r="E171" i="6" s="1"/>
  <c r="C170" i="6"/>
  <c r="E170" i="6" s="1"/>
  <c r="D177" i="6"/>
  <c r="C178" i="6"/>
  <c r="E178" i="6" s="1"/>
  <c r="C242" i="6"/>
  <c r="E242" i="6" s="1"/>
  <c r="C48" i="7"/>
  <c r="E48" i="7" s="1"/>
  <c r="D52" i="7"/>
  <c r="C89" i="7"/>
  <c r="E89" i="7" s="1"/>
  <c r="D93" i="7"/>
  <c r="D133" i="7"/>
  <c r="C133" i="7"/>
  <c r="E133" i="7" s="1"/>
  <c r="D137" i="7"/>
  <c r="O250" i="5"/>
  <c r="O255" i="5"/>
  <c r="J258" i="5"/>
  <c r="O262" i="5"/>
  <c r="H269" i="5"/>
  <c r="H282" i="5"/>
  <c r="L290" i="5"/>
  <c r="J303" i="5"/>
  <c r="K305" i="5"/>
  <c r="H307" i="5"/>
  <c r="D16" i="6"/>
  <c r="D22" i="6"/>
  <c r="D28" i="6"/>
  <c r="D34" i="6"/>
  <c r="D40" i="6"/>
  <c r="D46" i="6"/>
  <c r="D52" i="6"/>
  <c r="D58" i="6"/>
  <c r="D64" i="6"/>
  <c r="C89" i="6"/>
  <c r="E89" i="6" s="1"/>
  <c r="C95" i="6"/>
  <c r="E95" i="6" s="1"/>
  <c r="C123" i="6"/>
  <c r="E123" i="6" s="1"/>
  <c r="D190" i="6"/>
  <c r="C191" i="6"/>
  <c r="E191" i="6" s="1"/>
  <c r="C190" i="6"/>
  <c r="E190" i="6" s="1"/>
  <c r="D293" i="6"/>
  <c r="C294" i="6"/>
  <c r="D297" i="6"/>
  <c r="C293" i="6"/>
  <c r="D22" i="7"/>
  <c r="C22" i="7"/>
  <c r="E22" i="7" s="1"/>
  <c r="D48" i="7"/>
  <c r="D89" i="7"/>
  <c r="H244" i="5"/>
  <c r="I247" i="5"/>
  <c r="L252" i="5"/>
  <c r="I255" i="5"/>
  <c r="O260" i="5"/>
  <c r="I269" i="5"/>
  <c r="I282" i="5"/>
  <c r="H293" i="5"/>
  <c r="H296" i="5"/>
  <c r="O300" i="5"/>
  <c r="O301" i="5"/>
  <c r="K303" i="5"/>
  <c r="I307" i="5"/>
  <c r="D106" i="6"/>
  <c r="C103" i="6"/>
  <c r="E103" i="6" s="1"/>
  <c r="D155" i="6"/>
  <c r="D159" i="6"/>
  <c r="C156" i="6"/>
  <c r="E156" i="6" s="1"/>
  <c r="C155" i="6"/>
  <c r="E155" i="6" s="1"/>
  <c r="D209" i="6"/>
  <c r="D243" i="6"/>
  <c r="C243" i="6"/>
  <c r="E243" i="6" s="1"/>
  <c r="D277" i="6"/>
  <c r="C277" i="6"/>
  <c r="C277" i="5"/>
  <c r="C15" i="7"/>
  <c r="E15" i="7" s="1"/>
  <c r="D19" i="7"/>
  <c r="D15" i="7"/>
  <c r="C125" i="7"/>
  <c r="E125" i="7" s="1"/>
  <c r="D125" i="7"/>
  <c r="D129" i="7"/>
  <c r="D161" i="7"/>
  <c r="C161" i="7"/>
  <c r="E161" i="7" s="1"/>
  <c r="C162" i="7"/>
  <c r="E162" i="7" s="1"/>
  <c r="D165" i="7"/>
  <c r="I231" i="5"/>
  <c r="J246" i="5"/>
  <c r="H252" i="5"/>
  <c r="N252" i="5" s="1"/>
  <c r="J253" i="5"/>
  <c r="J255" i="5"/>
  <c r="H257" i="5"/>
  <c r="I267" i="5"/>
  <c r="J269" i="5"/>
  <c r="J278" i="5"/>
  <c r="J282" i="5"/>
  <c r="O291" i="5"/>
  <c r="I293" i="5"/>
  <c r="L303" i="5"/>
  <c r="O305" i="5"/>
  <c r="D100" i="6"/>
  <c r="C97" i="6"/>
  <c r="E97" i="6" s="1"/>
  <c r="D96" i="6"/>
  <c r="C96" i="6"/>
  <c r="E96" i="6" s="1"/>
  <c r="D139" i="6"/>
  <c r="D135" i="6"/>
  <c r="C146" i="6"/>
  <c r="E146" i="6" s="1"/>
  <c r="D145" i="6"/>
  <c r="C145" i="6"/>
  <c r="E145" i="6" s="1"/>
  <c r="C209" i="6"/>
  <c r="E209" i="6" s="1"/>
  <c r="C237" i="6"/>
  <c r="E237" i="6" s="1"/>
  <c r="C237" i="5"/>
  <c r="D307" i="6"/>
  <c r="C308" i="6"/>
  <c r="C8" i="7"/>
  <c r="E8" i="7" s="1"/>
  <c r="C9" i="7"/>
  <c r="E9" i="7" s="1"/>
  <c r="D12" i="7"/>
  <c r="D16" i="7"/>
  <c r="D20" i="7"/>
  <c r="D49" i="7"/>
  <c r="C49" i="7"/>
  <c r="E49" i="7" s="1"/>
  <c r="C75" i="7"/>
  <c r="E75" i="7" s="1"/>
  <c r="D79" i="7"/>
  <c r="D264" i="7"/>
  <c r="D264" i="5"/>
  <c r="I264" i="5" s="1"/>
  <c r="O242" i="5"/>
  <c r="I243" i="5"/>
  <c r="K245" i="5"/>
  <c r="K255" i="5"/>
  <c r="I257" i="5"/>
  <c r="J267" i="5"/>
  <c r="K269" i="5"/>
  <c r="L276" i="5"/>
  <c r="K278" i="5"/>
  <c r="L280" i="5"/>
  <c r="I291" i="5"/>
  <c r="J293" i="5"/>
  <c r="H304" i="5"/>
  <c r="O304" i="5"/>
  <c r="K307" i="5"/>
  <c r="D102" i="6"/>
  <c r="C135" i="6"/>
  <c r="E135" i="6" s="1"/>
  <c r="C167" i="6"/>
  <c r="E167" i="6" s="1"/>
  <c r="D166" i="6"/>
  <c r="C166" i="6"/>
  <c r="E166" i="6" s="1"/>
  <c r="C198" i="6"/>
  <c r="E198" i="6" s="1"/>
  <c r="D198" i="6"/>
  <c r="D237" i="6"/>
  <c r="C257" i="6"/>
  <c r="E257" i="6" s="1"/>
  <c r="D278" i="6"/>
  <c r="C279" i="6"/>
  <c r="C278" i="5"/>
  <c r="C307" i="6"/>
  <c r="C16" i="7"/>
  <c r="E16" i="7" s="1"/>
  <c r="C42" i="7"/>
  <c r="E42" i="7" s="1"/>
  <c r="D46" i="7"/>
  <c r="D42" i="7"/>
  <c r="D75" i="7"/>
  <c r="C264" i="7"/>
  <c r="E264" i="7" s="1"/>
  <c r="D11" i="6"/>
  <c r="D14" i="6"/>
  <c r="D17" i="6"/>
  <c r="D20" i="6"/>
  <c r="D23" i="6"/>
  <c r="D26" i="6"/>
  <c r="D29" i="6"/>
  <c r="D32" i="6"/>
  <c r="D35" i="6"/>
  <c r="D38" i="6"/>
  <c r="D41" i="6"/>
  <c r="D44" i="6"/>
  <c r="D47" i="6"/>
  <c r="D50" i="6"/>
  <c r="D53" i="6"/>
  <c r="D56" i="6"/>
  <c r="D59" i="6"/>
  <c r="D62" i="6"/>
  <c r="C78" i="6"/>
  <c r="E78" i="6" s="1"/>
  <c r="C91" i="6"/>
  <c r="E91" i="6" s="1"/>
  <c r="C104" i="6"/>
  <c r="E104" i="6" s="1"/>
  <c r="C114" i="6"/>
  <c r="E114" i="6" s="1"/>
  <c r="C127" i="6"/>
  <c r="E127" i="6" s="1"/>
  <c r="C140" i="6"/>
  <c r="E140" i="6" s="1"/>
  <c r="C157" i="6"/>
  <c r="E157" i="6" s="1"/>
  <c r="D200" i="6"/>
  <c r="C200" i="6"/>
  <c r="E200" i="6" s="1"/>
  <c r="D224" i="6"/>
  <c r="C224" i="6"/>
  <c r="E224" i="6" s="1"/>
  <c r="D236" i="6"/>
  <c r="D241" i="6"/>
  <c r="C241" i="6"/>
  <c r="E241" i="6" s="1"/>
  <c r="D250" i="6"/>
  <c r="C251" i="6"/>
  <c r="E251" i="6" s="1"/>
  <c r="D26" i="7"/>
  <c r="D53" i="7"/>
  <c r="D80" i="7"/>
  <c r="C123" i="7"/>
  <c r="E123" i="7" s="1"/>
  <c r="D127" i="7"/>
  <c r="D123" i="7"/>
  <c r="D166" i="7"/>
  <c r="C166" i="7"/>
  <c r="E166" i="7" s="1"/>
  <c r="C297" i="7"/>
  <c r="D297" i="7"/>
  <c r="D87" i="8"/>
  <c r="C87" i="8"/>
  <c r="E87" i="8" s="1"/>
  <c r="D98" i="6"/>
  <c r="C101" i="6"/>
  <c r="E101" i="6" s="1"/>
  <c r="C137" i="6"/>
  <c r="E137" i="6" s="1"/>
  <c r="D161" i="6"/>
  <c r="D165" i="6"/>
  <c r="D172" i="6"/>
  <c r="D180" i="6"/>
  <c r="D196" i="6"/>
  <c r="D204" i="6"/>
  <c r="C212" i="6"/>
  <c r="E212" i="6" s="1"/>
  <c r="D256" i="6"/>
  <c r="D261" i="6"/>
  <c r="D271" i="6"/>
  <c r="D276" i="6"/>
  <c r="D286" i="6"/>
  <c r="C287" i="6"/>
  <c r="D13" i="7"/>
  <c r="C13" i="7"/>
  <c r="E13" i="7" s="1"/>
  <c r="D40" i="7"/>
  <c r="C40" i="7"/>
  <c r="E40" i="7" s="1"/>
  <c r="D67" i="7"/>
  <c r="C67" i="7"/>
  <c r="E67" i="7" s="1"/>
  <c r="C116" i="7"/>
  <c r="E116" i="7" s="1"/>
  <c r="D116" i="7"/>
  <c r="C152" i="7"/>
  <c r="E152" i="7" s="1"/>
  <c r="D152" i="7"/>
  <c r="D64" i="8"/>
  <c r="C64" i="8"/>
  <c r="E64" i="8" s="1"/>
  <c r="D80" i="8"/>
  <c r="C80" i="8"/>
  <c r="E80" i="8" s="1"/>
  <c r="C81" i="8"/>
  <c r="E81" i="8" s="1"/>
  <c r="D177" i="7"/>
  <c r="C177" i="7"/>
  <c r="E177" i="7" s="1"/>
  <c r="D26" i="8"/>
  <c r="C26" i="8"/>
  <c r="E26" i="8" s="1"/>
  <c r="D30" i="8"/>
  <c r="C157" i="8"/>
  <c r="E157" i="8" s="1"/>
  <c r="D157" i="8"/>
  <c r="D161" i="8"/>
  <c r="D83" i="6"/>
  <c r="D119" i="6"/>
  <c r="C174" i="6"/>
  <c r="E174" i="6" s="1"/>
  <c r="D178" i="6"/>
  <c r="D206" i="6"/>
  <c r="D226" i="6"/>
  <c r="D230" i="6"/>
  <c r="C230" i="6"/>
  <c r="E230" i="6" s="1"/>
  <c r="C105" i="7"/>
  <c r="E105" i="7" s="1"/>
  <c r="D109" i="7"/>
  <c r="D105" i="7"/>
  <c r="C141" i="7"/>
  <c r="E141" i="7" s="1"/>
  <c r="D145" i="7"/>
  <c r="D141" i="7"/>
  <c r="D282" i="7"/>
  <c r="C282" i="7"/>
  <c r="C10" i="6"/>
  <c r="E10" i="6" s="1"/>
  <c r="C13" i="6"/>
  <c r="E13" i="6" s="1"/>
  <c r="C16" i="6"/>
  <c r="E16" i="6" s="1"/>
  <c r="C19" i="6"/>
  <c r="E19" i="6" s="1"/>
  <c r="C22" i="6"/>
  <c r="E22" i="6" s="1"/>
  <c r="C25" i="6"/>
  <c r="E25" i="6" s="1"/>
  <c r="C28" i="6"/>
  <c r="E28" i="6" s="1"/>
  <c r="C31" i="6"/>
  <c r="E31" i="6" s="1"/>
  <c r="C34" i="6"/>
  <c r="E34" i="6" s="1"/>
  <c r="C37" i="6"/>
  <c r="E37" i="6" s="1"/>
  <c r="C40" i="6"/>
  <c r="E40" i="6" s="1"/>
  <c r="C43" i="6"/>
  <c r="E43" i="6" s="1"/>
  <c r="C46" i="6"/>
  <c r="E46" i="6" s="1"/>
  <c r="C49" i="6"/>
  <c r="E49" i="6" s="1"/>
  <c r="C52" i="6"/>
  <c r="E52" i="6" s="1"/>
  <c r="C55" i="6"/>
  <c r="E55" i="6" s="1"/>
  <c r="C58" i="6"/>
  <c r="E58" i="6" s="1"/>
  <c r="C61" i="6"/>
  <c r="E61" i="6" s="1"/>
  <c r="C64" i="6"/>
  <c r="E64" i="6" s="1"/>
  <c r="C67" i="6"/>
  <c r="E67" i="6" s="1"/>
  <c r="D80" i="6"/>
  <c r="C83" i="6"/>
  <c r="E83" i="6" s="1"/>
  <c r="D116" i="6"/>
  <c r="C119" i="6"/>
  <c r="E119" i="6" s="1"/>
  <c r="D152" i="6"/>
  <c r="D156" i="6"/>
  <c r="D174" i="6"/>
  <c r="C202" i="6"/>
  <c r="E202" i="6" s="1"/>
  <c r="C206" i="6"/>
  <c r="E206" i="6" s="1"/>
  <c r="C210" i="6"/>
  <c r="E210" i="6" s="1"/>
  <c r="D214" i="6"/>
  <c r="C222" i="6"/>
  <c r="E222" i="6" s="1"/>
  <c r="C226" i="6"/>
  <c r="E226" i="6" s="1"/>
  <c r="D234" i="6"/>
  <c r="D239" i="6"/>
  <c r="D253" i="6"/>
  <c r="D258" i="6"/>
  <c r="D268" i="6"/>
  <c r="C269" i="6"/>
  <c r="D274" i="6"/>
  <c r="C17" i="7"/>
  <c r="E17" i="7" s="1"/>
  <c r="C24" i="7"/>
  <c r="E24" i="7" s="1"/>
  <c r="D28" i="7"/>
  <c r="D24" i="7"/>
  <c r="D30" i="7"/>
  <c r="C44" i="7"/>
  <c r="E44" i="7" s="1"/>
  <c r="C51" i="7"/>
  <c r="E51" i="7" s="1"/>
  <c r="D55" i="7"/>
  <c r="D51" i="7"/>
  <c r="D57" i="7"/>
  <c r="C71" i="7"/>
  <c r="E71" i="7" s="1"/>
  <c r="C78" i="7"/>
  <c r="E78" i="7" s="1"/>
  <c r="D82" i="7"/>
  <c r="D78" i="7"/>
  <c r="D84" i="7"/>
  <c r="C98" i="7"/>
  <c r="E98" i="7" s="1"/>
  <c r="D98" i="7"/>
  <c r="C134" i="7"/>
  <c r="E134" i="7" s="1"/>
  <c r="D134" i="7"/>
  <c r="C156" i="7"/>
  <c r="E156" i="7" s="1"/>
  <c r="C157" i="7"/>
  <c r="E157" i="7" s="1"/>
  <c r="D171" i="7"/>
  <c r="C276" i="7"/>
  <c r="C277" i="7"/>
  <c r="C288" i="7"/>
  <c r="C289" i="7"/>
  <c r="D288" i="7"/>
  <c r="C27" i="8"/>
  <c r="E27" i="8" s="1"/>
  <c r="D77" i="6"/>
  <c r="D113" i="6"/>
  <c r="D149" i="6"/>
  <c r="D153" i="6"/>
  <c r="C175" i="6"/>
  <c r="E175" i="6" s="1"/>
  <c r="D179" i="6"/>
  <c r="D210" i="6"/>
  <c r="D244" i="6"/>
  <c r="C244" i="6"/>
  <c r="E244" i="6" s="1"/>
  <c r="C253" i="6"/>
  <c r="E253" i="6" s="1"/>
  <c r="D259" i="6"/>
  <c r="C259" i="6"/>
  <c r="E259" i="6" s="1"/>
  <c r="C268" i="6"/>
  <c r="C274" i="6"/>
  <c r="D304" i="6"/>
  <c r="C305" i="6"/>
  <c r="D17" i="7"/>
  <c r="D44" i="7"/>
  <c r="D71" i="7"/>
  <c r="D120" i="7"/>
  <c r="C142" i="7"/>
  <c r="E142" i="7" s="1"/>
  <c r="D156" i="7"/>
  <c r="D172" i="7"/>
  <c r="C172" i="7"/>
  <c r="E172" i="7" s="1"/>
  <c r="C173" i="7"/>
  <c r="E173" i="7" s="1"/>
  <c r="D276" i="7"/>
  <c r="C283" i="7"/>
  <c r="C77" i="6"/>
  <c r="E77" i="6" s="1"/>
  <c r="C113" i="6"/>
  <c r="E113" i="6" s="1"/>
  <c r="C149" i="6"/>
  <c r="E149" i="6" s="1"/>
  <c r="D175" i="6"/>
  <c r="C179" i="6"/>
  <c r="E179" i="6" s="1"/>
  <c r="D183" i="6"/>
  <c r="C187" i="6"/>
  <c r="E187" i="6" s="1"/>
  <c r="D215" i="6"/>
  <c r="C231" i="6"/>
  <c r="E231" i="6" s="1"/>
  <c r="D295" i="6"/>
  <c r="C295" i="6"/>
  <c r="D31" i="7"/>
  <c r="C31" i="7"/>
  <c r="E31" i="7" s="1"/>
  <c r="D58" i="7"/>
  <c r="C58" i="7"/>
  <c r="E58" i="7" s="1"/>
  <c r="D85" i="7"/>
  <c r="C85" i="7"/>
  <c r="E85" i="7" s="1"/>
  <c r="D106" i="7"/>
  <c r="C114" i="7"/>
  <c r="E114" i="7" s="1"/>
  <c r="D118" i="7"/>
  <c r="D114" i="7"/>
  <c r="D142" i="7"/>
  <c r="C13" i="8"/>
  <c r="E13" i="8" s="1"/>
  <c r="C14" i="8"/>
  <c r="E14" i="8" s="1"/>
  <c r="D17" i="8"/>
  <c r="D203" i="6"/>
  <c r="D207" i="6"/>
  <c r="D254" i="6"/>
  <c r="C254" i="6"/>
  <c r="E254" i="6" s="1"/>
  <c r="D260" i="6"/>
  <c r="D264" i="6"/>
  <c r="D275" i="6"/>
  <c r="D279" i="6"/>
  <c r="C107" i="7"/>
  <c r="E107" i="7" s="1"/>
  <c r="D107" i="7"/>
  <c r="C143" i="7"/>
  <c r="E143" i="7" s="1"/>
  <c r="D143" i="7"/>
  <c r="D186" i="7"/>
  <c r="D13" i="8"/>
  <c r="D188" i="6"/>
  <c r="C188" i="6"/>
  <c r="E188" i="6" s="1"/>
  <c r="C203" i="6"/>
  <c r="E203" i="6" s="1"/>
  <c r="D290" i="6"/>
  <c r="C291" i="6"/>
  <c r="D294" i="6"/>
  <c r="C290" i="6"/>
  <c r="D296" i="6"/>
  <c r="D300" i="6"/>
  <c r="C33" i="7"/>
  <c r="E33" i="7" s="1"/>
  <c r="D37" i="7"/>
  <c r="D33" i="7"/>
  <c r="C60" i="7"/>
  <c r="E60" i="7" s="1"/>
  <c r="D64" i="7"/>
  <c r="D60" i="7"/>
  <c r="C87" i="7"/>
  <c r="E87" i="7" s="1"/>
  <c r="D91" i="7"/>
  <c r="D87" i="7"/>
  <c r="D187" i="7"/>
  <c r="C187" i="7"/>
  <c r="E187" i="7" s="1"/>
  <c r="D304" i="7"/>
  <c r="C304" i="7"/>
  <c r="C305" i="7"/>
  <c r="D93" i="8"/>
  <c r="C94" i="8"/>
  <c r="E94" i="8" s="1"/>
  <c r="D97" i="8"/>
  <c r="D185" i="6"/>
  <c r="D221" i="6"/>
  <c r="D245" i="6"/>
  <c r="D263" i="6"/>
  <c r="D281" i="6"/>
  <c r="D299" i="6"/>
  <c r="D150" i="7"/>
  <c r="D154" i="7"/>
  <c r="D159" i="7"/>
  <c r="C202" i="7"/>
  <c r="E202" i="7" s="1"/>
  <c r="C220" i="7"/>
  <c r="E220" i="7" s="1"/>
  <c r="C238" i="7"/>
  <c r="E238" i="7" s="1"/>
  <c r="C256" i="7"/>
  <c r="E256" i="7" s="1"/>
  <c r="D296" i="7"/>
  <c r="C296" i="7"/>
  <c r="C32" i="8"/>
  <c r="E32" i="8" s="1"/>
  <c r="D36" i="8"/>
  <c r="D32" i="8"/>
  <c r="C212" i="8"/>
  <c r="E212" i="8" s="1"/>
  <c r="D216" i="8"/>
  <c r="C213" i="8"/>
  <c r="E213" i="8" s="1"/>
  <c r="D212" i="8"/>
  <c r="D237" i="8"/>
  <c r="D241" i="8"/>
  <c r="C238" i="8"/>
  <c r="E238" i="8" s="1"/>
  <c r="C237" i="8"/>
  <c r="E237" i="8" s="1"/>
  <c r="C265" i="8"/>
  <c r="E265" i="8" s="1"/>
  <c r="D265" i="8"/>
  <c r="D170" i="7"/>
  <c r="C170" i="7"/>
  <c r="E170" i="7" s="1"/>
  <c r="D175" i="7"/>
  <c r="C175" i="7"/>
  <c r="E175" i="7" s="1"/>
  <c r="D180" i="7"/>
  <c r="C185" i="7"/>
  <c r="E185" i="7" s="1"/>
  <c r="D257" i="7"/>
  <c r="C258" i="7"/>
  <c r="E258" i="7" s="1"/>
  <c r="D268" i="7"/>
  <c r="C268" i="7"/>
  <c r="C33" i="8"/>
  <c r="E33" i="8" s="1"/>
  <c r="D57" i="8"/>
  <c r="D61" i="8"/>
  <c r="C85" i="8"/>
  <c r="E85" i="8" s="1"/>
  <c r="D85" i="8"/>
  <c r="C104" i="8"/>
  <c r="E104" i="8" s="1"/>
  <c r="D108" i="8"/>
  <c r="D104" i="8"/>
  <c r="D188" i="7"/>
  <c r="C188" i="7"/>
  <c r="E188" i="7" s="1"/>
  <c r="D278" i="7"/>
  <c r="C278" i="7"/>
  <c r="D20" i="8"/>
  <c r="C20" i="8"/>
  <c r="E20" i="8" s="1"/>
  <c r="C67" i="8"/>
  <c r="E67" i="8" s="1"/>
  <c r="D67" i="8"/>
  <c r="D129" i="8"/>
  <c r="C130" i="8"/>
  <c r="E130" i="8" s="1"/>
  <c r="D133" i="8"/>
  <c r="C129" i="8"/>
  <c r="E129" i="8" s="1"/>
  <c r="C222" i="8"/>
  <c r="E222" i="8" s="1"/>
  <c r="C223" i="8"/>
  <c r="E223" i="8" s="1"/>
  <c r="D222" i="8"/>
  <c r="D265" i="6"/>
  <c r="C18" i="7"/>
  <c r="E18" i="7" s="1"/>
  <c r="C27" i="7"/>
  <c r="E27" i="7" s="1"/>
  <c r="C36" i="7"/>
  <c r="E36" i="7" s="1"/>
  <c r="C45" i="7"/>
  <c r="E45" i="7" s="1"/>
  <c r="C54" i="7"/>
  <c r="E54" i="7" s="1"/>
  <c r="C63" i="7"/>
  <c r="E63" i="7" s="1"/>
  <c r="C72" i="7"/>
  <c r="E72" i="7" s="1"/>
  <c r="C81" i="7"/>
  <c r="E81" i="7" s="1"/>
  <c r="C90" i="7"/>
  <c r="E90" i="7" s="1"/>
  <c r="C94" i="7"/>
  <c r="E94" i="7" s="1"/>
  <c r="C99" i="7"/>
  <c r="E99" i="7" s="1"/>
  <c r="C103" i="7"/>
  <c r="E103" i="7" s="1"/>
  <c r="C108" i="7"/>
  <c r="E108" i="7" s="1"/>
  <c r="C112" i="7"/>
  <c r="E112" i="7" s="1"/>
  <c r="C117" i="7"/>
  <c r="E117" i="7" s="1"/>
  <c r="C121" i="7"/>
  <c r="E121" i="7" s="1"/>
  <c r="C126" i="7"/>
  <c r="E126" i="7" s="1"/>
  <c r="C130" i="7"/>
  <c r="E130" i="7" s="1"/>
  <c r="C135" i="7"/>
  <c r="E135" i="7" s="1"/>
  <c r="C139" i="7"/>
  <c r="E139" i="7" s="1"/>
  <c r="C144" i="7"/>
  <c r="E144" i="7" s="1"/>
  <c r="C148" i="7"/>
  <c r="E148" i="7" s="1"/>
  <c r="C153" i="7"/>
  <c r="E153" i="7" s="1"/>
  <c r="D206" i="7"/>
  <c r="C206" i="7"/>
  <c r="E206" i="7" s="1"/>
  <c r="D224" i="7"/>
  <c r="C224" i="7"/>
  <c r="E224" i="7" s="1"/>
  <c r="D242" i="7"/>
  <c r="C242" i="7"/>
  <c r="E242" i="7" s="1"/>
  <c r="C265" i="7"/>
  <c r="E265" i="7" s="1"/>
  <c r="D300" i="7"/>
  <c r="D29" i="8"/>
  <c r="C29" i="8"/>
  <c r="E29" i="8" s="1"/>
  <c r="C123" i="8"/>
  <c r="E123" i="8" s="1"/>
  <c r="D123" i="8"/>
  <c r="C291" i="8"/>
  <c r="D291" i="8"/>
  <c r="D197" i="6"/>
  <c r="D233" i="6"/>
  <c r="D251" i="6"/>
  <c r="C258" i="6"/>
  <c r="E258" i="6" s="1"/>
  <c r="C265" i="6"/>
  <c r="E265" i="6" s="1"/>
  <c r="D269" i="6"/>
  <c r="C276" i="6"/>
  <c r="C283" i="6"/>
  <c r="D287" i="6"/>
  <c r="C301" i="6"/>
  <c r="D305" i="6"/>
  <c r="D18" i="7"/>
  <c r="D27" i="7"/>
  <c r="D36" i="7"/>
  <c r="D45" i="7"/>
  <c r="D54" i="7"/>
  <c r="D63" i="7"/>
  <c r="D72" i="7"/>
  <c r="D81" i="7"/>
  <c r="D90" i="7"/>
  <c r="D99" i="7"/>
  <c r="D108" i="7"/>
  <c r="D117" i="7"/>
  <c r="D126" i="7"/>
  <c r="D135" i="7"/>
  <c r="D144" i="7"/>
  <c r="D153" i="7"/>
  <c r="D157" i="7"/>
  <c r="C167" i="7"/>
  <c r="E167" i="7" s="1"/>
  <c r="D178" i="7"/>
  <c r="C178" i="7"/>
  <c r="E178" i="7" s="1"/>
  <c r="C189" i="7"/>
  <c r="E189" i="7" s="1"/>
  <c r="D260" i="7"/>
  <c r="C300" i="7"/>
  <c r="D73" i="8"/>
  <c r="D69" i="8"/>
  <c r="C69" i="8"/>
  <c r="E69" i="8" s="1"/>
  <c r="D116" i="8"/>
  <c r="C117" i="8"/>
  <c r="E117" i="8" s="1"/>
  <c r="C116" i="8"/>
  <c r="E116" i="8" s="1"/>
  <c r="D262" i="6"/>
  <c r="D280" i="6"/>
  <c r="C14" i="7"/>
  <c r="E14" i="7" s="1"/>
  <c r="C23" i="7"/>
  <c r="E23" i="7" s="1"/>
  <c r="C32" i="7"/>
  <c r="E32" i="7" s="1"/>
  <c r="C41" i="7"/>
  <c r="E41" i="7" s="1"/>
  <c r="C50" i="7"/>
  <c r="E50" i="7" s="1"/>
  <c r="C59" i="7"/>
  <c r="E59" i="7" s="1"/>
  <c r="C68" i="7"/>
  <c r="E68" i="7" s="1"/>
  <c r="C77" i="7"/>
  <c r="E77" i="7" s="1"/>
  <c r="C86" i="7"/>
  <c r="E86" i="7" s="1"/>
  <c r="C95" i="7"/>
  <c r="E95" i="7" s="1"/>
  <c r="C104" i="7"/>
  <c r="E104" i="7" s="1"/>
  <c r="C113" i="7"/>
  <c r="E113" i="7" s="1"/>
  <c r="C122" i="7"/>
  <c r="E122" i="7" s="1"/>
  <c r="C131" i="7"/>
  <c r="E131" i="7" s="1"/>
  <c r="C140" i="7"/>
  <c r="E140" i="7" s="1"/>
  <c r="C149" i="7"/>
  <c r="E149" i="7" s="1"/>
  <c r="C168" i="7"/>
  <c r="E168" i="7" s="1"/>
  <c r="D189" i="7"/>
  <c r="C207" i="7"/>
  <c r="E207" i="7" s="1"/>
  <c r="D207" i="7"/>
  <c r="C225" i="7"/>
  <c r="E225" i="7" s="1"/>
  <c r="D225" i="7"/>
  <c r="C243" i="7"/>
  <c r="E243" i="7" s="1"/>
  <c r="D243" i="7"/>
  <c r="D301" i="7"/>
  <c r="C23" i="8"/>
  <c r="E23" i="8" s="1"/>
  <c r="D22" i="8"/>
  <c r="C22" i="8"/>
  <c r="E22" i="8" s="1"/>
  <c r="C42" i="8"/>
  <c r="E42" i="8" s="1"/>
  <c r="D42" i="8"/>
  <c r="D75" i="8"/>
  <c r="D79" i="8"/>
  <c r="C75" i="8"/>
  <c r="E75" i="8" s="1"/>
  <c r="D89" i="8"/>
  <c r="C96" i="8"/>
  <c r="E96" i="8" s="1"/>
  <c r="D96" i="8"/>
  <c r="D102" i="8"/>
  <c r="C102" i="8"/>
  <c r="E102" i="8" s="1"/>
  <c r="D106" i="8"/>
  <c r="C124" i="8"/>
  <c r="E124" i="8" s="1"/>
  <c r="D152" i="8"/>
  <c r="C153" i="8"/>
  <c r="E153" i="8" s="1"/>
  <c r="C152" i="8"/>
  <c r="E152" i="8" s="1"/>
  <c r="C176" i="8"/>
  <c r="E176" i="8" s="1"/>
  <c r="D180" i="8"/>
  <c r="C177" i="8"/>
  <c r="E177" i="8" s="1"/>
  <c r="D176" i="8"/>
  <c r="C282" i="8"/>
  <c r="D282" i="8"/>
  <c r="D191" i="6"/>
  <c r="D227" i="6"/>
  <c r="D248" i="6"/>
  <c r="C262" i="6"/>
  <c r="E262" i="6" s="1"/>
  <c r="D266" i="6"/>
  <c r="C280" i="6"/>
  <c r="D284" i="6"/>
  <c r="C298" i="6"/>
  <c r="D302" i="6"/>
  <c r="D14" i="7"/>
  <c r="D23" i="7"/>
  <c r="D32" i="7"/>
  <c r="D41" i="7"/>
  <c r="D50" i="7"/>
  <c r="D59" i="7"/>
  <c r="D68" i="7"/>
  <c r="D77" i="7"/>
  <c r="D86" i="7"/>
  <c r="D95" i="7"/>
  <c r="D104" i="7"/>
  <c r="D113" i="7"/>
  <c r="D122" i="7"/>
  <c r="D131" i="7"/>
  <c r="D140" i="7"/>
  <c r="D149" i="7"/>
  <c r="D158" i="7"/>
  <c r="D168" i="7"/>
  <c r="D184" i="7"/>
  <c r="D190" i="7"/>
  <c r="C190" i="7"/>
  <c r="E190" i="7" s="1"/>
  <c r="D201" i="7"/>
  <c r="C201" i="7"/>
  <c r="E201" i="7" s="1"/>
  <c r="D208" i="7"/>
  <c r="C208" i="7"/>
  <c r="E208" i="7" s="1"/>
  <c r="D219" i="7"/>
  <c r="C219" i="7"/>
  <c r="E219" i="7" s="1"/>
  <c r="D226" i="7"/>
  <c r="C226" i="7"/>
  <c r="E226" i="7" s="1"/>
  <c r="D237" i="7"/>
  <c r="C237" i="7"/>
  <c r="E237" i="7" s="1"/>
  <c r="D244" i="7"/>
  <c r="C244" i="7"/>
  <c r="E244" i="7" s="1"/>
  <c r="D255" i="7"/>
  <c r="C255" i="7"/>
  <c r="E255" i="7" s="1"/>
  <c r="C261" i="7"/>
  <c r="E261" i="7" s="1"/>
  <c r="C273" i="7"/>
  <c r="D273" i="7"/>
  <c r="C301" i="7"/>
  <c r="D16" i="8"/>
  <c r="C16" i="8"/>
  <c r="E16" i="8" s="1"/>
  <c r="C70" i="8"/>
  <c r="E70" i="8" s="1"/>
  <c r="C76" i="8"/>
  <c r="E76" i="8" s="1"/>
  <c r="D76" i="8"/>
  <c r="D138" i="8"/>
  <c r="C138" i="8"/>
  <c r="E138" i="8" s="1"/>
  <c r="D142" i="8"/>
  <c r="D146" i="8"/>
  <c r="C146" i="8"/>
  <c r="E146" i="8" s="1"/>
  <c r="D150" i="8"/>
  <c r="D163" i="7"/>
  <c r="D169" i="7"/>
  <c r="C169" i="7"/>
  <c r="E169" i="7" s="1"/>
  <c r="D196" i="7"/>
  <c r="C196" i="7"/>
  <c r="E196" i="7" s="1"/>
  <c r="D214" i="7"/>
  <c r="C214" i="7"/>
  <c r="E214" i="7" s="1"/>
  <c r="D232" i="7"/>
  <c r="C232" i="7"/>
  <c r="E232" i="7" s="1"/>
  <c r="D250" i="7"/>
  <c r="C250" i="7"/>
  <c r="E250" i="7" s="1"/>
  <c r="D274" i="7"/>
  <c r="C274" i="7"/>
  <c r="C55" i="8"/>
  <c r="E55" i="8" s="1"/>
  <c r="D55" i="8"/>
  <c r="D110" i="8"/>
  <c r="C110" i="8"/>
  <c r="E110" i="8" s="1"/>
  <c r="C132" i="8"/>
  <c r="E132" i="8" s="1"/>
  <c r="D132" i="8"/>
  <c r="D211" i="7"/>
  <c r="D229" i="7"/>
  <c r="D247" i="7"/>
  <c r="D266" i="7"/>
  <c r="D23" i="8"/>
  <c r="C68" i="8"/>
  <c r="E68" i="8" s="1"/>
  <c r="C86" i="8"/>
  <c r="E86" i="8" s="1"/>
  <c r="D156" i="8"/>
  <c r="C156" i="8"/>
  <c r="E156" i="8" s="1"/>
  <c r="D170" i="8"/>
  <c r="C175" i="8"/>
  <c r="E175" i="8" s="1"/>
  <c r="D179" i="8"/>
  <c r="D226" i="8"/>
  <c r="C227" i="8"/>
  <c r="E227" i="8" s="1"/>
  <c r="D179" i="7"/>
  <c r="C193" i="7"/>
  <c r="E193" i="7" s="1"/>
  <c r="D197" i="7"/>
  <c r="C211" i="7"/>
  <c r="E211" i="7" s="1"/>
  <c r="D215" i="7"/>
  <c r="C229" i="7"/>
  <c r="E229" i="7" s="1"/>
  <c r="D233" i="7"/>
  <c r="C247" i="7"/>
  <c r="E247" i="7" s="1"/>
  <c r="D251" i="7"/>
  <c r="C262" i="7"/>
  <c r="E262" i="7" s="1"/>
  <c r="C266" i="7"/>
  <c r="D298" i="7"/>
  <c r="C298" i="7"/>
  <c r="C302" i="7"/>
  <c r="C11" i="8"/>
  <c r="E11" i="8" s="1"/>
  <c r="D19" i="8"/>
  <c r="C28" i="8"/>
  <c r="E28" i="8" s="1"/>
  <c r="D41" i="8"/>
  <c r="D46" i="8"/>
  <c r="C59" i="8"/>
  <c r="E59" i="8" s="1"/>
  <c r="D68" i="8"/>
  <c r="D72" i="8"/>
  <c r="D86" i="8"/>
  <c r="D90" i="8"/>
  <c r="D100" i="8"/>
  <c r="D109" i="8"/>
  <c r="C109" i="8"/>
  <c r="E109" i="8" s="1"/>
  <c r="D114" i="8"/>
  <c r="C128" i="8"/>
  <c r="E128" i="8" s="1"/>
  <c r="C147" i="8"/>
  <c r="E147" i="8" s="1"/>
  <c r="D151" i="8"/>
  <c r="C170" i="8"/>
  <c r="E170" i="8" s="1"/>
  <c r="D201" i="8"/>
  <c r="D205" i="8"/>
  <c r="C205" i="8"/>
  <c r="E205" i="8" s="1"/>
  <c r="D248" i="8"/>
  <c r="D264" i="8"/>
  <c r="D302" i="8"/>
  <c r="C298" i="8"/>
  <c r="D298" i="8"/>
  <c r="C299" i="8"/>
  <c r="D176" i="7"/>
  <c r="D194" i="7"/>
  <c r="D212" i="7"/>
  <c r="D230" i="7"/>
  <c r="D248" i="7"/>
  <c r="D259" i="7"/>
  <c r="D263" i="7"/>
  <c r="D286" i="7"/>
  <c r="C286" i="7"/>
  <c r="D299" i="7"/>
  <c r="D307" i="7"/>
  <c r="C12" i="8"/>
  <c r="E12" i="8" s="1"/>
  <c r="D38" i="8"/>
  <c r="D77" i="8"/>
  <c r="D82" i="8"/>
  <c r="D91" i="8"/>
  <c r="C91" i="8"/>
  <c r="E91" i="8" s="1"/>
  <c r="D166" i="8"/>
  <c r="C171" i="8"/>
  <c r="E171" i="8" s="1"/>
  <c r="D195" i="8"/>
  <c r="C191" i="8"/>
  <c r="E191" i="8" s="1"/>
  <c r="C249" i="8"/>
  <c r="E249" i="8" s="1"/>
  <c r="D249" i="8"/>
  <c r="D266" i="8"/>
  <c r="C266" i="8"/>
  <c r="D275" i="8"/>
  <c r="C194" i="7"/>
  <c r="E194" i="7" s="1"/>
  <c r="D205" i="7"/>
  <c r="C212" i="7"/>
  <c r="E212" i="7" s="1"/>
  <c r="D223" i="7"/>
  <c r="C230" i="7"/>
  <c r="E230" i="7" s="1"/>
  <c r="D241" i="7"/>
  <c r="C248" i="7"/>
  <c r="E248" i="7" s="1"/>
  <c r="D56" i="8"/>
  <c r="D60" i="8"/>
  <c r="D120" i="8"/>
  <c r="C120" i="8"/>
  <c r="E120" i="8" s="1"/>
  <c r="C139" i="8"/>
  <c r="E139" i="8" s="1"/>
  <c r="D143" i="8"/>
  <c r="C158" i="8"/>
  <c r="E158" i="8" s="1"/>
  <c r="D181" i="8"/>
  <c r="C181" i="8"/>
  <c r="E181" i="8" s="1"/>
  <c r="C250" i="8"/>
  <c r="E250" i="8" s="1"/>
  <c r="D250" i="8"/>
  <c r="D173" i="7"/>
  <c r="D191" i="7"/>
  <c r="C205" i="7"/>
  <c r="E205" i="7" s="1"/>
  <c r="D209" i="7"/>
  <c r="C223" i="7"/>
  <c r="E223" i="7" s="1"/>
  <c r="D227" i="7"/>
  <c r="C241" i="7"/>
  <c r="E241" i="7" s="1"/>
  <c r="D245" i="7"/>
  <c r="C271" i="7"/>
  <c r="D275" i="7"/>
  <c r="C279" i="7"/>
  <c r="D283" i="7"/>
  <c r="D287" i="7"/>
  <c r="C295" i="7"/>
  <c r="C21" i="8"/>
  <c r="E21" i="8" s="1"/>
  <c r="C25" i="8"/>
  <c r="E25" i="8" s="1"/>
  <c r="C30" i="8"/>
  <c r="E30" i="8" s="1"/>
  <c r="C52" i="8"/>
  <c r="E52" i="8" s="1"/>
  <c r="C56" i="8"/>
  <c r="E56" i="8" s="1"/>
  <c r="D74" i="8"/>
  <c r="D78" i="8"/>
  <c r="C92" i="8"/>
  <c r="E92" i="8" s="1"/>
  <c r="C111" i="8"/>
  <c r="E111" i="8" s="1"/>
  <c r="D115" i="8"/>
  <c r="C134" i="8"/>
  <c r="E134" i="8" s="1"/>
  <c r="D139" i="8"/>
  <c r="D148" i="8"/>
  <c r="D158" i="8"/>
  <c r="D162" i="8"/>
  <c r="D172" i="8"/>
  <c r="D192" i="8"/>
  <c r="C202" i="8"/>
  <c r="E202" i="8" s="1"/>
  <c r="C218" i="8"/>
  <c r="E218" i="8" s="1"/>
  <c r="D259" i="8"/>
  <c r="C276" i="8"/>
  <c r="D125" i="8"/>
  <c r="D177" i="8"/>
  <c r="D219" i="8"/>
  <c r="D223" i="8"/>
  <c r="C230" i="8"/>
  <c r="E230" i="8" s="1"/>
  <c r="C229" i="8"/>
  <c r="E229" i="8" s="1"/>
  <c r="D233" i="8"/>
  <c r="C285" i="8"/>
  <c r="D285" i="8"/>
  <c r="D305" i="8"/>
  <c r="C301" i="8"/>
  <c r="D301" i="8"/>
  <c r="C302" i="8"/>
  <c r="D46" i="9"/>
  <c r="D50" i="9"/>
  <c r="C46" i="9"/>
  <c r="E46" i="9" s="1"/>
  <c r="D121" i="8"/>
  <c r="D140" i="8"/>
  <c r="D144" i="8"/>
  <c r="C159" i="8"/>
  <c r="E159" i="8" s="1"/>
  <c r="D163" i="8"/>
  <c r="C163" i="8"/>
  <c r="E163" i="8" s="1"/>
  <c r="D168" i="8"/>
  <c r="D183" i="8"/>
  <c r="D187" i="8"/>
  <c r="C208" i="8"/>
  <c r="E208" i="8" s="1"/>
  <c r="C219" i="8"/>
  <c r="E219" i="8" s="1"/>
  <c r="D229" i="8"/>
  <c r="C260" i="8"/>
  <c r="E260" i="8" s="1"/>
  <c r="D269" i="8"/>
  <c r="C269" i="8"/>
  <c r="D290" i="8"/>
  <c r="C286" i="8"/>
  <c r="D286" i="8"/>
  <c r="D12" i="9"/>
  <c r="C12" i="9"/>
  <c r="E12" i="9" s="1"/>
  <c r="D181" i="7"/>
  <c r="D199" i="7"/>
  <c r="D217" i="7"/>
  <c r="D235" i="7"/>
  <c r="D253" i="7"/>
  <c r="C272" i="7"/>
  <c r="D280" i="7"/>
  <c r="D284" i="7"/>
  <c r="D292" i="7"/>
  <c r="D35" i="8"/>
  <c r="D44" i="8"/>
  <c r="C79" i="8"/>
  <c r="E79" i="8" s="1"/>
  <c r="D84" i="8"/>
  <c r="C84" i="8"/>
  <c r="E84" i="8" s="1"/>
  <c r="D98" i="8"/>
  <c r="C103" i="8"/>
  <c r="E103" i="8" s="1"/>
  <c r="D107" i="8"/>
  <c r="C112" i="8"/>
  <c r="E112" i="8" s="1"/>
  <c r="C122" i="8"/>
  <c r="E122" i="8" s="1"/>
  <c r="C154" i="8"/>
  <c r="E154" i="8" s="1"/>
  <c r="C173" i="8"/>
  <c r="E173" i="8" s="1"/>
  <c r="C183" i="8"/>
  <c r="E183" i="8" s="1"/>
  <c r="D193" i="8"/>
  <c r="D213" i="8"/>
  <c r="C209" i="8"/>
  <c r="E209" i="8" s="1"/>
  <c r="D244" i="8"/>
  <c r="C253" i="8"/>
  <c r="E253" i="8" s="1"/>
  <c r="D253" i="8"/>
  <c r="C270" i="8"/>
  <c r="D270" i="8"/>
  <c r="D274" i="8"/>
  <c r="D305" i="7"/>
  <c r="D31" i="8"/>
  <c r="C49" i="8"/>
  <c r="E49" i="8" s="1"/>
  <c r="D53" i="8"/>
  <c r="D62" i="8"/>
  <c r="D112" i="8"/>
  <c r="D136" i="8"/>
  <c r="C141" i="8"/>
  <c r="E141" i="8" s="1"/>
  <c r="D145" i="8"/>
  <c r="C145" i="8"/>
  <c r="E145" i="8" s="1"/>
  <c r="C164" i="8"/>
  <c r="E164" i="8" s="1"/>
  <c r="C194" i="8"/>
  <c r="E194" i="8" s="1"/>
  <c r="D198" i="8"/>
  <c r="D254" i="8"/>
  <c r="C254" i="8"/>
  <c r="E254" i="8" s="1"/>
  <c r="D258" i="8"/>
  <c r="C287" i="8"/>
  <c r="D174" i="8"/>
  <c r="C174" i="8"/>
  <c r="E174" i="8" s="1"/>
  <c r="D210" i="8"/>
  <c r="C240" i="8"/>
  <c r="E240" i="8" s="1"/>
  <c r="C241" i="8"/>
  <c r="E241" i="8" s="1"/>
  <c r="D271" i="8"/>
  <c r="D164" i="7"/>
  <c r="D182" i="7"/>
  <c r="D200" i="7"/>
  <c r="D218" i="7"/>
  <c r="D236" i="7"/>
  <c r="D254" i="7"/>
  <c r="D277" i="7"/>
  <c r="D281" i="7"/>
  <c r="D289" i="7"/>
  <c r="D293" i="7"/>
  <c r="C50" i="8"/>
  <c r="E50" i="8" s="1"/>
  <c r="D94" i="8"/>
  <c r="C99" i="8"/>
  <c r="E99" i="8" s="1"/>
  <c r="D113" i="8"/>
  <c r="D118" i="8"/>
  <c r="D127" i="8"/>
  <c r="C127" i="8"/>
  <c r="E127" i="8" s="1"/>
  <c r="D160" i="8"/>
  <c r="C165" i="8"/>
  <c r="E165" i="8" s="1"/>
  <c r="D169" i="8"/>
  <c r="C184" i="8"/>
  <c r="E184" i="8" s="1"/>
  <c r="C189" i="8"/>
  <c r="E189" i="8" s="1"/>
  <c r="D215" i="8"/>
  <c r="D240" i="8"/>
  <c r="D255" i="8"/>
  <c r="D284" i="8"/>
  <c r="C280" i="8"/>
  <c r="C281" i="8"/>
  <c r="D61" i="9"/>
  <c r="C61" i="9"/>
  <c r="E61" i="9" s="1"/>
  <c r="D65" i="9"/>
  <c r="D245" i="8"/>
  <c r="C245" i="8"/>
  <c r="E245" i="8" s="1"/>
  <c r="C256" i="8"/>
  <c r="E256" i="8" s="1"/>
  <c r="C261" i="8"/>
  <c r="E261" i="8" s="1"/>
  <c r="D261" i="8"/>
  <c r="C267" i="8"/>
  <c r="C277" i="8"/>
  <c r="D277" i="8"/>
  <c r="D287" i="8"/>
  <c r="C283" i="8"/>
  <c r="D308" i="8"/>
  <c r="C304" i="8"/>
  <c r="C305" i="8"/>
  <c r="D18" i="9"/>
  <c r="C18" i="9"/>
  <c r="E18" i="9" s="1"/>
  <c r="D31" i="9"/>
  <c r="C31" i="9"/>
  <c r="E31" i="9" s="1"/>
  <c r="D45" i="9"/>
  <c r="C45" i="9"/>
  <c r="E45" i="9" s="1"/>
  <c r="D79" i="9"/>
  <c r="C79" i="9"/>
  <c r="E79" i="9" s="1"/>
  <c r="D83" i="9"/>
  <c r="D156" i="9"/>
  <c r="C164" i="9"/>
  <c r="E164" i="9" s="1"/>
  <c r="D193" i="9"/>
  <c r="C194" i="9"/>
  <c r="E194" i="9" s="1"/>
  <c r="C193" i="9"/>
  <c r="E193" i="9" s="1"/>
  <c r="D287" i="9"/>
  <c r="C287" i="9"/>
  <c r="D291" i="9"/>
  <c r="C246" i="8"/>
  <c r="E246" i="8" s="1"/>
  <c r="C251" i="8"/>
  <c r="E251" i="8" s="1"/>
  <c r="D256" i="8"/>
  <c r="C262" i="8"/>
  <c r="E262" i="8" s="1"/>
  <c r="D267" i="8"/>
  <c r="C272" i="8"/>
  <c r="D283" i="8"/>
  <c r="D288" i="8"/>
  <c r="D304" i="8"/>
  <c r="C25" i="9"/>
  <c r="E25" i="9" s="1"/>
  <c r="D235" i="9"/>
  <c r="C235" i="9"/>
  <c r="E235" i="9" s="1"/>
  <c r="C252" i="8"/>
  <c r="E252" i="8" s="1"/>
  <c r="D257" i="8"/>
  <c r="C257" i="8"/>
  <c r="E257" i="8" s="1"/>
  <c r="D263" i="8"/>
  <c r="C268" i="8"/>
  <c r="C273" i="8"/>
  <c r="D273" i="8"/>
  <c r="D293" i="8"/>
  <c r="C289" i="8"/>
  <c r="D289" i="8"/>
  <c r="D299" i="8"/>
  <c r="C295" i="8"/>
  <c r="D55" i="9"/>
  <c r="D59" i="9"/>
  <c r="D117" i="9"/>
  <c r="C117" i="9"/>
  <c r="E117" i="9" s="1"/>
  <c r="D202" i="9"/>
  <c r="C202" i="9"/>
  <c r="E202" i="9" s="1"/>
  <c r="D251" i="9"/>
  <c r="D255" i="9"/>
  <c r="D272" i="7"/>
  <c r="D290" i="7"/>
  <c r="D308" i="7"/>
  <c r="C192" i="8"/>
  <c r="E192" i="8" s="1"/>
  <c r="C199" i="8"/>
  <c r="E199" i="8" s="1"/>
  <c r="C210" i="8"/>
  <c r="E210" i="8" s="1"/>
  <c r="C217" i="8"/>
  <c r="E217" i="8" s="1"/>
  <c r="D224" i="8"/>
  <c r="C228" i="8"/>
  <c r="E228" i="8" s="1"/>
  <c r="C235" i="8"/>
  <c r="E235" i="8" s="1"/>
  <c r="D247" i="8"/>
  <c r="D252" i="8"/>
  <c r="C258" i="8"/>
  <c r="E258" i="8" s="1"/>
  <c r="C263" i="8"/>
  <c r="E263" i="8" s="1"/>
  <c r="D268" i="8"/>
  <c r="C274" i="8"/>
  <c r="D279" i="8"/>
  <c r="C284" i="8"/>
  <c r="D295" i="8"/>
  <c r="D300" i="8"/>
  <c r="C13" i="9"/>
  <c r="E13" i="9" s="1"/>
  <c r="C20" i="9"/>
  <c r="E20" i="9" s="1"/>
  <c r="D40" i="9"/>
  <c r="C55" i="9"/>
  <c r="E55" i="9" s="1"/>
  <c r="D127" i="9"/>
  <c r="C127" i="9"/>
  <c r="E127" i="9" s="1"/>
  <c r="C251" i="9"/>
  <c r="E251" i="9" s="1"/>
  <c r="C290" i="8"/>
  <c r="D48" i="9"/>
  <c r="C48" i="9"/>
  <c r="E48" i="9" s="1"/>
  <c r="D82" i="9"/>
  <c r="C82" i="9"/>
  <c r="E82" i="9" s="1"/>
  <c r="D164" i="9"/>
  <c r="C161" i="9"/>
  <c r="E161" i="9" s="1"/>
  <c r="D160" i="9"/>
  <c r="C160" i="9"/>
  <c r="E160" i="9" s="1"/>
  <c r="C232" i="9"/>
  <c r="E232" i="9" s="1"/>
  <c r="D231" i="9"/>
  <c r="C231" i="9"/>
  <c r="E231" i="9" s="1"/>
  <c r="C70" i="10"/>
  <c r="E70" i="10" s="1"/>
  <c r="D70" i="10"/>
  <c r="C121" i="9"/>
  <c r="E121" i="9" s="1"/>
  <c r="C120" i="9"/>
  <c r="E120" i="9" s="1"/>
  <c r="D120" i="9"/>
  <c r="D153" i="9"/>
  <c r="C153" i="9"/>
  <c r="E153" i="9" s="1"/>
  <c r="D239" i="9"/>
  <c r="C239" i="9"/>
  <c r="E239" i="9" s="1"/>
  <c r="C8" i="10"/>
  <c r="E8" i="10" s="1"/>
  <c r="C9" i="10"/>
  <c r="E9" i="10" s="1"/>
  <c r="D302" i="7"/>
  <c r="C9" i="9"/>
  <c r="E9" i="9" s="1"/>
  <c r="D15" i="9"/>
  <c r="C15" i="9"/>
  <c r="E15" i="9" s="1"/>
  <c r="C16" i="9"/>
  <c r="E16" i="9" s="1"/>
  <c r="D35" i="9"/>
  <c r="C76" i="9"/>
  <c r="E76" i="9" s="1"/>
  <c r="D206" i="9"/>
  <c r="C206" i="9"/>
  <c r="E206" i="9" s="1"/>
  <c r="D296" i="8"/>
  <c r="C292" i="8"/>
  <c r="C293" i="8"/>
  <c r="C297" i="8"/>
  <c r="D297" i="8"/>
  <c r="C23" i="9"/>
  <c r="E23" i="9" s="1"/>
  <c r="D23" i="9"/>
  <c r="D36" i="9"/>
  <c r="C36" i="9"/>
  <c r="E36" i="9" s="1"/>
  <c r="C37" i="9"/>
  <c r="E37" i="9" s="1"/>
  <c r="D43" i="9"/>
  <c r="C43" i="9"/>
  <c r="E43" i="9" s="1"/>
  <c r="D47" i="9"/>
  <c r="D95" i="9"/>
  <c r="D122" i="9"/>
  <c r="C122" i="9"/>
  <c r="E122" i="9" s="1"/>
  <c r="D126" i="9"/>
  <c r="D130" i="9"/>
  <c r="C130" i="9"/>
  <c r="E130" i="9" s="1"/>
  <c r="D24" i="9"/>
  <c r="C24" i="9"/>
  <c r="E24" i="9" s="1"/>
  <c r="D30" i="9"/>
  <c r="C30" i="9"/>
  <c r="E30" i="9" s="1"/>
  <c r="D51" i="9"/>
  <c r="C51" i="9"/>
  <c r="E51" i="9" s="1"/>
  <c r="C52" i="9"/>
  <c r="E52" i="9" s="1"/>
  <c r="C10" i="9"/>
  <c r="E10" i="9" s="1"/>
  <c r="C17" i="9"/>
  <c r="E17" i="9" s="1"/>
  <c r="D17" i="9"/>
  <c r="D44" i="9"/>
  <c r="C123" i="9"/>
  <c r="E123" i="9" s="1"/>
  <c r="C156" i="9"/>
  <c r="E156" i="9" s="1"/>
  <c r="C163" i="9"/>
  <c r="E163" i="9" s="1"/>
  <c r="D243" i="9"/>
  <c r="C297" i="9"/>
  <c r="D49" i="9"/>
  <c r="D54" i="9"/>
  <c r="C54" i="9"/>
  <c r="E54" i="9" s="1"/>
  <c r="D74" i="9"/>
  <c r="C128" i="9"/>
  <c r="E128" i="9" s="1"/>
  <c r="C35" i="10"/>
  <c r="E35" i="10" s="1"/>
  <c r="D39" i="10"/>
  <c r="D44" i="10"/>
  <c r="C40" i="10"/>
  <c r="E40" i="10" s="1"/>
  <c r="D40" i="10"/>
  <c r="C96" i="10"/>
  <c r="E96" i="10" s="1"/>
  <c r="D96" i="10"/>
  <c r="D34" i="9"/>
  <c r="D39" i="9"/>
  <c r="C39" i="9"/>
  <c r="E39" i="9" s="1"/>
  <c r="C44" i="9"/>
  <c r="E44" i="9" s="1"/>
  <c r="C49" i="9"/>
  <c r="E49" i="9" s="1"/>
  <c r="C80" i="9"/>
  <c r="E80" i="9" s="1"/>
  <c r="D99" i="9"/>
  <c r="C99" i="9"/>
  <c r="E99" i="9" s="1"/>
  <c r="D103" i="9"/>
  <c r="D214" i="9"/>
  <c r="C214" i="9"/>
  <c r="E214" i="9" s="1"/>
  <c r="D222" i="9"/>
  <c r="D256" i="9"/>
  <c r="C256" i="9"/>
  <c r="E256" i="9" s="1"/>
  <c r="D35" i="10"/>
  <c r="C41" i="10"/>
  <c r="E41" i="10" s="1"/>
  <c r="D41" i="10"/>
  <c r="D45" i="10"/>
  <c r="D101" i="9"/>
  <c r="C101" i="9"/>
  <c r="E101" i="9" s="1"/>
  <c r="D210" i="9"/>
  <c r="D226" i="9"/>
  <c r="C226" i="9"/>
  <c r="E226" i="9" s="1"/>
  <c r="C227" i="9"/>
  <c r="E227" i="9" s="1"/>
  <c r="C288" i="9"/>
  <c r="D288" i="9"/>
  <c r="C24" i="10"/>
  <c r="E24" i="10" s="1"/>
  <c r="D24" i="10"/>
  <c r="C25" i="10"/>
  <c r="E25" i="10" s="1"/>
  <c r="D28" i="10"/>
  <c r="C77" i="9"/>
  <c r="E77" i="9" s="1"/>
  <c r="C107" i="9"/>
  <c r="E107" i="9" s="1"/>
  <c r="D128" i="9"/>
  <c r="C125" i="9"/>
  <c r="E125" i="9" s="1"/>
  <c r="D124" i="9"/>
  <c r="C124" i="9"/>
  <c r="E124" i="9" s="1"/>
  <c r="D150" i="9"/>
  <c r="C150" i="9"/>
  <c r="E150" i="9" s="1"/>
  <c r="C179" i="9"/>
  <c r="E179" i="9" s="1"/>
  <c r="D197" i="9"/>
  <c r="C210" i="9"/>
  <c r="E210" i="9" s="1"/>
  <c r="D247" i="9"/>
  <c r="C248" i="9"/>
  <c r="E248" i="9" s="1"/>
  <c r="D307" i="9"/>
  <c r="C308" i="9"/>
  <c r="D16" i="9"/>
  <c r="D21" i="9"/>
  <c r="C21" i="9"/>
  <c r="E21" i="9" s="1"/>
  <c r="C26" i="9"/>
  <c r="E26" i="9" s="1"/>
  <c r="D52" i="9"/>
  <c r="D57" i="9"/>
  <c r="C57" i="9"/>
  <c r="E57" i="9" s="1"/>
  <c r="C62" i="9"/>
  <c r="E62" i="9" s="1"/>
  <c r="C67" i="9"/>
  <c r="E67" i="9" s="1"/>
  <c r="D77" i="9"/>
  <c r="C92" i="9"/>
  <c r="E92" i="9" s="1"/>
  <c r="C102" i="9"/>
  <c r="E102" i="9" s="1"/>
  <c r="D131" i="9"/>
  <c r="D141" i="9"/>
  <c r="C138" i="9"/>
  <c r="E138" i="9" s="1"/>
  <c r="D137" i="9"/>
  <c r="C137" i="9"/>
  <c r="E137" i="9" s="1"/>
  <c r="C151" i="9"/>
  <c r="E151" i="9" s="1"/>
  <c r="C166" i="9"/>
  <c r="E166" i="9" s="1"/>
  <c r="C197" i="9"/>
  <c r="E197" i="9" s="1"/>
  <c r="C218" i="9"/>
  <c r="E218" i="9" s="1"/>
  <c r="C247" i="9"/>
  <c r="E247" i="9" s="1"/>
  <c r="C260" i="9"/>
  <c r="E260" i="9" s="1"/>
  <c r="C307" i="9"/>
  <c r="C118" i="10"/>
  <c r="E118" i="10" s="1"/>
  <c r="D118" i="10"/>
  <c r="C119" i="10"/>
  <c r="E119" i="10" s="1"/>
  <c r="D122" i="10"/>
  <c r="D242" i="8"/>
  <c r="C11" i="9"/>
  <c r="E11" i="9" s="1"/>
  <c r="D37" i="9"/>
  <c r="D42" i="9"/>
  <c r="C42" i="9"/>
  <c r="E42" i="9" s="1"/>
  <c r="C47" i="9"/>
  <c r="E47" i="9" s="1"/>
  <c r="C83" i="9"/>
  <c r="E83" i="9" s="1"/>
  <c r="D92" i="9"/>
  <c r="D268" i="9"/>
  <c r="C52" i="10"/>
  <c r="E52" i="10" s="1"/>
  <c r="D52" i="10"/>
  <c r="D22" i="9"/>
  <c r="D27" i="9"/>
  <c r="C27" i="9"/>
  <c r="E27" i="9" s="1"/>
  <c r="C32" i="9"/>
  <c r="E32" i="9" s="1"/>
  <c r="D58" i="9"/>
  <c r="C68" i="9"/>
  <c r="E68" i="9" s="1"/>
  <c r="D109" i="9"/>
  <c r="C109" i="9"/>
  <c r="E109" i="9" s="1"/>
  <c r="D114" i="9"/>
  <c r="C114" i="9"/>
  <c r="E114" i="9" s="1"/>
  <c r="D177" i="9"/>
  <c r="C174" i="9"/>
  <c r="E174" i="9" s="1"/>
  <c r="D173" i="9"/>
  <c r="C173" i="9"/>
  <c r="E173" i="9" s="1"/>
  <c r="C187" i="9"/>
  <c r="E187" i="9" s="1"/>
  <c r="D186" i="9"/>
  <c r="D292" i="9"/>
  <c r="C292" i="9"/>
  <c r="D305" i="9"/>
  <c r="D301" i="9"/>
  <c r="C302" i="9"/>
  <c r="D28" i="9"/>
  <c r="D33" i="9"/>
  <c r="C33" i="9"/>
  <c r="E33" i="9" s="1"/>
  <c r="D53" i="9"/>
  <c r="C89" i="9"/>
  <c r="E89" i="9" s="1"/>
  <c r="C110" i="9"/>
  <c r="E110" i="9" s="1"/>
  <c r="D293" i="9"/>
  <c r="C293" i="9"/>
  <c r="C301" i="9"/>
  <c r="C60" i="9"/>
  <c r="E60" i="9" s="1"/>
  <c r="C63" i="9"/>
  <c r="E63" i="9" s="1"/>
  <c r="C66" i="9"/>
  <c r="E66" i="9" s="1"/>
  <c r="C69" i="9"/>
  <c r="E69" i="9" s="1"/>
  <c r="C72" i="9"/>
  <c r="E72" i="9" s="1"/>
  <c r="C75" i="9"/>
  <c r="E75" i="9" s="1"/>
  <c r="C78" i="9"/>
  <c r="E78" i="9" s="1"/>
  <c r="C81" i="9"/>
  <c r="E81" i="9" s="1"/>
  <c r="D132" i="9"/>
  <c r="D142" i="9"/>
  <c r="C152" i="9"/>
  <c r="E152" i="9" s="1"/>
  <c r="D155" i="9"/>
  <c r="C165" i="9"/>
  <c r="E165" i="9" s="1"/>
  <c r="D168" i="9"/>
  <c r="C175" i="9"/>
  <c r="E175" i="9" s="1"/>
  <c r="D178" i="9"/>
  <c r="D217" i="9"/>
  <c r="C221" i="9"/>
  <c r="E221" i="9" s="1"/>
  <c r="D238" i="9"/>
  <c r="D258" i="9"/>
  <c r="D272" i="9"/>
  <c r="D277" i="9"/>
  <c r="C277" i="9"/>
  <c r="D286" i="9"/>
  <c r="C291" i="9"/>
  <c r="D300" i="9"/>
  <c r="D139" i="9"/>
  <c r="D192" i="9"/>
  <c r="C196" i="9"/>
  <c r="E196" i="9" s="1"/>
  <c r="D205" i="9"/>
  <c r="C205" i="9"/>
  <c r="E205" i="9" s="1"/>
  <c r="C217" i="9"/>
  <c r="E217" i="9" s="1"/>
  <c r="D259" i="9"/>
  <c r="C259" i="9"/>
  <c r="E259" i="9" s="1"/>
  <c r="C272" i="9"/>
  <c r="C286" i="9"/>
  <c r="C102" i="10"/>
  <c r="E102" i="10" s="1"/>
  <c r="D102" i="10"/>
  <c r="C117" i="10"/>
  <c r="E117" i="10" s="1"/>
  <c r="D117" i="10"/>
  <c r="D121" i="10"/>
  <c r="C198" i="9"/>
  <c r="E198" i="9" s="1"/>
  <c r="D223" i="9"/>
  <c r="C223" i="9"/>
  <c r="E223" i="9" s="1"/>
  <c r="C252" i="9"/>
  <c r="E252" i="9" s="1"/>
  <c r="D269" i="9"/>
  <c r="D274" i="9"/>
  <c r="C274" i="9"/>
  <c r="D283" i="9"/>
  <c r="C36" i="10"/>
  <c r="E36" i="10" s="1"/>
  <c r="C37" i="10"/>
  <c r="E37" i="10" s="1"/>
  <c r="D190" i="9"/>
  <c r="C190" i="9"/>
  <c r="E190" i="9" s="1"/>
  <c r="C219" i="9"/>
  <c r="E219" i="9" s="1"/>
  <c r="D244" i="9"/>
  <c r="C244" i="9"/>
  <c r="E244" i="9" s="1"/>
  <c r="D265" i="9"/>
  <c r="C269" i="9"/>
  <c r="D43" i="10"/>
  <c r="C43" i="10"/>
  <c r="E43" i="10" s="1"/>
  <c r="D157" i="10"/>
  <c r="C157" i="10"/>
  <c r="E157" i="10" s="1"/>
  <c r="C95" i="9"/>
  <c r="E95" i="9" s="1"/>
  <c r="D98" i="9"/>
  <c r="C108" i="9"/>
  <c r="E108" i="9" s="1"/>
  <c r="C118" i="9"/>
  <c r="E118" i="9" s="1"/>
  <c r="D121" i="9"/>
  <c r="C131" i="9"/>
  <c r="E131" i="9" s="1"/>
  <c r="D134" i="9"/>
  <c r="C144" i="9"/>
  <c r="E144" i="9" s="1"/>
  <c r="D147" i="9"/>
  <c r="C154" i="9"/>
  <c r="E154" i="9" s="1"/>
  <c r="D157" i="9"/>
  <c r="C167" i="9"/>
  <c r="E167" i="9" s="1"/>
  <c r="D170" i="9"/>
  <c r="C180" i="9"/>
  <c r="E180" i="9" s="1"/>
  <c r="D183" i="9"/>
  <c r="C207" i="9"/>
  <c r="E207" i="9" s="1"/>
  <c r="D211" i="9"/>
  <c r="D215" i="9"/>
  <c r="D219" i="9"/>
  <c r="C240" i="9"/>
  <c r="E240" i="9" s="1"/>
  <c r="C261" i="9"/>
  <c r="E261" i="9" s="1"/>
  <c r="C265" i="9"/>
  <c r="E265" i="9" s="1"/>
  <c r="C270" i="9"/>
  <c r="D275" i="9"/>
  <c r="C289" i="9"/>
  <c r="D294" i="9"/>
  <c r="D303" i="9"/>
  <c r="C20" i="10"/>
  <c r="E20" i="10" s="1"/>
  <c r="C53" i="10"/>
  <c r="E53" i="10" s="1"/>
  <c r="D53" i="10"/>
  <c r="D80" i="10"/>
  <c r="D112" i="10"/>
  <c r="C128" i="10"/>
  <c r="E128" i="10" s="1"/>
  <c r="D132" i="10"/>
  <c r="C158" i="10"/>
  <c r="E158" i="10" s="1"/>
  <c r="D108" i="9"/>
  <c r="D144" i="9"/>
  <c r="D154" i="9"/>
  <c r="D167" i="9"/>
  <c r="D180" i="9"/>
  <c r="D184" i="9"/>
  <c r="D199" i="9"/>
  <c r="C203" i="9"/>
  <c r="E203" i="9" s="1"/>
  <c r="C211" i="9"/>
  <c r="E211" i="9" s="1"/>
  <c r="C215" i="9"/>
  <c r="E215" i="9" s="1"/>
  <c r="D220" i="9"/>
  <c r="C224" i="9"/>
  <c r="E224" i="9" s="1"/>
  <c r="D232" i="9"/>
  <c r="C236" i="9"/>
  <c r="E236" i="9" s="1"/>
  <c r="D253" i="9"/>
  <c r="C257" i="9"/>
  <c r="E257" i="9" s="1"/>
  <c r="D270" i="9"/>
  <c r="C275" i="9"/>
  <c r="C284" i="9"/>
  <c r="C294" i="9"/>
  <c r="C54" i="10"/>
  <c r="E54" i="10" s="1"/>
  <c r="D54" i="10"/>
  <c r="C55" i="10"/>
  <c r="E55" i="10" s="1"/>
  <c r="C81" i="10"/>
  <c r="E81" i="10" s="1"/>
  <c r="D81" i="10"/>
  <c r="D85" i="10"/>
  <c r="D128" i="10"/>
  <c r="C148" i="9"/>
  <c r="E148" i="9" s="1"/>
  <c r="C191" i="9"/>
  <c r="E191" i="9" s="1"/>
  <c r="C199" i="9"/>
  <c r="E199" i="9" s="1"/>
  <c r="C220" i="9"/>
  <c r="E220" i="9" s="1"/>
  <c r="D241" i="9"/>
  <c r="C241" i="9"/>
  <c r="E241" i="9" s="1"/>
  <c r="C245" i="9"/>
  <c r="E245" i="9" s="1"/>
  <c r="C253" i="9"/>
  <c r="E253" i="9" s="1"/>
  <c r="D295" i="9"/>
  <c r="C295" i="9"/>
  <c r="D308" i="9"/>
  <c r="D304" i="9"/>
  <c r="C305" i="9"/>
  <c r="C11" i="10"/>
  <c r="E11" i="10" s="1"/>
  <c r="D15" i="10"/>
  <c r="D11" i="10"/>
  <c r="D32" i="10"/>
  <c r="C44" i="10"/>
  <c r="E44" i="10" s="1"/>
  <c r="D106" i="10"/>
  <c r="C135" i="9"/>
  <c r="E135" i="9" s="1"/>
  <c r="C145" i="9"/>
  <c r="E145" i="9" s="1"/>
  <c r="D208" i="9"/>
  <c r="C208" i="9"/>
  <c r="E208" i="9" s="1"/>
  <c r="D216" i="9"/>
  <c r="D262" i="9"/>
  <c r="C262" i="9"/>
  <c r="E262" i="9" s="1"/>
  <c r="C266" i="9"/>
  <c r="C271" i="9"/>
  <c r="D276" i="9"/>
  <c r="D285" i="9"/>
  <c r="C290" i="9"/>
  <c r="C304" i="9"/>
  <c r="D16" i="10"/>
  <c r="D56" i="10"/>
  <c r="D200" i="9"/>
  <c r="D221" i="9"/>
  <c r="D229" i="9"/>
  <c r="D233" i="9"/>
  <c r="D237" i="9"/>
  <c r="D242" i="9"/>
  <c r="D254" i="9"/>
  <c r="C276" i="9"/>
  <c r="D12" i="10"/>
  <c r="C17" i="10"/>
  <c r="E17" i="10" s="1"/>
  <c r="D17" i="10"/>
  <c r="D27" i="10"/>
  <c r="C123" i="10"/>
  <c r="E123" i="10" s="1"/>
  <c r="D123" i="10"/>
  <c r="D143" i="10"/>
  <c r="C139" i="10"/>
  <c r="E139" i="10" s="1"/>
  <c r="C140" i="10"/>
  <c r="E140" i="10" s="1"/>
  <c r="D144" i="10"/>
  <c r="C144" i="10"/>
  <c r="E144" i="10" s="1"/>
  <c r="D148" i="10"/>
  <c r="C148" i="10"/>
  <c r="E148" i="10" s="1"/>
  <c r="D278" i="9"/>
  <c r="D296" i="9"/>
  <c r="C56" i="10"/>
  <c r="E56" i="10" s="1"/>
  <c r="D74" i="10"/>
  <c r="D90" i="10"/>
  <c r="D95" i="10"/>
  <c r="D116" i="10"/>
  <c r="C66" i="10"/>
  <c r="E66" i="10" s="1"/>
  <c r="D66" i="10"/>
  <c r="C108" i="10"/>
  <c r="E108" i="10" s="1"/>
  <c r="C113" i="10"/>
  <c r="E113" i="10" s="1"/>
  <c r="C145" i="10"/>
  <c r="E145" i="10" s="1"/>
  <c r="D151" i="10"/>
  <c r="C151" i="10"/>
  <c r="E151" i="10" s="1"/>
  <c r="D155" i="10"/>
  <c r="D49" i="10"/>
  <c r="C71" i="10"/>
  <c r="E71" i="10" s="1"/>
  <c r="D76" i="10"/>
  <c r="C82" i="10"/>
  <c r="E82" i="10" s="1"/>
  <c r="D82" i="10"/>
  <c r="C87" i="10"/>
  <c r="E87" i="10" s="1"/>
  <c r="D87" i="10"/>
  <c r="D92" i="10"/>
  <c r="D108" i="10"/>
  <c r="D113" i="10"/>
  <c r="D152" i="10"/>
  <c r="D156" i="10"/>
  <c r="C152" i="10"/>
  <c r="E152" i="10" s="1"/>
  <c r="D165" i="10"/>
  <c r="C166" i="10"/>
  <c r="E166" i="10" s="1"/>
  <c r="C165" i="10"/>
  <c r="E165" i="10" s="1"/>
  <c r="D209" i="10"/>
  <c r="C209" i="10"/>
  <c r="E209" i="10" s="1"/>
  <c r="D226" i="10"/>
  <c r="C226" i="10"/>
  <c r="E226" i="10" s="1"/>
  <c r="D230" i="10"/>
  <c r="C227" i="10"/>
  <c r="E227" i="10" s="1"/>
  <c r="D280" i="9"/>
  <c r="D302" i="9"/>
  <c r="D298" i="9"/>
  <c r="C33" i="10"/>
  <c r="E33" i="10" s="1"/>
  <c r="D50" i="10"/>
  <c r="C67" i="10"/>
  <c r="E67" i="10" s="1"/>
  <c r="D72" i="10"/>
  <c r="D77" i="10"/>
  <c r="C83" i="10"/>
  <c r="E83" i="10" s="1"/>
  <c r="D98" i="10"/>
  <c r="D114" i="10"/>
  <c r="C120" i="10"/>
  <c r="E120" i="10" s="1"/>
  <c r="D120" i="10"/>
  <c r="C153" i="10"/>
  <c r="E153" i="10" s="1"/>
  <c r="D187" i="9"/>
  <c r="D194" i="9"/>
  <c r="D212" i="9"/>
  <c r="D230" i="9"/>
  <c r="D248" i="9"/>
  <c r="D266" i="9"/>
  <c r="C280" i="9"/>
  <c r="D284" i="9"/>
  <c r="C298" i="9"/>
  <c r="D14" i="10"/>
  <c r="C18" i="10"/>
  <c r="E18" i="10" s="1"/>
  <c r="D18" i="10"/>
  <c r="C22" i="10"/>
  <c r="E22" i="10" s="1"/>
  <c r="D33" i="10"/>
  <c r="C78" i="10"/>
  <c r="E78" i="10" s="1"/>
  <c r="C99" i="10"/>
  <c r="E99" i="10" s="1"/>
  <c r="D99" i="10"/>
  <c r="C125" i="10"/>
  <c r="E125" i="10" s="1"/>
  <c r="D130" i="10"/>
  <c r="C136" i="10"/>
  <c r="E136" i="10" s="1"/>
  <c r="C30" i="10"/>
  <c r="E30" i="10" s="1"/>
  <c r="D30" i="10"/>
  <c r="C42" i="10"/>
  <c r="E42" i="10" s="1"/>
  <c r="D42" i="10"/>
  <c r="D46" i="10"/>
  <c r="D78" i="10"/>
  <c r="C84" i="10"/>
  <c r="E84" i="10" s="1"/>
  <c r="D84" i="10"/>
  <c r="D135" i="10"/>
  <c r="C131" i="10"/>
  <c r="E131" i="10" s="1"/>
  <c r="C154" i="10"/>
  <c r="E154" i="10" s="1"/>
  <c r="D209" i="9"/>
  <c r="D227" i="9"/>
  <c r="D245" i="9"/>
  <c r="D263" i="9"/>
  <c r="D281" i="9"/>
  <c r="D299" i="9"/>
  <c r="D34" i="10"/>
  <c r="C47" i="10"/>
  <c r="E47" i="10" s="1"/>
  <c r="C60" i="10"/>
  <c r="E60" i="10" s="1"/>
  <c r="D60" i="10"/>
  <c r="D68" i="10"/>
  <c r="C68" i="10"/>
  <c r="E68" i="10" s="1"/>
  <c r="D73" i="10"/>
  <c r="C89" i="10"/>
  <c r="E89" i="10" s="1"/>
  <c r="D94" i="10"/>
  <c r="C100" i="10"/>
  <c r="E100" i="10" s="1"/>
  <c r="D100" i="10"/>
  <c r="C105" i="10"/>
  <c r="E105" i="10" s="1"/>
  <c r="D105" i="10"/>
  <c r="D110" i="10"/>
  <c r="D126" i="10"/>
  <c r="D131" i="10"/>
  <c r="C137" i="10"/>
  <c r="E137" i="10" s="1"/>
  <c r="D147" i="10"/>
  <c r="D203" i="10"/>
  <c r="C203" i="10"/>
  <c r="E203" i="10" s="1"/>
  <c r="D207" i="10"/>
  <c r="C204" i="10"/>
  <c r="E204" i="10" s="1"/>
  <c r="D171" i="10"/>
  <c r="D52" i="11"/>
  <c r="D56" i="11"/>
  <c r="C52" i="11"/>
  <c r="E52" i="11" s="1"/>
  <c r="C53" i="11"/>
  <c r="E53" i="11" s="1"/>
  <c r="C115" i="11"/>
  <c r="E115" i="11" s="1"/>
  <c r="D114" i="11"/>
  <c r="C114" i="11"/>
  <c r="E114" i="11" s="1"/>
  <c r="D154" i="10"/>
  <c r="C163" i="10"/>
  <c r="E163" i="10" s="1"/>
  <c r="D167" i="10"/>
  <c r="D172" i="10"/>
  <c r="C172" i="10"/>
  <c r="E172" i="10" s="1"/>
  <c r="C219" i="10"/>
  <c r="E219" i="10" s="1"/>
  <c r="D252" i="10"/>
  <c r="C252" i="10"/>
  <c r="E252" i="10" s="1"/>
  <c r="D302" i="10"/>
  <c r="C303" i="10"/>
  <c r="C302" i="10"/>
  <c r="D37" i="11"/>
  <c r="C37" i="11"/>
  <c r="E37" i="11" s="1"/>
  <c r="D41" i="11"/>
  <c r="C27" i="10"/>
  <c r="E27" i="10" s="1"/>
  <c r="C63" i="10"/>
  <c r="E63" i="10" s="1"/>
  <c r="C73" i="10"/>
  <c r="E73" i="10" s="1"/>
  <c r="C91" i="10"/>
  <c r="E91" i="10" s="1"/>
  <c r="C109" i="10"/>
  <c r="E109" i="10" s="1"/>
  <c r="C127" i="10"/>
  <c r="E127" i="10" s="1"/>
  <c r="D138" i="10"/>
  <c r="C138" i="10"/>
  <c r="E138" i="10" s="1"/>
  <c r="D142" i="10"/>
  <c r="C168" i="10"/>
  <c r="E168" i="10" s="1"/>
  <c r="D188" i="10"/>
  <c r="C188" i="10"/>
  <c r="E188" i="10" s="1"/>
  <c r="D243" i="10"/>
  <c r="C240" i="10"/>
  <c r="E240" i="10" s="1"/>
  <c r="D239" i="10"/>
  <c r="C239" i="10"/>
  <c r="E239" i="10" s="1"/>
  <c r="C276" i="10"/>
  <c r="D275" i="10"/>
  <c r="C275" i="10"/>
  <c r="D22" i="11"/>
  <c r="C22" i="11"/>
  <c r="E22" i="11" s="1"/>
  <c r="D94" i="11"/>
  <c r="C91" i="11"/>
  <c r="E91" i="11" s="1"/>
  <c r="D90" i="11"/>
  <c r="C21" i="10"/>
  <c r="E21" i="10" s="1"/>
  <c r="C57" i="10"/>
  <c r="E57" i="10" s="1"/>
  <c r="C88" i="10"/>
  <c r="E88" i="10" s="1"/>
  <c r="C106" i="10"/>
  <c r="E106" i="10" s="1"/>
  <c r="C124" i="10"/>
  <c r="E124" i="10" s="1"/>
  <c r="C199" i="10"/>
  <c r="E199" i="10" s="1"/>
  <c r="D233" i="10"/>
  <c r="D266" i="10"/>
  <c r="C263" i="10"/>
  <c r="E263" i="10" s="1"/>
  <c r="D262" i="10"/>
  <c r="C262" i="10"/>
  <c r="E262" i="10" s="1"/>
  <c r="D269" i="10"/>
  <c r="C90" i="11"/>
  <c r="E90" i="11" s="1"/>
  <c r="D174" i="10"/>
  <c r="C174" i="10"/>
  <c r="E174" i="10" s="1"/>
  <c r="D211" i="10"/>
  <c r="C211" i="10"/>
  <c r="E211" i="10" s="1"/>
  <c r="D216" i="10"/>
  <c r="C216" i="10"/>
  <c r="E216" i="10" s="1"/>
  <c r="D174" i="11"/>
  <c r="D170" i="11"/>
  <c r="C170" i="11"/>
  <c r="E170" i="11" s="1"/>
  <c r="D210" i="11"/>
  <c r="D206" i="11"/>
  <c r="C206" i="11"/>
  <c r="E206" i="11" s="1"/>
  <c r="C223" i="11"/>
  <c r="E223" i="11" s="1"/>
  <c r="D222" i="11"/>
  <c r="C222" i="11"/>
  <c r="E222" i="11" s="1"/>
  <c r="C85" i="10"/>
  <c r="E85" i="10" s="1"/>
  <c r="C103" i="10"/>
  <c r="E103" i="10" s="1"/>
  <c r="C121" i="10"/>
  <c r="E121" i="10" s="1"/>
  <c r="D184" i="10"/>
  <c r="C184" i="10"/>
  <c r="E184" i="10" s="1"/>
  <c r="D194" i="10"/>
  <c r="C217" i="10"/>
  <c r="E217" i="10" s="1"/>
  <c r="C222" i="10"/>
  <c r="E222" i="10" s="1"/>
  <c r="C255" i="10"/>
  <c r="E255" i="10" s="1"/>
  <c r="D282" i="10"/>
  <c r="D278" i="10"/>
  <c r="C285" i="10"/>
  <c r="C286" i="10"/>
  <c r="C175" i="10"/>
  <c r="E175" i="10" s="1"/>
  <c r="C212" i="10"/>
  <c r="E212" i="10" s="1"/>
  <c r="D256" i="10"/>
  <c r="D293" i="10"/>
  <c r="C58" i="11"/>
  <c r="E58" i="11" s="1"/>
  <c r="D57" i="11"/>
  <c r="D161" i="10"/>
  <c r="C161" i="10"/>
  <c r="E161" i="10" s="1"/>
  <c r="C170" i="10"/>
  <c r="E170" i="10" s="1"/>
  <c r="D190" i="10"/>
  <c r="D201" i="10"/>
  <c r="C201" i="10"/>
  <c r="E201" i="10" s="1"/>
  <c r="C206" i="10"/>
  <c r="E206" i="10" s="1"/>
  <c r="C158" i="11"/>
  <c r="E158" i="11" s="1"/>
  <c r="D157" i="11"/>
  <c r="C157" i="11"/>
  <c r="E157" i="11" s="1"/>
  <c r="C75" i="10"/>
  <c r="E75" i="10" s="1"/>
  <c r="C93" i="10"/>
  <c r="E93" i="10" s="1"/>
  <c r="C111" i="10"/>
  <c r="E111" i="10" s="1"/>
  <c r="C129" i="10"/>
  <c r="E129" i="10" s="1"/>
  <c r="C176" i="10"/>
  <c r="E176" i="10" s="1"/>
  <c r="C207" i="10"/>
  <c r="E207" i="10" s="1"/>
  <c r="D224" i="10"/>
  <c r="C224" i="10"/>
  <c r="E224" i="10" s="1"/>
  <c r="C230" i="10"/>
  <c r="E230" i="10" s="1"/>
  <c r="C265" i="10"/>
  <c r="E265" i="10" s="1"/>
  <c r="D26" i="11"/>
  <c r="C82" i="11"/>
  <c r="E82" i="11" s="1"/>
  <c r="D81" i="11"/>
  <c r="C81" i="11"/>
  <c r="E81" i="11" s="1"/>
  <c r="D118" i="11"/>
  <c r="D128" i="11"/>
  <c r="D124" i="11"/>
  <c r="C124" i="11"/>
  <c r="E124" i="11" s="1"/>
  <c r="D75" i="10"/>
  <c r="C79" i="10"/>
  <c r="E79" i="10" s="1"/>
  <c r="D93" i="10"/>
  <c r="C97" i="10"/>
  <c r="E97" i="10" s="1"/>
  <c r="D111" i="10"/>
  <c r="C115" i="10"/>
  <c r="E115" i="10" s="1"/>
  <c r="D129" i="10"/>
  <c r="D141" i="10"/>
  <c r="D149" i="10"/>
  <c r="C149" i="10"/>
  <c r="E149" i="10" s="1"/>
  <c r="D162" i="10"/>
  <c r="C162" i="10"/>
  <c r="E162" i="10" s="1"/>
  <c r="C171" i="10"/>
  <c r="E171" i="10" s="1"/>
  <c r="D180" i="10"/>
  <c r="C191" i="10"/>
  <c r="E191" i="10" s="1"/>
  <c r="C202" i="10"/>
  <c r="E202" i="10" s="1"/>
  <c r="D213" i="10"/>
  <c r="C266" i="10"/>
  <c r="D27" i="11"/>
  <c r="C27" i="11"/>
  <c r="E27" i="11" s="1"/>
  <c r="C238" i="10"/>
  <c r="E238" i="10" s="1"/>
  <c r="D241" i="10"/>
  <c r="C274" i="10"/>
  <c r="D277" i="10"/>
  <c r="D284" i="10"/>
  <c r="C288" i="10"/>
  <c r="D16" i="11"/>
  <c r="C16" i="11"/>
  <c r="E16" i="11" s="1"/>
  <c r="D70" i="11"/>
  <c r="D122" i="11"/>
  <c r="D288" i="11"/>
  <c r="AJ26" i="4" s="1"/>
  <c r="C288" i="11"/>
  <c r="C289" i="11"/>
  <c r="C248" i="10"/>
  <c r="E248" i="10" s="1"/>
  <c r="D251" i="10"/>
  <c r="C261" i="10"/>
  <c r="E261" i="10" s="1"/>
  <c r="D264" i="10"/>
  <c r="D301" i="10"/>
  <c r="C301" i="10"/>
  <c r="C11" i="11"/>
  <c r="E11" i="11" s="1"/>
  <c r="D21" i="11"/>
  <c r="D31" i="11"/>
  <c r="C31" i="11"/>
  <c r="E31" i="11" s="1"/>
  <c r="D46" i="11"/>
  <c r="D61" i="11"/>
  <c r="C66" i="11"/>
  <c r="E66" i="11" s="1"/>
  <c r="C70" i="11"/>
  <c r="E70" i="11" s="1"/>
  <c r="C76" i="11"/>
  <c r="E76" i="11" s="1"/>
  <c r="D75" i="11"/>
  <c r="C163" i="11"/>
  <c r="E163" i="11" s="1"/>
  <c r="C282" i="10"/>
  <c r="C47" i="11"/>
  <c r="E47" i="11" s="1"/>
  <c r="C62" i="11"/>
  <c r="E62" i="11" s="1"/>
  <c r="D298" i="10"/>
  <c r="C298" i="10"/>
  <c r="D23" i="11"/>
  <c r="D28" i="11"/>
  <c r="C28" i="11"/>
  <c r="E28" i="11" s="1"/>
  <c r="C33" i="11"/>
  <c r="E33" i="11" s="1"/>
  <c r="D187" i="10"/>
  <c r="C197" i="10"/>
  <c r="E197" i="10" s="1"/>
  <c r="D200" i="10"/>
  <c r="C210" i="10"/>
  <c r="E210" i="10" s="1"/>
  <c r="C220" i="10"/>
  <c r="E220" i="10" s="1"/>
  <c r="D223" i="10"/>
  <c r="C233" i="10"/>
  <c r="E233" i="10" s="1"/>
  <c r="D236" i="10"/>
  <c r="C246" i="10"/>
  <c r="E246" i="10" s="1"/>
  <c r="C256" i="10"/>
  <c r="E256" i="10" s="1"/>
  <c r="D259" i="10"/>
  <c r="C269" i="10"/>
  <c r="D272" i="10"/>
  <c r="C279" i="10"/>
  <c r="C290" i="10"/>
  <c r="C294" i="10"/>
  <c r="C13" i="11"/>
  <c r="E13" i="11" s="1"/>
  <c r="C23" i="11"/>
  <c r="E23" i="11" s="1"/>
  <c r="C38" i="11"/>
  <c r="E38" i="11" s="1"/>
  <c r="D43" i="11"/>
  <c r="D47" i="11"/>
  <c r="C43" i="11"/>
  <c r="E43" i="11" s="1"/>
  <c r="D53" i="11"/>
  <c r="D58" i="11"/>
  <c r="C64" i="11"/>
  <c r="E64" i="11" s="1"/>
  <c r="D63" i="11"/>
  <c r="D91" i="11"/>
  <c r="C269" i="11"/>
  <c r="D268" i="11"/>
  <c r="AJ6" i="4" s="1"/>
  <c r="C268" i="11"/>
  <c r="D210" i="10"/>
  <c r="D246" i="10"/>
  <c r="D279" i="10"/>
  <c r="D82" i="11"/>
  <c r="C194" i="11"/>
  <c r="E194" i="11" s="1"/>
  <c r="D193" i="11"/>
  <c r="C193" i="11"/>
  <c r="E193" i="11" s="1"/>
  <c r="D304" i="10"/>
  <c r="C304" i="10"/>
  <c r="D19" i="11"/>
  <c r="C19" i="11"/>
  <c r="E19" i="11" s="1"/>
  <c r="D73" i="11"/>
  <c r="C88" i="11"/>
  <c r="E88" i="11" s="1"/>
  <c r="D87" i="11"/>
  <c r="C111" i="12"/>
  <c r="E111" i="12" s="1"/>
  <c r="C112" i="12"/>
  <c r="E112" i="12" s="1"/>
  <c r="D115" i="12"/>
  <c r="C237" i="10"/>
  <c r="E237" i="10" s="1"/>
  <c r="C247" i="10"/>
  <c r="E247" i="10" s="1"/>
  <c r="C260" i="10"/>
  <c r="E260" i="10" s="1"/>
  <c r="C273" i="10"/>
  <c r="C280" i="10"/>
  <c r="C287" i="10"/>
  <c r="D291" i="10"/>
  <c r="C291" i="10"/>
  <c r="D20" i="11"/>
  <c r="C34" i="11"/>
  <c r="E34" i="11" s="1"/>
  <c r="C39" i="11"/>
  <c r="E39" i="11" s="1"/>
  <c r="C49" i="11"/>
  <c r="E49" i="11" s="1"/>
  <c r="C69" i="11"/>
  <c r="E69" i="11" s="1"/>
  <c r="C87" i="11"/>
  <c r="E87" i="11" s="1"/>
  <c r="D106" i="11"/>
  <c r="C103" i="11"/>
  <c r="E103" i="11" s="1"/>
  <c r="D151" i="11"/>
  <c r="D147" i="11"/>
  <c r="C147" i="11"/>
  <c r="E147" i="11" s="1"/>
  <c r="C240" i="11"/>
  <c r="E240" i="11" s="1"/>
  <c r="C239" i="11"/>
  <c r="E239" i="11" s="1"/>
  <c r="D239" i="11"/>
  <c r="D111" i="12"/>
  <c r="C185" i="10"/>
  <c r="E185" i="10" s="1"/>
  <c r="C198" i="10"/>
  <c r="E198" i="10" s="1"/>
  <c r="C208" i="10"/>
  <c r="E208" i="10" s="1"/>
  <c r="C221" i="10"/>
  <c r="E221" i="10" s="1"/>
  <c r="C234" i="10"/>
  <c r="E234" i="10" s="1"/>
  <c r="C244" i="10"/>
  <c r="E244" i="10" s="1"/>
  <c r="C257" i="10"/>
  <c r="E257" i="10" s="1"/>
  <c r="C270" i="10"/>
  <c r="D305" i="10"/>
  <c r="C309" i="10"/>
  <c r="D10" i="11"/>
  <c r="D15" i="11"/>
  <c r="C20" i="11"/>
  <c r="E20" i="11" s="1"/>
  <c r="C30" i="11"/>
  <c r="E30" i="11" s="1"/>
  <c r="D35" i="11"/>
  <c r="D40" i="11"/>
  <c r="D44" i="11"/>
  <c r="C40" i="11"/>
  <c r="E40" i="11" s="1"/>
  <c r="C45" i="11"/>
  <c r="E45" i="11" s="1"/>
  <c r="C102" i="11"/>
  <c r="E102" i="11" s="1"/>
  <c r="D138" i="11"/>
  <c r="D134" i="11"/>
  <c r="C100" i="12"/>
  <c r="E100" i="12" s="1"/>
  <c r="D103" i="12"/>
  <c r="D99" i="12"/>
  <c r="C99" i="12"/>
  <c r="E99" i="12" s="1"/>
  <c r="C305" i="10"/>
  <c r="C10" i="11"/>
  <c r="E10" i="11" s="1"/>
  <c r="C15" i="11"/>
  <c r="E15" i="11" s="1"/>
  <c r="C25" i="11"/>
  <c r="E25" i="11" s="1"/>
  <c r="C35" i="11"/>
  <c r="E35" i="11" s="1"/>
  <c r="C50" i="11"/>
  <c r="E50" i="11" s="1"/>
  <c r="D55" i="11"/>
  <c r="D59" i="11"/>
  <c r="C55" i="11"/>
  <c r="E55" i="11" s="1"/>
  <c r="D65" i="11"/>
  <c r="D79" i="11"/>
  <c r="D102" i="11"/>
  <c r="C134" i="11"/>
  <c r="E134" i="11" s="1"/>
  <c r="C176" i="11"/>
  <c r="E176" i="11" s="1"/>
  <c r="C145" i="11"/>
  <c r="E145" i="11" s="1"/>
  <c r="D144" i="11"/>
  <c r="C168" i="11"/>
  <c r="E168" i="11" s="1"/>
  <c r="D167" i="11"/>
  <c r="C167" i="11"/>
  <c r="E167" i="11" s="1"/>
  <c r="C139" i="12"/>
  <c r="E139" i="12" s="1"/>
  <c r="D139" i="12"/>
  <c r="C181" i="11"/>
  <c r="E181" i="11" s="1"/>
  <c r="D180" i="11"/>
  <c r="D223" i="11"/>
  <c r="D219" i="11"/>
  <c r="D236" i="11"/>
  <c r="C233" i="11"/>
  <c r="E233" i="11" s="1"/>
  <c r="D232" i="11"/>
  <c r="D272" i="11"/>
  <c r="AJ10" i="4" s="1"/>
  <c r="C119" i="11"/>
  <c r="E119" i="11" s="1"/>
  <c r="D141" i="11"/>
  <c r="C141" i="11"/>
  <c r="E141" i="11" s="1"/>
  <c r="D177" i="11"/>
  <c r="C177" i="11"/>
  <c r="E177" i="11" s="1"/>
  <c r="C210" i="11"/>
  <c r="E210" i="11" s="1"/>
  <c r="D209" i="11"/>
  <c r="D283" i="11"/>
  <c r="AJ21" i="4" s="1"/>
  <c r="C284" i="11"/>
  <c r="C283" i="11"/>
  <c r="C76" i="12"/>
  <c r="E76" i="12" s="1"/>
  <c r="D153" i="12"/>
  <c r="D157" i="12"/>
  <c r="D193" i="12"/>
  <c r="D299" i="10"/>
  <c r="D99" i="11"/>
  <c r="D111" i="11"/>
  <c r="D129" i="11"/>
  <c r="C126" i="11"/>
  <c r="E126" i="11" s="1"/>
  <c r="D125" i="11"/>
  <c r="C125" i="11"/>
  <c r="E125" i="11" s="1"/>
  <c r="D148" i="11"/>
  <c r="C178" i="11"/>
  <c r="E178" i="11" s="1"/>
  <c r="D183" i="11"/>
  <c r="D200" i="11"/>
  <c r="D196" i="11"/>
  <c r="C209" i="11"/>
  <c r="E209" i="11" s="1"/>
  <c r="C235" i="11"/>
  <c r="E235" i="11" s="1"/>
  <c r="D69" i="12"/>
  <c r="C69" i="12"/>
  <c r="E69" i="12" s="1"/>
  <c r="C153" i="12"/>
  <c r="E153" i="12" s="1"/>
  <c r="D169" i="12"/>
  <c r="D295" i="10"/>
  <c r="C295" i="10"/>
  <c r="C299" i="10"/>
  <c r="D307" i="10"/>
  <c r="C307" i="10"/>
  <c r="D154" i="11"/>
  <c r="C154" i="11"/>
  <c r="E154" i="11" s="1"/>
  <c r="C160" i="11"/>
  <c r="E160" i="11" s="1"/>
  <c r="D184" i="11"/>
  <c r="C196" i="11"/>
  <c r="E196" i="11" s="1"/>
  <c r="C217" i="11"/>
  <c r="E217" i="11" s="1"/>
  <c r="D216" i="11"/>
  <c r="C216" i="11"/>
  <c r="E216" i="11" s="1"/>
  <c r="D233" i="11"/>
  <c r="C230" i="11"/>
  <c r="E230" i="11" s="1"/>
  <c r="D229" i="11"/>
  <c r="C229" i="11"/>
  <c r="E229" i="11" s="1"/>
  <c r="D235" i="11"/>
  <c r="D154" i="12"/>
  <c r="C154" i="12"/>
  <c r="E154" i="12" s="1"/>
  <c r="C132" i="11"/>
  <c r="E132" i="11" s="1"/>
  <c r="C131" i="11"/>
  <c r="E131" i="11" s="1"/>
  <c r="D190" i="11"/>
  <c r="C190" i="11"/>
  <c r="E190" i="11" s="1"/>
  <c r="D263" i="11"/>
  <c r="C263" i="11"/>
  <c r="E263" i="11" s="1"/>
  <c r="C138" i="12"/>
  <c r="E138" i="12" s="1"/>
  <c r="D142" i="12"/>
  <c r="D292" i="10"/>
  <c r="C292" i="10"/>
  <c r="D296" i="10"/>
  <c r="D308" i="10"/>
  <c r="D96" i="11"/>
  <c r="C100" i="11"/>
  <c r="E100" i="11" s="1"/>
  <c r="D108" i="11"/>
  <c r="C112" i="11"/>
  <c r="E112" i="11" s="1"/>
  <c r="C122" i="11"/>
  <c r="E122" i="11" s="1"/>
  <c r="D121" i="11"/>
  <c r="D131" i="11"/>
  <c r="D137" i="11"/>
  <c r="C150" i="11"/>
  <c r="E150" i="11" s="1"/>
  <c r="C173" i="11"/>
  <c r="E173" i="11" s="1"/>
  <c r="C191" i="11"/>
  <c r="E191" i="11" s="1"/>
  <c r="D243" i="11"/>
  <c r="C243" i="11"/>
  <c r="E243" i="11" s="1"/>
  <c r="D264" i="11"/>
  <c r="C264" i="11"/>
  <c r="E264" i="11" s="1"/>
  <c r="D138" i="12"/>
  <c r="C123" i="11"/>
  <c r="E123" i="11" s="1"/>
  <c r="C136" i="11"/>
  <c r="E136" i="11" s="1"/>
  <c r="D139" i="11"/>
  <c r="C149" i="11"/>
  <c r="E149" i="11" s="1"/>
  <c r="D152" i="11"/>
  <c r="C159" i="11"/>
  <c r="E159" i="11" s="1"/>
  <c r="C172" i="11"/>
  <c r="E172" i="11" s="1"/>
  <c r="D175" i="11"/>
  <c r="C185" i="11"/>
  <c r="E185" i="11" s="1"/>
  <c r="D188" i="11"/>
  <c r="C195" i="11"/>
  <c r="E195" i="11" s="1"/>
  <c r="C208" i="11"/>
  <c r="E208" i="11" s="1"/>
  <c r="D211" i="11"/>
  <c r="C221" i="11"/>
  <c r="E221" i="11" s="1"/>
  <c r="D224" i="11"/>
  <c r="C231" i="11"/>
  <c r="E231" i="11" s="1"/>
  <c r="D276" i="11"/>
  <c r="AJ14" i="4" s="1"/>
  <c r="C276" i="11"/>
  <c r="C286" i="11"/>
  <c r="D61" i="12"/>
  <c r="D128" i="12"/>
  <c r="D175" i="12"/>
  <c r="D246" i="12"/>
  <c r="C246" i="12"/>
  <c r="E246" i="12" s="1"/>
  <c r="D242" i="11"/>
  <c r="C246" i="11"/>
  <c r="E246" i="11" s="1"/>
  <c r="D258" i="11"/>
  <c r="C258" i="11"/>
  <c r="E258" i="11" s="1"/>
  <c r="D286" i="11"/>
  <c r="AJ24" i="4" s="1"/>
  <c r="D292" i="11"/>
  <c r="AJ30" i="4" s="1"/>
  <c r="C308" i="11"/>
  <c r="C61" i="12"/>
  <c r="E61" i="12" s="1"/>
  <c r="C176" i="12"/>
  <c r="E176" i="12" s="1"/>
  <c r="D176" i="12"/>
  <c r="D180" i="12"/>
  <c r="D238" i="12"/>
  <c r="C238" i="12"/>
  <c r="E238" i="12" s="1"/>
  <c r="D300" i="11"/>
  <c r="AJ38" i="4" s="1"/>
  <c r="C300" i="11"/>
  <c r="D148" i="12"/>
  <c r="C148" i="12"/>
  <c r="E148" i="12" s="1"/>
  <c r="D152" i="12"/>
  <c r="D298" i="12"/>
  <c r="AO36" i="4" s="1"/>
  <c r="C298" i="12"/>
  <c r="C203" i="11"/>
  <c r="E203" i="11" s="1"/>
  <c r="C213" i="11"/>
  <c r="E213" i="11" s="1"/>
  <c r="C226" i="11"/>
  <c r="E226" i="11" s="1"/>
  <c r="C244" i="11"/>
  <c r="E244" i="11" s="1"/>
  <c r="C251" i="11"/>
  <c r="E251" i="11" s="1"/>
  <c r="D294" i="11"/>
  <c r="AJ32" i="4" s="1"/>
  <c r="C294" i="11"/>
  <c r="D305" i="11"/>
  <c r="AJ43" i="4" s="1"/>
  <c r="C119" i="12"/>
  <c r="E119" i="12" s="1"/>
  <c r="D123" i="12"/>
  <c r="D203" i="11"/>
  <c r="D226" i="11"/>
  <c r="D244" i="11"/>
  <c r="D269" i="11"/>
  <c r="AJ7" i="4" s="1"/>
  <c r="D274" i="11"/>
  <c r="AJ12" i="4" s="1"/>
  <c r="C274" i="11"/>
  <c r="D279" i="11"/>
  <c r="AJ17" i="4" s="1"/>
  <c r="C280" i="11"/>
  <c r="D306" i="11"/>
  <c r="AJ44" i="4" s="1"/>
  <c r="C306" i="11"/>
  <c r="D132" i="12"/>
  <c r="C218" i="12"/>
  <c r="E218" i="12" s="1"/>
  <c r="D222" i="12"/>
  <c r="D218" i="12"/>
  <c r="C219" i="12"/>
  <c r="E219" i="12" s="1"/>
  <c r="C135" i="11"/>
  <c r="E135" i="11" s="1"/>
  <c r="C148" i="11"/>
  <c r="E148" i="11" s="1"/>
  <c r="C161" i="11"/>
  <c r="E161" i="11" s="1"/>
  <c r="C171" i="11"/>
  <c r="E171" i="11" s="1"/>
  <c r="C184" i="11"/>
  <c r="E184" i="11" s="1"/>
  <c r="C197" i="11"/>
  <c r="E197" i="11" s="1"/>
  <c r="C207" i="11"/>
  <c r="E207" i="11" s="1"/>
  <c r="C220" i="11"/>
  <c r="E220" i="11" s="1"/>
  <c r="C256" i="11"/>
  <c r="E256" i="11" s="1"/>
  <c r="D260" i="11"/>
  <c r="C265" i="11"/>
  <c r="E265" i="11" s="1"/>
  <c r="C279" i="11"/>
  <c r="C301" i="11"/>
  <c r="D120" i="12"/>
  <c r="C120" i="12"/>
  <c r="E120" i="12" s="1"/>
  <c r="C121" i="12"/>
  <c r="E121" i="12" s="1"/>
  <c r="C133" i="12"/>
  <c r="E133" i="12" s="1"/>
  <c r="D133" i="12"/>
  <c r="C164" i="12"/>
  <c r="E164" i="12" s="1"/>
  <c r="D168" i="12"/>
  <c r="D164" i="12"/>
  <c r="C165" i="12"/>
  <c r="E165" i="12" s="1"/>
  <c r="C212" i="12"/>
  <c r="E212" i="12" s="1"/>
  <c r="D212" i="12"/>
  <c r="D216" i="12"/>
  <c r="D161" i="11"/>
  <c r="D197" i="11"/>
  <c r="D252" i="11"/>
  <c r="C252" i="11"/>
  <c r="E252" i="11" s="1"/>
  <c r="D261" i="11"/>
  <c r="D290" i="11"/>
  <c r="AJ28" i="4" s="1"/>
  <c r="C307" i="11"/>
  <c r="D65" i="12"/>
  <c r="D84" i="12"/>
  <c r="C85" i="12"/>
  <c r="E85" i="12" s="1"/>
  <c r="C84" i="12"/>
  <c r="E84" i="12" s="1"/>
  <c r="C95" i="12"/>
  <c r="E95" i="12" s="1"/>
  <c r="C96" i="12"/>
  <c r="E96" i="12" s="1"/>
  <c r="D95" i="12"/>
  <c r="C143" i="12"/>
  <c r="E143" i="12" s="1"/>
  <c r="C144" i="12"/>
  <c r="E144" i="12" s="1"/>
  <c r="D269" i="12"/>
  <c r="AO7" i="4" s="1"/>
  <c r="C269" i="12"/>
  <c r="C227" i="11"/>
  <c r="E227" i="11" s="1"/>
  <c r="C241" i="11"/>
  <c r="E241" i="11" s="1"/>
  <c r="C261" i="11"/>
  <c r="E261" i="11" s="1"/>
  <c r="C270" i="11"/>
  <c r="D280" i="11"/>
  <c r="AJ18" i="4" s="1"/>
  <c r="C290" i="11"/>
  <c r="C302" i="11"/>
  <c r="C66" i="12"/>
  <c r="E66" i="12" s="1"/>
  <c r="D143" i="12"/>
  <c r="D262" i="12"/>
  <c r="C262" i="12"/>
  <c r="E262" i="12" s="1"/>
  <c r="C162" i="11"/>
  <c r="E162" i="11" s="1"/>
  <c r="C198" i="11"/>
  <c r="E198" i="11" s="1"/>
  <c r="D241" i="11"/>
  <c r="D253" i="11"/>
  <c r="C253" i="11"/>
  <c r="E253" i="11" s="1"/>
  <c r="D257" i="11"/>
  <c r="C266" i="11"/>
  <c r="D297" i="11"/>
  <c r="AJ35" i="4" s="1"/>
  <c r="C298" i="11"/>
  <c r="C205" i="12"/>
  <c r="E205" i="12" s="1"/>
  <c r="D205" i="12"/>
  <c r="D245" i="12"/>
  <c r="C245" i="12"/>
  <c r="E245" i="12" s="1"/>
  <c r="C60" i="12"/>
  <c r="E60" i="12" s="1"/>
  <c r="D147" i="12"/>
  <c r="C191" i="12"/>
  <c r="E191" i="12" s="1"/>
  <c r="D195" i="12"/>
  <c r="D191" i="12"/>
  <c r="C230" i="12"/>
  <c r="E230" i="12" s="1"/>
  <c r="D230" i="12"/>
  <c r="D234" i="12"/>
  <c r="D274" i="12"/>
  <c r="AO12" i="4" s="1"/>
  <c r="C274" i="12"/>
  <c r="D281" i="12"/>
  <c r="AO19" i="4" s="1"/>
  <c r="C281" i="12"/>
  <c r="D296" i="11"/>
  <c r="AJ34" i="4" s="1"/>
  <c r="C56" i="12"/>
  <c r="E56" i="12" s="1"/>
  <c r="C64" i="12"/>
  <c r="E64" i="12" s="1"/>
  <c r="D90" i="12"/>
  <c r="D106" i="12"/>
  <c r="C110" i="12"/>
  <c r="E110" i="12" s="1"/>
  <c r="D114" i="12"/>
  <c r="D110" i="12"/>
  <c r="C137" i="12"/>
  <c r="E137" i="12" s="1"/>
  <c r="D137" i="12"/>
  <c r="C147" i="12"/>
  <c r="E147" i="12" s="1"/>
  <c r="C158" i="12"/>
  <c r="E158" i="12" s="1"/>
  <c r="D158" i="12"/>
  <c r="D162" i="12"/>
  <c r="D174" i="12"/>
  <c r="C192" i="12"/>
  <c r="E192" i="12" s="1"/>
  <c r="D282" i="12"/>
  <c r="AO20" i="4" s="1"/>
  <c r="C282" i="12"/>
  <c r="D255" i="11"/>
  <c r="C58" i="12"/>
  <c r="E58" i="12" s="1"/>
  <c r="C62" i="12"/>
  <c r="E62" i="12" s="1"/>
  <c r="C80" i="12"/>
  <c r="E80" i="12" s="1"/>
  <c r="D80" i="12"/>
  <c r="C103" i="12"/>
  <c r="E103" i="12" s="1"/>
  <c r="C194" i="12"/>
  <c r="E194" i="12" s="1"/>
  <c r="D194" i="12"/>
  <c r="D198" i="12"/>
  <c r="D219" i="12"/>
  <c r="D270" i="12"/>
  <c r="AO8" i="4" s="1"/>
  <c r="C270" i="12"/>
  <c r="C307" i="12"/>
  <c r="D306" i="12"/>
  <c r="AO44" i="4" s="1"/>
  <c r="C306" i="12"/>
  <c r="C116" i="12"/>
  <c r="E116" i="12" s="1"/>
  <c r="D116" i="12"/>
  <c r="C125" i="12"/>
  <c r="E125" i="12" s="1"/>
  <c r="D129" i="12"/>
  <c r="D165" i="12"/>
  <c r="C182" i="12"/>
  <c r="E182" i="12" s="1"/>
  <c r="D186" i="12"/>
  <c r="D182" i="12"/>
  <c r="C200" i="12"/>
  <c r="E200" i="12" s="1"/>
  <c r="D204" i="12"/>
  <c r="D200" i="12"/>
  <c r="C233" i="12"/>
  <c r="E233" i="12" s="1"/>
  <c r="D233" i="12"/>
  <c r="C271" i="12"/>
  <c r="D285" i="12"/>
  <c r="AO23" i="4" s="1"/>
  <c r="D249" i="11"/>
  <c r="C273" i="11"/>
  <c r="C291" i="11"/>
  <c r="C309" i="11"/>
  <c r="D73" i="12"/>
  <c r="C81" i="12"/>
  <c r="E81" i="12" s="1"/>
  <c r="D125" i="12"/>
  <c r="C129" i="12"/>
  <c r="E129" i="12" s="1"/>
  <c r="C140" i="12"/>
  <c r="E140" i="12" s="1"/>
  <c r="D140" i="12"/>
  <c r="D144" i="12"/>
  <c r="C155" i="12"/>
  <c r="E155" i="12" s="1"/>
  <c r="D155" i="12"/>
  <c r="D160" i="12"/>
  <c r="D224" i="12"/>
  <c r="D220" i="12"/>
  <c r="C220" i="12"/>
  <c r="E220" i="12" s="1"/>
  <c r="D226" i="12"/>
  <c r="D130" i="12"/>
  <c r="C130" i="12"/>
  <c r="E130" i="12" s="1"/>
  <c r="D166" i="12"/>
  <c r="C166" i="12"/>
  <c r="E166" i="12" s="1"/>
  <c r="C227" i="12"/>
  <c r="E227" i="12" s="1"/>
  <c r="D231" i="12"/>
  <c r="D227" i="12"/>
  <c r="D249" i="12"/>
  <c r="D286" i="12"/>
  <c r="AO24" i="4" s="1"/>
  <c r="C286" i="12"/>
  <c r="D293" i="12"/>
  <c r="AO31" i="4" s="1"/>
  <c r="C293" i="12"/>
  <c r="D295" i="11"/>
  <c r="AJ33" i="4" s="1"/>
  <c r="D59" i="12"/>
  <c r="C63" i="12"/>
  <c r="E63" i="12" s="1"/>
  <c r="C70" i="12"/>
  <c r="E70" i="12" s="1"/>
  <c r="D74" i="12"/>
  <c r="C126" i="12"/>
  <c r="E126" i="12" s="1"/>
  <c r="C135" i="12"/>
  <c r="E135" i="12" s="1"/>
  <c r="D156" i="12"/>
  <c r="D161" i="12"/>
  <c r="C183" i="12"/>
  <c r="E183" i="12" s="1"/>
  <c r="C201" i="12"/>
  <c r="E201" i="12" s="1"/>
  <c r="C215" i="12"/>
  <c r="E215" i="12" s="1"/>
  <c r="D215" i="12"/>
  <c r="C234" i="12"/>
  <c r="E234" i="12" s="1"/>
  <c r="D257" i="12"/>
  <c r="C257" i="12"/>
  <c r="E257" i="12" s="1"/>
  <c r="D294" i="12"/>
  <c r="AO32" i="4" s="1"/>
  <c r="C294" i="12"/>
  <c r="D267" i="11"/>
  <c r="AJ5" i="4" s="1"/>
  <c r="C281" i="11"/>
  <c r="D285" i="11"/>
  <c r="AJ23" i="4" s="1"/>
  <c r="C292" i="11"/>
  <c r="C299" i="11"/>
  <c r="D303" i="11"/>
  <c r="AJ41" i="4" s="1"/>
  <c r="C67" i="12"/>
  <c r="E67" i="12" s="1"/>
  <c r="D89" i="12"/>
  <c r="D93" i="12"/>
  <c r="D97" i="12"/>
  <c r="C105" i="12"/>
  <c r="E105" i="12" s="1"/>
  <c r="D113" i="12"/>
  <c r="D126" i="12"/>
  <c r="D141" i="12"/>
  <c r="C146" i="12"/>
  <c r="E146" i="12" s="1"/>
  <c r="D146" i="12"/>
  <c r="C157" i="12"/>
  <c r="E157" i="12" s="1"/>
  <c r="D172" i="12"/>
  <c r="D178" i="12"/>
  <c r="D188" i="12"/>
  <c r="D184" i="12"/>
  <c r="C184" i="12"/>
  <c r="E184" i="12" s="1"/>
  <c r="C190" i="12"/>
  <c r="E190" i="12" s="1"/>
  <c r="D206" i="12"/>
  <c r="D202" i="12"/>
  <c r="C202" i="12"/>
  <c r="E202" i="12" s="1"/>
  <c r="D208" i="12"/>
  <c r="D250" i="12"/>
  <c r="C250" i="12"/>
  <c r="E250" i="12" s="1"/>
  <c r="D258" i="12"/>
  <c r="C258" i="12"/>
  <c r="E258" i="12" s="1"/>
  <c r="D273" i="12"/>
  <c r="AO11" i="4" s="1"/>
  <c r="C295" i="12"/>
  <c r="C267" i="11"/>
  <c r="C285" i="11"/>
  <c r="C303" i="11"/>
  <c r="D67" i="12"/>
  <c r="C71" i="12"/>
  <c r="E71" i="12" s="1"/>
  <c r="D71" i="12"/>
  <c r="D78" i="12"/>
  <c r="C86" i="12"/>
  <c r="E86" i="12" s="1"/>
  <c r="C93" i="12"/>
  <c r="E93" i="12" s="1"/>
  <c r="C97" i="12"/>
  <c r="E97" i="12" s="1"/>
  <c r="C101" i="12"/>
  <c r="E101" i="12" s="1"/>
  <c r="D101" i="12"/>
  <c r="D122" i="12"/>
  <c r="D151" i="12"/>
  <c r="C173" i="12"/>
  <c r="E173" i="12" s="1"/>
  <c r="D173" i="12"/>
  <c r="C179" i="12"/>
  <c r="E179" i="12" s="1"/>
  <c r="D179" i="12"/>
  <c r="D190" i="12"/>
  <c r="C197" i="12"/>
  <c r="E197" i="12" s="1"/>
  <c r="D197" i="12"/>
  <c r="C209" i="12"/>
  <c r="E209" i="12" s="1"/>
  <c r="D213" i="12"/>
  <c r="D209" i="12"/>
  <c r="D229" i="12"/>
  <c r="C107" i="12"/>
  <c r="E107" i="12" s="1"/>
  <c r="D242" i="12"/>
  <c r="C242" i="12"/>
  <c r="E242" i="12" s="1"/>
  <c r="D254" i="12"/>
  <c r="C254" i="12"/>
  <c r="E254" i="12" s="1"/>
  <c r="D266" i="12"/>
  <c r="AO4" i="4" s="1"/>
  <c r="C266" i="12"/>
  <c r="D278" i="12"/>
  <c r="AO16" i="4" s="1"/>
  <c r="C278" i="12"/>
  <c r="D290" i="12"/>
  <c r="AO28" i="4" s="1"/>
  <c r="C290" i="12"/>
  <c r="D302" i="12"/>
  <c r="AO40" i="4" s="1"/>
  <c r="C302" i="12"/>
  <c r="C68" i="12"/>
  <c r="E68" i="12" s="1"/>
  <c r="C104" i="12"/>
  <c r="E104" i="12" s="1"/>
  <c r="D107" i="12"/>
  <c r="C134" i="12"/>
  <c r="E134" i="12" s="1"/>
  <c r="C141" i="12"/>
  <c r="E141" i="12" s="1"/>
  <c r="C152" i="12"/>
  <c r="E152" i="12" s="1"/>
  <c r="C159" i="12"/>
  <c r="E159" i="12" s="1"/>
  <c r="C170" i="12"/>
  <c r="E170" i="12" s="1"/>
  <c r="C177" i="12"/>
  <c r="E177" i="12" s="1"/>
  <c r="C188" i="12"/>
  <c r="E188" i="12" s="1"/>
  <c r="C195" i="12"/>
  <c r="E195" i="12" s="1"/>
  <c r="C206" i="12"/>
  <c r="E206" i="12" s="1"/>
  <c r="C213" i="12"/>
  <c r="E213" i="12" s="1"/>
  <c r="C224" i="12"/>
  <c r="E224" i="12" s="1"/>
  <c r="C231" i="12"/>
  <c r="E231" i="12" s="1"/>
  <c r="C131" i="12"/>
  <c r="E131" i="12" s="1"/>
  <c r="C149" i="12"/>
  <c r="E149" i="12" s="1"/>
  <c r="C167" i="12"/>
  <c r="E167" i="12" s="1"/>
  <c r="C185" i="12"/>
  <c r="E185" i="12" s="1"/>
  <c r="C203" i="12"/>
  <c r="E203" i="12" s="1"/>
  <c r="C210" i="12"/>
  <c r="E210" i="12" s="1"/>
  <c r="C221" i="12"/>
  <c r="E221" i="12" s="1"/>
  <c r="C228" i="12"/>
  <c r="E228" i="12" s="1"/>
  <c r="D239" i="12"/>
  <c r="C239" i="12"/>
  <c r="E239" i="12" s="1"/>
  <c r="C243" i="12"/>
  <c r="E243" i="12" s="1"/>
  <c r="C247" i="12"/>
  <c r="E247" i="12" s="1"/>
  <c r="D251" i="12"/>
  <c r="C251" i="12"/>
  <c r="E251" i="12" s="1"/>
  <c r="C255" i="12"/>
  <c r="E255" i="12" s="1"/>
  <c r="C259" i="12"/>
  <c r="E259" i="12" s="1"/>
  <c r="D263" i="12"/>
  <c r="C263" i="12"/>
  <c r="E263" i="12" s="1"/>
  <c r="D275" i="12"/>
  <c r="AO13" i="4" s="1"/>
  <c r="C275" i="12"/>
  <c r="D287" i="12"/>
  <c r="AO25" i="4" s="1"/>
  <c r="C287" i="12"/>
  <c r="D299" i="12"/>
  <c r="AO37" i="4" s="1"/>
  <c r="C299" i="12"/>
  <c r="D236" i="12"/>
  <c r="D248" i="12"/>
  <c r="C248" i="12"/>
  <c r="E248" i="12" s="1"/>
  <c r="D260" i="12"/>
  <c r="C260" i="12"/>
  <c r="E260" i="12" s="1"/>
  <c r="D272" i="12"/>
  <c r="AO10" i="4" s="1"/>
  <c r="C272" i="12"/>
  <c r="D284" i="12"/>
  <c r="AO22" i="4" s="1"/>
  <c r="C284" i="12"/>
  <c r="D296" i="12"/>
  <c r="AO34" i="4" s="1"/>
  <c r="C296" i="12"/>
  <c r="D308" i="12"/>
  <c r="AO46" i="4" s="1"/>
  <c r="D305" i="12"/>
  <c r="AO43" i="4" s="1"/>
  <c r="C305" i="12"/>
  <c r="C77" i="12"/>
  <c r="E77" i="12" s="1"/>
  <c r="C113" i="12"/>
  <c r="E113" i="12" s="1"/>
  <c r="D309" i="12"/>
  <c r="AO47" i="4" s="1"/>
  <c r="C308" i="12"/>
  <c r="J279" i="5" l="1"/>
  <c r="N104" i="5"/>
  <c r="N102" i="5"/>
  <c r="I254" i="5"/>
  <c r="L16" i="5"/>
  <c r="E284" i="10"/>
  <c r="AE22" i="4" s="1"/>
  <c r="AD22" i="4"/>
  <c r="E281" i="9"/>
  <c r="Z19" i="4" s="1"/>
  <c r="Y19" i="4"/>
  <c r="E296" i="9"/>
  <c r="Z34" i="4" s="1"/>
  <c r="Y34" i="4"/>
  <c r="E294" i="8"/>
  <c r="U32" i="4" s="1"/>
  <c r="T32" i="4"/>
  <c r="E270" i="6"/>
  <c r="K8" i="4" s="1"/>
  <c r="J8" i="4"/>
  <c r="N211" i="5"/>
  <c r="N144" i="5"/>
  <c r="N143" i="5"/>
  <c r="N17" i="5"/>
  <c r="L93" i="5"/>
  <c r="J67" i="5"/>
  <c r="H127" i="5"/>
  <c r="N127" i="5" s="1"/>
  <c r="K242" i="5"/>
  <c r="K127" i="5"/>
  <c r="E297" i="11"/>
  <c r="AI35" i="4"/>
  <c r="E277" i="10"/>
  <c r="AE15" i="4" s="1"/>
  <c r="AD15" i="4"/>
  <c r="E303" i="12"/>
  <c r="AN41" i="4"/>
  <c r="E308" i="8"/>
  <c r="U46" i="4" s="1"/>
  <c r="T46" i="4"/>
  <c r="E304" i="6"/>
  <c r="K42" i="4" s="1"/>
  <c r="J42" i="4"/>
  <c r="N150" i="5"/>
  <c r="K197" i="5"/>
  <c r="J93" i="5"/>
  <c r="E281" i="10"/>
  <c r="AE19" i="4" s="1"/>
  <c r="AD19" i="4"/>
  <c r="E309" i="9"/>
  <c r="Z47" i="4" s="1"/>
  <c r="Y47" i="4"/>
  <c r="E306" i="7"/>
  <c r="P44" i="4" s="1"/>
  <c r="O44" i="4"/>
  <c r="N303" i="5"/>
  <c r="E288" i="3"/>
  <c r="F26" i="4" s="1"/>
  <c r="E26" i="4"/>
  <c r="J290" i="5"/>
  <c r="K149" i="5"/>
  <c r="L79" i="5"/>
  <c r="N25" i="5"/>
  <c r="J197" i="5"/>
  <c r="J16" i="5"/>
  <c r="E272" i="10"/>
  <c r="AE10" i="4" s="1"/>
  <c r="AD10" i="4"/>
  <c r="E267" i="7"/>
  <c r="P5" i="4" s="1"/>
  <c r="O5" i="4"/>
  <c r="N269" i="5"/>
  <c r="K256" i="5"/>
  <c r="N224" i="5"/>
  <c r="I256" i="5"/>
  <c r="N38" i="5"/>
  <c r="N15" i="5"/>
  <c r="E304" i="12"/>
  <c r="AN42" i="4"/>
  <c r="E283" i="10"/>
  <c r="AE21" i="4" s="1"/>
  <c r="AD21" i="4"/>
  <c r="E269" i="7"/>
  <c r="P7" i="4" s="1"/>
  <c r="O7" i="4"/>
  <c r="L266" i="5"/>
  <c r="L279" i="5"/>
  <c r="H305" i="5"/>
  <c r="K281" i="5"/>
  <c r="N44" i="5"/>
  <c r="O264" i="5"/>
  <c r="K176" i="5"/>
  <c r="N176" i="5" s="1"/>
  <c r="N86" i="5"/>
  <c r="N222" i="5"/>
  <c r="I127" i="5"/>
  <c r="E279" i="8"/>
  <c r="U17" i="4" s="1"/>
  <c r="T17" i="4"/>
  <c r="E280" i="12"/>
  <c r="AN18" i="4"/>
  <c r="K266" i="5"/>
  <c r="H281" i="5"/>
  <c r="N216" i="5"/>
  <c r="H176" i="5"/>
  <c r="I279" i="5"/>
  <c r="N279" i="5" s="1"/>
  <c r="N123" i="5"/>
  <c r="N23" i="5"/>
  <c r="H256" i="5"/>
  <c r="I176" i="5"/>
  <c r="N8" i="5"/>
  <c r="K79" i="5"/>
  <c r="E289" i="12"/>
  <c r="AN27" i="4"/>
  <c r="E267" i="9"/>
  <c r="Z5" i="4" s="1"/>
  <c r="Y5" i="4"/>
  <c r="E285" i="6"/>
  <c r="K23" i="4" s="1"/>
  <c r="J23" i="4"/>
  <c r="E273" i="9"/>
  <c r="Z11" i="4" s="1"/>
  <c r="Y11" i="4"/>
  <c r="E309" i="6"/>
  <c r="K47" i="4" s="1"/>
  <c r="J47" i="4"/>
  <c r="N77" i="5"/>
  <c r="N54" i="5"/>
  <c r="N120" i="5"/>
  <c r="E297" i="3"/>
  <c r="N261" i="5"/>
  <c r="K76" i="5"/>
  <c r="N89" i="5"/>
  <c r="E300" i="12"/>
  <c r="AN38" i="4"/>
  <c r="E287" i="11"/>
  <c r="AI25" i="4"/>
  <c r="E288" i="12"/>
  <c r="AN26" i="4"/>
  <c r="E296" i="10"/>
  <c r="AE34" i="4" s="1"/>
  <c r="AD34" i="4"/>
  <c r="E306" i="10"/>
  <c r="AE44" i="4" s="1"/>
  <c r="AD44" i="4"/>
  <c r="E309" i="7"/>
  <c r="P47" i="4" s="1"/>
  <c r="O47" i="4"/>
  <c r="E291" i="7"/>
  <c r="P29" i="4" s="1"/>
  <c r="O29" i="4"/>
  <c r="E303" i="6"/>
  <c r="K41" i="4" s="1"/>
  <c r="J41" i="4"/>
  <c r="N198" i="5"/>
  <c r="K93" i="5"/>
  <c r="N47" i="5"/>
  <c r="I79" i="5"/>
  <c r="J106" i="5"/>
  <c r="H93" i="5"/>
  <c r="E277" i="12"/>
  <c r="AN15" i="4"/>
  <c r="E291" i="12"/>
  <c r="AN29" i="4"/>
  <c r="E278" i="8"/>
  <c r="U16" i="4" s="1"/>
  <c r="T16" i="4"/>
  <c r="K279" i="5"/>
  <c r="N117" i="5"/>
  <c r="N129" i="5"/>
  <c r="E289" i="10"/>
  <c r="AE27" i="4" s="1"/>
  <c r="AD27" i="4"/>
  <c r="E305" i="11"/>
  <c r="AI43" i="4"/>
  <c r="E294" i="7"/>
  <c r="P32" i="4" s="1"/>
  <c r="O32" i="4"/>
  <c r="N291" i="5"/>
  <c r="N80" i="5"/>
  <c r="I149" i="5"/>
  <c r="J79" i="5"/>
  <c r="N113" i="5"/>
  <c r="E268" i="12"/>
  <c r="AN6" i="4"/>
  <c r="E276" i="12"/>
  <c r="AN14" i="4"/>
  <c r="E267" i="10"/>
  <c r="AE5" i="4" s="1"/>
  <c r="AD5" i="4"/>
  <c r="E300" i="9"/>
  <c r="Z38" i="4" s="1"/>
  <c r="Y38" i="4"/>
  <c r="E282" i="11"/>
  <c r="AI20" i="4"/>
  <c r="E303" i="8"/>
  <c r="U41" i="4" s="1"/>
  <c r="T41" i="4"/>
  <c r="E275" i="7"/>
  <c r="P13" i="4" s="1"/>
  <c r="O13" i="4"/>
  <c r="E309" i="8"/>
  <c r="U47" i="4" s="1"/>
  <c r="T47" i="4"/>
  <c r="E306" i="8"/>
  <c r="U44" i="4" s="1"/>
  <c r="T44" i="4"/>
  <c r="E285" i="7"/>
  <c r="P23" i="4" s="1"/>
  <c r="O23" i="4"/>
  <c r="E275" i="12"/>
  <c r="AN13" i="4"/>
  <c r="E276" i="10"/>
  <c r="AE14" i="4" s="1"/>
  <c r="AD14" i="4"/>
  <c r="E266" i="7"/>
  <c r="P4" i="4" s="1"/>
  <c r="O4" i="4"/>
  <c r="E290" i="6"/>
  <c r="K28" i="4" s="1"/>
  <c r="J28" i="4"/>
  <c r="E268" i="6"/>
  <c r="K6" i="4" s="1"/>
  <c r="J6" i="4"/>
  <c r="E287" i="6"/>
  <c r="K25" i="4" s="1"/>
  <c r="J25" i="4"/>
  <c r="E308" i="6"/>
  <c r="K46" i="4" s="1"/>
  <c r="J46" i="4"/>
  <c r="N306" i="5"/>
  <c r="J163" i="5"/>
  <c r="N187" i="5"/>
  <c r="N84" i="5"/>
  <c r="K115" i="5"/>
  <c r="E28" i="4"/>
  <c r="E290" i="3"/>
  <c r="F28" i="4" s="1"/>
  <c r="I136" i="5"/>
  <c r="H136" i="5"/>
  <c r="H158" i="5"/>
  <c r="J158" i="5"/>
  <c r="I158" i="5"/>
  <c r="K158" i="5"/>
  <c r="J10" i="5"/>
  <c r="L10" i="5"/>
  <c r="K10" i="5"/>
  <c r="K136" i="5"/>
  <c r="J239" i="5"/>
  <c r="H239" i="5"/>
  <c r="I185" i="5"/>
  <c r="H185" i="5"/>
  <c r="E270" i="3"/>
  <c r="F8" i="4" s="1"/>
  <c r="E8" i="4"/>
  <c r="H88" i="5"/>
  <c r="I217" i="5"/>
  <c r="L217" i="5"/>
  <c r="K217" i="5"/>
  <c r="J217" i="5"/>
  <c r="K11" i="5"/>
  <c r="J11" i="5"/>
  <c r="L11" i="5"/>
  <c r="E267" i="6"/>
  <c r="K5" i="4" s="1"/>
  <c r="J5" i="4"/>
  <c r="L85" i="5"/>
  <c r="H85" i="5"/>
  <c r="E36" i="4"/>
  <c r="E298" i="3"/>
  <c r="K130" i="5"/>
  <c r="H130" i="5"/>
  <c r="L133" i="5"/>
  <c r="H133" i="5"/>
  <c r="J284" i="5"/>
  <c r="I284" i="5"/>
  <c r="L284" i="5"/>
  <c r="K284" i="5"/>
  <c r="L97" i="5"/>
  <c r="K97" i="5"/>
  <c r="E11" i="4"/>
  <c r="E273" i="3"/>
  <c r="F11" i="4" s="1"/>
  <c r="E288" i="10"/>
  <c r="AE26" i="4" s="1"/>
  <c r="AD26" i="4"/>
  <c r="E286" i="10"/>
  <c r="AE24" i="4" s="1"/>
  <c r="AD24" i="4"/>
  <c r="E283" i="8"/>
  <c r="U21" i="4" s="1"/>
  <c r="T21" i="4"/>
  <c r="E301" i="8"/>
  <c r="U39" i="4" s="1"/>
  <c r="T39" i="4"/>
  <c r="E272" i="12"/>
  <c r="AN10" i="4"/>
  <c r="E290" i="12"/>
  <c r="AN28" i="4"/>
  <c r="E295" i="12"/>
  <c r="AN33" i="4"/>
  <c r="E306" i="12"/>
  <c r="AN44" i="4"/>
  <c r="E284" i="11"/>
  <c r="AI22" i="4"/>
  <c r="E279" i="10"/>
  <c r="AE17" i="4" s="1"/>
  <c r="AD17" i="4"/>
  <c r="E285" i="10"/>
  <c r="AE23" i="4" s="1"/>
  <c r="AD23" i="4"/>
  <c r="E289" i="9"/>
  <c r="Z27" i="4" s="1"/>
  <c r="Y27" i="4"/>
  <c r="E302" i="9"/>
  <c r="Z40" i="4" s="1"/>
  <c r="Y40" i="4"/>
  <c r="E307" i="9"/>
  <c r="Z45" i="4" s="1"/>
  <c r="Y45" i="4"/>
  <c r="E308" i="9"/>
  <c r="Z46" i="4" s="1"/>
  <c r="Y46" i="4"/>
  <c r="E281" i="8"/>
  <c r="U19" i="4" s="1"/>
  <c r="T19" i="4"/>
  <c r="E271" i="7"/>
  <c r="P9" i="4" s="1"/>
  <c r="O9" i="4"/>
  <c r="E280" i="6"/>
  <c r="K18" i="4" s="1"/>
  <c r="J18" i="4"/>
  <c r="E294" i="6"/>
  <c r="K32" i="4" s="1"/>
  <c r="J32" i="4"/>
  <c r="I280" i="5"/>
  <c r="K237" i="5"/>
  <c r="J237" i="5"/>
  <c r="N110" i="5"/>
  <c r="N92" i="5"/>
  <c r="N24" i="5"/>
  <c r="H33" i="5"/>
  <c r="N33" i="5" s="1"/>
  <c r="O33" i="5"/>
  <c r="N35" i="5"/>
  <c r="N20" i="5"/>
  <c r="I290" i="5"/>
  <c r="H290" i="5"/>
  <c r="I236" i="5"/>
  <c r="H236" i="5"/>
  <c r="I182" i="5"/>
  <c r="K182" i="5"/>
  <c r="J182" i="5"/>
  <c r="L182" i="5"/>
  <c r="K31" i="5"/>
  <c r="J31" i="5"/>
  <c r="H31" i="5"/>
  <c r="I31" i="5"/>
  <c r="N207" i="5"/>
  <c r="N246" i="5"/>
  <c r="H109" i="5"/>
  <c r="L109" i="5"/>
  <c r="K109" i="5"/>
  <c r="I109" i="5"/>
  <c r="H230" i="5"/>
  <c r="I230" i="5"/>
  <c r="K230" i="5"/>
  <c r="J230" i="5"/>
  <c r="J260" i="5"/>
  <c r="I260" i="5"/>
  <c r="N260" i="5" s="1"/>
  <c r="K260" i="5"/>
  <c r="H206" i="5"/>
  <c r="K206" i="5"/>
  <c r="I206" i="5"/>
  <c r="K152" i="5"/>
  <c r="J152" i="5"/>
  <c r="I152" i="5"/>
  <c r="N152" i="5" s="1"/>
  <c r="N231" i="5"/>
  <c r="L31" i="5"/>
  <c r="E25" i="4"/>
  <c r="E287" i="3"/>
  <c r="F25" i="4" s="1"/>
  <c r="K276" i="5"/>
  <c r="I276" i="5"/>
  <c r="H276" i="5"/>
  <c r="J276" i="5"/>
  <c r="I229" i="5"/>
  <c r="L229" i="5"/>
  <c r="K229" i="5"/>
  <c r="J229" i="5"/>
  <c r="I193" i="5"/>
  <c r="H193" i="5"/>
  <c r="J193" i="5"/>
  <c r="L193" i="5"/>
  <c r="K193" i="5"/>
  <c r="L190" i="5"/>
  <c r="K190" i="5"/>
  <c r="N190" i="5" s="1"/>
  <c r="H29" i="5"/>
  <c r="J29" i="5"/>
  <c r="L29" i="5"/>
  <c r="K29" i="5"/>
  <c r="N78" i="5"/>
  <c r="E280" i="11"/>
  <c r="AI18" i="4"/>
  <c r="E295" i="10"/>
  <c r="AE33" i="4" s="1"/>
  <c r="AD33" i="4"/>
  <c r="E290" i="10"/>
  <c r="AE28" i="4" s="1"/>
  <c r="AD28" i="4"/>
  <c r="E280" i="8"/>
  <c r="U18" i="4" s="1"/>
  <c r="T18" i="4"/>
  <c r="O237" i="5"/>
  <c r="H237" i="5"/>
  <c r="E273" i="6"/>
  <c r="K11" i="4" s="1"/>
  <c r="J11" i="4"/>
  <c r="L116" i="5"/>
  <c r="K271" i="5"/>
  <c r="J271" i="5"/>
  <c r="L271" i="5"/>
  <c r="K259" i="5"/>
  <c r="J259" i="5"/>
  <c r="L259" i="5"/>
  <c r="J287" i="5"/>
  <c r="I287" i="5"/>
  <c r="H287" i="5"/>
  <c r="K287" i="5"/>
  <c r="K179" i="5"/>
  <c r="L179" i="5"/>
  <c r="J179" i="5"/>
  <c r="K194" i="5"/>
  <c r="J194" i="5"/>
  <c r="I194" i="5"/>
  <c r="E44" i="4"/>
  <c r="E306" i="3"/>
  <c r="F44" i="4" s="1"/>
  <c r="E307" i="12"/>
  <c r="AN45" i="4"/>
  <c r="E274" i="10"/>
  <c r="AE12" i="4" s="1"/>
  <c r="AD12" i="4"/>
  <c r="E291" i="8"/>
  <c r="U29" i="4" s="1"/>
  <c r="T29" i="4"/>
  <c r="E278" i="7"/>
  <c r="P16" i="4" s="1"/>
  <c r="O16" i="4"/>
  <c r="E268" i="7"/>
  <c r="P6" i="4" s="1"/>
  <c r="O6" i="4"/>
  <c r="E289" i="7"/>
  <c r="P27" i="4" s="1"/>
  <c r="O27" i="4"/>
  <c r="O277" i="5"/>
  <c r="H277" i="5"/>
  <c r="K292" i="5"/>
  <c r="I237" i="5"/>
  <c r="N309" i="5"/>
  <c r="I239" i="5"/>
  <c r="I133" i="5"/>
  <c r="O218" i="5"/>
  <c r="H218" i="5"/>
  <c r="N105" i="5"/>
  <c r="K85" i="5"/>
  <c r="K169" i="5"/>
  <c r="K116" i="5"/>
  <c r="E17" i="4"/>
  <c r="E279" i="3"/>
  <c r="F17" i="4" s="1"/>
  <c r="I64" i="5"/>
  <c r="L64" i="5"/>
  <c r="K64" i="5"/>
  <c r="H155" i="5"/>
  <c r="L155" i="5"/>
  <c r="K155" i="5"/>
  <c r="J155" i="5"/>
  <c r="J277" i="5"/>
  <c r="I277" i="5"/>
  <c r="E293" i="3"/>
  <c r="E31" i="4"/>
  <c r="H227" i="5"/>
  <c r="K227" i="5"/>
  <c r="J227" i="5"/>
  <c r="L227" i="5"/>
  <c r="E42" i="4"/>
  <c r="E304" i="3"/>
  <c r="I184" i="5"/>
  <c r="J184" i="5"/>
  <c r="E21" i="4"/>
  <c r="E283" i="3"/>
  <c r="F21" i="4" s="1"/>
  <c r="J265" i="5"/>
  <c r="I265" i="5"/>
  <c r="H265" i="5"/>
  <c r="F38" i="4"/>
  <c r="O20" i="1"/>
  <c r="E295" i="9"/>
  <c r="Z33" i="4" s="1"/>
  <c r="Y33" i="4"/>
  <c r="E296" i="7"/>
  <c r="P34" i="4" s="1"/>
  <c r="O34" i="4"/>
  <c r="O182" i="5"/>
  <c r="H182" i="5"/>
  <c r="E24" i="4"/>
  <c r="E286" i="3"/>
  <c r="F24" i="4" s="1"/>
  <c r="L169" i="5"/>
  <c r="I169" i="5"/>
  <c r="H169" i="5"/>
  <c r="N169" i="5" s="1"/>
  <c r="I248" i="5"/>
  <c r="J248" i="5"/>
  <c r="L248" i="5"/>
  <c r="K248" i="5"/>
  <c r="E278" i="12"/>
  <c r="AN16" i="4"/>
  <c r="E302" i="11"/>
  <c r="AI40" i="4"/>
  <c r="E269" i="10"/>
  <c r="AE7" i="4" s="1"/>
  <c r="AD7" i="4"/>
  <c r="E270" i="9"/>
  <c r="Z8" i="4" s="1"/>
  <c r="Y8" i="4"/>
  <c r="E291" i="9"/>
  <c r="Z29" i="4" s="1"/>
  <c r="Y29" i="4"/>
  <c r="E277" i="8"/>
  <c r="U15" i="4" s="1"/>
  <c r="T15" i="4"/>
  <c r="E285" i="8"/>
  <c r="U23" i="4" s="1"/>
  <c r="T23" i="4"/>
  <c r="E293" i="12"/>
  <c r="AN31" i="4"/>
  <c r="E270" i="12"/>
  <c r="AN8" i="4"/>
  <c r="E282" i="12"/>
  <c r="AN20" i="4"/>
  <c r="E266" i="11"/>
  <c r="AI4" i="4"/>
  <c r="E290" i="11"/>
  <c r="AI28" i="4"/>
  <c r="E301" i="11"/>
  <c r="AI39" i="4"/>
  <c r="E304" i="9"/>
  <c r="Z42" i="4" s="1"/>
  <c r="Y42" i="4"/>
  <c r="E274" i="9"/>
  <c r="Z12" i="4" s="1"/>
  <c r="Y12" i="4"/>
  <c r="E286" i="9"/>
  <c r="Z24" i="4" s="1"/>
  <c r="Y24" i="4"/>
  <c r="E301" i="9"/>
  <c r="Z39" i="4" s="1"/>
  <c r="Y39" i="4"/>
  <c r="E292" i="9"/>
  <c r="Z30" i="4" s="1"/>
  <c r="Y30" i="4"/>
  <c r="E290" i="8"/>
  <c r="U28" i="4" s="1"/>
  <c r="T28" i="4"/>
  <c r="E274" i="8"/>
  <c r="U12" i="4" s="1"/>
  <c r="T12" i="4"/>
  <c r="E295" i="8"/>
  <c r="U33" i="4" s="1"/>
  <c r="T33" i="4"/>
  <c r="E267" i="8"/>
  <c r="U5" i="4" s="1"/>
  <c r="T5" i="4"/>
  <c r="E269" i="8"/>
  <c r="U7" i="4" s="1"/>
  <c r="T7" i="4"/>
  <c r="E300" i="7"/>
  <c r="P38" i="4" s="1"/>
  <c r="O38" i="4"/>
  <c r="E301" i="6"/>
  <c r="K39" i="4" s="1"/>
  <c r="J39" i="4"/>
  <c r="E288" i="7"/>
  <c r="P26" i="4" s="1"/>
  <c r="O26" i="4"/>
  <c r="E277" i="6"/>
  <c r="K15" i="4" s="1"/>
  <c r="J15" i="4"/>
  <c r="I227" i="5"/>
  <c r="H151" i="5"/>
  <c r="N141" i="5"/>
  <c r="N61" i="5"/>
  <c r="N66" i="5"/>
  <c r="N36" i="5"/>
  <c r="N51" i="5"/>
  <c r="K13" i="5"/>
  <c r="H21" i="5"/>
  <c r="N21" i="5" s="1"/>
  <c r="O21" i="5"/>
  <c r="H160" i="5"/>
  <c r="J13" i="5"/>
  <c r="E10" i="4"/>
  <c r="E272" i="3"/>
  <c r="F10" i="4" s="1"/>
  <c r="I103" i="5"/>
  <c r="K103" i="5"/>
  <c r="J103" i="5"/>
  <c r="L103" i="5"/>
  <c r="N212" i="5"/>
  <c r="N119" i="5"/>
  <c r="L158" i="5"/>
  <c r="N98" i="5"/>
  <c r="I221" i="5"/>
  <c r="H221" i="5"/>
  <c r="K167" i="5"/>
  <c r="J167" i="5"/>
  <c r="H167" i="5"/>
  <c r="J235" i="5"/>
  <c r="I235" i="5"/>
  <c r="H235" i="5"/>
  <c r="I209" i="5"/>
  <c r="H209" i="5"/>
  <c r="I205" i="5"/>
  <c r="H205" i="5"/>
  <c r="K205" i="5"/>
  <c r="J205" i="5"/>
  <c r="L205" i="5"/>
  <c r="L163" i="5"/>
  <c r="N79" i="5"/>
  <c r="K163" i="5"/>
  <c r="I85" i="5"/>
  <c r="N241" i="5"/>
  <c r="I52" i="5"/>
  <c r="K52" i="5"/>
  <c r="E276" i="3"/>
  <c r="F14" i="4" s="1"/>
  <c r="E14" i="4"/>
  <c r="E302" i="3"/>
  <c r="E40" i="4"/>
  <c r="H101" i="5"/>
  <c r="L101" i="5"/>
  <c r="K101" i="5"/>
  <c r="I101" i="5"/>
  <c r="H255" i="5"/>
  <c r="L255" i="5"/>
  <c r="H65" i="5"/>
  <c r="L65" i="5"/>
  <c r="K65" i="5"/>
  <c r="J65" i="5"/>
  <c r="H154" i="5"/>
  <c r="L154" i="5"/>
  <c r="K154" i="5"/>
  <c r="I154" i="5"/>
  <c r="E267" i="11"/>
  <c r="AI5" i="4"/>
  <c r="E273" i="10"/>
  <c r="AE11" i="4" s="1"/>
  <c r="AD11" i="4"/>
  <c r="E298" i="11"/>
  <c r="AI36" i="4"/>
  <c r="I273" i="5"/>
  <c r="H273" i="5"/>
  <c r="L273" i="5"/>
  <c r="K273" i="5"/>
  <c r="J273" i="5"/>
  <c r="E290" i="9"/>
  <c r="Z28" i="4" s="1"/>
  <c r="Y28" i="4"/>
  <c r="E272" i="9"/>
  <c r="Z10" i="4" s="1"/>
  <c r="Y10" i="4"/>
  <c r="E293" i="9"/>
  <c r="Z31" i="4" s="1"/>
  <c r="Y31" i="4"/>
  <c r="E297" i="8"/>
  <c r="U35" i="4" s="1"/>
  <c r="T35" i="4"/>
  <c r="E287" i="9"/>
  <c r="Z25" i="4" s="1"/>
  <c r="Y25" i="4"/>
  <c r="E272" i="7"/>
  <c r="P10" i="4" s="1"/>
  <c r="O10" i="4"/>
  <c r="E266" i="8"/>
  <c r="U4" i="4" s="1"/>
  <c r="T4" i="4"/>
  <c r="E277" i="7"/>
  <c r="P15" i="4" s="1"/>
  <c r="O15" i="4"/>
  <c r="H271" i="5"/>
  <c r="H280" i="5"/>
  <c r="E292" i="6"/>
  <c r="K30" i="4" s="1"/>
  <c r="J30" i="4"/>
  <c r="N177" i="5"/>
  <c r="N178" i="5"/>
  <c r="N71" i="5"/>
  <c r="J133" i="5"/>
  <c r="N99" i="5"/>
  <c r="N164" i="5"/>
  <c r="J160" i="5"/>
  <c r="N90" i="5"/>
  <c r="H11" i="5"/>
  <c r="H179" i="5"/>
  <c r="L115" i="5"/>
  <c r="N297" i="5"/>
  <c r="L130" i="5"/>
  <c r="H10" i="5"/>
  <c r="J272" i="5"/>
  <c r="I272" i="5"/>
  <c r="L272" i="5"/>
  <c r="K272" i="5"/>
  <c r="K218" i="5"/>
  <c r="J218" i="5"/>
  <c r="I218" i="5"/>
  <c r="L250" i="5"/>
  <c r="H250" i="5"/>
  <c r="K250" i="5"/>
  <c r="J250" i="5"/>
  <c r="I250" i="5"/>
  <c r="E19" i="4"/>
  <c r="E281" i="3"/>
  <c r="F19" i="4" s="1"/>
  <c r="H121" i="5"/>
  <c r="N121" i="5" s="1"/>
  <c r="L121" i="5"/>
  <c r="K121" i="5"/>
  <c r="I121" i="5"/>
  <c r="N125" i="5"/>
  <c r="E13" i="4"/>
  <c r="E275" i="3"/>
  <c r="F13" i="4" s="1"/>
  <c r="N214" i="5"/>
  <c r="N162" i="5"/>
  <c r="I242" i="5"/>
  <c r="H242" i="5"/>
  <c r="I76" i="5"/>
  <c r="H76" i="5"/>
  <c r="N76" i="5" s="1"/>
  <c r="K151" i="5"/>
  <c r="I285" i="5"/>
  <c r="H285" i="5"/>
  <c r="L285" i="5"/>
  <c r="J285" i="5"/>
  <c r="K285" i="5"/>
  <c r="J220" i="5"/>
  <c r="I220" i="5"/>
  <c r="H220" i="5"/>
  <c r="H64" i="5"/>
  <c r="E7" i="4"/>
  <c r="E269" i="3"/>
  <c r="F7" i="4" s="1"/>
  <c r="H37" i="5"/>
  <c r="I302" i="5"/>
  <c r="H302" i="5"/>
  <c r="N302" i="5" s="1"/>
  <c r="N82" i="5"/>
  <c r="K147" i="5"/>
  <c r="J147" i="5"/>
  <c r="H147" i="5"/>
  <c r="L226" i="5"/>
  <c r="K226" i="5"/>
  <c r="E304" i="10"/>
  <c r="AE42" i="4" s="1"/>
  <c r="AD42" i="4"/>
  <c r="E286" i="8"/>
  <c r="U24" i="4" s="1"/>
  <c r="T24" i="4"/>
  <c r="E291" i="6"/>
  <c r="K29" i="4" s="1"/>
  <c r="J29" i="4"/>
  <c r="E266" i="12"/>
  <c r="AN4" i="4"/>
  <c r="E279" i="11"/>
  <c r="AI17" i="4"/>
  <c r="E270" i="8"/>
  <c r="U8" i="4" s="1"/>
  <c r="T8" i="4"/>
  <c r="E299" i="8"/>
  <c r="U37" i="4" s="1"/>
  <c r="T37" i="4"/>
  <c r="E283" i="6"/>
  <c r="K21" i="4" s="1"/>
  <c r="J21" i="4"/>
  <c r="E276" i="7"/>
  <c r="P14" i="4" s="1"/>
  <c r="O14" i="4"/>
  <c r="E269" i="6"/>
  <c r="K7" i="4" s="1"/>
  <c r="J7" i="4"/>
  <c r="N308" i="5"/>
  <c r="H259" i="5"/>
  <c r="L184" i="5"/>
  <c r="N175" i="5"/>
  <c r="J185" i="5"/>
  <c r="H70" i="5"/>
  <c r="H184" i="5"/>
  <c r="E308" i="3"/>
  <c r="F46" i="4" s="1"/>
  <c r="E46" i="4"/>
  <c r="N18" i="5"/>
  <c r="N202" i="5"/>
  <c r="K160" i="5"/>
  <c r="J130" i="5"/>
  <c r="H132" i="5"/>
  <c r="N132" i="5" s="1"/>
  <c r="O132" i="5"/>
  <c r="N50" i="5"/>
  <c r="E6" i="4"/>
  <c r="E268" i="3"/>
  <c r="F6" i="4" s="1"/>
  <c r="H286" i="5"/>
  <c r="J286" i="5"/>
  <c r="I286" i="5"/>
  <c r="L286" i="5"/>
  <c r="K286" i="5"/>
  <c r="N243" i="5"/>
  <c r="N91" i="5"/>
  <c r="N134" i="5"/>
  <c r="N153" i="5"/>
  <c r="N87" i="5"/>
  <c r="L275" i="5"/>
  <c r="K275" i="5"/>
  <c r="J275" i="5"/>
  <c r="I275" i="5"/>
  <c r="H275" i="5"/>
  <c r="L106" i="5"/>
  <c r="K106" i="5"/>
  <c r="N106" i="5" s="1"/>
  <c r="I106" i="5"/>
  <c r="N63" i="5"/>
  <c r="N174" i="5"/>
  <c r="I40" i="5"/>
  <c r="N40" i="5" s="1"/>
  <c r="K40" i="5"/>
  <c r="L40" i="5"/>
  <c r="E30" i="4"/>
  <c r="E292" i="3"/>
  <c r="F30" i="4" s="1"/>
  <c r="N249" i="5"/>
  <c r="L166" i="5"/>
  <c r="K166" i="5"/>
  <c r="H166" i="5"/>
  <c r="N166" i="5" s="1"/>
  <c r="I97" i="5"/>
  <c r="N62" i="5"/>
  <c r="H215" i="5"/>
  <c r="K215" i="5"/>
  <c r="J215" i="5"/>
  <c r="L215" i="5"/>
  <c r="N161" i="5"/>
  <c r="N41" i="5"/>
  <c r="H19" i="5"/>
  <c r="J19" i="5"/>
  <c r="K19" i="5"/>
  <c r="J109" i="5"/>
  <c r="E274" i="11"/>
  <c r="AI12" i="4"/>
  <c r="E284" i="8"/>
  <c r="U22" i="4" s="1"/>
  <c r="T22" i="4"/>
  <c r="N103" i="5"/>
  <c r="J301" i="5"/>
  <c r="I301" i="5"/>
  <c r="H301" i="5"/>
  <c r="I70" i="5"/>
  <c r="L70" i="5"/>
  <c r="K70" i="5"/>
  <c r="H267" i="5"/>
  <c r="N267" i="5" s="1"/>
  <c r="O267" i="5"/>
  <c r="L233" i="5"/>
  <c r="K233" i="5"/>
  <c r="J233" i="5"/>
  <c r="I233" i="5"/>
  <c r="H233" i="5"/>
  <c r="E299" i="11"/>
  <c r="AI37" i="4"/>
  <c r="E289" i="11"/>
  <c r="AI27" i="4"/>
  <c r="E298" i="9"/>
  <c r="Z36" i="4" s="1"/>
  <c r="Y36" i="4"/>
  <c r="E277" i="9"/>
  <c r="Z15" i="4" s="1"/>
  <c r="Y15" i="4"/>
  <c r="E305" i="12"/>
  <c r="AN43" i="4"/>
  <c r="E292" i="11"/>
  <c r="AI30" i="4"/>
  <c r="E286" i="12"/>
  <c r="AN24" i="4"/>
  <c r="E309" i="11"/>
  <c r="AI47" i="4"/>
  <c r="E270" i="11"/>
  <c r="AI8" i="4"/>
  <c r="E298" i="12"/>
  <c r="AN36" i="4"/>
  <c r="E288" i="11"/>
  <c r="AI26" i="4"/>
  <c r="E276" i="9"/>
  <c r="Z14" i="4" s="1"/>
  <c r="Y14" i="4"/>
  <c r="E269" i="9"/>
  <c r="Z7" i="4" s="1"/>
  <c r="Y7" i="4"/>
  <c r="E293" i="8"/>
  <c r="U31" i="4" s="1"/>
  <c r="T31" i="4"/>
  <c r="E291" i="11"/>
  <c r="AI29" i="4"/>
  <c r="E308" i="11"/>
  <c r="AI46" i="4"/>
  <c r="E286" i="11"/>
  <c r="AI24" i="4"/>
  <c r="E309" i="10"/>
  <c r="AE47" i="4" s="1"/>
  <c r="AD47" i="4"/>
  <c r="E298" i="10"/>
  <c r="AE36" i="4" s="1"/>
  <c r="AD36" i="4"/>
  <c r="E280" i="9"/>
  <c r="Z18" i="4" s="1"/>
  <c r="Y18" i="4"/>
  <c r="E294" i="9"/>
  <c r="Z32" i="4" s="1"/>
  <c r="Y32" i="4"/>
  <c r="E292" i="8"/>
  <c r="U30" i="4" s="1"/>
  <c r="T30" i="4"/>
  <c r="E289" i="8"/>
  <c r="U27" i="4" s="1"/>
  <c r="T27" i="4"/>
  <c r="E274" i="7"/>
  <c r="P12" i="4" s="1"/>
  <c r="O12" i="4"/>
  <c r="E301" i="7"/>
  <c r="P39" i="4" s="1"/>
  <c r="O39" i="4"/>
  <c r="E276" i="6"/>
  <c r="K14" i="4" s="1"/>
  <c r="J14" i="4"/>
  <c r="E297" i="7"/>
  <c r="P35" i="4" s="1"/>
  <c r="O35" i="4"/>
  <c r="K280" i="5"/>
  <c r="L277" i="5"/>
  <c r="N305" i="5"/>
  <c r="O229" i="5"/>
  <c r="H229" i="5"/>
  <c r="N225" i="5"/>
  <c r="N69" i="5"/>
  <c r="L151" i="5"/>
  <c r="L88" i="5"/>
  <c r="H57" i="5"/>
  <c r="N57" i="5" s="1"/>
  <c r="O57" i="5"/>
  <c r="H116" i="5"/>
  <c r="I67" i="5"/>
  <c r="L67" i="5"/>
  <c r="K67" i="5"/>
  <c r="I58" i="5"/>
  <c r="N12" i="5"/>
  <c r="H149" i="5"/>
  <c r="L149" i="5"/>
  <c r="J289" i="5"/>
  <c r="H289" i="5"/>
  <c r="I289" i="5"/>
  <c r="H145" i="5"/>
  <c r="J145" i="5"/>
  <c r="L145" i="5"/>
  <c r="K145" i="5"/>
  <c r="E23" i="4"/>
  <c r="E285" i="3"/>
  <c r="F23" i="4" s="1"/>
  <c r="N75" i="5"/>
  <c r="L13" i="5"/>
  <c r="H298" i="5"/>
  <c r="L298" i="5"/>
  <c r="K298" i="5"/>
  <c r="J298" i="5"/>
  <c r="I298" i="5"/>
  <c r="E33" i="4"/>
  <c r="E295" i="3"/>
  <c r="K295" i="5"/>
  <c r="J295" i="5"/>
  <c r="N295" i="5" s="1"/>
  <c r="L295" i="5"/>
  <c r="H219" i="5"/>
  <c r="J219" i="5"/>
  <c r="I219" i="5"/>
  <c r="L42" i="5"/>
  <c r="K42" i="5"/>
  <c r="I42" i="5"/>
  <c r="J208" i="5"/>
  <c r="I208" i="5"/>
  <c r="H208" i="5"/>
  <c r="E273" i="11"/>
  <c r="AI11" i="4"/>
  <c r="E276" i="11"/>
  <c r="AI14" i="4"/>
  <c r="E292" i="10"/>
  <c r="AE30" i="4" s="1"/>
  <c r="AD30" i="4"/>
  <c r="E291" i="10"/>
  <c r="AE29" i="4" s="1"/>
  <c r="AD29" i="4"/>
  <c r="E266" i="10"/>
  <c r="AE4" i="4" s="1"/>
  <c r="AD4" i="4"/>
  <c r="E302" i="10"/>
  <c r="AE40" i="4" s="1"/>
  <c r="AD40" i="4"/>
  <c r="E271" i="9"/>
  <c r="Z9" i="4" s="1"/>
  <c r="Y9" i="4"/>
  <c r="E284" i="9"/>
  <c r="Z22" i="4" s="1"/>
  <c r="Y22" i="4"/>
  <c r="E295" i="7"/>
  <c r="P33" i="4" s="1"/>
  <c r="O33" i="4"/>
  <c r="E298" i="8"/>
  <c r="U36" i="4" s="1"/>
  <c r="T36" i="4"/>
  <c r="E282" i="8"/>
  <c r="U20" i="4" s="1"/>
  <c r="T20" i="4"/>
  <c r="E305" i="7"/>
  <c r="P43" i="4" s="1"/>
  <c r="O43" i="4"/>
  <c r="E307" i="6"/>
  <c r="K45" i="4" s="1"/>
  <c r="J45" i="4"/>
  <c r="H248" i="5"/>
  <c r="I271" i="5"/>
  <c r="H272" i="5"/>
  <c r="O272" i="5"/>
  <c r="O181" i="5"/>
  <c r="H181" i="5"/>
  <c r="O194" i="5"/>
  <c r="H194" i="5"/>
  <c r="H163" i="5"/>
  <c r="N294" i="5"/>
  <c r="N128" i="5"/>
  <c r="N68" i="5"/>
  <c r="I151" i="5"/>
  <c r="K133" i="5"/>
  <c r="N59" i="5"/>
  <c r="N49" i="5"/>
  <c r="N200" i="5"/>
  <c r="N148" i="5"/>
  <c r="N7" i="5"/>
  <c r="H191" i="5"/>
  <c r="K191" i="5"/>
  <c r="J191" i="5"/>
  <c r="L191" i="5"/>
  <c r="F41" i="4"/>
  <c r="O17" i="1"/>
  <c r="N93" i="5"/>
  <c r="L257" i="5"/>
  <c r="J257" i="5"/>
  <c r="H203" i="5"/>
  <c r="K203" i="5"/>
  <c r="J203" i="5"/>
  <c r="L203" i="5"/>
  <c r="N30" i="5"/>
  <c r="I253" i="5"/>
  <c r="H253" i="5"/>
  <c r="E16" i="4"/>
  <c r="E278" i="3"/>
  <c r="F16" i="4" s="1"/>
  <c r="N53" i="5"/>
  <c r="L202" i="5"/>
  <c r="K202" i="5"/>
  <c r="K16" i="5"/>
  <c r="N60" i="5"/>
  <c r="H22" i="5"/>
  <c r="K22" i="5"/>
  <c r="E32" i="4"/>
  <c r="E294" i="3"/>
  <c r="H247" i="5"/>
  <c r="L247" i="5"/>
  <c r="K247" i="5"/>
  <c r="J247" i="5"/>
  <c r="N234" i="5"/>
  <c r="K244" i="5"/>
  <c r="J244" i="5"/>
  <c r="I244" i="5"/>
  <c r="H262" i="5"/>
  <c r="I262" i="5"/>
  <c r="L262" i="5"/>
  <c r="K262" i="5"/>
  <c r="J262" i="5"/>
  <c r="E283" i="11"/>
  <c r="AI21" i="4"/>
  <c r="E299" i="12"/>
  <c r="AN37" i="4"/>
  <c r="E281" i="11"/>
  <c r="AI19" i="4"/>
  <c r="E296" i="12"/>
  <c r="AN34" i="4"/>
  <c r="E307" i="11"/>
  <c r="AI45" i="4"/>
  <c r="E307" i="10"/>
  <c r="AE45" i="4" s="1"/>
  <c r="AD45" i="4"/>
  <c r="E270" i="10"/>
  <c r="AE8" i="4" s="1"/>
  <c r="AD8" i="4"/>
  <c r="E268" i="11"/>
  <c r="AI6" i="4"/>
  <c r="E303" i="10"/>
  <c r="AE41" i="4" s="1"/>
  <c r="AD41" i="4"/>
  <c r="E266" i="9"/>
  <c r="Z4" i="4" s="1"/>
  <c r="Y4" i="4"/>
  <c r="E275" i="9"/>
  <c r="Z13" i="4" s="1"/>
  <c r="Y13" i="4"/>
  <c r="E288" i="9"/>
  <c r="Z26" i="4" s="1"/>
  <c r="Y26" i="4"/>
  <c r="E305" i="8"/>
  <c r="U43" i="4" s="1"/>
  <c r="T43" i="4"/>
  <c r="E286" i="7"/>
  <c r="P24" i="4" s="1"/>
  <c r="O24" i="4"/>
  <c r="E302" i="7"/>
  <c r="P40" i="4" s="1"/>
  <c r="O40" i="4"/>
  <c r="E273" i="7"/>
  <c r="P11" i="4" s="1"/>
  <c r="O11" i="4"/>
  <c r="E304" i="7"/>
  <c r="P42" i="4" s="1"/>
  <c r="O42" i="4"/>
  <c r="E305" i="6"/>
  <c r="K43" i="4" s="1"/>
  <c r="J43" i="4"/>
  <c r="E282" i="7"/>
  <c r="P20" i="4" s="1"/>
  <c r="O20" i="4"/>
  <c r="O278" i="5"/>
  <c r="H278" i="5"/>
  <c r="N278" i="5" s="1"/>
  <c r="N293" i="5"/>
  <c r="K301" i="5"/>
  <c r="J292" i="5"/>
  <c r="N268" i="5"/>
  <c r="E272" i="6"/>
  <c r="K10" i="4" s="1"/>
  <c r="J10" i="4"/>
  <c r="I155" i="5"/>
  <c r="N108" i="5"/>
  <c r="N52" i="5"/>
  <c r="J115" i="5"/>
  <c r="N115" i="5" s="1"/>
  <c r="I10" i="5"/>
  <c r="N300" i="5"/>
  <c r="H97" i="5"/>
  <c r="N16" i="5"/>
  <c r="N96" i="5"/>
  <c r="L37" i="5"/>
  <c r="J37" i="5"/>
  <c r="N254" i="5"/>
  <c r="I146" i="5"/>
  <c r="N146" i="5" s="1"/>
  <c r="K146" i="5"/>
  <c r="I100" i="5"/>
  <c r="H100" i="5"/>
  <c r="K100" i="5"/>
  <c r="J100" i="5"/>
  <c r="L100" i="5"/>
  <c r="L270" i="5"/>
  <c r="N270" i="5" s="1"/>
  <c r="K270" i="5"/>
  <c r="E4" i="4"/>
  <c r="E266" i="3"/>
  <c r="F4" i="4" s="1"/>
  <c r="I13" i="5"/>
  <c r="N13" i="5" s="1"/>
  <c r="E15" i="4"/>
  <c r="E277" i="3"/>
  <c r="F15" i="4" s="1"/>
  <c r="I191" i="5"/>
  <c r="E37" i="4"/>
  <c r="E299" i="3"/>
  <c r="K34" i="5"/>
  <c r="H34" i="5"/>
  <c r="K73" i="5"/>
  <c r="L73" i="5"/>
  <c r="J73" i="5"/>
  <c r="I73" i="5"/>
  <c r="K170" i="5"/>
  <c r="J170" i="5"/>
  <c r="H170" i="5"/>
  <c r="I170" i="5"/>
  <c r="L58" i="5"/>
  <c r="H274" i="5"/>
  <c r="L274" i="5"/>
  <c r="K274" i="5"/>
  <c r="J274" i="5"/>
  <c r="I274" i="5"/>
  <c r="J43" i="5"/>
  <c r="K43" i="5"/>
  <c r="I43" i="5"/>
  <c r="H43" i="5"/>
  <c r="N131" i="5"/>
  <c r="I157" i="5"/>
  <c r="H157" i="5"/>
  <c r="J157" i="5"/>
  <c r="L157" i="5"/>
  <c r="K157" i="5"/>
  <c r="K139" i="5"/>
  <c r="N139" i="5" s="1"/>
  <c r="J139" i="5"/>
  <c r="J88" i="5"/>
  <c r="E18" i="4"/>
  <c r="E280" i="3"/>
  <c r="F18" i="4" s="1"/>
  <c r="H183" i="5"/>
  <c r="J183" i="5"/>
  <c r="I183" i="5"/>
  <c r="K183" i="5"/>
  <c r="E308" i="12"/>
  <c r="AN46" i="4"/>
  <c r="E305" i="10"/>
  <c r="AE43" i="4" s="1"/>
  <c r="AD43" i="4"/>
  <c r="E287" i="12"/>
  <c r="AN25" i="4"/>
  <c r="E303" i="11"/>
  <c r="AI41" i="4"/>
  <c r="E294" i="12"/>
  <c r="AN32" i="4"/>
  <c r="E281" i="12"/>
  <c r="AN19" i="4"/>
  <c r="E269" i="12"/>
  <c r="AN7" i="4"/>
  <c r="E306" i="11"/>
  <c r="AI44" i="4"/>
  <c r="E287" i="10"/>
  <c r="AE25" i="4" s="1"/>
  <c r="AD25" i="4"/>
  <c r="E275" i="10"/>
  <c r="AE13" i="4" s="1"/>
  <c r="AD13" i="4"/>
  <c r="E297" i="9"/>
  <c r="Z35" i="4" s="1"/>
  <c r="Y35" i="4"/>
  <c r="E273" i="8"/>
  <c r="U11" i="4" s="1"/>
  <c r="T11" i="4"/>
  <c r="E272" i="8"/>
  <c r="U10" i="4" s="1"/>
  <c r="T10" i="4"/>
  <c r="E304" i="8"/>
  <c r="U42" i="4" s="1"/>
  <c r="T42" i="4"/>
  <c r="E302" i="8"/>
  <c r="U40" i="4" s="1"/>
  <c r="T40" i="4"/>
  <c r="E298" i="7"/>
  <c r="P36" i="4" s="1"/>
  <c r="O36" i="4"/>
  <c r="E283" i="7"/>
  <c r="P21" i="4" s="1"/>
  <c r="O21" i="4"/>
  <c r="E279" i="6"/>
  <c r="K17" i="4" s="1"/>
  <c r="J17" i="4"/>
  <c r="N258" i="5"/>
  <c r="H284" i="5"/>
  <c r="K265" i="5"/>
  <c r="N213" i="5"/>
  <c r="N223" i="5"/>
  <c r="L160" i="5"/>
  <c r="H292" i="5"/>
  <c r="N111" i="5"/>
  <c r="N126" i="5"/>
  <c r="J85" i="5"/>
  <c r="J136" i="5"/>
  <c r="N26" i="5"/>
  <c r="O45" i="5"/>
  <c r="H45" i="5"/>
  <c r="N45" i="5" s="1"/>
  <c r="F39" i="4"/>
  <c r="O19" i="1"/>
  <c r="I28" i="5"/>
  <c r="N28" i="5" s="1"/>
  <c r="L28" i="5"/>
  <c r="K28" i="5"/>
  <c r="J196" i="5"/>
  <c r="I196" i="5"/>
  <c r="H196" i="5"/>
  <c r="K118" i="5"/>
  <c r="I118" i="5"/>
  <c r="N118" i="5" s="1"/>
  <c r="I266" i="5"/>
  <c r="H266" i="5"/>
  <c r="J58" i="5"/>
  <c r="I11" i="5"/>
  <c r="J34" i="5"/>
  <c r="L282" i="5"/>
  <c r="K282" i="5"/>
  <c r="N282" i="5" s="1"/>
  <c r="J64" i="5"/>
  <c r="E12" i="4"/>
  <c r="E274" i="3"/>
  <c r="F12" i="4" s="1"/>
  <c r="K124" i="5"/>
  <c r="I124" i="5"/>
  <c r="N124" i="5" s="1"/>
  <c r="N56" i="5"/>
  <c r="E296" i="3"/>
  <c r="E34" i="4"/>
  <c r="K238" i="5"/>
  <c r="H238" i="5"/>
  <c r="N238" i="5" s="1"/>
  <c r="N195" i="5"/>
  <c r="H245" i="5"/>
  <c r="I245" i="5"/>
  <c r="L245" i="5"/>
  <c r="J245" i="5"/>
  <c r="J46" i="5"/>
  <c r="I251" i="5"/>
  <c r="H251" i="5"/>
  <c r="K251" i="5"/>
  <c r="J251" i="5"/>
  <c r="L251" i="5"/>
  <c r="I197" i="5"/>
  <c r="H197" i="5"/>
  <c r="N171" i="5"/>
  <c r="J116" i="5"/>
  <c r="J22" i="5"/>
  <c r="N240" i="5"/>
  <c r="O91" i="5"/>
  <c r="I172" i="5"/>
  <c r="N172" i="5" s="1"/>
  <c r="J172" i="5"/>
  <c r="H114" i="5"/>
  <c r="L114" i="5"/>
  <c r="K114" i="5"/>
  <c r="K55" i="5"/>
  <c r="J55" i="5"/>
  <c r="H55" i="5"/>
  <c r="N137" i="5"/>
  <c r="H9" i="5"/>
  <c r="L9" i="5"/>
  <c r="K9" i="5"/>
  <c r="I9" i="5"/>
  <c r="E274" i="12"/>
  <c r="AN12" i="4"/>
  <c r="E284" i="12"/>
  <c r="AN22" i="4"/>
  <c r="E302" i="12"/>
  <c r="AN40" i="4"/>
  <c r="E285" i="11"/>
  <c r="AI23" i="4"/>
  <c r="E271" i="12"/>
  <c r="AN9" i="4"/>
  <c r="E294" i="11"/>
  <c r="AI32" i="4"/>
  <c r="E300" i="11"/>
  <c r="AI38" i="4"/>
  <c r="E299" i="10"/>
  <c r="AE37" i="4" s="1"/>
  <c r="AD37" i="4"/>
  <c r="E280" i="10"/>
  <c r="AE18" i="4" s="1"/>
  <c r="AD18" i="4"/>
  <c r="E269" i="11"/>
  <c r="AI7" i="4"/>
  <c r="E294" i="10"/>
  <c r="AE32" i="4" s="1"/>
  <c r="AD32" i="4"/>
  <c r="E282" i="10"/>
  <c r="AE20" i="4" s="1"/>
  <c r="AD20" i="4"/>
  <c r="E301" i="10"/>
  <c r="AE39" i="4" s="1"/>
  <c r="AD39" i="4"/>
  <c r="E305" i="9"/>
  <c r="Z43" i="4" s="1"/>
  <c r="Y43" i="4"/>
  <c r="E268" i="8"/>
  <c r="U6" i="4" s="1"/>
  <c r="T6" i="4"/>
  <c r="E287" i="8"/>
  <c r="U25" i="4" s="1"/>
  <c r="T25" i="4"/>
  <c r="E276" i="8"/>
  <c r="U14" i="4" s="1"/>
  <c r="T14" i="4"/>
  <c r="E279" i="7"/>
  <c r="P17" i="4" s="1"/>
  <c r="O17" i="4"/>
  <c r="E298" i="6"/>
  <c r="K36" i="4" s="1"/>
  <c r="J36" i="4"/>
  <c r="E295" i="6"/>
  <c r="K33" i="4" s="1"/>
  <c r="J33" i="4"/>
  <c r="E274" i="6"/>
  <c r="K12" i="4" s="1"/>
  <c r="J12" i="4"/>
  <c r="N304" i="5"/>
  <c r="E293" i="6"/>
  <c r="K31" i="4" s="1"/>
  <c r="J31" i="4"/>
  <c r="L287" i="5"/>
  <c r="N281" i="5"/>
  <c r="N199" i="5"/>
  <c r="O217" i="5"/>
  <c r="H217" i="5"/>
  <c r="N165" i="5"/>
  <c r="N107" i="5"/>
  <c r="N42" i="5"/>
  <c r="L239" i="5"/>
  <c r="N95" i="5"/>
  <c r="N188" i="5"/>
  <c r="L185" i="5"/>
  <c r="N264" i="5"/>
  <c r="K185" i="5"/>
  <c r="L194" i="5"/>
  <c r="N94" i="5"/>
  <c r="K88" i="5"/>
  <c r="F35" i="4"/>
  <c r="O23" i="1"/>
  <c r="L232" i="5"/>
  <c r="K232" i="5"/>
  <c r="J232" i="5"/>
  <c r="I232" i="5"/>
  <c r="N232" i="5" s="1"/>
  <c r="L263" i="5"/>
  <c r="H263" i="5"/>
  <c r="K263" i="5"/>
  <c r="J263" i="5"/>
  <c r="K299" i="5"/>
  <c r="J299" i="5"/>
  <c r="I299" i="5"/>
  <c r="H299" i="5"/>
  <c r="L142" i="5"/>
  <c r="K142" i="5"/>
  <c r="I142" i="5"/>
  <c r="N142" i="5" s="1"/>
  <c r="J307" i="5"/>
  <c r="L307" i="5"/>
  <c r="N32" i="5"/>
  <c r="I181" i="5"/>
  <c r="L181" i="5"/>
  <c r="J181" i="5"/>
  <c r="N288" i="5"/>
  <c r="L46" i="5"/>
  <c r="N14" i="5"/>
  <c r="E267" i="3"/>
  <c r="F5" i="4" s="1"/>
  <c r="E5" i="4"/>
  <c r="K112" i="5"/>
  <c r="J112" i="5"/>
  <c r="I112" i="5"/>
  <c r="N112" i="5" s="1"/>
  <c r="N138" i="5"/>
  <c r="N173" i="5"/>
  <c r="K46" i="5"/>
  <c r="N46" i="5" s="1"/>
  <c r="J97" i="5"/>
  <c r="J296" i="5"/>
  <c r="I296" i="5"/>
  <c r="L296" i="5"/>
  <c r="K296" i="5"/>
  <c r="I37" i="5"/>
  <c r="N39" i="5"/>
  <c r="E22" i="4"/>
  <c r="E284" i="3"/>
  <c r="F22" i="4" s="1"/>
  <c r="K283" i="5"/>
  <c r="J283" i="5"/>
  <c r="L283" i="5"/>
  <c r="N253" i="5" l="1"/>
  <c r="N58" i="5"/>
  <c r="N10" i="5"/>
  <c r="N236" i="5"/>
  <c r="N283" i="5"/>
  <c r="N226" i="5"/>
  <c r="N29" i="5"/>
  <c r="N182" i="5"/>
  <c r="N197" i="5"/>
  <c r="N73" i="5"/>
  <c r="N191" i="5"/>
  <c r="N67" i="5"/>
  <c r="N116" i="5"/>
  <c r="N179" i="5"/>
  <c r="N307" i="5"/>
  <c r="N244" i="5"/>
  <c r="N235" i="5"/>
  <c r="N275" i="5"/>
  <c r="N155" i="5"/>
  <c r="N256" i="5"/>
  <c r="N114" i="5"/>
  <c r="N257" i="5"/>
  <c r="N296" i="5"/>
  <c r="N284" i="5"/>
  <c r="N272" i="5"/>
  <c r="N149" i="5"/>
  <c r="N229" i="5"/>
  <c r="N221" i="5"/>
  <c r="N251" i="5"/>
  <c r="N266" i="5"/>
  <c r="N34" i="5"/>
  <c r="N97" i="5"/>
  <c r="N262" i="5"/>
  <c r="N22" i="5"/>
  <c r="N163" i="5"/>
  <c r="N208" i="5"/>
  <c r="F33" i="4"/>
  <c r="O25" i="1"/>
  <c r="N147" i="5"/>
  <c r="N101" i="5"/>
  <c r="N151" i="5"/>
  <c r="N31" i="5"/>
  <c r="N130" i="5"/>
  <c r="N250" i="5"/>
  <c r="N274" i="5"/>
  <c r="F37" i="4"/>
  <c r="O21" i="1"/>
  <c r="N203" i="5"/>
  <c r="N145" i="5"/>
  <c r="N154" i="5"/>
  <c r="F40" i="4"/>
  <c r="O18" i="1"/>
  <c r="N160" i="5"/>
  <c r="N193" i="5"/>
  <c r="F36" i="4"/>
  <c r="O22" i="1"/>
  <c r="N273" i="5"/>
  <c r="N205" i="5"/>
  <c r="N265" i="5"/>
  <c r="N227" i="5"/>
  <c r="N88" i="5"/>
  <c r="F34" i="4"/>
  <c r="O24" i="1"/>
  <c r="N157" i="5"/>
  <c r="N181" i="5"/>
  <c r="N9" i="5"/>
  <c r="N196" i="5"/>
  <c r="N289" i="5"/>
  <c r="N19" i="5"/>
  <c r="N285" i="5"/>
  <c r="N11" i="5"/>
  <c r="N230" i="5"/>
  <c r="N85" i="5"/>
  <c r="N263" i="5"/>
  <c r="N100" i="5"/>
  <c r="N170" i="5"/>
  <c r="N301" i="5"/>
  <c r="N286" i="5"/>
  <c r="N184" i="5"/>
  <c r="N280" i="5"/>
  <c r="N209" i="5"/>
  <c r="F31" i="4"/>
  <c r="O27" i="1"/>
  <c r="N158" i="5"/>
  <c r="N55" i="5"/>
  <c r="N245" i="5"/>
  <c r="N183" i="5"/>
  <c r="N43" i="5"/>
  <c r="N298" i="5"/>
  <c r="N70" i="5"/>
  <c r="N37" i="5"/>
  <c r="N65" i="5"/>
  <c r="N287" i="5"/>
  <c r="N237" i="5"/>
  <c r="N185" i="5"/>
  <c r="N136" i="5"/>
  <c r="N292" i="5"/>
  <c r="N233" i="5"/>
  <c r="N271" i="5"/>
  <c r="N277" i="5"/>
  <c r="N194" i="5"/>
  <c r="N299" i="5"/>
  <c r="N247" i="5"/>
  <c r="N248" i="5"/>
  <c r="N219" i="5"/>
  <c r="N255" i="5"/>
  <c r="N109" i="5"/>
  <c r="N239" i="5"/>
  <c r="F32" i="4"/>
  <c r="O26" i="1"/>
  <c r="N64" i="5"/>
  <c r="N242" i="5"/>
  <c r="N218" i="5"/>
  <c r="N276" i="5"/>
  <c r="N206" i="5"/>
  <c r="N217" i="5"/>
  <c r="N215" i="5"/>
  <c r="N259" i="5"/>
  <c r="N220" i="5"/>
  <c r="N167" i="5"/>
  <c r="F42" i="4"/>
  <c r="O16" i="1"/>
  <c r="N290" i="5"/>
  <c r="N133" i="5"/>
</calcChain>
</file>

<file path=xl/sharedStrings.xml><?xml version="1.0" encoding="utf-8"?>
<sst xmlns="http://schemas.openxmlformats.org/spreadsheetml/2006/main" count="165" uniqueCount="73">
  <si>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</si>
  <si>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</si>
  <si>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</si>
  <si>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</si>
  <si>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</si>
  <si>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</si>
  <si>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</si>
  <si>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</si>
  <si>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</si>
  <si>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</si>
  <si>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</si>
  <si>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</si>
  <si>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</si>
  <si>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</si>
  <si>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</si>
  <si>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</si>
  <si>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</si>
  <si>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</si>
  <si>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</si>
  <si>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</si>
  <si>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</si>
  <si>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</si>
  <si>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</si>
  <si>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</si>
  <si>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</si>
  <si>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A072RC1Q156SBEA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</si>
  <si>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</si>
  <si>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</si>
  <si>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</si>
  <si>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</si>
  <si>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</si>
  <si>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</si>
  <si>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</si>
  <si>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</si>
  <si>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</si>
  <si>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</si>
  <si>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</si>
  <si>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</si>
  <si>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</si>
  <si>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</si>
  <si>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</si>
  <si>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</si>
  <si>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</si>
  <si>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</si>
  <si>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</si>
  <si>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</si>
  <si>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</si>
  <si>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</si>
  <si>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</si>
  <si>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</si>
  <si>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</si>
  <si>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</si>
  <si>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</si>
  <si>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</si>
  <si>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</si>
  <si>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</si>
  <si>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</si>
  <si>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</si>
  <si>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</si>
  <si>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</si>
  <si>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</si>
  <si>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</si>
  <si>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</si>
  <si>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</si>
  <si>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</si>
  <si>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</si>
  <si>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</si>
  <si>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</si>
  <si>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</si>
  <si>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</si>
  <si>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</si>
  <si>
    <t>Personal Saving as % of Disposable Personal Income</t>
  </si>
  <si>
    <t>https://fred.stlouisfed.org/series/A072RC1Q156SBEA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</si>
</sst>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mm/dd/yyyy"/>
    <numFmt numFmtId="166" formatCode="0.0"/>
    <numFmt numFmtId="167" formatCode="[$-409]mmm\-yy;@"/>
    <numFmt numFmtId="168" formatCode="dd\-mm\-yyyy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3">
    <xf numFmtId="0" fontId="0" fillId="0" borderId="0" xfId="0"/>
    <xf numFmtId="0" fontId="5" fillId="0" borderId="0" xfId="2"/>
    <xf numFmtId="3" fontId="8" fillId="0" borderId="1" xfId="0" applyNumberFormat="1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1" xfId="0" applyNumberFormat="1" applyFont="1" applyBorder="1" applyAlignment="1">
      <alignment horizontal="center" vertical="center"/>
    </xf>
    <xf numFmtId="10" fontId="9" fillId="0" borderId="1" xfId="0" applyNumberFormat="1" applyFont="1" applyBorder="1" applyAlignment="1">
      <alignment horizontal="center" vertical="center"/>
    </xf>
    <xf numFmtId="0" fontId="7" fillId="3" borderId="0" xfId="0" applyFont="1" applyFill="1"/>
    <xf numFmtId="0" fontId="15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0" fontId="0" fillId="3" borderId="1" xfId="0" applyFill="1" applyBorder="1" applyAlignment="1">
      <alignment horizontal="center" wrapText="1"/>
    </xf>
    <xf numFmtId="3" fontId="0" fillId="3" borderId="0" xfId="0" applyNumberFormat="1" applyFill="1"/>
    <xf numFmtId="3" fontId="0" fillId="3" borderId="1" xfId="0" applyNumberFormat="1" applyFill="1" applyBorder="1" applyAlignment="1">
      <alignment horizontal="center" wrapText="1"/>
    </xf>
    <xf numFmtId="3" fontId="0" fillId="3" borderId="1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0" xfId="0" applyNumberFormat="1" applyFont="1" applyBorder="1" applyAlignment="1">
      <alignment horizontal="center" vertical="center"/>
    </xf>
    <xf numFmtId="10" fontId="8" fillId="0" borderId="10" xfId="0" applyNumberFormat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17" fontId="2" fillId="5" borderId="14" xfId="0" applyNumberFormat="1" applyFont="1" applyFill="1" applyBorder="1" applyAlignment="1">
      <alignment horizontal="center"/>
    </xf>
    <xf numFmtId="17" fontId="2" fillId="5" borderId="15" xfId="0" applyNumberFormat="1" applyFont="1" applyFill="1" applyBorder="1" applyAlignment="1">
      <alignment horizontal="center"/>
    </xf>
    <xf numFmtId="17" fontId="2" fillId="5" borderId="16" xfId="0" applyNumberFormat="1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0" fontId="0" fillId="4" borderId="3" xfId="0" applyNumberFormat="1" applyFill="1" applyBorder="1" applyAlignment="1">
      <alignment horizontal="center" vertical="center" wrapText="1"/>
    </xf>
    <xf numFmtId="2" fontId="0" fillId="4" borderId="3" xfId="0" applyNumberForma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17" fillId="3" borderId="0" xfId="0" applyFont="1" applyFill="1"/>
    <xf numFmtId="0" fontId="13" fillId="4" borderId="18" xfId="0" applyFont="1" applyFill="1" applyBorder="1" applyAlignment="1">
      <alignment horizontal="center" vertical="center"/>
    </xf>
    <xf numFmtId="10" fontId="13" fillId="4" borderId="19" xfId="0" applyNumberFormat="1" applyFont="1" applyFill="1" applyBorder="1" applyAlignment="1">
      <alignment horizontal="center" vertical="center"/>
    </xf>
    <xf numFmtId="2" fontId="13" fillId="4" borderId="19" xfId="0" applyNumberFormat="1" applyFont="1" applyFill="1" applyBorder="1" applyAlignment="1">
      <alignment horizontal="center" vertical="center"/>
    </xf>
    <xf numFmtId="0" fontId="13" fillId="4" borderId="20" xfId="0" applyFont="1" applyFill="1" applyBorder="1" applyAlignment="1">
      <alignment horizontal="center" vertical="center"/>
    </xf>
    <xf numFmtId="14" fontId="0" fillId="3" borderId="21" xfId="0" applyNumberFormat="1" applyFill="1" applyBorder="1" applyAlignment="1">
      <alignment horizontal="center"/>
    </xf>
    <xf numFmtId="10" fontId="0" fillId="3" borderId="21" xfId="0" applyNumberFormat="1" applyFill="1" applyBorder="1" applyAlignment="1">
      <alignment horizontal="center" vertical="center"/>
    </xf>
    <xf numFmtId="10" fontId="0" fillId="3" borderId="21" xfId="0" applyNumberFormat="1" applyFill="1" applyBorder="1" applyAlignment="1">
      <alignment horizontal="center"/>
    </xf>
    <xf numFmtId="164" fontId="0" fillId="3" borderId="17" xfId="8" applyNumberFormat="1" applyFont="1" applyFill="1" applyBorder="1" applyAlignment="1">
      <alignment horizontal="center"/>
    </xf>
    <xf numFmtId="164" fontId="0" fillId="5" borderId="13" xfId="8" applyNumberFormat="1" applyFont="1" applyFill="1" applyBorder="1" applyAlignment="1">
      <alignment horizontal="center"/>
    </xf>
    <xf numFmtId="164" fontId="0" fillId="3" borderId="1" xfId="8" applyNumberFormat="1" applyFont="1" applyFill="1" applyBorder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166" fontId="3" fillId="6" borderId="0" xfId="0" applyNumberFormat="1" applyFont="1" applyFill="1" applyAlignment="1">
      <alignment horizontal="center" vertical="center"/>
    </xf>
    <xf numFmtId="166" fontId="13" fillId="4" borderId="19" xfId="0" applyNumberFormat="1" applyFon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21" xfId="0" applyNumberFormat="1" applyFill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9" fillId="0" borderId="1" xfId="0" applyNumberFormat="1" applyFont="1" applyBorder="1" applyAlignment="1">
      <alignment vertical="center"/>
    </xf>
    <xf numFmtId="166" fontId="3" fillId="3" borderId="0" xfId="0" applyNumberFormat="1" applyFont="1" applyFill="1" applyAlignment="1">
      <alignment horizontal="center" vertical="center"/>
    </xf>
    <xf numFmtId="165" fontId="0" fillId="3" borderId="0" xfId="0" applyNumberFormat="1" applyFill="1"/>
    <xf numFmtId="166" fontId="0" fillId="3" borderId="0" xfId="0" applyNumberFormat="1" applyFill="1"/>
    <xf numFmtId="166" fontId="0" fillId="4" borderId="3" xfId="0" applyNumberFormat="1" applyFill="1" applyBorder="1" applyAlignment="1">
      <alignment horizontal="center" vertical="center" wrapText="1"/>
    </xf>
    <xf numFmtId="165" fontId="1" fillId="3" borderId="0" xfId="0" applyNumberFormat="1" applyFont="1" applyFill="1"/>
    <xf numFmtId="166" fontId="0" fillId="3" borderId="0" xfId="0" applyNumberFormat="1" applyFill="1" applyAlignment="1">
      <alignment horizontal="center" vertical="center"/>
    </xf>
    <xf numFmtId="165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5" fillId="3" borderId="0" xfId="2" applyFill="1"/>
    <xf numFmtId="168" fontId="0" fillId="0" borderId="0" xfId="0" applyNumberFormat="1"/>
    <xf numFmtId="0" fontId="2" fillId="5" borderId="1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3" borderId="5" xfId="0" applyFont="1" applyFill="1" applyBorder="1" applyAlignment="1">
      <alignment horizontal="center" vertical="center"/>
    </xf>
    <xf numFmtId="0" fontId="0" fillId="3" borderId="0" xfId="0" applyFill="1"/>
    <xf numFmtId="0" fontId="0" fillId="0" borderId="5" xfId="0" applyBorder="1"/>
    <xf numFmtId="0" fontId="13" fillId="4" borderId="22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14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5" fillId="3" borderId="0" xfId="2" applyFill="1"/>
    <xf numFmtId="0" fontId="16" fillId="4" borderId="22" xfId="0" applyFont="1" applyFill="1" applyBorder="1" applyAlignment="1">
      <alignment horizontal="center"/>
    </xf>
    <xf numFmtId="0" fontId="16" fillId="2" borderId="22" xfId="0" applyFont="1" applyFill="1" applyBorder="1" applyAlignment="1">
      <alignment horizontal="center"/>
    </xf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cent" xfId="8" builtinId="5"/>
  </cellStyles>
  <dxfs count="96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9BC2E6"/>
        </bottom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strike val="0"/>
        <condense val="0"/>
        <extend val="0"/>
        <outline val="0"/>
        <shadow val="0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GDP'!$A$7:$A$310</c:f>
              <c:numCache>
                <c:formatCode>m/d/yyyy</c:formatCode>
                <c:ptCount val="304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  <c:pt idx="298">
                  <c:v>44470</c:v>
                </c:pt>
                <c:pt idx="299">
                  <c:v>44562</c:v>
                </c:pt>
                <c:pt idx="300">
                  <c:v>44652</c:v>
                </c:pt>
                <c:pt idx="301">
                  <c:v>44743</c:v>
                </c:pt>
                <c:pt idx="302">
                  <c:v>44835</c:v>
                </c:pt>
              </c:numCache>
            </c:numRef>
          </c:cat>
          <c:val>
            <c:numRef>
              <c:f>'U.S. GDP'!$E$7:$E$310</c:f>
              <c:numCache>
                <c:formatCode>0.00%</c:formatCode>
                <c:ptCount val="304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1.7297608421582122E-2</c:v>
                </c:pt>
                <c:pt idx="280">
                  <c:v>2.0304515784702382E-2</c:v>
                </c:pt>
                <c:pt idx="281">
                  <c:v>3.351266228426919E-2</c:v>
                </c:pt>
                <c:pt idx="282">
                  <c:v>4.0837293288196186E-2</c:v>
                </c:pt>
                <c:pt idx="283">
                  <c:v>2.7995347640831225E-2</c:v>
                </c:pt>
                <c:pt idx="284">
                  <c:v>2.8186847936622073E-2</c:v>
                </c:pt>
                <c:pt idx="285">
                  <c:v>2.9195746482057805E-2</c:v>
                </c:pt>
                <c:pt idx="286">
                  <c:v>7.2911790523160214E-3</c:v>
                </c:pt>
                <c:pt idx="287">
                  <c:v>2.1885785527535617E-2</c:v>
                </c:pt>
                <c:pt idx="288">
                  <c:v>2.7193343623263422E-2</c:v>
                </c:pt>
                <c:pt idx="289">
                  <c:v>3.607670893327275E-2</c:v>
                </c:pt>
                <c:pt idx="290">
                  <c:v>1.7839998335064777E-2</c:v>
                </c:pt>
                <c:pt idx="291">
                  <c:v>-4.6184048016051249E-2</c:v>
                </c:pt>
                <c:pt idx="292">
                  <c:v>-0.29857419774143357</c:v>
                </c:pt>
                <c:pt idx="293">
                  <c:v>0.35317139137290665</c:v>
                </c:pt>
                <c:pt idx="294">
                  <c:v>3.9088782255552346E-2</c:v>
                </c:pt>
                <c:pt idx="295">
                  <c:v>6.3154549562086215E-2</c:v>
                </c:pt>
                <c:pt idx="296">
                  <c:v>7.0048959400919264E-2</c:v>
                </c:pt>
                <c:pt idx="297">
                  <c:v>2.6527662900279969E-2</c:v>
                </c:pt>
                <c:pt idx="298">
                  <c:v>6.9572573442330254E-2</c:v>
                </c:pt>
                <c:pt idx="299">
                  <c:v>-1.6312777026963876E-2</c:v>
                </c:pt>
                <c:pt idx="300">
                  <c:v>-5.7728196146434874E-3</c:v>
                </c:pt>
                <c:pt idx="301">
                  <c:v>3.2433379173874011E-2</c:v>
                </c:pt>
                <c:pt idx="302">
                  <c:v>2.8915771510115595E-2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913-4349-9C1C-EA6F5A2E1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'U.S. GDP'!$B$6:$B$310</c:f>
              <c:numCache>
                <c:formatCode>0.0</c:formatCode>
                <c:ptCount val="305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17889.094000000001</c:v>
                </c:pt>
                <c:pt idx="281">
                  <c:v>17979.218000000001</c:v>
                </c:pt>
                <c:pt idx="282">
                  <c:v>18127.993999999999</c:v>
                </c:pt>
                <c:pt idx="283">
                  <c:v>18310.3</c:v>
                </c:pt>
                <c:pt idx="284">
                  <c:v>18437.127</c:v>
                </c:pt>
                <c:pt idx="285">
                  <c:v>18565.697</c:v>
                </c:pt>
                <c:pt idx="286">
                  <c:v>18699.748</c:v>
                </c:pt>
                <c:pt idx="287">
                  <c:v>18733.741000000002</c:v>
                </c:pt>
                <c:pt idx="288">
                  <c:v>18835.411</c:v>
                </c:pt>
                <c:pt idx="289">
                  <c:v>18962.174999999999</c:v>
                </c:pt>
                <c:pt idx="290">
                  <c:v>19130.932000000001</c:v>
                </c:pt>
                <c:pt idx="291">
                  <c:v>19215.690999999999</c:v>
                </c:pt>
                <c:pt idx="292">
                  <c:v>18989.877</c:v>
                </c:pt>
                <c:pt idx="293">
                  <c:v>17378.712</c:v>
                </c:pt>
                <c:pt idx="294">
                  <c:v>18743.72</c:v>
                </c:pt>
                <c:pt idx="295">
                  <c:v>18924.261999999999</c:v>
                </c:pt>
                <c:pt idx="296">
                  <c:v>19216.223999999998</c:v>
                </c:pt>
                <c:pt idx="297">
                  <c:v>19544.248</c:v>
                </c:pt>
                <c:pt idx="298">
                  <c:v>19672.594000000001</c:v>
                </c:pt>
                <c:pt idx="299">
                  <c:v>20006.181</c:v>
                </c:pt>
                <c:pt idx="300">
                  <c:v>19924.088</c:v>
                </c:pt>
                <c:pt idx="301">
                  <c:v>19895.271000000001</c:v>
                </c:pt>
                <c:pt idx="302">
                  <c:v>20054.663</c:v>
                </c:pt>
                <c:pt idx="303">
                  <c:v>20198.091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58-45CC-8D4B-71AAD2B2C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GDP'!$A$258:$A$310</c:f>
              <c:numCache>
                <c:formatCode>m/d/yyyy</c:formatCode>
                <c:ptCount val="53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  <c:pt idx="51">
                  <c:v>44835</c:v>
                </c:pt>
              </c:numCache>
            </c:numRef>
          </c:cat>
          <c:val>
            <c:numRef>
              <c:f>'U.S. GDP'!$C$258:$C$310</c:f>
              <c:numCache>
                <c:formatCode>0.00%</c:formatCode>
                <c:ptCount val="53"/>
                <c:pt idx="0">
                  <c:v>5.0005348148190604E-3</c:v>
                </c:pt>
                <c:pt idx="1">
                  <c:v>9.6770463932624312E-3</c:v>
                </c:pt>
                <c:pt idx="2">
                  <c:v>7.7314415030268965E-3</c:v>
                </c:pt>
                <c:pt idx="3">
                  <c:v>5.1959515923726638E-3</c:v>
                </c:pt>
                <c:pt idx="4">
                  <c:v>-2.4091606810351814E-3</c:v>
                </c:pt>
                <c:pt idx="5">
                  <c:v>6.7805075120588752E-3</c:v>
                </c:pt>
                <c:pt idx="6">
                  <c:v>-3.8767162657507928E-4</c:v>
                </c:pt>
                <c:pt idx="7">
                  <c:v>1.1216781834985817E-2</c:v>
                </c:pt>
                <c:pt idx="8">
                  <c:v>8.1792284509988062E-3</c:v>
                </c:pt>
                <c:pt idx="9">
                  <c:v>4.5585998686771077E-3</c:v>
                </c:pt>
                <c:pt idx="10">
                  <c:v>1.7488297760156208E-3</c:v>
                </c:pt>
                <c:pt idx="11">
                  <c:v>1.0983806746418219E-3</c:v>
                </c:pt>
                <c:pt idx="12">
                  <c:v>8.6778954769115967E-3</c:v>
                </c:pt>
                <c:pt idx="13">
                  <c:v>1.393852197657185E-3</c:v>
                </c:pt>
                <c:pt idx="14">
                  <c:v>7.9165341079500094E-3</c:v>
                </c:pt>
                <c:pt idx="15">
                  <c:v>7.1117100156356649E-3</c:v>
                </c:pt>
                <c:pt idx="16">
                  <c:v>-3.5010973651269459E-3</c:v>
                </c:pt>
                <c:pt idx="17">
                  <c:v>1.2841289071790577E-2</c:v>
                </c:pt>
                <c:pt idx="18">
                  <c:v>1.1649616444854691E-2</c:v>
                </c:pt>
                <c:pt idx="19">
                  <c:v>4.4899340248851054E-3</c:v>
                </c:pt>
                <c:pt idx="20">
                  <c:v>8.1331362646857273E-3</c:v>
                </c:pt>
                <c:pt idx="21">
                  <c:v>5.800014316593537E-3</c:v>
                </c:pt>
                <c:pt idx="22">
                  <c:v>3.233726725495796E-3</c:v>
                </c:pt>
                <c:pt idx="23">
                  <c:v>1.4623434657637514E-3</c:v>
                </c:pt>
                <c:pt idx="24">
                  <c:v>5.8917986856350715E-3</c:v>
                </c:pt>
                <c:pt idx="25">
                  <c:v>3.0238880667262818E-3</c:v>
                </c:pt>
                <c:pt idx="26">
                  <c:v>6.0111537926921072E-3</c:v>
                </c:pt>
                <c:pt idx="27">
                  <c:v>4.9688879606063626E-3</c:v>
                </c:pt>
                <c:pt idx="28">
                  <c:v>4.2966311411722765E-3</c:v>
                </c:pt>
                <c:pt idx="29">
                  <c:v>5.0379298135500763E-3</c:v>
                </c:pt>
                <c:pt idx="30">
                  <c:v>8.2748871502641552E-3</c:v>
                </c:pt>
                <c:pt idx="31">
                  <c:v>1.0056600857215669E-2</c:v>
                </c:pt>
                <c:pt idx="32">
                  <c:v>6.9265386148780273E-3</c:v>
                </c:pt>
                <c:pt idx="33">
                  <c:v>6.9734292116119664E-3</c:v>
                </c:pt>
                <c:pt idx="34">
                  <c:v>7.2203591386846115E-3</c:v>
                </c:pt>
                <c:pt idx="35">
                  <c:v>1.8178319836182934E-3</c:v>
                </c:pt>
                <c:pt idx="36">
                  <c:v>5.4271060969615327E-3</c:v>
                </c:pt>
                <c:pt idx="37">
                  <c:v>6.7300894044732664E-3</c:v>
                </c:pt>
                <c:pt idx="38">
                  <c:v>8.8996647272795142E-3</c:v>
                </c:pt>
                <c:pt idx="39">
                  <c:v>4.4304689389935729E-3</c:v>
                </c:pt>
                <c:pt idx="40">
                  <c:v>-1.1751542008039082E-2</c:v>
                </c:pt>
                <c:pt idx="41">
                  <c:v>-8.4843361544679877E-2</c:v>
                </c:pt>
                <c:pt idx="42">
                  <c:v>7.854483117045738E-2</c:v>
                </c:pt>
                <c:pt idx="43">
                  <c:v>9.6321327890086725E-3</c:v>
                </c:pt>
                <c:pt idx="44">
                  <c:v>1.5427919989693629E-2</c:v>
                </c:pt>
                <c:pt idx="45">
                  <c:v>1.7070159048937047E-2</c:v>
                </c:pt>
                <c:pt idx="46">
                  <c:v>6.5669449139205242E-3</c:v>
                </c:pt>
                <c:pt idx="47">
                  <c:v>1.6956940198125346E-2</c:v>
                </c:pt>
                <c:pt idx="48">
                  <c:v>-4.1033818498393453E-3</c:v>
                </c:pt>
                <c:pt idx="49">
                  <c:v>-1.4463397270680143E-3</c:v>
                </c:pt>
                <c:pt idx="50">
                  <c:v>8.0115520919518922E-3</c:v>
                </c:pt>
                <c:pt idx="51">
                  <c:v>7.1518529132102533E-3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DE-48D7-AE2D-3489E130F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'U.S. GDP'!$D$6:$D$310</c:f>
              <c:numCache>
                <c:formatCode>0.00%</c:formatCode>
                <c:ptCount val="305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1.8424163550466829E-2</c:v>
                </c:pt>
                <c:pt idx="281">
                  <c:v>2.0469128586462354E-2</c:v>
                </c:pt>
                <c:pt idx="282">
                  <c:v>2.2765395380368786E-2</c:v>
                </c:pt>
                <c:pt idx="283">
                  <c:v>2.7943204121136878E-2</c:v>
                </c:pt>
                <c:pt idx="284">
                  <c:v>3.0635033836816969E-2</c:v>
                </c:pt>
                <c:pt idx="285">
                  <c:v>3.2619828070386561E-2</c:v>
                </c:pt>
                <c:pt idx="286">
                  <c:v>3.1539838329602318E-2</c:v>
                </c:pt>
                <c:pt idx="287">
                  <c:v>2.3125836277942062E-2</c:v>
                </c:pt>
                <c:pt idx="288">
                  <c:v>2.1602281092927313E-2</c:v>
                </c:pt>
                <c:pt idx="289">
                  <c:v>2.1355406155772076E-2</c:v>
                </c:pt>
                <c:pt idx="290">
                  <c:v>2.3058278646321925E-2</c:v>
                </c:pt>
                <c:pt idx="291">
                  <c:v>2.5726308482646208E-2</c:v>
                </c:pt>
                <c:pt idx="292">
                  <c:v>8.2008298093415831E-3</c:v>
                </c:pt>
                <c:pt idx="293">
                  <c:v>-8.3506401559947624E-2</c:v>
                </c:pt>
                <c:pt idx="294">
                  <c:v>-2.0240101214096601E-2</c:v>
                </c:pt>
                <c:pt idx="295">
                  <c:v>-1.5166199331577517E-2</c:v>
                </c:pt>
                <c:pt idx="296">
                  <c:v>1.1919350504481832E-2</c:v>
                </c:pt>
                <c:pt idx="297">
                  <c:v>0.12460854406241384</c:v>
                </c:pt>
                <c:pt idx="298">
                  <c:v>4.9556544805406812E-2</c:v>
                </c:pt>
                <c:pt idx="299">
                  <c:v>5.7171000908780578E-2</c:v>
                </c:pt>
                <c:pt idx="300">
                  <c:v>3.683678957947209E-2</c:v>
                </c:pt>
                <c:pt idx="301">
                  <c:v>1.7960424980280696E-2</c:v>
                </c:pt>
                <c:pt idx="302">
                  <c:v>1.9421383880539572E-2</c:v>
                </c:pt>
                <c:pt idx="303">
                  <c:v>9.5925354269263009E-3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5D-48A5-BCCF-8815ED4D8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GDP'!$A$258:$A$310</c:f>
              <c:numCache>
                <c:formatCode>m/d/yyyy</c:formatCode>
                <c:ptCount val="53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  <c:pt idx="51">
                  <c:v>44835</c:v>
                </c:pt>
              </c:numCache>
            </c:numRef>
          </c:cat>
          <c:val>
            <c:numRef>
              <c:f>'U.S. GDP'!$E$258:$E$310</c:f>
              <c:numCache>
                <c:formatCode>0.00%</c:formatCode>
                <c:ptCount val="53"/>
                <c:pt idx="0">
                  <c:v>2.015267213561045E-2</c:v>
                </c:pt>
                <c:pt idx="1">
                  <c:v>3.9273690540683415E-2</c:v>
                </c:pt>
                <c:pt idx="2">
                  <c:v>3.128626930493783E-2</c:v>
                </c:pt>
                <c:pt idx="3">
                  <c:v>2.0946355695475205E-2</c:v>
                </c:pt>
                <c:pt idx="4">
                  <c:v>-9.6018742909375066E-3</c:v>
                </c:pt>
                <c:pt idx="5">
                  <c:v>2.7399130797671756E-2</c:v>
                </c:pt>
                <c:pt idx="6">
                  <c:v>-1.5497850035889327E-3</c:v>
                </c:pt>
                <c:pt idx="7">
                  <c:v>4.5627685349290514E-2</c:v>
                </c:pt>
                <c:pt idx="8">
                  <c:v>3.3120505702168845E-2</c:v>
                </c:pt>
                <c:pt idx="9">
                  <c:v>1.835946382913356E-2</c:v>
                </c:pt>
                <c:pt idx="10">
                  <c:v>7.0136909414517667E-3</c:v>
                </c:pt>
                <c:pt idx="11">
                  <c:v>4.4007666411836066E-3</c:v>
                </c:pt>
                <c:pt idx="12">
                  <c:v>3.5166036783940813E-2</c:v>
                </c:pt>
                <c:pt idx="13">
                  <c:v>5.5870765701340197E-3</c:v>
                </c:pt>
                <c:pt idx="14">
                  <c:v>3.2044153997870195E-2</c:v>
                </c:pt>
                <c:pt idx="15">
                  <c:v>2.8751739875908289E-2</c:v>
                </c:pt>
                <c:pt idx="16">
                  <c:v>-1.3931014875059544E-2</c:v>
                </c:pt>
                <c:pt idx="17">
                  <c:v>5.2363045756652404E-2</c:v>
                </c:pt>
                <c:pt idx="18">
                  <c:v>4.7419089621299371E-2</c:v>
                </c:pt>
                <c:pt idx="19">
                  <c:v>1.808105561066875E-2</c:v>
                </c:pt>
                <c:pt idx="20">
                  <c:v>3.2931588827004088E-2</c:v>
                </c:pt>
                <c:pt idx="21">
                  <c:v>2.3402679848250285E-2</c:v>
                </c:pt>
                <c:pt idx="22">
                  <c:v>1.2997784202716023E-2</c:v>
                </c:pt>
                <c:pt idx="23">
                  <c:v>5.8622170666831064E-3</c:v>
                </c:pt>
                <c:pt idx="24">
                  <c:v>2.377629379297197E-2</c:v>
                </c:pt>
                <c:pt idx="25">
                  <c:v>1.2150526345265922E-2</c:v>
                </c:pt>
                <c:pt idx="26">
                  <c:v>2.4262289123349712E-2</c:v>
                </c:pt>
                <c:pt idx="27">
                  <c:v>2.0024182261750179E-2</c:v>
                </c:pt>
                <c:pt idx="28">
                  <c:v>1.7297608421582122E-2</c:v>
                </c:pt>
                <c:pt idx="29">
                  <c:v>2.0304515784702382E-2</c:v>
                </c:pt>
                <c:pt idx="30">
                  <c:v>3.351266228426919E-2</c:v>
                </c:pt>
                <c:pt idx="31">
                  <c:v>4.0837293288196186E-2</c:v>
                </c:pt>
                <c:pt idx="32">
                  <c:v>2.7995347640831225E-2</c:v>
                </c:pt>
                <c:pt idx="33">
                  <c:v>2.8186847936622073E-2</c:v>
                </c:pt>
                <c:pt idx="34">
                  <c:v>2.9195746482057805E-2</c:v>
                </c:pt>
                <c:pt idx="35">
                  <c:v>7.2911790523160214E-3</c:v>
                </c:pt>
                <c:pt idx="36">
                  <c:v>2.1885785527535617E-2</c:v>
                </c:pt>
                <c:pt idx="37">
                  <c:v>2.7193343623263422E-2</c:v>
                </c:pt>
                <c:pt idx="38">
                  <c:v>3.607670893327275E-2</c:v>
                </c:pt>
                <c:pt idx="39">
                  <c:v>1.7839998335064777E-2</c:v>
                </c:pt>
                <c:pt idx="40">
                  <c:v>-4.6184048016051249E-2</c:v>
                </c:pt>
                <c:pt idx="41">
                  <c:v>-0.29857419774143357</c:v>
                </c:pt>
                <c:pt idx="42">
                  <c:v>0.35317139137290665</c:v>
                </c:pt>
                <c:pt idx="43">
                  <c:v>3.9088782255552346E-2</c:v>
                </c:pt>
                <c:pt idx="44">
                  <c:v>6.3154549562086215E-2</c:v>
                </c:pt>
                <c:pt idx="45">
                  <c:v>7.0048959400919264E-2</c:v>
                </c:pt>
                <c:pt idx="46">
                  <c:v>2.6527662900279969E-2</c:v>
                </c:pt>
                <c:pt idx="47">
                  <c:v>6.9572573442330254E-2</c:v>
                </c:pt>
                <c:pt idx="48">
                  <c:v>-1.6312777026963876E-2</c:v>
                </c:pt>
                <c:pt idx="49">
                  <c:v>-5.7728196146434874E-3</c:v>
                </c:pt>
                <c:pt idx="50">
                  <c:v>3.2433379173874011E-2</c:v>
                </c:pt>
                <c:pt idx="51">
                  <c:v>2.8915771510115595E-2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9-4D9F-BE8A-D7682AB87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PersonalConsumption!$B$6:$B$310</c:f>
              <c:numCache>
                <c:formatCode>0.0</c:formatCode>
                <c:ptCount val="305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12369.906999999999</c:v>
                </c:pt>
                <c:pt idx="281">
                  <c:v>12419.406999999999</c:v>
                </c:pt>
                <c:pt idx="282">
                  <c:v>12493.466</c:v>
                </c:pt>
                <c:pt idx="283">
                  <c:v>12630.132</c:v>
                </c:pt>
                <c:pt idx="284">
                  <c:v>12713.156000000001</c:v>
                </c:pt>
                <c:pt idx="285">
                  <c:v>12805.609</c:v>
                </c:pt>
                <c:pt idx="286">
                  <c:v>12887.074000000001</c:v>
                </c:pt>
                <c:pt idx="287">
                  <c:v>12943.375</c:v>
                </c:pt>
                <c:pt idx="288">
                  <c:v>12955.727000000001</c:v>
                </c:pt>
                <c:pt idx="289">
                  <c:v>13038.853999999999</c:v>
                </c:pt>
                <c:pt idx="290">
                  <c:v>13148.857</c:v>
                </c:pt>
                <c:pt idx="291">
                  <c:v>13225.609</c:v>
                </c:pt>
                <c:pt idx="292">
                  <c:v>13016.75</c:v>
                </c:pt>
                <c:pt idx="293">
                  <c:v>11817.147000000001</c:v>
                </c:pt>
                <c:pt idx="294">
                  <c:v>12922.380999999999</c:v>
                </c:pt>
                <c:pt idx="295">
                  <c:v>13046.614</c:v>
                </c:pt>
                <c:pt idx="296">
                  <c:v>13386.763000000001</c:v>
                </c:pt>
                <c:pt idx="297">
                  <c:v>13773.688</c:v>
                </c:pt>
                <c:pt idx="298">
                  <c:v>13874.396000000001</c:v>
                </c:pt>
                <c:pt idx="299">
                  <c:v>13981.513999999999</c:v>
                </c:pt>
                <c:pt idx="300">
                  <c:v>14028.383</c:v>
                </c:pt>
                <c:pt idx="301">
                  <c:v>14099.456</c:v>
                </c:pt>
                <c:pt idx="302">
                  <c:v>14178.562</c:v>
                </c:pt>
                <c:pt idx="303">
                  <c:v>14252.163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4D-44C1-AD1F-CEA817A13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PersonalConsumption!$C$6:$C$310</c:f>
              <c:numCache>
                <c:formatCode>0.00%</c:formatCode>
                <c:ptCount val="305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7.0691575953775862E-3</c:v>
                </c:pt>
                <c:pt idx="281">
                  <c:v>4.0016469000130721E-3</c:v>
                </c:pt>
                <c:pt idx="282">
                  <c:v>5.963167162490215E-3</c:v>
                </c:pt>
                <c:pt idx="283">
                  <c:v>1.0938998033051777E-2</c:v>
                </c:pt>
                <c:pt idx="284">
                  <c:v>6.5734863261920976E-3</c:v>
                </c:pt>
                <c:pt idx="285">
                  <c:v>7.2722304359357746E-3</c:v>
                </c:pt>
                <c:pt idx="286">
                  <c:v>6.361665423331303E-3</c:v>
                </c:pt>
                <c:pt idx="287">
                  <c:v>4.368796206182992E-3</c:v>
                </c:pt>
                <c:pt idx="288">
                  <c:v>9.5431060291467802E-4</c:v>
                </c:pt>
                <c:pt idx="289">
                  <c:v>6.4162358468960162E-3</c:v>
                </c:pt>
                <c:pt idx="290">
                  <c:v>8.4365543168134719E-3</c:v>
                </c:pt>
                <c:pt idx="291">
                  <c:v>5.8371613593486043E-3</c:v>
                </c:pt>
                <c:pt idx="292">
                  <c:v>-1.5792013811991596E-2</c:v>
                </c:pt>
                <c:pt idx="293">
                  <c:v>-9.2158411277776645E-2</c:v>
                </c:pt>
                <c:pt idx="294">
                  <c:v>9.352798945464573E-2</c:v>
                </c:pt>
                <c:pt idx="295">
                  <c:v>9.6137855709408498E-3</c:v>
                </c:pt>
                <c:pt idx="296">
                  <c:v>2.6071822160140652E-2</c:v>
                </c:pt>
                <c:pt idx="297">
                  <c:v>2.8903551963981079E-2</c:v>
                </c:pt>
                <c:pt idx="298">
                  <c:v>7.311621985339042E-3</c:v>
                </c:pt>
                <c:pt idx="299">
                  <c:v>7.7205523036821613E-3</c:v>
                </c:pt>
                <c:pt idx="300">
                  <c:v>3.3522120708816367E-3</c:v>
                </c:pt>
                <c:pt idx="301">
                  <c:v>5.0663715126683037E-3</c:v>
                </c:pt>
                <c:pt idx="302">
                  <c:v>5.6105710745151987E-3</c:v>
                </c:pt>
                <c:pt idx="303">
                  <c:v>5.1910059708453202E-3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D-4013-AE01-3475A1048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PersonalConsumption!$D$6:$D$310</c:f>
              <c:numCache>
                <c:formatCode>0.00%</c:formatCode>
                <c:ptCount val="305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2.3052261739923054E-2</c:v>
                </c:pt>
                <c:pt idx="281">
                  <c:v>2.1952455218118588E-2</c:v>
                </c:pt>
                <c:pt idx="282">
                  <c:v>2.2058894509425959E-2</c:v>
                </c:pt>
                <c:pt idx="283">
                  <c:v>2.8254811742596114E-2</c:v>
                </c:pt>
                <c:pt idx="284">
                  <c:v>2.7748713066315021E-2</c:v>
                </c:pt>
                <c:pt idx="285">
                  <c:v>3.1096653809638507E-2</c:v>
                </c:pt>
                <c:pt idx="286">
                  <c:v>3.150510835023685E-2</c:v>
                </c:pt>
                <c:pt idx="287">
                  <c:v>2.4801245149298552E-2</c:v>
                </c:pt>
                <c:pt idx="288">
                  <c:v>1.908031333840314E-2</c:v>
                </c:pt>
                <c:pt idx="289">
                  <c:v>1.8214284068801333E-2</c:v>
                </c:pt>
                <c:pt idx="290">
                  <c:v>2.0313610366480352E-2</c:v>
                </c:pt>
                <c:pt idx="291">
                  <c:v>2.18052864882614E-2</c:v>
                </c:pt>
                <c:pt idx="292">
                  <c:v>4.7101177726266716E-3</c:v>
                </c:pt>
                <c:pt idx="293">
                  <c:v>-9.3697421567876943E-2</c:v>
                </c:pt>
                <c:pt idx="294">
                  <c:v>-1.7224006618978407E-2</c:v>
                </c:pt>
                <c:pt idx="295">
                  <c:v>-1.3533970344957333E-2</c:v>
                </c:pt>
                <c:pt idx="296">
                  <c:v>2.8425912766243559E-2</c:v>
                </c:pt>
                <c:pt idx="297">
                  <c:v>0.16556796661664605</c:v>
                </c:pt>
                <c:pt idx="298">
                  <c:v>7.3671794694801312E-2</c:v>
                </c:pt>
                <c:pt idx="299">
                  <c:v>7.1658439500087892E-2</c:v>
                </c:pt>
                <c:pt idx="300">
                  <c:v>4.792943596596122E-2</c:v>
                </c:pt>
                <c:pt idx="301">
                  <c:v>2.3651472285418404E-2</c:v>
                </c:pt>
                <c:pt idx="302">
                  <c:v>2.1922828208161223E-2</c:v>
                </c:pt>
                <c:pt idx="303">
                  <c:v>1.9357631798673683E-2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52-4FC4-98A5-A2D1FE864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PersonalConsumption!$E$6:$E$310</c:f>
              <c:numCache>
                <c:formatCode>0.00%</c:formatCode>
                <c:ptCount val="305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2.8577883881202082E-2</c:v>
                </c:pt>
                <c:pt idx="281">
                  <c:v>1.6102923240283173E-2</c:v>
                </c:pt>
                <c:pt idx="282">
                  <c:v>2.4066874275769701E-2</c:v>
                </c:pt>
                <c:pt idx="283">
                  <c:v>4.4479212434366922E-2</c:v>
                </c:pt>
                <c:pt idx="284">
                  <c:v>2.6554347687192337E-2</c:v>
                </c:pt>
                <c:pt idx="285">
                  <c:v>2.9407774931068165E-2</c:v>
                </c:pt>
                <c:pt idx="286">
                  <c:v>2.5690517899384702E-2</c:v>
                </c:pt>
                <c:pt idx="287">
                  <c:v>1.7590037008791581E-2</c:v>
                </c:pt>
                <c:pt idx="288">
                  <c:v>3.8227101412449116E-3</c:v>
                </c:pt>
                <c:pt idx="289">
                  <c:v>2.5913010153558291E-2</c:v>
                </c:pt>
                <c:pt idx="290">
                  <c:v>3.4175676927798992E-2</c:v>
                </c:pt>
                <c:pt idx="291">
                  <c:v>2.3553876860354928E-2</c:v>
                </c:pt>
                <c:pt idx="292">
                  <c:v>-6.1687420188339392E-2</c:v>
                </c:pt>
                <c:pt idx="293">
                  <c:v>-0.3207333437484402</c:v>
                </c:pt>
                <c:pt idx="294">
                  <c:v>0.42994592384647068</c:v>
                </c:pt>
                <c:pt idx="295">
                  <c:v>3.9013254275786835E-2</c:v>
                </c:pt>
                <c:pt idx="296">
                  <c:v>0.10843707838368166</c:v>
                </c:pt>
                <c:pt idx="297">
                  <c:v>0.12072398355148772</c:v>
                </c:pt>
                <c:pt idx="298">
                  <c:v>2.9568813207512701E-2</c:v>
                </c:pt>
                <c:pt idx="299">
                  <c:v>3.1241695128574998E-2</c:v>
                </c:pt>
                <c:pt idx="300">
                  <c:v>1.3476423044008978E-2</c:v>
                </c:pt>
                <c:pt idx="301">
                  <c:v>2.0420015608285436E-2</c:v>
                </c:pt>
                <c:pt idx="302">
                  <c:v>2.2631862785271073E-2</c:v>
                </c:pt>
                <c:pt idx="303">
                  <c:v>2.0926263386095822E-2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9-4A65-B15C-D54122DA4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PrivateInvestment!$B$6:$B$309</c:f>
              <c:numCache>
                <c:formatCode>0.0</c:formatCode>
                <c:ptCount val="304"/>
                <c:pt idx="0">
                  <c:v>#N/A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3131.9169999999999</c:v>
                </c:pt>
                <c:pt idx="281">
                  <c:v>3187.7809999999999</c:v>
                </c:pt>
                <c:pt idx="282">
                  <c:v>3250.8249999999998</c:v>
                </c:pt>
                <c:pt idx="283">
                  <c:v>3293.4409999999998</c:v>
                </c:pt>
                <c:pt idx="284">
                  <c:v>3342.884</c:v>
                </c:pt>
                <c:pt idx="285">
                  <c:v>3349.047</c:v>
                </c:pt>
                <c:pt idx="286">
                  <c:v>3453.0590000000002</c:v>
                </c:pt>
                <c:pt idx="287">
                  <c:v>3450.6080000000002</c:v>
                </c:pt>
                <c:pt idx="288">
                  <c:v>3484.3490000000002</c:v>
                </c:pt>
                <c:pt idx="289">
                  <c:v>3504.855</c:v>
                </c:pt>
                <c:pt idx="290">
                  <c:v>3527.1930000000002</c:v>
                </c:pt>
                <c:pt idx="291">
                  <c:v>3454.3539999999998</c:v>
                </c:pt>
                <c:pt idx="292">
                  <c:v>3409.8829999999998</c:v>
                </c:pt>
                <c:pt idx="293">
                  <c:v>2884.223</c:v>
                </c:pt>
                <c:pt idx="294">
                  <c:v>3394.1419999999998</c:v>
                </c:pt>
                <c:pt idx="295">
                  <c:v>3537.645</c:v>
                </c:pt>
                <c:pt idx="296">
                  <c:v>3489.2939999999999</c:v>
                </c:pt>
                <c:pt idx="297">
                  <c:v>3496.8670000000002</c:v>
                </c:pt>
                <c:pt idx="298">
                  <c:v>3584.05</c:v>
                </c:pt>
                <c:pt idx="299">
                  <c:v>3841.7710000000002</c:v>
                </c:pt>
                <c:pt idx="300">
                  <c:v>3892.48</c:v>
                </c:pt>
                <c:pt idx="301">
                  <c:v>3746.973</c:v>
                </c:pt>
                <c:pt idx="302">
                  <c:v>3653.85</c:v>
                </c:pt>
                <c:pt idx="303">
                  <c:v>3666.902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EA-4D72-93DC-017253B8A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PrivateInvestment!$C$6:$C$309</c:f>
              <c:numCache>
                <c:formatCode>0.00%</c:formatCode>
                <c:ptCount val="304"/>
                <c:pt idx="1">
                  <c:v>#N/A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-4.9749394454653697E-3</c:v>
                </c:pt>
                <c:pt idx="281">
                  <c:v>1.7836998873214084E-2</c:v>
                </c:pt>
                <c:pt idx="282">
                  <c:v>1.97767663462452E-2</c:v>
                </c:pt>
                <c:pt idx="283">
                  <c:v>1.3109287642367703E-2</c:v>
                </c:pt>
                <c:pt idx="284">
                  <c:v>1.5012565884738854E-2</c:v>
                </c:pt>
                <c:pt idx="285">
                  <c:v>1.8436176666614848E-3</c:v>
                </c:pt>
                <c:pt idx="286">
                  <c:v>3.1057193285134597E-2</c:v>
                </c:pt>
                <c:pt idx="287">
                  <c:v>-7.0980542180137138E-4</c:v>
                </c:pt>
                <c:pt idx="288">
                  <c:v>9.7782767558644689E-3</c:v>
                </c:pt>
                <c:pt idx="289">
                  <c:v>5.885173959324929E-3</c:v>
                </c:pt>
                <c:pt idx="290">
                  <c:v>6.3734448358063866E-3</c:v>
                </c:pt>
                <c:pt idx="291">
                  <c:v>-2.0650698728422401E-2</c:v>
                </c:pt>
                <c:pt idx="292">
                  <c:v>-1.2873897695488072E-2</c:v>
                </c:pt>
                <c:pt idx="293">
                  <c:v>-0.15415778195322241</c:v>
                </c:pt>
                <c:pt idx="294">
                  <c:v>0.17679596896633856</c:v>
                </c:pt>
                <c:pt idx="295">
                  <c:v>4.2279609986853872E-2</c:v>
                </c:pt>
                <c:pt idx="296">
                  <c:v>-1.3667566983120159E-2</c:v>
                </c:pt>
                <c:pt idx="297">
                  <c:v>2.1703530857532555E-3</c:v>
                </c:pt>
                <c:pt idx="298">
                  <c:v>2.493174604581758E-2</c:v>
                </c:pt>
                <c:pt idx="299">
                  <c:v>7.1907757983287066E-2</c:v>
                </c:pt>
                <c:pt idx="300">
                  <c:v>1.3199381222878675E-2</c:v>
                </c:pt>
                <c:pt idx="301">
                  <c:v>-3.738156650772774E-2</c:v>
                </c:pt>
                <c:pt idx="302">
                  <c:v>-2.4852861229584532E-2</c:v>
                </c:pt>
                <c:pt idx="303">
                  <c:v>3.5721225556605046E-3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E-4522-BDE8-AAD5A2B7D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PrivateInvestment!$D$6:$D$309</c:f>
              <c:numCache>
                <c:formatCode>0.00%</c:formatCode>
                <c:ptCount val="304"/>
                <c:pt idx="4">
                  <c:v>#N/A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1.7038112987096017E-2</c:v>
                </c:pt>
                <c:pt idx="281">
                  <c:v>4.0625031624051275E-2</c:v>
                </c:pt>
                <c:pt idx="282">
                  <c:v>5.9142839828521067E-2</c:v>
                </c:pt>
                <c:pt idx="283">
                  <c:v>4.634201048679993E-2</c:v>
                </c:pt>
                <c:pt idx="284">
                  <c:v>6.736034192477007E-2</c:v>
                </c:pt>
                <c:pt idx="285">
                  <c:v>5.058879515249011E-2</c:v>
                </c:pt>
                <c:pt idx="286">
                  <c:v>6.2210054370813679E-2</c:v>
                </c:pt>
                <c:pt idx="287">
                  <c:v>4.7721213162768172E-2</c:v>
                </c:pt>
                <c:pt idx="288">
                  <c:v>4.231824975081401E-2</c:v>
                </c:pt>
                <c:pt idx="289">
                  <c:v>4.6523085522538199E-2</c:v>
                </c:pt>
                <c:pt idx="290">
                  <c:v>2.1469080024407346E-2</c:v>
                </c:pt>
                <c:pt idx="291">
                  <c:v>1.0856057830966716E-3</c:v>
                </c:pt>
                <c:pt idx="292">
                  <c:v>-2.137156754389424E-2</c:v>
                </c:pt>
                <c:pt idx="293">
                  <c:v>-0.17707779637103391</c:v>
                </c:pt>
                <c:pt idx="294">
                  <c:v>-3.7721496952392561E-2</c:v>
                </c:pt>
                <c:pt idx="295">
                  <c:v>2.4111888937844869E-2</c:v>
                </c:pt>
                <c:pt idx="296">
                  <c:v>2.3288482332091763E-2</c:v>
                </c:pt>
                <c:pt idx="297">
                  <c:v>0.21241214704965608</c:v>
                </c:pt>
                <c:pt idx="298">
                  <c:v>5.5951695597886111E-2</c:v>
                </c:pt>
                <c:pt idx="299">
                  <c:v>8.5968490337498593E-2</c:v>
                </c:pt>
                <c:pt idx="300">
                  <c:v>0.11554944925821675</c:v>
                </c:pt>
                <c:pt idx="301">
                  <c:v>7.1522880338314193E-2</c:v>
                </c:pt>
                <c:pt idx="302">
                  <c:v>1.9475174732495285E-2</c:v>
                </c:pt>
                <c:pt idx="303">
                  <c:v>-4.5517809364483235E-2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05-4F8A-9BEC-AC2050ECC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PrivateInvestment!$E$6:$E$309</c:f>
              <c:numCache>
                <c:formatCode>0.00%</c:formatCode>
                <c:ptCount val="304"/>
                <c:pt idx="0">
                  <c:v>0</c:v>
                </c:pt>
                <c:pt idx="1">
                  <c:v>#N/A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-1.9751749553834075E-2</c:v>
                </c:pt>
                <c:pt idx="281">
                  <c:v>7.3279747863803202E-2</c:v>
                </c:pt>
                <c:pt idx="282">
                  <c:v>8.1484881676847198E-2</c:v>
                </c:pt>
                <c:pt idx="283">
                  <c:v>5.3477312141802846E-2</c:v>
                </c:pt>
                <c:pt idx="284">
                  <c:v>6.1416111096788795E-2</c:v>
                </c:pt>
                <c:pt idx="285">
                  <c:v>7.3948893000841398E-3</c:v>
                </c:pt>
                <c:pt idx="286">
                  <c:v>0.13013682379485636</c:v>
                </c:pt>
                <c:pt idx="287">
                  <c:v>-2.8362001749977495E-3</c:v>
                </c:pt>
                <c:pt idx="288">
                  <c:v>3.9690544131363747E-2</c:v>
                </c:pt>
                <c:pt idx="289">
                  <c:v>2.3749324010506667E-2</c:v>
                </c:pt>
                <c:pt idx="290">
                  <c:v>2.5738541365413647E-2</c:v>
                </c:pt>
                <c:pt idx="291">
                  <c:v>-8.0079130979159752E-2</c:v>
                </c:pt>
                <c:pt idx="292">
                  <c:v>-5.0509674599060528E-2</c:v>
                </c:pt>
                <c:pt idx="293">
                  <c:v>-0.4881326456497469</c:v>
                </c:pt>
                <c:pt idx="294">
                  <c:v>0.91780606750970684</c:v>
                </c:pt>
                <c:pt idx="295">
                  <c:v>0.18014933813663414</c:v>
                </c:pt>
                <c:pt idx="296">
                  <c:v>-5.3559631250480799E-2</c:v>
                </c:pt>
                <c:pt idx="297">
                  <c:v>8.7097158535096586E-3</c:v>
                </c:pt>
                <c:pt idx="298">
                  <c:v>0.10351891181684758</c:v>
                </c:pt>
                <c:pt idx="299">
                  <c:v>0.3201693834429844</c:v>
                </c:pt>
                <c:pt idx="300">
                  <c:v>5.3852095811673717E-2</c:v>
                </c:pt>
                <c:pt idx="301">
                  <c:v>-0.14134896950847808</c:v>
                </c:pt>
                <c:pt idx="302">
                  <c:v>-9.5766478082285666E-2</c:v>
                </c:pt>
                <c:pt idx="303">
                  <c:v>1.4365233064763006E-2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4-438E-A3BF-F1B9FFF26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Exports!$B$6:$B$309</c:f>
              <c:numCache>
                <c:formatCode>0.0</c:formatCode>
                <c:ptCount val="304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2460.7539999999999</c:v>
                </c:pt>
                <c:pt idx="281">
                  <c:v>2468.9459999999999</c:v>
                </c:pt>
                <c:pt idx="282">
                  <c:v>2483.4670000000001</c:v>
                </c:pt>
                <c:pt idx="283">
                  <c:v>2547.9969999999998</c:v>
                </c:pt>
                <c:pt idx="284">
                  <c:v>2564.6610000000001</c:v>
                </c:pt>
                <c:pt idx="285">
                  <c:v>2578.61</c:v>
                </c:pt>
                <c:pt idx="286">
                  <c:v>2544.5520000000001</c:v>
                </c:pt>
                <c:pt idx="287">
                  <c:v>2552.4369999999999</c:v>
                </c:pt>
                <c:pt idx="288">
                  <c:v>2582.2849999999999</c:v>
                </c:pt>
                <c:pt idx="289">
                  <c:v>2567.2809999999999</c:v>
                </c:pt>
                <c:pt idx="290">
                  <c:v>2567.0100000000002</c:v>
                </c:pt>
                <c:pt idx="291">
                  <c:v>2571.8449999999998</c:v>
                </c:pt>
                <c:pt idx="292">
                  <c:v>2467.3040000000001</c:v>
                </c:pt>
                <c:pt idx="293">
                  <c:v>1951.3679999999999</c:v>
                </c:pt>
                <c:pt idx="294">
                  <c:v>2193.0329999999999</c:v>
                </c:pt>
                <c:pt idx="295">
                  <c:v>2315.0329999999999</c:v>
                </c:pt>
                <c:pt idx="296">
                  <c:v>2317.5050000000001</c:v>
                </c:pt>
                <c:pt idx="297">
                  <c:v>2345.1320000000001</c:v>
                </c:pt>
                <c:pt idx="298">
                  <c:v>2338.8249999999998</c:v>
                </c:pt>
                <c:pt idx="299">
                  <c:v>2465.672</c:v>
                </c:pt>
                <c:pt idx="300">
                  <c:v>2436.9340000000002</c:v>
                </c:pt>
                <c:pt idx="301">
                  <c:v>2516.9279999999999</c:v>
                </c:pt>
                <c:pt idx="302">
                  <c:v>2604.1370000000002</c:v>
                </c:pt>
                <c:pt idx="303">
                  <c:v>2595.4520000000002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4B-4A21-8638-A4BF7B07E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Exports!$C$6:$C$309</c:f>
              <c:numCache>
                <c:formatCode>0.00%</c:formatCode>
                <c:ptCount val="304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2.5933146331619982E-2</c:v>
                </c:pt>
                <c:pt idx="281">
                  <c:v>3.3290609301051661E-3</c:v>
                </c:pt>
                <c:pt idx="282">
                  <c:v>5.881457107607937E-3</c:v>
                </c:pt>
                <c:pt idx="283">
                  <c:v>2.5983836306260458E-2</c:v>
                </c:pt>
                <c:pt idx="284">
                  <c:v>6.540039097377358E-3</c:v>
                </c:pt>
                <c:pt idx="285">
                  <c:v>5.4389254564248717E-3</c:v>
                </c:pt>
                <c:pt idx="286">
                  <c:v>-1.3207891073097519E-2</c:v>
                </c:pt>
                <c:pt idx="287">
                  <c:v>3.0987773093258709E-3</c:v>
                </c:pt>
                <c:pt idx="288">
                  <c:v>1.1693922318161019E-2</c:v>
                </c:pt>
                <c:pt idx="289">
                  <c:v>-5.8103578807141374E-3</c:v>
                </c:pt>
                <c:pt idx="290">
                  <c:v>-1.0555914993322928E-4</c:v>
                </c:pt>
                <c:pt idx="291">
                  <c:v>1.8835142831541681E-3</c:v>
                </c:pt>
                <c:pt idx="292">
                  <c:v>-4.0648250574976223E-2</c:v>
                </c:pt>
                <c:pt idx="293">
                  <c:v>-0.20910921394364057</c:v>
                </c:pt>
                <c:pt idx="294">
                  <c:v>0.1238438879801247</c:v>
                </c:pt>
                <c:pt idx="295">
                  <c:v>5.563071782321561E-2</c:v>
                </c:pt>
                <c:pt idx="296">
                  <c:v>1.0678033531272373E-3</c:v>
                </c:pt>
                <c:pt idx="297">
                  <c:v>1.1921009879158815E-2</c:v>
                </c:pt>
                <c:pt idx="298">
                  <c:v>-2.6894008524894308E-3</c:v>
                </c:pt>
                <c:pt idx="299">
                  <c:v>5.4235353222237756E-2</c:v>
                </c:pt>
                <c:pt idx="300">
                  <c:v>-1.1655240437495266E-2</c:v>
                </c:pt>
                <c:pt idx="301">
                  <c:v>3.2825673571791308E-2</c:v>
                </c:pt>
                <c:pt idx="302">
                  <c:v>3.464898479416189E-2</c:v>
                </c:pt>
                <c:pt idx="303">
                  <c:v>-3.3350779932084774E-3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4-4351-B1E6-B87EA2C6E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Exports!$D$6:$D$309</c:f>
              <c:numCache>
                <c:formatCode>0.00%</c:formatCode>
                <c:ptCount val="304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4.2380983646834305E-2</c:v>
                </c:pt>
                <c:pt idx="281">
                  <c:v>3.7977610471989477E-2</c:v>
                </c:pt>
                <c:pt idx="282">
                  <c:v>2.8115726757279479E-2</c:v>
                </c:pt>
                <c:pt idx="283">
                  <c:v>6.2306341492700472E-2</c:v>
                </c:pt>
                <c:pt idx="284">
                  <c:v>4.2225675544975305E-2</c:v>
                </c:pt>
                <c:pt idx="285">
                  <c:v>4.4417334360492382E-2</c:v>
                </c:pt>
                <c:pt idx="286">
                  <c:v>2.4596662649433245E-2</c:v>
                </c:pt>
                <c:pt idx="287">
                  <c:v>1.7425452227769714E-3</c:v>
                </c:pt>
                <c:pt idx="288">
                  <c:v>6.8718633768750708E-3</c:v>
                </c:pt>
                <c:pt idx="289">
                  <c:v>-4.3934522863093598E-3</c:v>
                </c:pt>
                <c:pt idx="290">
                  <c:v>8.8259151316224162E-3</c:v>
                </c:pt>
                <c:pt idx="291">
                  <c:v>7.6037136274078078E-3</c:v>
                </c:pt>
                <c:pt idx="292">
                  <c:v>-4.4526843473899964E-2</c:v>
                </c:pt>
                <c:pt idx="293">
                  <c:v>-0.23990868159737871</c:v>
                </c:pt>
                <c:pt idx="294">
                  <c:v>-0.145685836829619</c:v>
                </c:pt>
                <c:pt idx="295">
                  <c:v>-9.9855162344542503E-2</c:v>
                </c:pt>
                <c:pt idx="296">
                  <c:v>-6.0713637233190551E-2</c:v>
                </c:pt>
                <c:pt idx="297">
                  <c:v>0.20178869388039578</c:v>
                </c:pt>
                <c:pt idx="298">
                  <c:v>6.6479619777723334E-2</c:v>
                </c:pt>
                <c:pt idx="299">
                  <c:v>6.5069914770113479E-2</c:v>
                </c:pt>
                <c:pt idx="300">
                  <c:v>5.1533437899810394E-2</c:v>
                </c:pt>
                <c:pt idx="301">
                  <c:v>7.3256430768076086E-2</c:v>
                </c:pt>
                <c:pt idx="302">
                  <c:v>0.11343815804944807</c:v>
                </c:pt>
                <c:pt idx="303">
                  <c:v>5.2634738116018757E-2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E5-46AE-A181-4337001D1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Exports!$E$6:$E$309</c:f>
              <c:numCache>
                <c:formatCode>0.00%</c:formatCode>
                <c:ptCount val="304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-1.1710013375725303E-2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0.10783796916874344</c:v>
                </c:pt>
                <c:pt idx="281">
                  <c:v>1.3382887302527902E-2</c:v>
                </c:pt>
                <c:pt idx="282">
                  <c:v>2.3734192647839603E-2</c:v>
                </c:pt>
                <c:pt idx="283">
                  <c:v>0.10805693252248649</c:v>
                </c:pt>
                <c:pt idx="284">
                  <c:v>2.6417909812457285E-2</c:v>
                </c:pt>
                <c:pt idx="285">
                  <c:v>2.1933837736728412E-2</c:v>
                </c:pt>
                <c:pt idx="286">
                  <c:v>-5.1794059921709712E-2</c:v>
                </c:pt>
                <c:pt idx="287">
                  <c:v>1.2452842877441306E-2</c:v>
                </c:pt>
                <c:pt idx="288">
                  <c:v>4.760259136120748E-2</c:v>
                </c:pt>
                <c:pt idx="289">
                  <c:v>-2.3039653467630594E-2</c:v>
                </c:pt>
                <c:pt idx="290">
                  <c:v>-4.2216974803288565E-4</c:v>
                </c:pt>
                <c:pt idx="291">
                  <c:v>7.5553696295487249E-3</c:v>
                </c:pt>
                <c:pt idx="292">
                  <c:v>-0.15294523983148378</c:v>
                </c:pt>
                <c:pt idx="293">
                  <c:v>-0.60873944736065044</c:v>
                </c:pt>
                <c:pt idx="294">
                  <c:v>0.59523236420324976</c:v>
                </c:pt>
                <c:pt idx="295">
                  <c:v>0.24178976814112363</c:v>
                </c:pt>
                <c:pt idx="296">
                  <c:v>4.2780595078695249E-3</c:v>
                </c:pt>
                <c:pt idx="297">
                  <c:v>4.8543498972836385E-2</c:v>
                </c:pt>
                <c:pt idx="298">
                  <c:v>-1.0714283904392885E-2</c:v>
                </c:pt>
                <c:pt idx="299">
                  <c:v>0.23523703381593442</c:v>
                </c:pt>
                <c:pt idx="300">
                  <c:v>-4.5812208725565573E-2</c:v>
                </c:pt>
                <c:pt idx="301">
                  <c:v>0.13791048633497649</c:v>
                </c:pt>
                <c:pt idx="302">
                  <c:v>0.14596708503808253</c:v>
                </c:pt>
                <c:pt idx="303">
                  <c:v>-1.3273723758684852E-2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D-42C0-8593-E45DD4325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Imports!$B$6:$B$309</c:f>
              <c:numCache>
                <c:formatCode>0.0</c:formatCode>
                <c:ptCount val="304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3241.8359999999998</c:v>
                </c:pt>
                <c:pt idx="281">
                  <c:v>3273.4029999999998</c:v>
                </c:pt>
                <c:pt idx="282">
                  <c:v>3270.7570000000001</c:v>
                </c:pt>
                <c:pt idx="283">
                  <c:v>3362.9569999999999</c:v>
                </c:pt>
                <c:pt idx="284">
                  <c:v>3391.2579999999998</c:v>
                </c:pt>
                <c:pt idx="285">
                  <c:v>3395.2829999999999</c:v>
                </c:pt>
                <c:pt idx="286">
                  <c:v>3441.0680000000002</c:v>
                </c:pt>
                <c:pt idx="287">
                  <c:v>3474.268</c:v>
                </c:pt>
                <c:pt idx="288">
                  <c:v>3485.931</c:v>
                </c:pt>
                <c:pt idx="289">
                  <c:v>3491.7510000000002</c:v>
                </c:pt>
                <c:pt idx="290">
                  <c:v>3476.3820000000001</c:v>
                </c:pt>
                <c:pt idx="291">
                  <c:v>3404.66</c:v>
                </c:pt>
                <c:pt idx="292">
                  <c:v>3295.4929999999999</c:v>
                </c:pt>
                <c:pt idx="293">
                  <c:v>2718.6190000000001</c:v>
                </c:pt>
                <c:pt idx="294">
                  <c:v>3184.18</c:v>
                </c:pt>
                <c:pt idx="295">
                  <c:v>3419.0010000000002</c:v>
                </c:pt>
                <c:pt idx="296">
                  <c:v>3482.0349999999999</c:v>
                </c:pt>
                <c:pt idx="297">
                  <c:v>3549.002</c:v>
                </c:pt>
                <c:pt idx="298">
                  <c:v>3606.2829999999999</c:v>
                </c:pt>
                <c:pt idx="299">
                  <c:v>3763.3159999999998</c:v>
                </c:pt>
                <c:pt idx="300">
                  <c:v>3925.6329999999998</c:v>
                </c:pt>
                <c:pt idx="301">
                  <c:v>3947.4720000000002</c:v>
                </c:pt>
                <c:pt idx="302">
                  <c:v>3872.9079999999999</c:v>
                </c:pt>
                <c:pt idx="303">
                  <c:v>3827.8690000000001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DB-4112-8567-F99AA9AB7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Imports!$C$6:$C$309</c:f>
              <c:numCache>
                <c:formatCode>0.00%</c:formatCode>
                <c:ptCount val="304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1.544576784833312E-2</c:v>
                </c:pt>
                <c:pt idx="281">
                  <c:v>9.7373833839836475E-3</c:v>
                </c:pt>
                <c:pt idx="282">
                  <c:v>-8.0833310166812059E-4</c:v>
                </c:pt>
                <c:pt idx="283">
                  <c:v>2.8189192899380728E-2</c:v>
                </c:pt>
                <c:pt idx="284">
                  <c:v>8.4155105164888909E-3</c:v>
                </c:pt>
                <c:pt idx="285">
                  <c:v>1.1868751949866661E-3</c:v>
                </c:pt>
                <c:pt idx="286">
                  <c:v>1.3484884765128654E-2</c:v>
                </c:pt>
                <c:pt idx="287">
                  <c:v>9.6481673712928134E-3</c:v>
                </c:pt>
                <c:pt idx="288">
                  <c:v>3.3569661292680965E-3</c:v>
                </c:pt>
                <c:pt idx="289">
                  <c:v>1.6695683305263827E-3</c:v>
                </c:pt>
                <c:pt idx="290">
                  <c:v>-4.4015166029880539E-3</c:v>
                </c:pt>
                <c:pt idx="291">
                  <c:v>-2.0631219468976714E-2</c:v>
                </c:pt>
                <c:pt idx="292">
                  <c:v>-3.2063994642636831E-2</c:v>
                </c:pt>
                <c:pt idx="293">
                  <c:v>-0.17504937804449891</c:v>
                </c:pt>
                <c:pt idx="294">
                  <c:v>0.171249079036084</c:v>
                </c:pt>
                <c:pt idx="295">
                  <c:v>7.3746145004365452E-2</c:v>
                </c:pt>
                <c:pt idx="296">
                  <c:v>1.8436379515536745E-2</c:v>
                </c:pt>
                <c:pt idx="297">
                  <c:v>1.9232144421293899E-2</c:v>
                </c:pt>
                <c:pt idx="298">
                  <c:v>1.6140030352194773E-2</c:v>
                </c:pt>
                <c:pt idx="299">
                  <c:v>4.354428091195281E-2</c:v>
                </c:pt>
                <c:pt idx="300">
                  <c:v>4.3131376690131791E-2</c:v>
                </c:pt>
                <c:pt idx="301">
                  <c:v>5.5631792375905736E-3</c:v>
                </c:pt>
                <c:pt idx="302">
                  <c:v>-1.888905101796803E-2</c:v>
                </c:pt>
                <c:pt idx="303">
                  <c:v>-1.1629246034246039E-2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7-4E13-9A9B-F9E771705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Imports!$D$6:$D$309</c:f>
              <c:numCache>
                <c:formatCode>0.00%</c:formatCode>
                <c:ptCount val="304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3.9057326686277823E-2</c:v>
                </c:pt>
                <c:pt idx="281">
                  <c:v>4.8077560357896967E-2</c:v>
                </c:pt>
                <c:pt idx="282">
                  <c:v>3.9663354182182579E-2</c:v>
                </c:pt>
                <c:pt idx="283">
                  <c:v>5.3384703330435872E-2</c:v>
                </c:pt>
                <c:pt idx="284">
                  <c:v>4.609178255778517E-2</c:v>
                </c:pt>
                <c:pt idx="285">
                  <c:v>3.7233423443431841E-2</c:v>
                </c:pt>
                <c:pt idx="286">
                  <c:v>5.2070820302456022E-2</c:v>
                </c:pt>
                <c:pt idx="287">
                  <c:v>3.3099144592095633E-2</c:v>
                </c:pt>
                <c:pt idx="288">
                  <c:v>2.791677896521003E-2</c:v>
                </c:pt>
                <c:pt idx="289">
                  <c:v>2.8412359146498336E-2</c:v>
                </c:pt>
                <c:pt idx="290">
                  <c:v>1.0262511522585387E-2</c:v>
                </c:pt>
                <c:pt idx="291">
                  <c:v>-2.0035299522086429E-2</c:v>
                </c:pt>
                <c:pt idx="292">
                  <c:v>-5.4630455967143381E-2</c:v>
                </c:pt>
                <c:pt idx="293">
                  <c:v>-0.22141670468484151</c:v>
                </c:pt>
                <c:pt idx="294">
                  <c:v>-8.4053478587796229E-2</c:v>
                </c:pt>
                <c:pt idx="295">
                  <c:v>4.2121680285257118E-3</c:v>
                </c:pt>
                <c:pt idx="296">
                  <c:v>5.6605187751878068E-2</c:v>
                </c:pt>
                <c:pt idx="297">
                  <c:v>0.30544294731994437</c:v>
                </c:pt>
                <c:pt idx="298">
                  <c:v>0.13256254357479794</c:v>
                </c:pt>
                <c:pt idx="299">
                  <c:v>0.10070631743014979</c:v>
                </c:pt>
                <c:pt idx="300">
                  <c:v>0.12739619216923437</c:v>
                </c:pt>
                <c:pt idx="301">
                  <c:v>0.11227663438904803</c:v>
                </c:pt>
                <c:pt idx="302">
                  <c:v>7.3933465565514417E-2</c:v>
                </c:pt>
                <c:pt idx="303">
                  <c:v>1.7153223380656939E-2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D1-4C24-8176-C29CDA461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Imports!$E$6:$E$309</c:f>
              <c:numCache>
                <c:formatCode>0.00%</c:formatCode>
                <c:ptCount val="304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6.3229298471475515E-2</c:v>
                </c:pt>
                <c:pt idx="281">
                  <c:v>3.9522135400839709E-2</c:v>
                </c:pt>
                <c:pt idx="282">
                  <c:v>-3.2294141044932889E-3</c:v>
                </c:pt>
                <c:pt idx="283">
                  <c:v>0.11761478659387192</c:v>
                </c:pt>
                <c:pt idx="284">
                  <c:v>3.4089355958392131E-2</c:v>
                </c:pt>
                <c:pt idx="285">
                  <c:v>4.7559595059765147E-3</c:v>
                </c:pt>
                <c:pt idx="286">
                  <c:v>5.5040433309822445E-2</c:v>
                </c:pt>
                <c:pt idx="287">
                  <c:v>3.9154793433113344E-2</c:v>
                </c:pt>
                <c:pt idx="288">
                  <c:v>1.3495631295206589E-2</c:v>
                </c:pt>
                <c:pt idx="289">
                  <c:v>6.6950166957462365E-3</c:v>
                </c:pt>
                <c:pt idx="290">
                  <c:v>-1.7490167034645898E-2</c:v>
                </c:pt>
                <c:pt idx="291">
                  <c:v>-8.0005939884274069E-2</c:v>
                </c:pt>
                <c:pt idx="292">
                  <c:v>-0.12221818300660603</c:v>
                </c:pt>
                <c:pt idx="293">
                  <c:v>-0.53686050559250598</c:v>
                </c:pt>
                <c:pt idx="294">
                  <c:v>0.88190219854560215</c:v>
                </c:pt>
                <c:pt idx="295">
                  <c:v>0.32924939249133001</c:v>
                </c:pt>
                <c:pt idx="296">
                  <c:v>7.5810100240262912E-2</c:v>
                </c:pt>
                <c:pt idx="297">
                  <c:v>7.9176420754051291E-2</c:v>
                </c:pt>
                <c:pt idx="298">
                  <c:v>6.6140010697006923E-2</c:v>
                </c:pt>
                <c:pt idx="299">
                  <c:v>0.1858876032710941</c:v>
                </c:pt>
                <c:pt idx="300">
                  <c:v>0.18401181336712558</c:v>
                </c:pt>
                <c:pt idx="301">
                  <c:v>2.2439100386096422E-2</c:v>
                </c:pt>
                <c:pt idx="302">
                  <c:v>-7.3442257448305903E-2</c:v>
                </c:pt>
                <c:pt idx="303">
                  <c:v>-4.5711820594667274E-2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1F-482D-8E4A-5355F3290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Government!$B$6:$B$309</c:f>
              <c:numCache>
                <c:formatCode>0.0</c:formatCode>
                <c:ptCount val="304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3152.232</c:v>
                </c:pt>
                <c:pt idx="281">
                  <c:v>3157.8739999999998</c:v>
                </c:pt>
                <c:pt idx="282">
                  <c:v>3157.0859999999998</c:v>
                </c:pt>
                <c:pt idx="283">
                  <c:v>3181.9989999999998</c:v>
                </c:pt>
                <c:pt idx="284">
                  <c:v>3187.7139999999999</c:v>
                </c:pt>
                <c:pt idx="285">
                  <c:v>3210.0369999999998</c:v>
                </c:pt>
                <c:pt idx="286">
                  <c:v>3231.3359999999998</c:v>
                </c:pt>
                <c:pt idx="287">
                  <c:v>3232.3029999999999</c:v>
                </c:pt>
                <c:pt idx="288">
                  <c:v>3270.9659999999999</c:v>
                </c:pt>
                <c:pt idx="289">
                  <c:v>3313.8</c:v>
                </c:pt>
                <c:pt idx="290">
                  <c:v>3341.2289999999998</c:v>
                </c:pt>
                <c:pt idx="291">
                  <c:v>3360.85</c:v>
                </c:pt>
                <c:pt idx="292">
                  <c:v>3387.944</c:v>
                </c:pt>
                <c:pt idx="293">
                  <c:v>3448.0430000000001</c:v>
                </c:pt>
                <c:pt idx="294">
                  <c:v>3395.877</c:v>
                </c:pt>
                <c:pt idx="295">
                  <c:v>3394.7950000000001</c:v>
                </c:pt>
                <c:pt idx="296">
                  <c:v>3448.7429999999999</c:v>
                </c:pt>
                <c:pt idx="297">
                  <c:v>3422.3629999999998</c:v>
                </c:pt>
                <c:pt idx="298">
                  <c:v>3421.0459999999998</c:v>
                </c:pt>
                <c:pt idx="299">
                  <c:v>3412.8580000000002</c:v>
                </c:pt>
                <c:pt idx="300">
                  <c:v>3393.3890000000001</c:v>
                </c:pt>
                <c:pt idx="301">
                  <c:v>3379.4989999999998</c:v>
                </c:pt>
                <c:pt idx="302">
                  <c:v>3410.625</c:v>
                </c:pt>
                <c:pt idx="303">
                  <c:v>3441.9079999999999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C-4954-BC59-A5AE6E2FD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Government!$C$6:$C$309</c:f>
              <c:numCache>
                <c:formatCode>0.00%</c:formatCode>
                <c:ptCount val="304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-2.6068899224198014E-3</c:v>
                </c:pt>
                <c:pt idx="281">
                  <c:v>1.7898428795849498E-3</c:v>
                </c:pt>
                <c:pt idx="282">
                  <c:v>-2.4953497194631926E-4</c:v>
                </c:pt>
                <c:pt idx="283">
                  <c:v>7.8911375870027028E-3</c:v>
                </c:pt>
                <c:pt idx="284">
                  <c:v>1.7960407907105394E-3</c:v>
                </c:pt>
                <c:pt idx="285">
                  <c:v>7.0028239672692925E-3</c:v>
                </c:pt>
                <c:pt idx="286">
                  <c:v>6.635126012566204E-3</c:v>
                </c:pt>
                <c:pt idx="287">
                  <c:v>2.992570255770673E-4</c:v>
                </c:pt>
                <c:pt idx="288">
                  <c:v>1.1961440496141609E-2</c:v>
                </c:pt>
                <c:pt idx="289">
                  <c:v>1.3095214074374447E-2</c:v>
                </c:pt>
                <c:pt idx="290">
                  <c:v>8.2772044178887165E-3</c:v>
                </c:pt>
                <c:pt idx="291">
                  <c:v>5.8723900696420672E-3</c:v>
                </c:pt>
                <c:pt idx="292">
                  <c:v>8.0616510704137508E-3</c:v>
                </c:pt>
                <c:pt idx="293">
                  <c:v>1.7739077151216243E-2</c:v>
                </c:pt>
                <c:pt idx="294">
                  <c:v>-1.5129161672287778E-2</c:v>
                </c:pt>
                <c:pt idx="295">
                  <c:v>-3.1862166974830949E-4</c:v>
                </c:pt>
                <c:pt idx="296">
                  <c:v>1.5891386666941558E-2</c:v>
                </c:pt>
                <c:pt idx="297">
                  <c:v>-7.6491637677844103E-3</c:v>
                </c:pt>
                <c:pt idx="298">
                  <c:v>-3.8482183216684128E-4</c:v>
                </c:pt>
                <c:pt idx="299">
                  <c:v>-2.393420024167944E-3</c:v>
                </c:pt>
                <c:pt idx="300">
                  <c:v>-5.7046030042855727E-3</c:v>
                </c:pt>
                <c:pt idx="301">
                  <c:v>-4.093253087105642E-3</c:v>
                </c:pt>
                <c:pt idx="302">
                  <c:v>9.2102409262438626E-3</c:v>
                </c:pt>
                <c:pt idx="303">
                  <c:v>9.1722191680410192E-3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03-4A83-A6DB-2EC6D9CF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Government!$D$6:$D$309</c:f>
              <c:numCache>
                <c:formatCode>0.00%</c:formatCode>
                <c:ptCount val="304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2.9880608023123271E-3</c:v>
                </c:pt>
                <c:pt idx="281">
                  <c:v>6.3621964938446107E-3</c:v>
                </c:pt>
                <c:pt idx="282">
                  <c:v>1.0120822069479849E-3</c:v>
                </c:pt>
                <c:pt idx="283">
                  <c:v>6.8116429481554462E-3</c:v>
                </c:pt>
                <c:pt idx="284">
                  <c:v>1.1256151196993105E-2</c:v>
                </c:pt>
                <c:pt idx="285">
                  <c:v>1.6518391804106185E-2</c:v>
                </c:pt>
                <c:pt idx="286">
                  <c:v>2.3518523093764315E-2</c:v>
                </c:pt>
                <c:pt idx="287">
                  <c:v>1.5808930172511081E-2</c:v>
                </c:pt>
                <c:pt idx="288">
                  <c:v>2.6116521118268437E-2</c:v>
                </c:pt>
                <c:pt idx="289">
                  <c:v>3.2324549530114571E-2</c:v>
                </c:pt>
                <c:pt idx="290">
                  <c:v>3.4008533931476036E-2</c:v>
                </c:pt>
                <c:pt idx="291">
                  <c:v>3.9769477057070464E-2</c:v>
                </c:pt>
                <c:pt idx="292">
                  <c:v>3.5762523976097603E-2</c:v>
                </c:pt>
                <c:pt idx="293">
                  <c:v>4.0510290301164806E-2</c:v>
                </c:pt>
                <c:pt idx="294">
                  <c:v>1.6355658352061514E-2</c:v>
                </c:pt>
                <c:pt idx="295">
                  <c:v>1.0100123480667142E-2</c:v>
                </c:pt>
                <c:pt idx="296">
                  <c:v>1.7945692136587848E-2</c:v>
                </c:pt>
                <c:pt idx="297">
                  <c:v>-7.4477029433798504E-3</c:v>
                </c:pt>
                <c:pt idx="298">
                  <c:v>7.4116347559113208E-3</c:v>
                </c:pt>
                <c:pt idx="299">
                  <c:v>5.3207925662669183E-3</c:v>
                </c:pt>
                <c:pt idx="300">
                  <c:v>-1.60504856407102E-2</c:v>
                </c:pt>
                <c:pt idx="301">
                  <c:v>-1.252467958542096E-2</c:v>
                </c:pt>
                <c:pt idx="302">
                  <c:v>-3.0461443663721043E-3</c:v>
                </c:pt>
                <c:pt idx="303">
                  <c:v>8.5119275399092864E-3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3-4831-A0D4-63D3DE751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Government!$E$6:$E$309</c:f>
              <c:numCache>
                <c:formatCode>0.00%</c:formatCode>
                <c:ptCount val="304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-1.0386855257482397E-2</c:v>
                </c:pt>
                <c:pt idx="281">
                  <c:v>7.1786156891200381E-3</c:v>
                </c:pt>
                <c:pt idx="282">
                  <c:v>-9.9776634372006345E-4</c:v>
                </c:pt>
                <c:pt idx="283">
                  <c:v>3.1940140066277545E-2</c:v>
                </c:pt>
                <c:pt idx="284">
                  <c:v>7.2035409227833025E-3</c:v>
                </c:pt>
                <c:pt idx="285">
                  <c:v>2.8306909196216035E-2</c:v>
                </c:pt>
                <c:pt idx="286">
                  <c:v>2.6805823814634477E-2</c:v>
                </c:pt>
                <c:pt idx="287">
                  <c:v>1.1975655381202266E-3</c:v>
                </c:pt>
                <c:pt idx="288">
                  <c:v>4.8711084390833825E-2</c:v>
                </c:pt>
                <c:pt idx="289">
                  <c:v>5.3418776006247004E-2</c:v>
                </c:pt>
                <c:pt idx="290">
                  <c:v>3.3522163398374438E-2</c:v>
                </c:pt>
                <c:pt idx="291">
                  <c:v>2.3697281295228079E-2</c:v>
                </c:pt>
                <c:pt idx="292">
                  <c:v>3.2638645527111043E-2</c:v>
                </c:pt>
                <c:pt idx="293">
                  <c:v>7.2866784940539331E-2</c:v>
                </c:pt>
                <c:pt idx="294">
                  <c:v>-5.9157096848406865E-2</c:v>
                </c:pt>
                <c:pt idx="295">
                  <c:v>-1.2738776897577297E-3</c:v>
                </c:pt>
                <c:pt idx="296">
                  <c:v>6.509688006318437E-2</c:v>
                </c:pt>
                <c:pt idx="297">
                  <c:v>-3.024738361097723E-2</c:v>
                </c:pt>
                <c:pt idx="298">
                  <c:v>-1.5383990295398942E-3</c:v>
                </c:pt>
                <c:pt idx="299">
                  <c:v>-9.5393641498220383E-3</c:v>
                </c:pt>
                <c:pt idx="300">
                  <c:v>-2.2623898553578159E-2</c:v>
                </c:pt>
                <c:pt idx="301">
                  <c:v>-1.6272758067942372E-2</c:v>
                </c:pt>
                <c:pt idx="302">
                  <c:v>3.7353067293459219E-2</c:v>
                </c:pt>
                <c:pt idx="303">
                  <c:v>3.7196747997436885E-2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F-4999-96CD-D4BF4388B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GDPPriceIndex!$B$6:$B$309</c:f>
              <c:numCache>
                <c:formatCode>0.0</c:formatCode>
                <c:ptCount val="304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107.02200000000001</c:v>
                </c:pt>
                <c:pt idx="281">
                  <c:v>107.363</c:v>
                </c:pt>
                <c:pt idx="282">
                  <c:v>107.94799999999999</c:v>
                </c:pt>
                <c:pt idx="283">
                  <c:v>108.639</c:v>
                </c:pt>
                <c:pt idx="284">
                  <c:v>109.36499999999999</c:v>
                </c:pt>
                <c:pt idx="285">
                  <c:v>110.176</c:v>
                </c:pt>
                <c:pt idx="286">
                  <c:v>110.68</c:v>
                </c:pt>
                <c:pt idx="287">
                  <c:v>111.155</c:v>
                </c:pt>
                <c:pt idx="288">
                  <c:v>111.56</c:v>
                </c:pt>
                <c:pt idx="289">
                  <c:v>112.184</c:v>
                </c:pt>
                <c:pt idx="290">
                  <c:v>112.55800000000001</c:v>
                </c:pt>
                <c:pt idx="291">
                  <c:v>112.91</c:v>
                </c:pt>
                <c:pt idx="292">
                  <c:v>113.42700000000001</c:v>
                </c:pt>
                <c:pt idx="293">
                  <c:v>113.053</c:v>
                </c:pt>
                <c:pt idx="294">
                  <c:v>114.032</c:v>
                </c:pt>
                <c:pt idx="295">
                  <c:v>114.744</c:v>
                </c:pt>
                <c:pt idx="296">
                  <c:v>116.199</c:v>
                </c:pt>
                <c:pt idx="297">
                  <c:v>117.974</c:v>
                </c:pt>
                <c:pt idx="298">
                  <c:v>119.76300000000001</c:v>
                </c:pt>
                <c:pt idx="299">
                  <c:v>121.758</c:v>
                </c:pt>
                <c:pt idx="300">
                  <c:v>124.209</c:v>
                </c:pt>
                <c:pt idx="301">
                  <c:v>126.914</c:v>
                </c:pt>
                <c:pt idx="302">
                  <c:v>128.27600000000001</c:v>
                </c:pt>
                <c:pt idx="303">
                  <c:v>129.374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A9-4AE7-A989-EDF5F3C74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GDPPriceIndex!$C$6:$C$309</c:f>
              <c:numCache>
                <c:formatCode>0.00%</c:formatCode>
                <c:ptCount val="304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5.18455903071294E-3</c:v>
                </c:pt>
                <c:pt idx="281">
                  <c:v>3.1862607688138323E-3</c:v>
                </c:pt>
                <c:pt idx="282">
                  <c:v>5.4488045229734057E-3</c:v>
                </c:pt>
                <c:pt idx="283">
                  <c:v>6.4012302219587447E-3</c:v>
                </c:pt>
                <c:pt idx="284">
                  <c:v>6.6826830143870905E-3</c:v>
                </c:pt>
                <c:pt idx="285">
                  <c:v>7.415535134640946E-3</c:v>
                </c:pt>
                <c:pt idx="286">
                  <c:v>4.5744989834447143E-3</c:v>
                </c:pt>
                <c:pt idx="287">
                  <c:v>4.2916516082399199E-3</c:v>
                </c:pt>
                <c:pt idx="288">
                  <c:v>3.643560793486583E-3</c:v>
                </c:pt>
                <c:pt idx="289">
                  <c:v>5.5934026532807029E-3</c:v>
                </c:pt>
                <c:pt idx="290">
                  <c:v>3.3338087427798031E-3</c:v>
                </c:pt>
                <c:pt idx="291">
                  <c:v>3.1272766040618136E-3</c:v>
                </c:pt>
                <c:pt idx="292">
                  <c:v>4.5788681250554433E-3</c:v>
                </c:pt>
                <c:pt idx="293">
                  <c:v>-3.2972748992745062E-3</c:v>
                </c:pt>
                <c:pt idx="294">
                  <c:v>8.6596552059653373E-3</c:v>
                </c:pt>
                <c:pt idx="295">
                  <c:v>6.2438613722464158E-3</c:v>
                </c:pt>
                <c:pt idx="296">
                  <c:v>1.2680401589625587E-2</c:v>
                </c:pt>
                <c:pt idx="297">
                  <c:v>1.527551872219215E-2</c:v>
                </c:pt>
                <c:pt idx="298">
                  <c:v>1.5164358248427632E-2</c:v>
                </c:pt>
                <c:pt idx="299">
                  <c:v>1.6657899351218575E-2</c:v>
                </c:pt>
                <c:pt idx="300">
                  <c:v>2.0130094121125576E-2</c:v>
                </c:pt>
                <c:pt idx="301">
                  <c:v>2.1777809981563319E-2</c:v>
                </c:pt>
                <c:pt idx="302">
                  <c:v>1.0731676568384961E-2</c:v>
                </c:pt>
                <c:pt idx="303">
                  <c:v>8.5596682154104008E-3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C-4D58-B02F-829F77EFC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GDPPriceIndex!$D$6:$D$309</c:f>
              <c:numCache>
                <c:formatCode>0.00%</c:formatCode>
                <c:ptCount val="304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2.0491451565226519E-2</c:v>
                </c:pt>
                <c:pt idx="281">
                  <c:v>1.6926195347427505E-2</c:v>
                </c:pt>
                <c:pt idx="282">
                  <c:v>1.9396755245811734E-2</c:v>
                </c:pt>
                <c:pt idx="283">
                  <c:v>2.0371935756551114E-2</c:v>
                </c:pt>
                <c:pt idx="284">
                  <c:v>2.1892694959914683E-2</c:v>
                </c:pt>
                <c:pt idx="285">
                  <c:v>2.6200832689101481E-2</c:v>
                </c:pt>
                <c:pt idx="286">
                  <c:v>2.530848186163721E-2</c:v>
                </c:pt>
                <c:pt idx="287">
                  <c:v>2.3159270611842944E-2</c:v>
                </c:pt>
                <c:pt idx="288">
                  <c:v>2.0070406437160036E-2</c:v>
                </c:pt>
                <c:pt idx="289">
                  <c:v>1.822538483880333E-2</c:v>
                </c:pt>
                <c:pt idx="290">
                  <c:v>1.6967835200578242E-2</c:v>
                </c:pt>
                <c:pt idx="291">
                  <c:v>1.5788763438441773E-2</c:v>
                </c:pt>
                <c:pt idx="292">
                  <c:v>1.6735389028325606E-2</c:v>
                </c:pt>
                <c:pt idx="293">
                  <c:v>7.7462026670469921E-3</c:v>
                </c:pt>
                <c:pt idx="294">
                  <c:v>1.3095470779509137E-2</c:v>
                </c:pt>
                <c:pt idx="295">
                  <c:v>1.6243025418474919E-2</c:v>
                </c:pt>
                <c:pt idx="296">
                  <c:v>2.4438625724033883E-2</c:v>
                </c:pt>
                <c:pt idx="297">
                  <c:v>4.3528256658381524E-2</c:v>
                </c:pt>
                <c:pt idx="298">
                  <c:v>5.0257822365651822E-2</c:v>
                </c:pt>
                <c:pt idx="299">
                  <c:v>6.1127379209370385E-2</c:v>
                </c:pt>
                <c:pt idx="300">
                  <c:v>6.8933467585779618E-2</c:v>
                </c:pt>
                <c:pt idx="301">
                  <c:v>7.5779409022326938E-2</c:v>
                </c:pt>
                <c:pt idx="302">
                  <c:v>7.108205372276917E-2</c:v>
                </c:pt>
                <c:pt idx="303">
                  <c:v>6.2550304702771065E-2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E5-4C36-9E80-DA5A38A8F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GDPPriceIndex!$E$6:$E$309</c:f>
              <c:numCache>
                <c:formatCode>0.00%</c:formatCode>
                <c:ptCount val="304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2.0900072196002428E-2</c:v>
                </c:pt>
                <c:pt idx="281">
                  <c:v>1.2806086115406456E-2</c:v>
                </c:pt>
                <c:pt idx="282">
                  <c:v>2.1974002886225863E-2</c:v>
                </c:pt>
                <c:pt idx="283">
                  <c:v>2.5851826237768938E-2</c:v>
                </c:pt>
                <c:pt idx="284">
                  <c:v>2.699987731330844E-2</c:v>
                </c:pt>
                <c:pt idx="285">
                  <c:v>2.9993715656374098E-2</c:v>
                </c:pt>
                <c:pt idx="286">
                  <c:v>1.8423935521987289E-2</c:v>
                </c:pt>
                <c:pt idx="287">
                  <c:v>1.7277432592604169E-2</c:v>
                </c:pt>
                <c:pt idx="288">
                  <c:v>1.465409004260021E-2</c:v>
                </c:pt>
                <c:pt idx="289">
                  <c:v>2.2562028495606512E-2</c:v>
                </c:pt>
                <c:pt idx="290">
                  <c:v>1.3402068990592708E-2</c:v>
                </c:pt>
                <c:pt idx="291">
                  <c:v>1.2567908002938832E-2</c:v>
                </c:pt>
                <c:pt idx="292">
                  <c:v>1.8441653142442282E-2</c:v>
                </c:pt>
                <c:pt idx="293">
                  <c:v>-1.3124010740506842E-2</c:v>
                </c:pt>
                <c:pt idx="294">
                  <c:v>3.5091161754322142E-2</c:v>
                </c:pt>
                <c:pt idx="295">
                  <c:v>2.5210335525736927E-2</c:v>
                </c:pt>
                <c:pt idx="296">
                  <c:v>5.1694543377777791E-2</c:v>
                </c:pt>
                <c:pt idx="297">
                  <c:v>6.2516435818514626E-2</c:v>
                </c:pt>
                <c:pt idx="298">
                  <c:v>6.2051181088286667E-2</c:v>
                </c:pt>
                <c:pt idx="299">
                  <c:v>6.8315077377414601E-2</c:v>
                </c:pt>
                <c:pt idx="300">
                  <c:v>8.2984493346725419E-2</c:v>
                </c:pt>
                <c:pt idx="301">
                  <c:v>8.9998417416452314E-2</c:v>
                </c:pt>
                <c:pt idx="302">
                  <c:v>4.3622676649989867E-2</c:v>
                </c:pt>
                <c:pt idx="303">
                  <c:v>3.4680794345919752E-2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1-4C3D-AA6D-3209EEECB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CorePCE!$B$6:$B$309</c:f>
              <c:numCache>
                <c:formatCode>0.0</c:formatCode>
                <c:ptCount val="304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107.328</c:v>
                </c:pt>
                <c:pt idx="281">
                  <c:v>107.738</c:v>
                </c:pt>
                <c:pt idx="282">
                  <c:v>108.077</c:v>
                </c:pt>
                <c:pt idx="283">
                  <c:v>108.608</c:v>
                </c:pt>
                <c:pt idx="284">
                  <c:v>109.318</c:v>
                </c:pt>
                <c:pt idx="285">
                  <c:v>109.926</c:v>
                </c:pt>
                <c:pt idx="286">
                  <c:v>110.313</c:v>
                </c:pt>
                <c:pt idx="287">
                  <c:v>110.822</c:v>
                </c:pt>
                <c:pt idx="288">
                  <c:v>111.23</c:v>
                </c:pt>
                <c:pt idx="289">
                  <c:v>111.80800000000001</c:v>
                </c:pt>
                <c:pt idx="290">
                  <c:v>112.255</c:v>
                </c:pt>
                <c:pt idx="291">
                  <c:v>112.59699999999999</c:v>
                </c:pt>
                <c:pt idx="292">
                  <c:v>113.119</c:v>
                </c:pt>
                <c:pt idx="293">
                  <c:v>112.846</c:v>
                </c:pt>
                <c:pt idx="294">
                  <c:v>113.729</c:v>
                </c:pt>
                <c:pt idx="295">
                  <c:v>114.163</c:v>
                </c:pt>
                <c:pt idx="296">
                  <c:v>115.072</c:v>
                </c:pt>
                <c:pt idx="297">
                  <c:v>116.774</c:v>
                </c:pt>
                <c:pt idx="298">
                  <c:v>118.152</c:v>
                </c:pt>
                <c:pt idx="299">
                  <c:v>119.55500000000001</c:v>
                </c:pt>
                <c:pt idx="300">
                  <c:v>121.206</c:v>
                </c:pt>
                <c:pt idx="301">
                  <c:v>122.592</c:v>
                </c:pt>
                <c:pt idx="302">
                  <c:v>123.997</c:v>
                </c:pt>
                <c:pt idx="303">
                  <c:v>125.19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3E-4F1D-B9D7-D33517571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CorePCE!$C$6:$C$309</c:f>
              <c:numCache>
                <c:formatCode>0.00%</c:formatCode>
                <c:ptCount val="304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4.7744762118744509E-3</c:v>
                </c:pt>
                <c:pt idx="281">
                  <c:v>3.8200655933213752E-3</c:v>
                </c:pt>
                <c:pt idx="282">
                  <c:v>3.1465221184725782E-3</c:v>
                </c:pt>
                <c:pt idx="283">
                  <c:v>4.9131637628728212E-3</c:v>
                </c:pt>
                <c:pt idx="284">
                  <c:v>6.5372716558632299E-3</c:v>
                </c:pt>
                <c:pt idx="285">
                  <c:v>5.5617556120675839E-3</c:v>
                </c:pt>
                <c:pt idx="286">
                  <c:v>3.5205501883085024E-3</c:v>
                </c:pt>
                <c:pt idx="287">
                  <c:v>4.6141433919846282E-3</c:v>
                </c:pt>
                <c:pt idx="288">
                  <c:v>3.6815794697803799E-3</c:v>
                </c:pt>
                <c:pt idx="289">
                  <c:v>5.1964398094039646E-3</c:v>
                </c:pt>
                <c:pt idx="290">
                  <c:v>3.9979250143101436E-3</c:v>
                </c:pt>
                <c:pt idx="291">
                  <c:v>3.0466348937686406E-3</c:v>
                </c:pt>
                <c:pt idx="292">
                  <c:v>4.6360027354192881E-3</c:v>
                </c:pt>
                <c:pt idx="293">
                  <c:v>-2.4133876713902714E-3</c:v>
                </c:pt>
                <c:pt idx="294">
                  <c:v>7.8248232103928853E-3</c:v>
                </c:pt>
                <c:pt idx="295">
                  <c:v>3.8160891241459743E-3</c:v>
                </c:pt>
                <c:pt idx="296">
                  <c:v>7.9622995191086961E-3</c:v>
                </c:pt>
                <c:pt idx="297">
                  <c:v>1.4790739710789751E-2</c:v>
                </c:pt>
                <c:pt idx="298">
                  <c:v>1.1800572045147038E-2</c:v>
                </c:pt>
                <c:pt idx="299">
                  <c:v>1.1874534497934913E-2</c:v>
                </c:pt>
                <c:pt idx="300">
                  <c:v>1.3809543724645528E-2</c:v>
                </c:pt>
                <c:pt idx="301">
                  <c:v>1.143507747141227E-2</c:v>
                </c:pt>
                <c:pt idx="302">
                  <c:v>1.1460780475071793E-2</c:v>
                </c:pt>
                <c:pt idx="303">
                  <c:v>9.6212005129156179E-3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C8-434C-B6B1-FA732CF76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CorePCE!$D$6:$D$309</c:f>
              <c:numCache>
                <c:formatCode>0.00%</c:formatCode>
                <c:ptCount val="304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1.8630475015422657E-2</c:v>
                </c:pt>
                <c:pt idx="281">
                  <c:v>1.7000670209652926E-2</c:v>
                </c:pt>
                <c:pt idx="282">
                  <c:v>1.5474960067650017E-2</c:v>
                </c:pt>
                <c:pt idx="283">
                  <c:v>1.6757475331872964E-2</c:v>
                </c:pt>
                <c:pt idx="284">
                  <c:v>1.8541293977340442E-2</c:v>
                </c:pt>
                <c:pt idx="285">
                  <c:v>2.030852623958123E-2</c:v>
                </c:pt>
                <c:pt idx="286">
                  <c:v>2.068895324629666E-2</c:v>
                </c:pt>
                <c:pt idx="287">
                  <c:v>2.0385238656452549E-2</c:v>
                </c:pt>
                <c:pt idx="288">
                  <c:v>1.7490257780054575E-2</c:v>
                </c:pt>
                <c:pt idx="289">
                  <c:v>1.712060840929357E-2</c:v>
                </c:pt>
                <c:pt idx="290">
                  <c:v>1.7604452784349921E-2</c:v>
                </c:pt>
                <c:pt idx="291">
                  <c:v>1.6016675389363046E-2</c:v>
                </c:pt>
                <c:pt idx="292">
                  <c:v>1.6982828373640166E-2</c:v>
                </c:pt>
                <c:pt idx="293">
                  <c:v>9.2837721808814808E-3</c:v>
                </c:pt>
                <c:pt idx="294">
                  <c:v>1.3130818226359661E-2</c:v>
                </c:pt>
                <c:pt idx="295">
                  <c:v>1.3908008206257738E-2</c:v>
                </c:pt>
                <c:pt idx="296">
                  <c:v>1.7265004110715292E-2</c:v>
                </c:pt>
                <c:pt idx="297">
                  <c:v>3.4808500079754681E-2</c:v>
                </c:pt>
                <c:pt idx="298">
                  <c:v>3.8890696304372689E-2</c:v>
                </c:pt>
                <c:pt idx="299">
                  <c:v>4.7230713979135183E-2</c:v>
                </c:pt>
                <c:pt idx="300">
                  <c:v>5.3305756395995552E-2</c:v>
                </c:pt>
                <c:pt idx="301">
                  <c:v>4.9822734512819614E-2</c:v>
                </c:pt>
                <c:pt idx="302">
                  <c:v>4.9470174013135609E-2</c:v>
                </c:pt>
                <c:pt idx="303">
                  <c:v>4.7133118648320781E-2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52-415A-A802-D97D93676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CorePCE!$E$6:$E$309</c:f>
              <c:numCache>
                <c:formatCode>0.00%</c:formatCode>
                <c:ptCount val="304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9.2119497478529322E-2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1.9235114454365654E-2</c:v>
                </c:pt>
                <c:pt idx="281">
                  <c:v>1.5368042976420027E-2</c:v>
                </c:pt>
                <c:pt idx="282">
                  <c:v>1.2645616790409875E-2</c:v>
                </c:pt>
                <c:pt idx="283">
                  <c:v>1.9797965102097415E-2</c:v>
                </c:pt>
                <c:pt idx="284">
                  <c:v>2.6406621479319048E-2</c:v>
                </c:pt>
                <c:pt idx="285">
                  <c:v>2.243331032799567E-2</c:v>
                </c:pt>
                <c:pt idx="286">
                  <c:v>1.4156741087271385E-2</c:v>
                </c:pt>
                <c:pt idx="287">
                  <c:v>1.8584708883010448E-2</c:v>
                </c:pt>
                <c:pt idx="288">
                  <c:v>1.4807841828103019E-2</c:v>
                </c:pt>
                <c:pt idx="289">
                  <c:v>2.0948339164513774E-2</c:v>
                </c:pt>
                <c:pt idx="290">
                  <c:v>1.6087856341038931E-2</c:v>
                </c:pt>
                <c:pt idx="291">
                  <c:v>1.2242344681552497E-2</c:v>
                </c:pt>
                <c:pt idx="292">
                  <c:v>1.8673365089334037E-2</c:v>
                </c:pt>
                <c:pt idx="293">
                  <c:v>-9.6186602378500741E-3</c:v>
                </c:pt>
                <c:pt idx="294">
                  <c:v>3.1668580128731305E-2</c:v>
                </c:pt>
                <c:pt idx="295">
                  <c:v>1.5351954213615571E-2</c:v>
                </c:pt>
                <c:pt idx="296">
                  <c:v>3.2231610559823709E-2</c:v>
                </c:pt>
                <c:pt idx="297">
                  <c:v>6.0488545431609309E-2</c:v>
                </c:pt>
                <c:pt idx="298">
                  <c:v>4.8044401659546931E-2</c:v>
                </c:pt>
                <c:pt idx="299">
                  <c:v>4.8350882745786139E-2</c:v>
                </c:pt>
                <c:pt idx="300">
                  <c:v>5.6392966366873409E-2</c:v>
                </c:pt>
                <c:pt idx="301">
                  <c:v>4.6530874013263945E-2</c:v>
                </c:pt>
                <c:pt idx="302">
                  <c:v>4.6637257558202139E-2</c:v>
                </c:pt>
                <c:pt idx="303">
                  <c:v>3.9043778058150513E-2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0-423C-BCA3-A16C27D11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PersonalSaving!$A$2</c:f>
          <c:strCache>
            <c:ptCount val="1"/>
            <c:pt idx="0">
              <c:v>Personal Saving as % of Disposable Personal Income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PersonalSaving!$A$2</c:f>
              <c:strCache>
                <c:ptCount val="1"/>
                <c:pt idx="0">
                  <c:v>Personal Saving as % of Disposable Personal Income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PersonalSaving!$B$6:$B$310</c:f>
              <c:numCache>
                <c:formatCode>0.0</c:formatCode>
                <c:ptCount val="305"/>
                <c:pt idx="48">
                  <c:v>10.7</c:v>
                </c:pt>
                <c:pt idx="49">
                  <c:v>10.8</c:v>
                </c:pt>
                <c:pt idx="50">
                  <c:v>9.6999999999999993</c:v>
                </c:pt>
                <c:pt idx="51">
                  <c:v>10.199999999999999</c:v>
                </c:pt>
                <c:pt idx="52">
                  <c:v>10.3</c:v>
                </c:pt>
                <c:pt idx="53">
                  <c:v>9.6999999999999993</c:v>
                </c:pt>
                <c:pt idx="54">
                  <c:v>10.199999999999999</c:v>
                </c:pt>
                <c:pt idx="55">
                  <c:v>10</c:v>
                </c:pt>
                <c:pt idx="56">
                  <c:v>10.9</c:v>
                </c:pt>
                <c:pt idx="57">
                  <c:v>10.9</c:v>
                </c:pt>
                <c:pt idx="58">
                  <c:v>11.7</c:v>
                </c:pt>
                <c:pt idx="59">
                  <c:v>11.6</c:v>
                </c:pt>
                <c:pt idx="60">
                  <c:v>11.6</c:v>
                </c:pt>
                <c:pt idx="61">
                  <c:v>11.4</c:v>
                </c:pt>
                <c:pt idx="62">
                  <c:v>11.1</c:v>
                </c:pt>
                <c:pt idx="63">
                  <c:v>10.7</c:v>
                </c:pt>
                <c:pt idx="64">
                  <c:v>10.8</c:v>
                </c:pt>
                <c:pt idx="65">
                  <c:v>10.7</c:v>
                </c:pt>
                <c:pt idx="66">
                  <c:v>10.4</c:v>
                </c:pt>
                <c:pt idx="67">
                  <c:v>11.1</c:v>
                </c:pt>
                <c:pt idx="68">
                  <c:v>11.1</c:v>
                </c:pt>
                <c:pt idx="69">
                  <c:v>11.9</c:v>
                </c:pt>
                <c:pt idx="70">
                  <c:v>11.4</c:v>
                </c:pt>
                <c:pt idx="71">
                  <c:v>12.1</c:v>
                </c:pt>
                <c:pt idx="72">
                  <c:v>11.2</c:v>
                </c:pt>
                <c:pt idx="73">
                  <c:v>11.2</c:v>
                </c:pt>
                <c:pt idx="74">
                  <c:v>12</c:v>
                </c:pt>
                <c:pt idx="75">
                  <c:v>11.4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11.7</c:v>
                </c:pt>
                <c:pt idx="80">
                  <c:v>12.5</c:v>
                </c:pt>
                <c:pt idx="81">
                  <c:v>11.9</c:v>
                </c:pt>
                <c:pt idx="82">
                  <c:v>12.4</c:v>
                </c:pt>
                <c:pt idx="83">
                  <c:v>12.5</c:v>
                </c:pt>
                <c:pt idx="84">
                  <c:v>11.9</c:v>
                </c:pt>
                <c:pt idx="85">
                  <c:v>12</c:v>
                </c:pt>
                <c:pt idx="86">
                  <c:v>10.6</c:v>
                </c:pt>
                <c:pt idx="87">
                  <c:v>10.9</c:v>
                </c:pt>
                <c:pt idx="88">
                  <c:v>10.1</c:v>
                </c:pt>
                <c:pt idx="89">
                  <c:v>10.3</c:v>
                </c:pt>
                <c:pt idx="90">
                  <c:v>11.7</c:v>
                </c:pt>
                <c:pt idx="91">
                  <c:v>11.6</c:v>
                </c:pt>
                <c:pt idx="92">
                  <c:v>12</c:v>
                </c:pt>
                <c:pt idx="93">
                  <c:v>12.6</c:v>
                </c:pt>
                <c:pt idx="94">
                  <c:v>13.3</c:v>
                </c:pt>
                <c:pt idx="95">
                  <c:v>13.3</c:v>
                </c:pt>
                <c:pt idx="96">
                  <c:v>13.4</c:v>
                </c:pt>
                <c:pt idx="97">
                  <c:v>13.8</c:v>
                </c:pt>
                <c:pt idx="98">
                  <c:v>13.6</c:v>
                </c:pt>
                <c:pt idx="99">
                  <c:v>13.1</c:v>
                </c:pt>
                <c:pt idx="100">
                  <c:v>12.4</c:v>
                </c:pt>
                <c:pt idx="101">
                  <c:v>11.6</c:v>
                </c:pt>
                <c:pt idx="102">
                  <c:v>12</c:v>
                </c:pt>
                <c:pt idx="103">
                  <c:v>13.4</c:v>
                </c:pt>
                <c:pt idx="104">
                  <c:v>12.6</c:v>
                </c:pt>
                <c:pt idx="105">
                  <c:v>13.3</c:v>
                </c:pt>
                <c:pt idx="106">
                  <c:v>13.4</c:v>
                </c:pt>
                <c:pt idx="107">
                  <c:v>14.5</c:v>
                </c:pt>
                <c:pt idx="108">
                  <c:v>14</c:v>
                </c:pt>
                <c:pt idx="109">
                  <c:v>12.9</c:v>
                </c:pt>
                <c:pt idx="110">
                  <c:v>12.6</c:v>
                </c:pt>
                <c:pt idx="111">
                  <c:v>13.7</c:v>
                </c:pt>
                <c:pt idx="112">
                  <c:v>12.8</c:v>
                </c:pt>
                <c:pt idx="113">
                  <c:v>15.3</c:v>
                </c:pt>
                <c:pt idx="114">
                  <c:v>12.9</c:v>
                </c:pt>
                <c:pt idx="115">
                  <c:v>12.7</c:v>
                </c:pt>
                <c:pt idx="116">
                  <c:v>12.1</c:v>
                </c:pt>
                <c:pt idx="117">
                  <c:v>11.8</c:v>
                </c:pt>
                <c:pt idx="118">
                  <c:v>11.6</c:v>
                </c:pt>
                <c:pt idx="119">
                  <c:v>11</c:v>
                </c:pt>
                <c:pt idx="120">
                  <c:v>10.1</c:v>
                </c:pt>
                <c:pt idx="121">
                  <c:v>10.5</c:v>
                </c:pt>
                <c:pt idx="122">
                  <c:v>10.8</c:v>
                </c:pt>
                <c:pt idx="123">
                  <c:v>11.2</c:v>
                </c:pt>
                <c:pt idx="124">
                  <c:v>11.3</c:v>
                </c:pt>
                <c:pt idx="125">
                  <c:v>10.4</c:v>
                </c:pt>
                <c:pt idx="126">
                  <c:v>10.7</c:v>
                </c:pt>
                <c:pt idx="127">
                  <c:v>10.5</c:v>
                </c:pt>
                <c:pt idx="128">
                  <c:v>11.1</c:v>
                </c:pt>
                <c:pt idx="129">
                  <c:v>10.4</c:v>
                </c:pt>
                <c:pt idx="130">
                  <c:v>9.9</c:v>
                </c:pt>
                <c:pt idx="131">
                  <c:v>9.8000000000000007</c:v>
                </c:pt>
                <c:pt idx="132">
                  <c:v>10.1</c:v>
                </c:pt>
                <c:pt idx="133">
                  <c:v>11.3</c:v>
                </c:pt>
                <c:pt idx="134">
                  <c:v>11.4</c:v>
                </c:pt>
                <c:pt idx="135">
                  <c:v>11.4</c:v>
                </c:pt>
                <c:pt idx="136">
                  <c:v>10.9</c:v>
                </c:pt>
                <c:pt idx="137">
                  <c:v>10.9</c:v>
                </c:pt>
                <c:pt idx="138">
                  <c:v>12.3</c:v>
                </c:pt>
                <c:pt idx="139">
                  <c:v>12.9</c:v>
                </c:pt>
                <c:pt idx="140">
                  <c:v>12.3</c:v>
                </c:pt>
                <c:pt idx="141">
                  <c:v>12.5</c:v>
                </c:pt>
                <c:pt idx="142">
                  <c:v>12.3</c:v>
                </c:pt>
                <c:pt idx="143">
                  <c:v>11</c:v>
                </c:pt>
                <c:pt idx="144">
                  <c:v>11</c:v>
                </c:pt>
                <c:pt idx="145">
                  <c:v>9.8000000000000007</c:v>
                </c:pt>
                <c:pt idx="146">
                  <c:v>9.5</c:v>
                </c:pt>
                <c:pt idx="147">
                  <c:v>10</c:v>
                </c:pt>
                <c:pt idx="148">
                  <c:v>11.1</c:v>
                </c:pt>
                <c:pt idx="149">
                  <c:v>11.3</c:v>
                </c:pt>
                <c:pt idx="150">
                  <c:v>11.7</c:v>
                </c:pt>
                <c:pt idx="151">
                  <c:v>11.3</c:v>
                </c:pt>
                <c:pt idx="152">
                  <c:v>9.3000000000000007</c:v>
                </c:pt>
                <c:pt idx="153">
                  <c:v>10.199999999999999</c:v>
                </c:pt>
                <c:pt idx="154">
                  <c:v>8.1999999999999993</c:v>
                </c:pt>
                <c:pt idx="155">
                  <c:v>8.9</c:v>
                </c:pt>
                <c:pt idx="156">
                  <c:v>9.3000000000000007</c:v>
                </c:pt>
                <c:pt idx="157">
                  <c:v>9.5</c:v>
                </c:pt>
                <c:pt idx="158">
                  <c:v>8.5</c:v>
                </c:pt>
                <c:pt idx="159">
                  <c:v>8.1</c:v>
                </c:pt>
                <c:pt idx="160">
                  <c:v>8.9</c:v>
                </c:pt>
                <c:pt idx="161">
                  <c:v>6.8</c:v>
                </c:pt>
                <c:pt idx="162">
                  <c:v>7.5</c:v>
                </c:pt>
                <c:pt idx="163">
                  <c:v>8.5</c:v>
                </c:pt>
                <c:pt idx="164">
                  <c:v>8.3000000000000007</c:v>
                </c:pt>
                <c:pt idx="165">
                  <c:v>8.6</c:v>
                </c:pt>
                <c:pt idx="166">
                  <c:v>8.6</c:v>
                </c:pt>
                <c:pt idx="167">
                  <c:v>8.5</c:v>
                </c:pt>
                <c:pt idx="168">
                  <c:v>9</c:v>
                </c:pt>
                <c:pt idx="169">
                  <c:v>8.3000000000000007</c:v>
                </c:pt>
                <c:pt idx="170">
                  <c:v>8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8.6999999999999993</c:v>
                </c:pt>
                <c:pt idx="174">
                  <c:v>8.3000000000000007</c:v>
                </c:pt>
                <c:pt idx="175">
                  <c:v>8.1999999999999993</c:v>
                </c:pt>
                <c:pt idx="176">
                  <c:v>8.6999999999999993</c:v>
                </c:pt>
                <c:pt idx="177">
                  <c:v>8.6</c:v>
                </c:pt>
                <c:pt idx="178">
                  <c:v>8.6</c:v>
                </c:pt>
                <c:pt idx="179">
                  <c:v>9.4</c:v>
                </c:pt>
                <c:pt idx="180">
                  <c:v>9.6</c:v>
                </c:pt>
                <c:pt idx="181">
                  <c:v>9.9</c:v>
                </c:pt>
                <c:pt idx="182">
                  <c:v>9.3000000000000007</c:v>
                </c:pt>
                <c:pt idx="183">
                  <c:v>8.9</c:v>
                </c:pt>
                <c:pt idx="184">
                  <c:v>8.8000000000000007</c:v>
                </c:pt>
                <c:pt idx="185">
                  <c:v>8.3000000000000007</c:v>
                </c:pt>
                <c:pt idx="186">
                  <c:v>7.4</c:v>
                </c:pt>
                <c:pt idx="187">
                  <c:v>7.3</c:v>
                </c:pt>
                <c:pt idx="188">
                  <c:v>6.8</c:v>
                </c:pt>
                <c:pt idx="189">
                  <c:v>7</c:v>
                </c:pt>
                <c:pt idx="190">
                  <c:v>6.8</c:v>
                </c:pt>
                <c:pt idx="191">
                  <c:v>7.1</c:v>
                </c:pt>
                <c:pt idx="192">
                  <c:v>7.6</c:v>
                </c:pt>
                <c:pt idx="193">
                  <c:v>6.9</c:v>
                </c:pt>
                <c:pt idx="194">
                  <c:v>6.8</c:v>
                </c:pt>
                <c:pt idx="195">
                  <c:v>6.6</c:v>
                </c:pt>
                <c:pt idx="196">
                  <c:v>6.7</c:v>
                </c:pt>
                <c:pt idx="197">
                  <c:v>6.5</c:v>
                </c:pt>
                <c:pt idx="198">
                  <c:v>6.6</c:v>
                </c:pt>
                <c:pt idx="199">
                  <c:v>6.4</c:v>
                </c:pt>
                <c:pt idx="200">
                  <c:v>6.3</c:v>
                </c:pt>
                <c:pt idx="201">
                  <c:v>6.6</c:v>
                </c:pt>
                <c:pt idx="202">
                  <c:v>6.1</c:v>
                </c:pt>
                <c:pt idx="203">
                  <c:v>6.3</c:v>
                </c:pt>
                <c:pt idx="204">
                  <c:v>7.4</c:v>
                </c:pt>
                <c:pt idx="205">
                  <c:v>7</c:v>
                </c:pt>
                <c:pt idx="206">
                  <c:v>6.7</c:v>
                </c:pt>
                <c:pt idx="207">
                  <c:v>6.1</c:v>
                </c:pt>
                <c:pt idx="208">
                  <c:v>6.2</c:v>
                </c:pt>
                <c:pt idx="209">
                  <c:v>4.8</c:v>
                </c:pt>
                <c:pt idx="210">
                  <c:v>4.5</c:v>
                </c:pt>
                <c:pt idx="211">
                  <c:v>4.4000000000000004</c:v>
                </c:pt>
                <c:pt idx="212">
                  <c:v>4.5999999999999996</c:v>
                </c:pt>
                <c:pt idx="213">
                  <c:v>4.8</c:v>
                </c:pt>
                <c:pt idx="214">
                  <c:v>5</c:v>
                </c:pt>
                <c:pt idx="215">
                  <c:v>4.5999999999999996</c:v>
                </c:pt>
                <c:pt idx="216">
                  <c:v>5.0999999999999996</c:v>
                </c:pt>
                <c:pt idx="217">
                  <c:v>4.7</c:v>
                </c:pt>
                <c:pt idx="218">
                  <c:v>6.4</c:v>
                </c:pt>
                <c:pt idx="219">
                  <c:v>3.5</c:v>
                </c:pt>
                <c:pt idx="220">
                  <c:v>5.6</c:v>
                </c:pt>
                <c:pt idx="221">
                  <c:v>6</c:v>
                </c:pt>
                <c:pt idx="222">
                  <c:v>5.6</c:v>
                </c:pt>
                <c:pt idx="223">
                  <c:v>5.7</c:v>
                </c:pt>
                <c:pt idx="224">
                  <c:v>5.2</c:v>
                </c:pt>
                <c:pt idx="225">
                  <c:v>5.3</c:v>
                </c:pt>
                <c:pt idx="226">
                  <c:v>5.7</c:v>
                </c:pt>
                <c:pt idx="227">
                  <c:v>5.3</c:v>
                </c:pt>
                <c:pt idx="228">
                  <c:v>4.8</c:v>
                </c:pt>
                <c:pt idx="229">
                  <c:v>5.3</c:v>
                </c:pt>
                <c:pt idx="230">
                  <c:v>4.8</c:v>
                </c:pt>
                <c:pt idx="231">
                  <c:v>4.9000000000000004</c:v>
                </c:pt>
                <c:pt idx="232">
                  <c:v>3.1</c:v>
                </c:pt>
                <c:pt idx="233">
                  <c:v>2.9</c:v>
                </c:pt>
                <c:pt idx="234">
                  <c:v>2.4</c:v>
                </c:pt>
                <c:pt idx="235">
                  <c:v>3</c:v>
                </c:pt>
                <c:pt idx="236">
                  <c:v>3.9</c:v>
                </c:pt>
                <c:pt idx="237">
                  <c:v>3.7</c:v>
                </c:pt>
                <c:pt idx="238">
                  <c:v>3.2</c:v>
                </c:pt>
                <c:pt idx="239">
                  <c:v>3.4</c:v>
                </c:pt>
                <c:pt idx="240">
                  <c:v>3.6</c:v>
                </c:pt>
                <c:pt idx="241">
                  <c:v>3.6</c:v>
                </c:pt>
                <c:pt idx="242">
                  <c:v>3.2</c:v>
                </c:pt>
                <c:pt idx="243">
                  <c:v>3</c:v>
                </c:pt>
                <c:pt idx="244">
                  <c:v>3.4</c:v>
                </c:pt>
                <c:pt idx="245">
                  <c:v>5.0999999999999996</c:v>
                </c:pt>
                <c:pt idx="246">
                  <c:v>3.9</c:v>
                </c:pt>
                <c:pt idx="247">
                  <c:v>5.9</c:v>
                </c:pt>
                <c:pt idx="248">
                  <c:v>5.9</c:v>
                </c:pt>
                <c:pt idx="249">
                  <c:v>6.9</c:v>
                </c:pt>
                <c:pt idx="250">
                  <c:v>5.2</c:v>
                </c:pt>
                <c:pt idx="251">
                  <c:v>5.5</c:v>
                </c:pt>
                <c:pt idx="252">
                  <c:v>5.7</c:v>
                </c:pt>
                <c:pt idx="253">
                  <c:v>6.5</c:v>
                </c:pt>
                <c:pt idx="254">
                  <c:v>6.5</c:v>
                </c:pt>
                <c:pt idx="255">
                  <c:v>6.3</c:v>
                </c:pt>
                <c:pt idx="256">
                  <c:v>6.9</c:v>
                </c:pt>
                <c:pt idx="257">
                  <c:v>6.6</c:v>
                </c:pt>
                <c:pt idx="258">
                  <c:v>6.8</c:v>
                </c:pt>
                <c:pt idx="259">
                  <c:v>6.9</c:v>
                </c:pt>
                <c:pt idx="260">
                  <c:v>7.9</c:v>
                </c:pt>
                <c:pt idx="261">
                  <c:v>8.6</c:v>
                </c:pt>
                <c:pt idx="262">
                  <c:v>7.8</c:v>
                </c:pt>
                <c:pt idx="263">
                  <c:v>10</c:v>
                </c:pt>
                <c:pt idx="264">
                  <c:v>5.8</c:v>
                </c:pt>
                <c:pt idx="265">
                  <c:v>6.4</c:v>
                </c:pt>
                <c:pt idx="266">
                  <c:v>6.4</c:v>
                </c:pt>
                <c:pt idx="267">
                  <c:v>5.9</c:v>
                </c:pt>
                <c:pt idx="268">
                  <c:v>6.7</c:v>
                </c:pt>
                <c:pt idx="269">
                  <c:v>7</c:v>
                </c:pt>
                <c:pt idx="270">
                  <c:v>7.1</c:v>
                </c:pt>
                <c:pt idx="271">
                  <c:v>7.3</c:v>
                </c:pt>
                <c:pt idx="272">
                  <c:v>7.9</c:v>
                </c:pt>
                <c:pt idx="273">
                  <c:v>7.5</c:v>
                </c:pt>
                <c:pt idx="274">
                  <c:v>7.3</c:v>
                </c:pt>
                <c:pt idx="275">
                  <c:v>7.4</c:v>
                </c:pt>
                <c:pt idx="276">
                  <c:v>7.5</c:v>
                </c:pt>
                <c:pt idx="277">
                  <c:v>6.9</c:v>
                </c:pt>
                <c:pt idx="278">
                  <c:v>6.8</c:v>
                </c:pt>
                <c:pt idx="279">
                  <c:v>6.8</c:v>
                </c:pt>
                <c:pt idx="280">
                  <c:v>7.1</c:v>
                </c:pt>
                <c:pt idx="281">
                  <c:v>7.6</c:v>
                </c:pt>
                <c:pt idx="282">
                  <c:v>7.5</c:v>
                </c:pt>
                <c:pt idx="283">
                  <c:v>6.9</c:v>
                </c:pt>
                <c:pt idx="284">
                  <c:v>7.2</c:v>
                </c:pt>
                <c:pt idx="285">
                  <c:v>7.3</c:v>
                </c:pt>
                <c:pt idx="286">
                  <c:v>7.6</c:v>
                </c:pt>
                <c:pt idx="287">
                  <c:v>8.1999999999999993</c:v>
                </c:pt>
                <c:pt idx="288">
                  <c:v>9.3000000000000007</c:v>
                </c:pt>
                <c:pt idx="289">
                  <c:v>8.6999999999999993</c:v>
                </c:pt>
                <c:pt idx="290">
                  <c:v>8.6</c:v>
                </c:pt>
                <c:pt idx="291">
                  <c:v>8.6999999999999993</c:v>
                </c:pt>
                <c:pt idx="292">
                  <c:v>10.7</c:v>
                </c:pt>
                <c:pt idx="293">
                  <c:v>26.4</c:v>
                </c:pt>
                <c:pt idx="294">
                  <c:v>16.399999999999999</c:v>
                </c:pt>
                <c:pt idx="295">
                  <c:v>13.7</c:v>
                </c:pt>
                <c:pt idx="296">
                  <c:v>20.399999999999999</c:v>
                </c:pt>
                <c:pt idx="297">
                  <c:v>10.8</c:v>
                </c:pt>
                <c:pt idx="298">
                  <c:v>9.1</c:v>
                </c:pt>
                <c:pt idx="299">
                  <c:v>7.3</c:v>
                </c:pt>
                <c:pt idx="300">
                  <c:v>4.3</c:v>
                </c:pt>
                <c:pt idx="301">
                  <c:v>3.2</c:v>
                </c:pt>
                <c:pt idx="302">
                  <c:v>2.7</c:v>
                </c:pt>
                <c:pt idx="303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8-4AAD-8AB8-C50B38C15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PersonalSaving!$C$5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PersonalSaving!$C$5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PersonalSaving!$C$6:$C$310</c:f>
              <c:numCache>
                <c:formatCode>0.00%</c:formatCode>
                <c:ptCount val="305"/>
                <c:pt idx="49">
                  <c:v>9.3457943925234974E-3</c:v>
                </c:pt>
                <c:pt idx="50">
                  <c:v>-0.10185185185185197</c:v>
                </c:pt>
                <c:pt idx="51">
                  <c:v>5.1546391752577324E-2</c:v>
                </c:pt>
                <c:pt idx="52">
                  <c:v>9.8039215686275914E-3</c:v>
                </c:pt>
                <c:pt idx="53">
                  <c:v>-5.8252427184466153E-2</c:v>
                </c:pt>
                <c:pt idx="54">
                  <c:v>5.1546391752577324E-2</c:v>
                </c:pt>
                <c:pt idx="55">
                  <c:v>-1.9607843137254832E-2</c:v>
                </c:pt>
                <c:pt idx="56">
                  <c:v>9.0000000000000038E-2</c:v>
                </c:pt>
                <c:pt idx="57">
                  <c:v>0</c:v>
                </c:pt>
                <c:pt idx="58">
                  <c:v>7.339449541284393E-2</c:v>
                </c:pt>
                <c:pt idx="59">
                  <c:v>-8.5470085470085166E-3</c:v>
                </c:pt>
                <c:pt idx="60">
                  <c:v>0</c:v>
                </c:pt>
                <c:pt idx="61">
                  <c:v>-1.7241379310344768E-2</c:v>
                </c:pt>
                <c:pt idx="62">
                  <c:v>-2.6315789473684272E-2</c:v>
                </c:pt>
                <c:pt idx="63">
                  <c:v>-3.603603603603607E-2</c:v>
                </c:pt>
                <c:pt idx="64">
                  <c:v>9.3457943925234974E-3</c:v>
                </c:pt>
                <c:pt idx="65">
                  <c:v>-9.2592592592593906E-3</c:v>
                </c:pt>
                <c:pt idx="66">
                  <c:v>-2.8037383177569996E-2</c:v>
                </c:pt>
                <c:pt idx="67">
                  <c:v>6.7307692307692235E-2</c:v>
                </c:pt>
                <c:pt idx="68">
                  <c:v>0</c:v>
                </c:pt>
                <c:pt idx="69">
                  <c:v>7.2072072072072141E-2</c:v>
                </c:pt>
                <c:pt idx="70">
                  <c:v>-4.2016806722689072E-2</c:v>
                </c:pt>
                <c:pt idx="71">
                  <c:v>6.1403508771929759E-2</c:v>
                </c:pt>
                <c:pt idx="72">
                  <c:v>-7.4380165289256228E-2</c:v>
                </c:pt>
                <c:pt idx="73">
                  <c:v>0</c:v>
                </c:pt>
                <c:pt idx="74">
                  <c:v>7.1428571428571494E-2</c:v>
                </c:pt>
                <c:pt idx="75">
                  <c:v>-4.9999999999999968E-2</c:v>
                </c:pt>
                <c:pt idx="76">
                  <c:v>-3.5087719298245647E-2</c:v>
                </c:pt>
                <c:pt idx="77">
                  <c:v>0</c:v>
                </c:pt>
                <c:pt idx="78">
                  <c:v>0</c:v>
                </c:pt>
                <c:pt idx="79">
                  <c:v>6.3636363636363574E-2</c:v>
                </c:pt>
                <c:pt idx="80">
                  <c:v>6.8376068376068438E-2</c:v>
                </c:pt>
                <c:pt idx="81">
                  <c:v>-4.7999999999999973E-2</c:v>
                </c:pt>
                <c:pt idx="82">
                  <c:v>4.2016806722689072E-2</c:v>
                </c:pt>
                <c:pt idx="83">
                  <c:v>8.0645161290322284E-3</c:v>
                </c:pt>
                <c:pt idx="84">
                  <c:v>-4.7999999999999973E-2</c:v>
                </c:pt>
                <c:pt idx="85">
                  <c:v>8.4033613445377853E-3</c:v>
                </c:pt>
                <c:pt idx="86">
                  <c:v>-0.1166666666666667</c:v>
                </c:pt>
                <c:pt idx="87">
                  <c:v>2.8301886792452897E-2</c:v>
                </c:pt>
                <c:pt idx="88">
                  <c:v>-7.3394495412844096E-2</c:v>
                </c:pt>
                <c:pt idx="89">
                  <c:v>1.980198019801991E-2</c:v>
                </c:pt>
                <c:pt idx="90">
                  <c:v>0.13592233009708724</c:v>
                </c:pt>
                <c:pt idx="91">
                  <c:v>-8.5470085470085166E-3</c:v>
                </c:pt>
                <c:pt idx="92">
                  <c:v>3.4482758620689689E-2</c:v>
                </c:pt>
                <c:pt idx="93">
                  <c:v>4.9999999999999968E-2</c:v>
                </c:pt>
                <c:pt idx="94">
                  <c:v>5.5555555555555643E-2</c:v>
                </c:pt>
                <c:pt idx="95">
                  <c:v>0</c:v>
                </c:pt>
                <c:pt idx="96">
                  <c:v>7.5187969924811757E-3</c:v>
                </c:pt>
                <c:pt idx="97">
                  <c:v>2.9850746268656744E-2</c:v>
                </c:pt>
                <c:pt idx="98">
                  <c:v>-1.4492753623188482E-2</c:v>
                </c:pt>
                <c:pt idx="99">
                  <c:v>-3.6764705882352942E-2</c:v>
                </c:pt>
                <c:pt idx="100">
                  <c:v>-5.3435114503816744E-2</c:v>
                </c:pt>
                <c:pt idx="101">
                  <c:v>-6.4516129032258118E-2</c:v>
                </c:pt>
                <c:pt idx="102">
                  <c:v>3.4482758620689689E-2</c:v>
                </c:pt>
                <c:pt idx="103">
                  <c:v>0.1166666666666667</c:v>
                </c:pt>
                <c:pt idx="104">
                  <c:v>-5.9701492537313487E-2</c:v>
                </c:pt>
                <c:pt idx="105">
                  <c:v>5.5555555555555643E-2</c:v>
                </c:pt>
                <c:pt idx="106">
                  <c:v>7.5187969924811757E-3</c:v>
                </c:pt>
                <c:pt idx="107">
                  <c:v>8.2089552238805943E-2</c:v>
                </c:pt>
                <c:pt idx="108">
                  <c:v>-3.4482758620689655E-2</c:v>
                </c:pt>
                <c:pt idx="109">
                  <c:v>-7.8571428571428542E-2</c:v>
                </c:pt>
                <c:pt idx="110">
                  <c:v>-2.3255813953488427E-2</c:v>
                </c:pt>
                <c:pt idx="111">
                  <c:v>8.7301587301587269E-2</c:v>
                </c:pt>
                <c:pt idx="112">
                  <c:v>-6.5693430656934212E-2</c:v>
                </c:pt>
                <c:pt idx="113">
                  <c:v>0.1953125</c:v>
                </c:pt>
                <c:pt idx="114">
                  <c:v>-0.15686274509803924</c:v>
                </c:pt>
                <c:pt idx="115">
                  <c:v>-1.5503875968992331E-2</c:v>
                </c:pt>
                <c:pt idx="116">
                  <c:v>-4.7244094488188948E-2</c:v>
                </c:pt>
                <c:pt idx="117">
                  <c:v>-2.479338842975198E-2</c:v>
                </c:pt>
                <c:pt idx="118">
                  <c:v>-1.6949152542372972E-2</c:v>
                </c:pt>
                <c:pt idx="119">
                  <c:v>-5.1724137931034454E-2</c:v>
                </c:pt>
                <c:pt idx="120">
                  <c:v>-8.1818181818181845E-2</c:v>
                </c:pt>
                <c:pt idx="121">
                  <c:v>3.9603960396039639E-2</c:v>
                </c:pt>
                <c:pt idx="122">
                  <c:v>2.857142857142864E-2</c:v>
                </c:pt>
                <c:pt idx="123">
                  <c:v>3.7037037037036903E-2</c:v>
                </c:pt>
                <c:pt idx="124">
                  <c:v>8.9285714285715564E-3</c:v>
                </c:pt>
                <c:pt idx="125">
                  <c:v>-7.9646017699115071E-2</c:v>
                </c:pt>
                <c:pt idx="126">
                  <c:v>2.8846153846153744E-2</c:v>
                </c:pt>
                <c:pt idx="127">
                  <c:v>-1.8691588785046665E-2</c:v>
                </c:pt>
                <c:pt idx="128">
                  <c:v>5.7142857142857106E-2</c:v>
                </c:pt>
                <c:pt idx="129">
                  <c:v>-6.3063063063063002E-2</c:v>
                </c:pt>
                <c:pt idx="130">
                  <c:v>-4.8076923076923073E-2</c:v>
                </c:pt>
                <c:pt idx="131">
                  <c:v>-1.0101010101010065E-2</c:v>
                </c:pt>
                <c:pt idx="132">
                  <c:v>3.0612244897959072E-2</c:v>
                </c:pt>
                <c:pt idx="133">
                  <c:v>0.11881188118811892</c:v>
                </c:pt>
                <c:pt idx="134">
                  <c:v>8.8495575221238625E-3</c:v>
                </c:pt>
                <c:pt idx="135">
                  <c:v>0</c:v>
                </c:pt>
                <c:pt idx="136">
                  <c:v>-4.3859649122807015E-2</c:v>
                </c:pt>
                <c:pt idx="137">
                  <c:v>0</c:v>
                </c:pt>
                <c:pt idx="138">
                  <c:v>0.1284403669724771</c:v>
                </c:pt>
                <c:pt idx="139">
                  <c:v>4.8780487804878016E-2</c:v>
                </c:pt>
                <c:pt idx="140">
                  <c:v>-4.6511627906976716E-2</c:v>
                </c:pt>
                <c:pt idx="141">
                  <c:v>1.6260162601625959E-2</c:v>
                </c:pt>
                <c:pt idx="142">
                  <c:v>-1.5999999999999945E-2</c:v>
                </c:pt>
                <c:pt idx="143">
                  <c:v>-0.10569105691056915</c:v>
                </c:pt>
                <c:pt idx="144">
                  <c:v>0</c:v>
                </c:pt>
                <c:pt idx="145">
                  <c:v>-0.10909090909090903</c:v>
                </c:pt>
                <c:pt idx="146">
                  <c:v>-3.0612244897959252E-2</c:v>
                </c:pt>
                <c:pt idx="147">
                  <c:v>5.2631578947368418E-2</c:v>
                </c:pt>
                <c:pt idx="148">
                  <c:v>0.10999999999999996</c:v>
                </c:pt>
                <c:pt idx="149">
                  <c:v>1.8018018018018115E-2</c:v>
                </c:pt>
                <c:pt idx="150">
                  <c:v>3.539823008849545E-2</c:v>
                </c:pt>
                <c:pt idx="151">
                  <c:v>-3.4188034188034067E-2</c:v>
                </c:pt>
                <c:pt idx="152">
                  <c:v>-0.17699115044247787</c:v>
                </c:pt>
                <c:pt idx="153">
                  <c:v>9.6774193548386941E-2</c:v>
                </c:pt>
                <c:pt idx="154">
                  <c:v>-0.19607843137254904</c:v>
                </c:pt>
                <c:pt idx="155">
                  <c:v>8.5365853658536717E-2</c:v>
                </c:pt>
                <c:pt idx="156">
                  <c:v>4.4943820224719142E-2</c:v>
                </c:pt>
                <c:pt idx="157">
                  <c:v>2.1505376344085943E-2</c:v>
                </c:pt>
                <c:pt idx="158">
                  <c:v>-0.10526315789473684</c:v>
                </c:pt>
                <c:pt idx="159">
                  <c:v>-4.7058823529411806E-2</c:v>
                </c:pt>
                <c:pt idx="160">
                  <c:v>9.8765432098765524E-2</c:v>
                </c:pt>
                <c:pt idx="161">
                  <c:v>-0.23595505617977533</c:v>
                </c:pt>
                <c:pt idx="162">
                  <c:v>0.10294117647058826</c:v>
                </c:pt>
                <c:pt idx="163">
                  <c:v>0.13333333333333333</c:v>
                </c:pt>
                <c:pt idx="164">
                  <c:v>-2.3529411764705799E-2</c:v>
                </c:pt>
                <c:pt idx="165">
                  <c:v>3.6144578313252879E-2</c:v>
                </c:pt>
                <c:pt idx="166">
                  <c:v>0</c:v>
                </c:pt>
                <c:pt idx="167">
                  <c:v>-1.1627906976744146E-2</c:v>
                </c:pt>
                <c:pt idx="168">
                  <c:v>5.8823529411764705E-2</c:v>
                </c:pt>
                <c:pt idx="169">
                  <c:v>-7.7777777777777696E-2</c:v>
                </c:pt>
                <c:pt idx="170">
                  <c:v>-3.6144578313253094E-2</c:v>
                </c:pt>
                <c:pt idx="171">
                  <c:v>3.7500000000000089E-2</c:v>
                </c:pt>
                <c:pt idx="172">
                  <c:v>0</c:v>
                </c:pt>
                <c:pt idx="173">
                  <c:v>4.8192771084337171E-2</c:v>
                </c:pt>
                <c:pt idx="174">
                  <c:v>-4.5977011494252713E-2</c:v>
                </c:pt>
                <c:pt idx="175">
                  <c:v>-1.2048192771084508E-2</c:v>
                </c:pt>
                <c:pt idx="176">
                  <c:v>6.0975609756097567E-2</c:v>
                </c:pt>
                <c:pt idx="177">
                  <c:v>-1.1494252873563178E-2</c:v>
                </c:pt>
                <c:pt idx="178">
                  <c:v>0</c:v>
                </c:pt>
                <c:pt idx="179">
                  <c:v>9.302325581395357E-2</c:v>
                </c:pt>
                <c:pt idx="180">
                  <c:v>2.1276595744680774E-2</c:v>
                </c:pt>
                <c:pt idx="181">
                  <c:v>3.1250000000000076E-2</c:v>
                </c:pt>
                <c:pt idx="182">
                  <c:v>-6.0606060606060566E-2</c:v>
                </c:pt>
                <c:pt idx="183">
                  <c:v>-4.3010752688172081E-2</c:v>
                </c:pt>
                <c:pt idx="184">
                  <c:v>-1.1235955056179735E-2</c:v>
                </c:pt>
                <c:pt idx="185">
                  <c:v>-5.6818181818181816E-2</c:v>
                </c:pt>
                <c:pt idx="186">
                  <c:v>-0.10843373493975907</c:v>
                </c:pt>
                <c:pt idx="187">
                  <c:v>-1.3513513513513585E-2</c:v>
                </c:pt>
                <c:pt idx="188">
                  <c:v>-6.8493150684931503E-2</c:v>
                </c:pt>
                <c:pt idx="189">
                  <c:v>2.941176470588238E-2</c:v>
                </c:pt>
                <c:pt idx="190">
                  <c:v>-2.8571428571428598E-2</c:v>
                </c:pt>
                <c:pt idx="191">
                  <c:v>4.4117647058823505E-2</c:v>
                </c:pt>
                <c:pt idx="192">
                  <c:v>7.0422535211267609E-2</c:v>
                </c:pt>
                <c:pt idx="193">
                  <c:v>-9.2105263157894648E-2</c:v>
                </c:pt>
                <c:pt idx="194">
                  <c:v>-1.4492753623188482E-2</c:v>
                </c:pt>
                <c:pt idx="195">
                  <c:v>-2.941176470588238E-2</c:v>
                </c:pt>
                <c:pt idx="196">
                  <c:v>1.5151515151515233E-2</c:v>
                </c:pt>
                <c:pt idx="197">
                  <c:v>-2.9850746268656744E-2</c:v>
                </c:pt>
                <c:pt idx="198">
                  <c:v>1.538461538461533E-2</c:v>
                </c:pt>
                <c:pt idx="199">
                  <c:v>-3.0303030303030196E-2</c:v>
                </c:pt>
                <c:pt idx="200">
                  <c:v>-1.5625000000000083E-2</c:v>
                </c:pt>
                <c:pt idx="201">
                  <c:v>4.7619047619047596E-2</c:v>
                </c:pt>
                <c:pt idx="202">
                  <c:v>-7.575757575757576E-2</c:v>
                </c:pt>
                <c:pt idx="203">
                  <c:v>3.2786885245901669E-2</c:v>
                </c:pt>
                <c:pt idx="204">
                  <c:v>0.1746031746031747</c:v>
                </c:pt>
                <c:pt idx="205">
                  <c:v>-5.4054054054054099E-2</c:v>
                </c:pt>
                <c:pt idx="206">
                  <c:v>-4.285714285714283E-2</c:v>
                </c:pt>
                <c:pt idx="207">
                  <c:v>-8.9552238805970227E-2</c:v>
                </c:pt>
                <c:pt idx="208">
                  <c:v>1.6393442622950907E-2</c:v>
                </c:pt>
                <c:pt idx="209">
                  <c:v>-0.22580645161290328</c:v>
                </c:pt>
                <c:pt idx="210">
                  <c:v>-6.2499999999999965E-2</c:v>
                </c:pt>
                <c:pt idx="211">
                  <c:v>-2.2222222222222143E-2</c:v>
                </c:pt>
                <c:pt idx="212">
                  <c:v>4.5454545454545289E-2</c:v>
                </c:pt>
                <c:pt idx="213">
                  <c:v>4.3478260869565258E-2</c:v>
                </c:pt>
                <c:pt idx="214">
                  <c:v>4.1666666666666706E-2</c:v>
                </c:pt>
                <c:pt idx="215">
                  <c:v>-8.0000000000000071E-2</c:v>
                </c:pt>
                <c:pt idx="216">
                  <c:v>0.10869565217391305</c:v>
                </c:pt>
                <c:pt idx="217">
                  <c:v>-7.843137254901951E-2</c:v>
                </c:pt>
                <c:pt idx="218">
                  <c:v>0.36170212765957449</c:v>
                </c:pt>
                <c:pt idx="219">
                  <c:v>-0.45312500000000006</c:v>
                </c:pt>
                <c:pt idx="220">
                  <c:v>0.59999999999999987</c:v>
                </c:pt>
                <c:pt idx="221">
                  <c:v>7.1428571428571494E-2</c:v>
                </c:pt>
                <c:pt idx="222">
                  <c:v>-6.6666666666666721E-2</c:v>
                </c:pt>
                <c:pt idx="223">
                  <c:v>1.7857142857142953E-2</c:v>
                </c:pt>
                <c:pt idx="224">
                  <c:v>-8.771929824561403E-2</c:v>
                </c:pt>
                <c:pt idx="225">
                  <c:v>1.9230769230769162E-2</c:v>
                </c:pt>
                <c:pt idx="226">
                  <c:v>7.5471698113207614E-2</c:v>
                </c:pt>
                <c:pt idx="227">
                  <c:v>-7.0175438596491294E-2</c:v>
                </c:pt>
                <c:pt idx="228">
                  <c:v>-9.4339622641509441E-2</c:v>
                </c:pt>
                <c:pt idx="229">
                  <c:v>0.10416666666666667</c:v>
                </c:pt>
                <c:pt idx="230">
                  <c:v>-9.4339622641509441E-2</c:v>
                </c:pt>
                <c:pt idx="231">
                  <c:v>2.0833333333333447E-2</c:v>
                </c:pt>
                <c:pt idx="232">
                  <c:v>-0.36734693877551022</c:v>
                </c:pt>
                <c:pt idx="233">
                  <c:v>-6.4516129032258118E-2</c:v>
                </c:pt>
                <c:pt idx="234">
                  <c:v>-0.17241379310344829</c:v>
                </c:pt>
                <c:pt idx="235">
                  <c:v>0.25000000000000006</c:v>
                </c:pt>
                <c:pt idx="236">
                  <c:v>0.3</c:v>
                </c:pt>
                <c:pt idx="237">
                  <c:v>-5.1282051282051218E-2</c:v>
                </c:pt>
                <c:pt idx="238">
                  <c:v>-0.13513513513513511</c:v>
                </c:pt>
                <c:pt idx="239">
                  <c:v>6.2499999999999917E-2</c:v>
                </c:pt>
                <c:pt idx="240">
                  <c:v>5.8823529411764761E-2</c:v>
                </c:pt>
                <c:pt idx="241">
                  <c:v>0</c:v>
                </c:pt>
                <c:pt idx="242">
                  <c:v>-0.11111111111111108</c:v>
                </c:pt>
                <c:pt idx="243">
                  <c:v>-6.2500000000000056E-2</c:v>
                </c:pt>
                <c:pt idx="244">
                  <c:v>0.1333333333333333</c:v>
                </c:pt>
                <c:pt idx="245">
                  <c:v>0.49999999999999994</c:v>
                </c:pt>
                <c:pt idx="246">
                  <c:v>-0.23529411764705879</c:v>
                </c:pt>
                <c:pt idx="247">
                  <c:v>0.512820512820513</c:v>
                </c:pt>
                <c:pt idx="248">
                  <c:v>0</c:v>
                </c:pt>
                <c:pt idx="249">
                  <c:v>0.16949152542372881</c:v>
                </c:pt>
                <c:pt idx="250">
                  <c:v>-0.24637681159420291</c:v>
                </c:pt>
                <c:pt idx="251">
                  <c:v>5.7692307692307654E-2</c:v>
                </c:pt>
                <c:pt idx="252">
                  <c:v>3.6363636363636397E-2</c:v>
                </c:pt>
                <c:pt idx="253">
                  <c:v>0.14035087719298242</c:v>
                </c:pt>
                <c:pt idx="254">
                  <c:v>0</c:v>
                </c:pt>
                <c:pt idx="255">
                  <c:v>-3.0769230769230795E-2</c:v>
                </c:pt>
                <c:pt idx="256">
                  <c:v>9.523809523809533E-2</c:v>
                </c:pt>
                <c:pt idx="257">
                  <c:v>-4.347826086956532E-2</c:v>
                </c:pt>
                <c:pt idx="258">
                  <c:v>3.0303030303030332E-2</c:v>
                </c:pt>
                <c:pt idx="259">
                  <c:v>1.4705882352941256E-2</c:v>
                </c:pt>
                <c:pt idx="260">
                  <c:v>0.14492753623188406</c:v>
                </c:pt>
                <c:pt idx="261">
                  <c:v>8.8607594936708764E-2</c:v>
                </c:pt>
                <c:pt idx="262">
                  <c:v>-9.3023255813953473E-2</c:v>
                </c:pt>
                <c:pt idx="263">
                  <c:v>0.2820512820512821</c:v>
                </c:pt>
                <c:pt idx="264">
                  <c:v>-0.42000000000000004</c:v>
                </c:pt>
                <c:pt idx="265">
                  <c:v>0.10344827586206906</c:v>
                </c:pt>
                <c:pt idx="266">
                  <c:v>0</c:v>
                </c:pt>
                <c:pt idx="267">
                  <c:v>-7.8125E-2</c:v>
                </c:pt>
                <c:pt idx="268">
                  <c:v>0.13559322033898302</c:v>
                </c:pt>
                <c:pt idx="269">
                  <c:v>4.4776119402985044E-2</c:v>
                </c:pt>
                <c:pt idx="270">
                  <c:v>1.4285714285714235E-2</c:v>
                </c:pt>
                <c:pt idx="271">
                  <c:v>2.8169014084507067E-2</c:v>
                </c:pt>
                <c:pt idx="272">
                  <c:v>8.2191780821917887E-2</c:v>
                </c:pt>
                <c:pt idx="273">
                  <c:v>-5.0632911392405104E-2</c:v>
                </c:pt>
                <c:pt idx="274">
                  <c:v>-2.6666666666666689E-2</c:v>
                </c:pt>
                <c:pt idx="275">
                  <c:v>1.3698630136986375E-2</c:v>
                </c:pt>
                <c:pt idx="276">
                  <c:v>1.3513513513513466E-2</c:v>
                </c:pt>
                <c:pt idx="277">
                  <c:v>-7.9999999999999946E-2</c:v>
                </c:pt>
                <c:pt idx="278">
                  <c:v>-1.4492753623188482E-2</c:v>
                </c:pt>
                <c:pt idx="279">
                  <c:v>0</c:v>
                </c:pt>
                <c:pt idx="280">
                  <c:v>4.4117647058823505E-2</c:v>
                </c:pt>
                <c:pt idx="281">
                  <c:v>7.0422535211267609E-2</c:v>
                </c:pt>
                <c:pt idx="282">
                  <c:v>-1.3157894736842059E-2</c:v>
                </c:pt>
                <c:pt idx="283">
                  <c:v>-7.9999999999999946E-2</c:v>
                </c:pt>
                <c:pt idx="284">
                  <c:v>4.3478260869565188E-2</c:v>
                </c:pt>
                <c:pt idx="285">
                  <c:v>1.388888888888884E-2</c:v>
                </c:pt>
                <c:pt idx="286">
                  <c:v>4.1095890410958881E-2</c:v>
                </c:pt>
                <c:pt idx="287">
                  <c:v>7.8947368421052586E-2</c:v>
                </c:pt>
                <c:pt idx="288">
                  <c:v>0.13414634146341481</c:v>
                </c:pt>
                <c:pt idx="289">
                  <c:v>-6.4516129032258215E-2</c:v>
                </c:pt>
                <c:pt idx="290">
                  <c:v>-1.1494252873563178E-2</c:v>
                </c:pt>
                <c:pt idx="291">
                  <c:v>1.1627906976744146E-2</c:v>
                </c:pt>
                <c:pt idx="292">
                  <c:v>0.22988505747126439</c:v>
                </c:pt>
                <c:pt idx="293">
                  <c:v>1.4672897196261683</c:v>
                </c:pt>
                <c:pt idx="294">
                  <c:v>-0.37878787878787878</c:v>
                </c:pt>
                <c:pt idx="295">
                  <c:v>-0.16463414634146339</c:v>
                </c:pt>
                <c:pt idx="296">
                  <c:v>0.48905109489051091</c:v>
                </c:pt>
                <c:pt idx="297">
                  <c:v>-0.47058823529411759</c:v>
                </c:pt>
                <c:pt idx="298">
                  <c:v>-0.1574074074074075</c:v>
                </c:pt>
                <c:pt idx="299">
                  <c:v>-0.19780219780219779</c:v>
                </c:pt>
                <c:pt idx="300">
                  <c:v>-0.41095890410958907</c:v>
                </c:pt>
                <c:pt idx="301">
                  <c:v>-0.25581395348837205</c:v>
                </c:pt>
                <c:pt idx="302">
                  <c:v>-0.15625</c:v>
                </c:pt>
                <c:pt idx="303">
                  <c:v>7.4074074074073973E-2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C-4A3F-B479-08CAA35F1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PersonalSaving!$D$5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PersonalSaving!$D$5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PersonalSaving!$D$6:$D$310</c:f>
              <c:numCache>
                <c:formatCode>0.00%</c:formatCode>
                <c:ptCount val="305"/>
                <c:pt idx="52">
                  <c:v>-3.738317757009333E-2</c:v>
                </c:pt>
                <c:pt idx="53">
                  <c:v>-0.10185185185185197</c:v>
                </c:pt>
                <c:pt idx="54">
                  <c:v>5.1546391752577324E-2</c:v>
                </c:pt>
                <c:pt idx="55">
                  <c:v>-1.9607843137254832E-2</c:v>
                </c:pt>
                <c:pt idx="56">
                  <c:v>5.825242718446598E-2</c:v>
                </c:pt>
                <c:pt idx="57">
                  <c:v>0.12371134020618568</c:v>
                </c:pt>
                <c:pt idx="58">
                  <c:v>0.14705882352941177</c:v>
                </c:pt>
                <c:pt idx="59">
                  <c:v>0.15999999999999998</c:v>
                </c:pt>
                <c:pt idx="60">
                  <c:v>6.4220183486238466E-2</c:v>
                </c:pt>
                <c:pt idx="61">
                  <c:v>4.5871559633027519E-2</c:v>
                </c:pt>
                <c:pt idx="62">
                  <c:v>-5.1282051282051253E-2</c:v>
                </c:pt>
                <c:pt idx="63">
                  <c:v>-7.7586206896551754E-2</c:v>
                </c:pt>
                <c:pt idx="64">
                  <c:v>-6.8965517241379226E-2</c:v>
                </c:pt>
                <c:pt idx="65">
                  <c:v>-6.1403508771929918E-2</c:v>
                </c:pt>
                <c:pt idx="66">
                  <c:v>-6.3063063063063002E-2</c:v>
                </c:pt>
                <c:pt idx="67">
                  <c:v>3.7383177570093497E-2</c:v>
                </c:pt>
                <c:pt idx="68">
                  <c:v>2.7777777777777676E-2</c:v>
                </c:pt>
                <c:pt idx="69">
                  <c:v>0.11214953271028048</c:v>
                </c:pt>
                <c:pt idx="70">
                  <c:v>9.6153846153846145E-2</c:v>
                </c:pt>
                <c:pt idx="71">
                  <c:v>9.00900900900901E-2</c:v>
                </c:pt>
                <c:pt idx="72">
                  <c:v>9.0090090090089777E-3</c:v>
                </c:pt>
                <c:pt idx="73">
                  <c:v>-5.8823529411764795E-2</c:v>
                </c:pt>
                <c:pt idx="74">
                  <c:v>5.263157894736839E-2</c:v>
                </c:pt>
                <c:pt idx="75">
                  <c:v>-5.7851239669421434E-2</c:v>
                </c:pt>
                <c:pt idx="76">
                  <c:v>-1.7857142857142794E-2</c:v>
                </c:pt>
                <c:pt idx="77">
                  <c:v>-1.7857142857142794E-2</c:v>
                </c:pt>
                <c:pt idx="78">
                  <c:v>-8.3333333333333329E-2</c:v>
                </c:pt>
                <c:pt idx="79">
                  <c:v>2.6315789473684115E-2</c:v>
                </c:pt>
                <c:pt idx="80">
                  <c:v>0.13636363636363635</c:v>
                </c:pt>
                <c:pt idx="81">
                  <c:v>8.1818181818181845E-2</c:v>
                </c:pt>
                <c:pt idx="82">
                  <c:v>0.12727272727272732</c:v>
                </c:pt>
                <c:pt idx="83">
                  <c:v>6.8376068376068438E-2</c:v>
                </c:pt>
                <c:pt idx="84">
                  <c:v>-4.7999999999999973E-2</c:v>
                </c:pt>
                <c:pt idx="85">
                  <c:v>8.4033613445377853E-3</c:v>
                </c:pt>
                <c:pt idx="86">
                  <c:v>-0.14516129032258071</c:v>
                </c:pt>
                <c:pt idx="87">
                  <c:v>-0.12799999999999997</c:v>
                </c:pt>
                <c:pt idx="88">
                  <c:v>-0.15126050420168072</c:v>
                </c:pt>
                <c:pt idx="89">
                  <c:v>-0.14166666666666661</c:v>
                </c:pt>
                <c:pt idx="90">
                  <c:v>0.10377358490566034</c:v>
                </c:pt>
                <c:pt idx="91">
                  <c:v>6.4220183486238466E-2</c:v>
                </c:pt>
                <c:pt idx="92">
                  <c:v>0.18811881188118815</c:v>
                </c:pt>
                <c:pt idx="93">
                  <c:v>0.22330097087378628</c:v>
                </c:pt>
                <c:pt idx="94">
                  <c:v>0.13675213675213688</c:v>
                </c:pt>
                <c:pt idx="95">
                  <c:v>0.14655172413793113</c:v>
                </c:pt>
                <c:pt idx="96">
                  <c:v>0.1166666666666667</c:v>
                </c:pt>
                <c:pt idx="97">
                  <c:v>9.523809523809533E-2</c:v>
                </c:pt>
                <c:pt idx="98">
                  <c:v>2.2556390977443528E-2</c:v>
                </c:pt>
                <c:pt idx="99">
                  <c:v>-1.5037593984962485E-2</c:v>
                </c:pt>
                <c:pt idx="100">
                  <c:v>-7.4626865671641784E-2</c:v>
                </c:pt>
                <c:pt idx="101">
                  <c:v>-0.15942028985507253</c:v>
                </c:pt>
                <c:pt idx="102">
                  <c:v>-0.11764705882352938</c:v>
                </c:pt>
                <c:pt idx="103">
                  <c:v>2.2900763358778681E-2</c:v>
                </c:pt>
                <c:pt idx="104">
                  <c:v>1.6129032258064457E-2</c:v>
                </c:pt>
                <c:pt idx="105">
                  <c:v>0.14655172413793113</c:v>
                </c:pt>
                <c:pt idx="106">
                  <c:v>0.1166666666666667</c:v>
                </c:pt>
                <c:pt idx="107">
                  <c:v>8.2089552238805943E-2</c:v>
                </c:pt>
                <c:pt idx="108">
                  <c:v>0.11111111111111115</c:v>
                </c:pt>
                <c:pt idx="109">
                  <c:v>-3.0075187969924838E-2</c:v>
                </c:pt>
                <c:pt idx="110">
                  <c:v>-5.9701492537313487E-2</c:v>
                </c:pt>
                <c:pt idx="111">
                  <c:v>-5.5172413793103496E-2</c:v>
                </c:pt>
                <c:pt idx="112">
                  <c:v>-8.571428571428566E-2</c:v>
                </c:pt>
                <c:pt idx="113">
                  <c:v>0.186046511627907</c:v>
                </c:pt>
                <c:pt idx="114">
                  <c:v>2.3809523809523867E-2</c:v>
                </c:pt>
                <c:pt idx="115">
                  <c:v>-7.2992700729927015E-2</c:v>
                </c:pt>
                <c:pt idx="116">
                  <c:v>-5.4687500000000083E-2</c:v>
                </c:pt>
                <c:pt idx="117">
                  <c:v>-0.22875816993464052</c:v>
                </c:pt>
                <c:pt idx="118">
                  <c:v>-0.10077519379844967</c:v>
                </c:pt>
                <c:pt idx="119">
                  <c:v>-0.13385826771653539</c:v>
                </c:pt>
                <c:pt idx="120">
                  <c:v>-0.16528925619834711</c:v>
                </c:pt>
                <c:pt idx="121">
                  <c:v>-0.11016949152542378</c:v>
                </c:pt>
                <c:pt idx="122">
                  <c:v>-6.8965517241379226E-2</c:v>
                </c:pt>
                <c:pt idx="123">
                  <c:v>1.8181818181818118E-2</c:v>
                </c:pt>
                <c:pt idx="124">
                  <c:v>0.11881188118811892</c:v>
                </c:pt>
                <c:pt idx="125">
                  <c:v>-9.52380952380949E-3</c:v>
                </c:pt>
                <c:pt idx="126">
                  <c:v>-9.2592592592593906E-3</c:v>
                </c:pt>
                <c:pt idx="127">
                  <c:v>-6.2499999999999938E-2</c:v>
                </c:pt>
                <c:pt idx="128">
                  <c:v>-1.7699115044247881E-2</c:v>
                </c:pt>
                <c:pt idx="129">
                  <c:v>0</c:v>
                </c:pt>
                <c:pt idx="130">
                  <c:v>-7.4766355140186827E-2</c:v>
                </c:pt>
                <c:pt idx="131">
                  <c:v>-6.6666666666666596E-2</c:v>
                </c:pt>
                <c:pt idx="132">
                  <c:v>-9.00900900900901E-2</c:v>
                </c:pt>
                <c:pt idx="133">
                  <c:v>8.6538461538461564E-2</c:v>
                </c:pt>
                <c:pt idx="134">
                  <c:v>0.15151515151515152</c:v>
                </c:pt>
                <c:pt idx="135">
                  <c:v>0.16326530612244894</c:v>
                </c:pt>
                <c:pt idx="136">
                  <c:v>7.9207920792079278E-2</c:v>
                </c:pt>
                <c:pt idx="137">
                  <c:v>-3.5398230088495602E-2</c:v>
                </c:pt>
                <c:pt idx="138">
                  <c:v>7.8947368421052655E-2</c:v>
                </c:pt>
                <c:pt idx="139">
                  <c:v>0.13157894736842105</c:v>
                </c:pt>
                <c:pt idx="140">
                  <c:v>0.1284403669724771</c:v>
                </c:pt>
                <c:pt idx="141">
                  <c:v>0.14678899082568803</c:v>
                </c:pt>
                <c:pt idx="142">
                  <c:v>0</c:v>
                </c:pt>
                <c:pt idx="143">
                  <c:v>-0.14728682170542637</c:v>
                </c:pt>
                <c:pt idx="144">
                  <c:v>-0.10569105691056915</c:v>
                </c:pt>
                <c:pt idx="145">
                  <c:v>-0.21599999999999994</c:v>
                </c:pt>
                <c:pt idx="146">
                  <c:v>-0.22764227642276427</c:v>
                </c:pt>
                <c:pt idx="147">
                  <c:v>-9.0909090909090912E-2</c:v>
                </c:pt>
                <c:pt idx="148">
                  <c:v>9.0909090909090592E-3</c:v>
                </c:pt>
                <c:pt idx="149">
                  <c:v>0.15306122448979589</c:v>
                </c:pt>
                <c:pt idx="150">
                  <c:v>0.23157894736842097</c:v>
                </c:pt>
                <c:pt idx="151">
                  <c:v>0.13000000000000006</c:v>
                </c:pt>
                <c:pt idx="152">
                  <c:v>-0.16216216216216206</c:v>
                </c:pt>
                <c:pt idx="153">
                  <c:v>-9.7345132743362955E-2</c:v>
                </c:pt>
                <c:pt idx="154">
                  <c:v>-0.29914529914529914</c:v>
                </c:pt>
                <c:pt idx="155">
                  <c:v>-0.21238938053097348</c:v>
                </c:pt>
                <c:pt idx="156">
                  <c:v>0</c:v>
                </c:pt>
                <c:pt idx="157">
                  <c:v>-6.8627450980392093E-2</c:v>
                </c:pt>
                <c:pt idx="158">
                  <c:v>3.6585365853658625E-2</c:v>
                </c:pt>
                <c:pt idx="159">
                  <c:v>-8.9887640449438283E-2</c:v>
                </c:pt>
                <c:pt idx="160">
                  <c:v>-4.3010752688172081E-2</c:v>
                </c:pt>
                <c:pt idx="161">
                  <c:v>-0.28421052631578947</c:v>
                </c:pt>
                <c:pt idx="162">
                  <c:v>-0.11764705882352941</c:v>
                </c:pt>
                <c:pt idx="163">
                  <c:v>4.9382716049382762E-2</c:v>
                </c:pt>
                <c:pt idx="164">
                  <c:v>-6.7415730337078608E-2</c:v>
                </c:pt>
                <c:pt idx="165">
                  <c:v>0.26470588235294118</c:v>
                </c:pt>
                <c:pt idx="166">
                  <c:v>0.14666666666666661</c:v>
                </c:pt>
                <c:pt idx="167">
                  <c:v>0</c:v>
                </c:pt>
                <c:pt idx="168">
                  <c:v>8.4337349397590272E-2</c:v>
                </c:pt>
                <c:pt idx="169">
                  <c:v>-3.4883720930232433E-2</c:v>
                </c:pt>
                <c:pt idx="170">
                  <c:v>-6.9767441860465074E-2</c:v>
                </c:pt>
                <c:pt idx="171">
                  <c:v>-2.3529411764705799E-2</c:v>
                </c:pt>
                <c:pt idx="172">
                  <c:v>-7.7777777777777696E-2</c:v>
                </c:pt>
                <c:pt idx="173">
                  <c:v>4.8192771084337171E-2</c:v>
                </c:pt>
                <c:pt idx="174">
                  <c:v>3.7500000000000089E-2</c:v>
                </c:pt>
                <c:pt idx="175">
                  <c:v>-1.2048192771084508E-2</c:v>
                </c:pt>
                <c:pt idx="176">
                  <c:v>4.8192771084337171E-2</c:v>
                </c:pt>
                <c:pt idx="177">
                  <c:v>-1.1494252873563178E-2</c:v>
                </c:pt>
                <c:pt idx="178">
                  <c:v>3.6144578313252879E-2</c:v>
                </c:pt>
                <c:pt idx="179">
                  <c:v>0.14634146341463428</c:v>
                </c:pt>
                <c:pt idx="180">
                  <c:v>0.10344827586206902</c:v>
                </c:pt>
                <c:pt idx="181">
                  <c:v>0.15116279069767452</c:v>
                </c:pt>
                <c:pt idx="182">
                  <c:v>8.1395348837209433E-2</c:v>
                </c:pt>
                <c:pt idx="183">
                  <c:v>-5.3191489361702128E-2</c:v>
                </c:pt>
                <c:pt idx="184">
                  <c:v>-8.3333333333333232E-2</c:v>
                </c:pt>
                <c:pt idx="185">
                  <c:v>-0.16161616161616157</c:v>
                </c:pt>
                <c:pt idx="186">
                  <c:v>-0.20430107526881722</c:v>
                </c:pt>
                <c:pt idx="187">
                  <c:v>-0.17977528089887646</c:v>
                </c:pt>
                <c:pt idx="188">
                  <c:v>-0.22727272727272735</c:v>
                </c:pt>
                <c:pt idx="189">
                  <c:v>-0.15662650602409645</c:v>
                </c:pt>
                <c:pt idx="190">
                  <c:v>-8.1081081081081155E-2</c:v>
                </c:pt>
                <c:pt idx="191">
                  <c:v>-2.7397260273972629E-2</c:v>
                </c:pt>
                <c:pt idx="192">
                  <c:v>0.11764705882352938</c:v>
                </c:pt>
                <c:pt idx="193">
                  <c:v>-1.4285714285714235E-2</c:v>
                </c:pt>
                <c:pt idx="194">
                  <c:v>0</c:v>
                </c:pt>
                <c:pt idx="195">
                  <c:v>-7.0422535211267609E-2</c:v>
                </c:pt>
                <c:pt idx="196">
                  <c:v>-0.11842105263157889</c:v>
                </c:pt>
                <c:pt idx="197">
                  <c:v>-5.7971014492753672E-2</c:v>
                </c:pt>
                <c:pt idx="198">
                  <c:v>-2.941176470588238E-2</c:v>
                </c:pt>
                <c:pt idx="199">
                  <c:v>-3.0303030303030196E-2</c:v>
                </c:pt>
                <c:pt idx="200">
                  <c:v>-5.9701492537313487E-2</c:v>
                </c:pt>
                <c:pt idx="201">
                  <c:v>1.538461538461533E-2</c:v>
                </c:pt>
                <c:pt idx="202">
                  <c:v>-7.575757575757576E-2</c:v>
                </c:pt>
                <c:pt idx="203">
                  <c:v>-1.5625000000000083E-2</c:v>
                </c:pt>
                <c:pt idx="204">
                  <c:v>0.1746031746031747</c:v>
                </c:pt>
                <c:pt idx="205">
                  <c:v>6.0606060606060663E-2</c:v>
                </c:pt>
                <c:pt idx="206">
                  <c:v>9.8360655737705013E-2</c:v>
                </c:pt>
                <c:pt idx="207">
                  <c:v>-3.1746031746031772E-2</c:v>
                </c:pt>
                <c:pt idx="208">
                  <c:v>-0.16216216216216217</c:v>
                </c:pt>
                <c:pt idx="209">
                  <c:v>-0.31428571428571433</c:v>
                </c:pt>
                <c:pt idx="210">
                  <c:v>-0.32835820895522388</c:v>
                </c:pt>
                <c:pt idx="211">
                  <c:v>-0.27868852459016386</c:v>
                </c:pt>
                <c:pt idx="212">
                  <c:v>-0.25806451612903236</c:v>
                </c:pt>
                <c:pt idx="213">
                  <c:v>0</c:v>
                </c:pt>
                <c:pt idx="214">
                  <c:v>0.1111111111111111</c:v>
                </c:pt>
                <c:pt idx="215">
                  <c:v>4.5454545454545289E-2</c:v>
                </c:pt>
                <c:pt idx="216">
                  <c:v>0.10869565217391305</c:v>
                </c:pt>
                <c:pt idx="217">
                  <c:v>-2.0833333333333259E-2</c:v>
                </c:pt>
                <c:pt idx="218">
                  <c:v>0.28000000000000008</c:v>
                </c:pt>
                <c:pt idx="219">
                  <c:v>-0.23913043478260865</c:v>
                </c:pt>
                <c:pt idx="220">
                  <c:v>9.8039215686274522E-2</c:v>
                </c:pt>
                <c:pt idx="221">
                  <c:v>0.27659574468085102</c:v>
                </c:pt>
                <c:pt idx="222">
                  <c:v>-0.12500000000000011</c:v>
                </c:pt>
                <c:pt idx="223">
                  <c:v>0.62857142857142867</c:v>
                </c:pt>
                <c:pt idx="224">
                  <c:v>-7.1428571428571341E-2</c:v>
                </c:pt>
                <c:pt idx="225">
                  <c:v>-0.1166666666666667</c:v>
                </c:pt>
                <c:pt idx="226">
                  <c:v>1.7857142857142953E-2</c:v>
                </c:pt>
                <c:pt idx="227">
                  <c:v>-7.0175438596491294E-2</c:v>
                </c:pt>
                <c:pt idx="228">
                  <c:v>-7.6923076923076983E-2</c:v>
                </c:pt>
                <c:pt idx="229">
                  <c:v>0</c:v>
                </c:pt>
                <c:pt idx="230">
                  <c:v>-0.15789473684210531</c:v>
                </c:pt>
                <c:pt idx="231">
                  <c:v>-7.5471698113207447E-2</c:v>
                </c:pt>
                <c:pt idx="232">
                  <c:v>-0.35416666666666663</c:v>
                </c:pt>
                <c:pt idx="233">
                  <c:v>-0.45283018867924529</c:v>
                </c:pt>
                <c:pt idx="234">
                  <c:v>-0.5</c:v>
                </c:pt>
                <c:pt idx="235">
                  <c:v>-0.38775510204081637</c:v>
                </c:pt>
                <c:pt idx="236">
                  <c:v>0.2580645161290322</c:v>
                </c:pt>
                <c:pt idx="237">
                  <c:v>0.27586206896551735</c:v>
                </c:pt>
                <c:pt idx="238">
                  <c:v>0.33333333333333348</c:v>
                </c:pt>
                <c:pt idx="239">
                  <c:v>0.1333333333333333</c:v>
                </c:pt>
                <c:pt idx="240">
                  <c:v>-7.6923076923076886E-2</c:v>
                </c:pt>
                <c:pt idx="241">
                  <c:v>-2.7027027027027049E-2</c:v>
                </c:pt>
                <c:pt idx="242">
                  <c:v>0</c:v>
                </c:pt>
                <c:pt idx="243">
                  <c:v>-0.11764705882352938</c:v>
                </c:pt>
                <c:pt idx="244">
                  <c:v>-5.5555555555555601E-2</c:v>
                </c:pt>
                <c:pt idx="245">
                  <c:v>0.41666666666666652</c:v>
                </c:pt>
                <c:pt idx="246">
                  <c:v>0.21874999999999992</c:v>
                </c:pt>
                <c:pt idx="247">
                  <c:v>0.96666666666666679</c:v>
                </c:pt>
                <c:pt idx="248">
                  <c:v>0.73529411764705899</c:v>
                </c:pt>
                <c:pt idx="249">
                  <c:v>0.35294117647058842</c:v>
                </c:pt>
                <c:pt idx="250">
                  <c:v>0.33333333333333343</c:v>
                </c:pt>
                <c:pt idx="251">
                  <c:v>-6.7796610169491581E-2</c:v>
                </c:pt>
                <c:pt idx="252">
                  <c:v>-3.389830508474579E-2</c:v>
                </c:pt>
                <c:pt idx="253">
                  <c:v>-5.7971014492753672E-2</c:v>
                </c:pt>
                <c:pt idx="254">
                  <c:v>0.24999999999999994</c:v>
                </c:pt>
                <c:pt idx="255">
                  <c:v>0.14545454545454542</c:v>
                </c:pt>
                <c:pt idx="256">
                  <c:v>0.2105263157894737</c:v>
                </c:pt>
                <c:pt idx="257">
                  <c:v>1.538461538461533E-2</c:v>
                </c:pt>
                <c:pt idx="258">
                  <c:v>4.6153846153846129E-2</c:v>
                </c:pt>
                <c:pt idx="259">
                  <c:v>9.523809523809533E-2</c:v>
                </c:pt>
                <c:pt idx="260">
                  <c:v>0.14492753623188406</c:v>
                </c:pt>
                <c:pt idx="261">
                  <c:v>0.30303030303030304</c:v>
                </c:pt>
                <c:pt idx="262">
                  <c:v>0.14705882352941177</c:v>
                </c:pt>
                <c:pt idx="263">
                  <c:v>0.44927536231884052</c:v>
                </c:pt>
                <c:pt idx="264">
                  <c:v>-0.26582278481012661</c:v>
                </c:pt>
                <c:pt idx="265">
                  <c:v>-0.25581395348837205</c:v>
                </c:pt>
                <c:pt idx="266">
                  <c:v>-0.17948717948717943</c:v>
                </c:pt>
                <c:pt idx="267">
                  <c:v>-0.41</c:v>
                </c:pt>
                <c:pt idx="268">
                  <c:v>0.15517241379310351</c:v>
                </c:pt>
                <c:pt idx="269">
                  <c:v>9.3749999999999944E-2</c:v>
                </c:pt>
                <c:pt idx="270">
                  <c:v>0.10937499999999989</c:v>
                </c:pt>
                <c:pt idx="271">
                  <c:v>0.23728813559322023</c:v>
                </c:pt>
                <c:pt idx="272">
                  <c:v>0.17910447761194032</c:v>
                </c:pt>
                <c:pt idx="273">
                  <c:v>7.1428571428571425E-2</c:v>
                </c:pt>
                <c:pt idx="274">
                  <c:v>2.8169014084507067E-2</c:v>
                </c:pt>
                <c:pt idx="275">
                  <c:v>1.3698630136986375E-2</c:v>
                </c:pt>
                <c:pt idx="276">
                  <c:v>-5.0632911392405104E-2</c:v>
                </c:pt>
                <c:pt idx="277">
                  <c:v>-7.9999999999999946E-2</c:v>
                </c:pt>
                <c:pt idx="278">
                  <c:v>-6.8493150684931503E-2</c:v>
                </c:pt>
                <c:pt idx="279">
                  <c:v>-8.1081081081081155E-2</c:v>
                </c:pt>
                <c:pt idx="280">
                  <c:v>-5.3333333333333378E-2</c:v>
                </c:pt>
                <c:pt idx="281">
                  <c:v>0.10144927536231874</c:v>
                </c:pt>
                <c:pt idx="282">
                  <c:v>0.10294117647058826</c:v>
                </c:pt>
                <c:pt idx="283">
                  <c:v>1.4705882352941256E-2</c:v>
                </c:pt>
                <c:pt idx="284">
                  <c:v>1.4084507042253596E-2</c:v>
                </c:pt>
                <c:pt idx="285">
                  <c:v>-3.9473684210526293E-2</c:v>
                </c:pt>
                <c:pt idx="286">
                  <c:v>1.3333333333333286E-2</c:v>
                </c:pt>
                <c:pt idx="287">
                  <c:v>0.18840579710144911</c:v>
                </c:pt>
                <c:pt idx="288">
                  <c:v>0.29166666666666674</c:v>
                </c:pt>
                <c:pt idx="289">
                  <c:v>0.19178082191780815</c:v>
                </c:pt>
                <c:pt idx="290">
                  <c:v>0.13157894736842105</c:v>
                </c:pt>
                <c:pt idx="291">
                  <c:v>6.0975609756097567E-2</c:v>
                </c:pt>
                <c:pt idx="292">
                  <c:v>0.15053763440860199</c:v>
                </c:pt>
                <c:pt idx="293">
                  <c:v>2.0344827586206899</c:v>
                </c:pt>
                <c:pt idx="294">
                  <c:v>0.90697674418604646</c:v>
                </c:pt>
                <c:pt idx="295">
                  <c:v>0.57471264367816099</c:v>
                </c:pt>
                <c:pt idx="296">
                  <c:v>0.90654205607476634</c:v>
                </c:pt>
                <c:pt idx="297">
                  <c:v>-0.59090909090909083</c:v>
                </c:pt>
                <c:pt idx="298">
                  <c:v>-0.44512195121951215</c:v>
                </c:pt>
                <c:pt idx="299">
                  <c:v>-0.46715328467153283</c:v>
                </c:pt>
                <c:pt idx="300">
                  <c:v>-0.78921568627450978</c:v>
                </c:pt>
                <c:pt idx="301">
                  <c:v>-0.70370370370370372</c:v>
                </c:pt>
                <c:pt idx="302">
                  <c:v>-0.70329670329670324</c:v>
                </c:pt>
                <c:pt idx="303">
                  <c:v>-0.60273972602739734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4C-4B8E-8677-71EEC8E2F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PersonalSaving!$E$5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PersonalSaving!$E$5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PersonalSaving!$A$6:$A$310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PersonalSaving!$E$6:$E$310</c:f>
              <c:numCache>
                <c:formatCode>0.00%</c:formatCode>
                <c:ptCount val="305"/>
                <c:pt idx="49">
                  <c:v>3.7910513627517517E-2</c:v>
                </c:pt>
                <c:pt idx="50">
                  <c:v>-0.3492833561839418</c:v>
                </c:pt>
                <c:pt idx="51">
                  <c:v>0.22268265117842811</c:v>
                </c:pt>
                <c:pt idx="52">
                  <c:v>3.9796166071045747E-2</c:v>
                </c:pt>
                <c:pt idx="53">
                  <c:v>-0.21342880470211545</c:v>
                </c:pt>
                <c:pt idx="54">
                  <c:v>0.22268265117842811</c:v>
                </c:pt>
                <c:pt idx="55">
                  <c:v>-7.6154573973485462E-2</c:v>
                </c:pt>
                <c:pt idx="56">
                  <c:v>0.41158161000000026</c:v>
                </c:pt>
                <c:pt idx="57">
                  <c:v>0</c:v>
                </c:pt>
                <c:pt idx="58">
                  <c:v>0.32750894225662242</c:v>
                </c:pt>
                <c:pt idx="59">
                  <c:v>-3.3752218203143558E-2</c:v>
                </c:pt>
                <c:pt idx="60">
                  <c:v>0</c:v>
                </c:pt>
                <c:pt idx="61">
                  <c:v>-6.72023389572175E-2</c:v>
                </c:pt>
                <c:pt idx="62">
                  <c:v>-0.10118045057972258</c:v>
                </c:pt>
                <c:pt idx="63">
                  <c:v>-0.13653806742732078</c:v>
                </c:pt>
                <c:pt idx="64">
                  <c:v>3.7910513627517517E-2</c:v>
                </c:pt>
                <c:pt idx="65">
                  <c:v>-3.6525801723522155E-2</c:v>
                </c:pt>
                <c:pt idx="66">
                  <c:v>-0.10752050580318706</c:v>
                </c:pt>
                <c:pt idx="67">
                  <c:v>0.29765294874621406</c:v>
                </c:pt>
                <c:pt idx="68">
                  <c:v>0</c:v>
                </c:pt>
                <c:pt idx="69">
                  <c:v>0.32097905129446591</c:v>
                </c:pt>
                <c:pt idx="70">
                  <c:v>-0.15776834583511667</c:v>
                </c:pt>
                <c:pt idx="71">
                  <c:v>0.26917665719243455</c:v>
                </c:pt>
                <c:pt idx="72">
                  <c:v>-0.26594160565710345</c:v>
                </c:pt>
                <c:pt idx="73">
                  <c:v>0</c:v>
                </c:pt>
                <c:pt idx="74">
                  <c:v>0.31781028738025796</c:v>
                </c:pt>
                <c:pt idx="75">
                  <c:v>-0.1854937499999999</c:v>
                </c:pt>
                <c:pt idx="76">
                  <c:v>-0.13313526590230529</c:v>
                </c:pt>
                <c:pt idx="77">
                  <c:v>0</c:v>
                </c:pt>
                <c:pt idx="78">
                  <c:v>0</c:v>
                </c:pt>
                <c:pt idx="79">
                  <c:v>0.2798901782665113</c:v>
                </c:pt>
                <c:pt idx="80">
                  <c:v>0.30285656306923592</c:v>
                </c:pt>
                <c:pt idx="81">
                  <c:v>-0.17861305958399976</c:v>
                </c:pt>
                <c:pt idx="82">
                  <c:v>0.17895952376057123</c:v>
                </c:pt>
                <c:pt idx="83">
                  <c:v>3.2650385217282363E-2</c:v>
                </c:pt>
                <c:pt idx="84">
                  <c:v>-0.17861305958399976</c:v>
                </c:pt>
                <c:pt idx="85">
                  <c:v>3.4039522919416587E-2</c:v>
                </c:pt>
                <c:pt idx="86">
                  <c:v>-0.39116658950617289</c:v>
                </c:pt>
                <c:pt idx="87">
                  <c:v>0.11810484842432323</c:v>
                </c:pt>
                <c:pt idx="88">
                  <c:v>-0.26280988458046006</c:v>
                </c:pt>
                <c:pt idx="89">
                  <c:v>8.1591843952244725E-2</c:v>
                </c:pt>
                <c:pt idx="90">
                  <c:v>0.66492451533986618</c:v>
                </c:pt>
                <c:pt idx="91">
                  <c:v>-3.3752218203143558E-2</c:v>
                </c:pt>
                <c:pt idx="92">
                  <c:v>0.14523082056495262</c:v>
                </c:pt>
                <c:pt idx="93">
                  <c:v>0.21550625000000001</c:v>
                </c:pt>
                <c:pt idx="94">
                  <c:v>0.24143613778387452</c:v>
                </c:pt>
                <c:pt idx="95">
                  <c:v>0</c:v>
                </c:pt>
                <c:pt idx="96">
                  <c:v>3.0416085234907797E-2</c:v>
                </c:pt>
                <c:pt idx="97">
                  <c:v>0.12485657745789958</c:v>
                </c:pt>
                <c:pt idx="98">
                  <c:v>-5.6722907157023106E-2</c:v>
                </c:pt>
                <c:pt idx="99">
                  <c:v>-0.13914590611474198</c:v>
                </c:pt>
                <c:pt idx="100">
                  <c:v>-0.1972107320191776</c:v>
                </c:pt>
                <c:pt idx="101">
                  <c:v>-0.23414735560967237</c:v>
                </c:pt>
                <c:pt idx="102">
                  <c:v>0.14523082056495262</c:v>
                </c:pt>
                <c:pt idx="103">
                  <c:v>0.55487044753086412</c:v>
                </c:pt>
                <c:pt idx="104">
                  <c:v>-0.21825882540231889</c:v>
                </c:pt>
                <c:pt idx="105">
                  <c:v>0.24143613778387452</c:v>
                </c:pt>
                <c:pt idx="106">
                  <c:v>3.0416085234907797E-2</c:v>
                </c:pt>
                <c:pt idx="107">
                  <c:v>0.37104849216577018</c:v>
                </c:pt>
                <c:pt idx="108">
                  <c:v>-0.13095926512941791</c:v>
                </c:pt>
                <c:pt idx="109">
                  <c:v>-0.27914701947105358</c:v>
                </c:pt>
                <c:pt idx="110">
                  <c:v>-8.9828276053505407E-2</c:v>
                </c:pt>
                <c:pt idx="111">
                  <c:v>0.39765534000242853</c:v>
                </c:pt>
                <c:pt idx="112">
                  <c:v>-0.23799537033190321</c:v>
                </c:pt>
                <c:pt idx="113">
                  <c:v>1.041389349848032</c:v>
                </c:pt>
                <c:pt idx="114">
                  <c:v>-0.49464901338482037</c:v>
                </c:pt>
                <c:pt idx="115">
                  <c:v>-6.0588131754992336E-2</c:v>
                </c:pt>
                <c:pt idx="116">
                  <c:v>-0.17600116544395739</c:v>
                </c:pt>
                <c:pt idx="117">
                  <c:v>-9.5545866373504373E-2</c:v>
                </c:pt>
                <c:pt idx="118">
                  <c:v>-6.6092361199769689E-2</c:v>
                </c:pt>
                <c:pt idx="119">
                  <c:v>-0.19139060359319704</c:v>
                </c:pt>
                <c:pt idx="120">
                  <c:v>-0.28925345946315129</c:v>
                </c:pt>
                <c:pt idx="121">
                  <c:v>0.16807761484601635</c:v>
                </c:pt>
                <c:pt idx="122">
                  <c:v>0.11927763431903426</c:v>
                </c:pt>
                <c:pt idx="123">
                  <c:v>0.1565837035531692</c:v>
                </c:pt>
                <c:pt idx="124">
                  <c:v>3.6195455516988995E-2</c:v>
                </c:pt>
                <c:pt idx="125">
                  <c:v>-0.28250383641597254</c:v>
                </c:pt>
                <c:pt idx="126">
                  <c:v>0.12047392293304204</c:v>
                </c:pt>
                <c:pt idx="127">
                  <c:v>-7.2696101661157364E-2</c:v>
                </c:pt>
                <c:pt idx="128">
                  <c:v>0.24892028321532722</c:v>
                </c:pt>
                <c:pt idx="129">
                  <c:v>-0.22937793115933236</c:v>
                </c:pt>
                <c:pt idx="130">
                  <c:v>-0.17887850476556777</c:v>
                </c:pt>
                <c:pt idx="131">
                  <c:v>-3.9795970004080861E-2</c:v>
                </c:pt>
                <c:pt idx="132">
                  <c:v>0.12818726309893402</c:v>
                </c:pt>
                <c:pt idx="133">
                  <c:v>0.56685309140794171</c:v>
                </c:pt>
                <c:pt idx="134">
                  <c:v>3.5870896432356414E-2</c:v>
                </c:pt>
                <c:pt idx="135">
                  <c:v>0</c:v>
                </c:pt>
                <c:pt idx="136">
                  <c:v>-0.16423036882054109</c:v>
                </c:pt>
                <c:pt idx="137">
                  <c:v>0</c:v>
                </c:pt>
                <c:pt idx="138">
                  <c:v>0.62149066960428967</c:v>
                </c:pt>
                <c:pt idx="139">
                  <c:v>0.20986912905939348</c:v>
                </c:pt>
                <c:pt idx="140">
                  <c:v>-0.17346432272600831</c:v>
                </c:pt>
                <c:pt idx="141">
                  <c:v>6.6644273922478181E-2</c:v>
                </c:pt>
                <c:pt idx="142">
                  <c:v>-6.2480318463999596E-2</c:v>
                </c:pt>
                <c:pt idx="143">
                  <c:v>-0.36033837815812064</c:v>
                </c:pt>
                <c:pt idx="144">
                  <c:v>0</c:v>
                </c:pt>
                <c:pt idx="145">
                  <c:v>-0.37001013591967735</c:v>
                </c:pt>
                <c:pt idx="146">
                  <c:v>-0.11694019229805164</c:v>
                </c:pt>
                <c:pt idx="147">
                  <c:v>0.22773766315482513</c:v>
                </c:pt>
                <c:pt idx="148">
                  <c:v>0.51807040999999932</c:v>
                </c:pt>
                <c:pt idx="149">
                  <c:v>7.4043469433015208E-2</c:v>
                </c:pt>
                <c:pt idx="150">
                  <c:v>0.14929011945185611</c:v>
                </c:pt>
                <c:pt idx="151">
                  <c:v>-0.12989767938060637</c:v>
                </c:pt>
                <c:pt idx="152">
                  <c:v>-0.54120569298879984</c:v>
                </c:pt>
                <c:pt idx="153">
                  <c:v>0.44700120517021258</c:v>
                </c:pt>
                <c:pt idx="154">
                  <c:v>-0.58230938001694255</c:v>
                </c:pt>
                <c:pt idx="155">
                  <c:v>0.38772884985672906</c:v>
                </c:pt>
                <c:pt idx="156">
                  <c:v>0.19226217947809743</c:v>
                </c:pt>
                <c:pt idx="157">
                  <c:v>8.8836389865458498E-2</c:v>
                </c:pt>
                <c:pt idx="158">
                  <c:v>-0.35911326647278641</c:v>
                </c:pt>
                <c:pt idx="159">
                  <c:v>-0.17536004597646115</c:v>
                </c:pt>
                <c:pt idx="160">
                  <c:v>0.45753821760314795</c:v>
                </c:pt>
                <c:pt idx="161">
                  <c:v>-0.65921880284766998</c:v>
                </c:pt>
                <c:pt idx="162">
                  <c:v>0.47982173832030339</c:v>
                </c:pt>
                <c:pt idx="163">
                  <c:v>0.649797530864197</c:v>
                </c:pt>
                <c:pt idx="164">
                  <c:v>-9.0847647896935779E-2</c:v>
                </c:pt>
                <c:pt idx="165">
                  <c:v>0.15260748478649222</c:v>
                </c:pt>
                <c:pt idx="166">
                  <c:v>0</c:v>
                </c:pt>
                <c:pt idx="167">
                  <c:v>-4.5706649056203807E-2</c:v>
                </c:pt>
                <c:pt idx="168">
                  <c:v>0.25688150285556954</c:v>
                </c:pt>
                <c:pt idx="169">
                  <c:v>-0.27666024996189587</c:v>
                </c:pt>
                <c:pt idx="170">
                  <c:v>-0.13692690476765967</c:v>
                </c:pt>
                <c:pt idx="171">
                  <c:v>0.15865041503906308</c:v>
                </c:pt>
                <c:pt idx="172">
                  <c:v>0</c:v>
                </c:pt>
                <c:pt idx="173">
                  <c:v>0.20715945682106907</c:v>
                </c:pt>
                <c:pt idx="174">
                  <c:v>-0.17160902451661419</c:v>
                </c:pt>
                <c:pt idx="175">
                  <c:v>-4.7328791930924541E-2</c:v>
                </c:pt>
                <c:pt idx="176">
                  <c:v>0.26713124800717414</c:v>
                </c:pt>
                <c:pt idx="177">
                  <c:v>-4.5190361328266038E-2</c:v>
                </c:pt>
                <c:pt idx="178">
                  <c:v>0</c:v>
                </c:pt>
                <c:pt idx="179">
                  <c:v>0.42730770232020054</c:v>
                </c:pt>
                <c:pt idx="180">
                  <c:v>8.7861276177684244E-2</c:v>
                </c:pt>
                <c:pt idx="181">
                  <c:v>0.13098239898681641</c:v>
                </c:pt>
                <c:pt idx="182">
                  <c:v>-0.2212626304787586</c:v>
                </c:pt>
                <c:pt idx="183">
                  <c:v>-0.16125830609024117</c:v>
                </c:pt>
                <c:pt idx="184">
                  <c:v>-4.4191998178706782E-2</c:v>
                </c:pt>
                <c:pt idx="185">
                  <c:v>-0.20862617646399639</c:v>
                </c:pt>
                <c:pt idx="186">
                  <c:v>-0.3681492440493207</c:v>
                </c:pt>
                <c:pt idx="187">
                  <c:v>-5.2968201504566825E-2</c:v>
                </c:pt>
                <c:pt idx="188">
                  <c:v>-0.24708801506403177</c:v>
                </c:pt>
                <c:pt idx="189">
                  <c:v>0.12293988936914113</c:v>
                </c:pt>
                <c:pt idx="190">
                  <c:v>-0.1094803831736777</c:v>
                </c:pt>
                <c:pt idx="191">
                  <c:v>0.18849605376192868</c:v>
                </c:pt>
                <c:pt idx="192">
                  <c:v>0.31286773196940354</c:v>
                </c:pt>
                <c:pt idx="193">
                  <c:v>-0.32057426350127749</c:v>
                </c:pt>
                <c:pt idx="194">
                  <c:v>-5.6722907157023106E-2</c:v>
                </c:pt>
                <c:pt idx="195">
                  <c:v>-0.11255776990218036</c:v>
                </c:pt>
                <c:pt idx="196">
                  <c:v>6.1997437013089574E-2</c:v>
                </c:pt>
                <c:pt idx="197">
                  <c:v>-0.11416218482336526</c:v>
                </c:pt>
                <c:pt idx="198">
                  <c:v>6.2973201218444519E-2</c:v>
                </c:pt>
                <c:pt idx="199">
                  <c:v>-0.11581294200878411</c:v>
                </c:pt>
                <c:pt idx="200">
                  <c:v>-6.1050355434418169E-2</c:v>
                </c:pt>
                <c:pt idx="201">
                  <c:v>0.20451869334279449</c:v>
                </c:pt>
                <c:pt idx="202">
                  <c:v>-0.27030125741933919</c:v>
                </c:pt>
                <c:pt idx="203">
                  <c:v>0.1377395565932038</c:v>
                </c:pt>
                <c:pt idx="204">
                  <c:v>0.90355171957830671</c:v>
                </c:pt>
                <c:pt idx="205">
                  <c:v>-0.19930838385816374</c:v>
                </c:pt>
                <c:pt idx="206">
                  <c:v>-0.16071965847563496</c:v>
                </c:pt>
                <c:pt idx="207">
                  <c:v>-0.31289971411516027</c:v>
                </c:pt>
                <c:pt idx="208">
                  <c:v>6.720393510224465E-2</c:v>
                </c:pt>
                <c:pt idx="209">
                  <c:v>-0.64074882975048753</c:v>
                </c:pt>
                <c:pt idx="210">
                  <c:v>-0.2275238037109375</c:v>
                </c:pt>
                <c:pt idx="211">
                  <c:v>-8.5969577808260644E-2</c:v>
                </c:pt>
                <c:pt idx="212">
                  <c:v>0.1945948022676034</c:v>
                </c:pt>
                <c:pt idx="213">
                  <c:v>0.18558753006171358</c:v>
                </c:pt>
                <c:pt idx="214">
                  <c:v>0.17737569926697572</c:v>
                </c:pt>
                <c:pt idx="215">
                  <c:v>-0.28360704000000025</c:v>
                </c:pt>
                <c:pt idx="216">
                  <c:v>0.51094751126532567</c:v>
                </c:pt>
                <c:pt idx="217">
                  <c:v>-0.27870864442904197</c:v>
                </c:pt>
                <c:pt idx="218">
                  <c:v>2.4381788481665092</c:v>
                </c:pt>
                <c:pt idx="219">
                  <c:v>-0.91055577993392944</c:v>
                </c:pt>
                <c:pt idx="220">
                  <c:v>5.5535999999999976</c:v>
                </c:pt>
                <c:pt idx="221">
                  <c:v>0.31781028738025796</c:v>
                </c:pt>
                <c:pt idx="222">
                  <c:v>-0.24116543209876573</c:v>
                </c:pt>
                <c:pt idx="223">
                  <c:v>7.3364715385517032E-2</c:v>
                </c:pt>
                <c:pt idx="224">
                  <c:v>-0.30734981931130934</c:v>
                </c:pt>
                <c:pt idx="225">
                  <c:v>7.9170596486467293E-2</c:v>
                </c:pt>
                <c:pt idx="226">
                  <c:v>0.33781464019747331</c:v>
                </c:pt>
                <c:pt idx="227">
                  <c:v>-0.2525122913497263</c:v>
                </c:pt>
                <c:pt idx="228">
                  <c:v>-0.32723797193098869</c:v>
                </c:pt>
                <c:pt idx="229">
                  <c:v>0.48640969358844544</c:v>
                </c:pt>
                <c:pt idx="230">
                  <c:v>-0.32723797193098869</c:v>
                </c:pt>
                <c:pt idx="231">
                  <c:v>8.5973857361593797E-2</c:v>
                </c:pt>
                <c:pt idx="232">
                  <c:v>-0.8398000208506764</c:v>
                </c:pt>
                <c:pt idx="233">
                  <c:v>-0.23414735560967237</c:v>
                </c:pt>
                <c:pt idx="234">
                  <c:v>-0.53091345589659555</c:v>
                </c:pt>
                <c:pt idx="235">
                  <c:v>1.44140625</c:v>
                </c:pt>
                <c:pt idx="236">
                  <c:v>1.8561000000000005</c:v>
                </c:pt>
                <c:pt idx="237">
                  <c:v>-0.18988165248216815</c:v>
                </c:pt>
                <c:pt idx="238">
                  <c:v>-0.44050911314449492</c:v>
                </c:pt>
                <c:pt idx="239">
                  <c:v>0.2744293212890625</c:v>
                </c:pt>
                <c:pt idx="240">
                  <c:v>0.25688150285556954</c:v>
                </c:pt>
                <c:pt idx="241">
                  <c:v>0</c:v>
                </c:pt>
                <c:pt idx="242">
                  <c:v>-0.37570492303002578</c:v>
                </c:pt>
                <c:pt idx="243">
                  <c:v>-0.2275238037109375</c:v>
                </c:pt>
                <c:pt idx="244">
                  <c:v>0.649797530864197</c:v>
                </c:pt>
                <c:pt idx="245">
                  <c:v>4.0625</c:v>
                </c:pt>
                <c:pt idx="246">
                  <c:v>-0.65803809820284709</c:v>
                </c:pt>
                <c:pt idx="247">
                  <c:v>4.2378085285079692</c:v>
                </c:pt>
                <c:pt idx="248">
                  <c:v>0</c:v>
                </c:pt>
                <c:pt idx="249">
                  <c:v>0.87063181496367092</c:v>
                </c:pt>
                <c:pt idx="250">
                  <c:v>-0.67743517140972598</c:v>
                </c:pt>
                <c:pt idx="251">
                  <c:v>0.25151881608662152</c:v>
                </c:pt>
                <c:pt idx="252">
                  <c:v>0.15358251485554275</c:v>
                </c:pt>
                <c:pt idx="253">
                  <c:v>0.69104048019699893</c:v>
                </c:pt>
                <c:pt idx="254">
                  <c:v>0</c:v>
                </c:pt>
                <c:pt idx="255">
                  <c:v>-0.1175120759077064</c:v>
                </c:pt>
                <c:pt idx="256">
                  <c:v>0.43891177030146933</c:v>
                </c:pt>
                <c:pt idx="257">
                  <c:v>-0.16289607312724041</c:v>
                </c:pt>
                <c:pt idx="258">
                  <c:v>0.1268339122083173</c:v>
                </c:pt>
                <c:pt idx="259">
                  <c:v>6.0133875387627711E-2</c:v>
                </c:pt>
                <c:pt idx="260">
                  <c:v>0.71835148363129098</c:v>
                </c:pt>
                <c:pt idx="261">
                  <c:v>0.40438259935839338</c:v>
                </c:pt>
                <c:pt idx="262">
                  <c:v>-0.32331802874750515</c:v>
                </c:pt>
                <c:pt idx="263">
                  <c:v>1.7016033691803694</c:v>
                </c:pt>
                <c:pt idx="264">
                  <c:v>-0.88683504000000002</c:v>
                </c:pt>
                <c:pt idx="265">
                  <c:v>0.48254512704285824</c:v>
                </c:pt>
                <c:pt idx="266">
                  <c:v>0</c:v>
                </c:pt>
                <c:pt idx="267">
                  <c:v>-0.27774900197982788</c:v>
                </c:pt>
                <c:pt idx="268">
                  <c:v>0.66299584538250556</c:v>
                </c:pt>
                <c:pt idx="269">
                  <c:v>0.19149698917494429</c:v>
                </c:pt>
                <c:pt idx="270">
                  <c:v>5.8379050395668042E-2</c:v>
                </c:pt>
                <c:pt idx="271">
                  <c:v>0.11752705379860506</c:v>
                </c:pt>
                <c:pt idx="272">
                  <c:v>0.37156667555571521</c:v>
                </c:pt>
                <c:pt idx="273">
                  <c:v>-0.18766215145996756</c:v>
                </c:pt>
                <c:pt idx="274">
                  <c:v>-0.10247534617283971</c:v>
                </c:pt>
                <c:pt idx="275">
                  <c:v>5.5930752894167046E-2</c:v>
                </c:pt>
                <c:pt idx="276">
                  <c:v>5.5159648770836123E-2</c:v>
                </c:pt>
                <c:pt idx="277">
                  <c:v>-0.28360703999999992</c:v>
                </c:pt>
                <c:pt idx="278">
                  <c:v>-5.6722907157023106E-2</c:v>
                </c:pt>
                <c:pt idx="279">
                  <c:v>0</c:v>
                </c:pt>
                <c:pt idx="280">
                  <c:v>0.18849605376192868</c:v>
                </c:pt>
                <c:pt idx="281">
                  <c:v>0.31286773196940354</c:v>
                </c:pt>
                <c:pt idx="282">
                  <c:v>-5.1601879925337824E-2</c:v>
                </c:pt>
                <c:pt idx="283">
                  <c:v>-0.28360703999999992</c:v>
                </c:pt>
                <c:pt idx="284">
                  <c:v>0.18558753006171358</c:v>
                </c:pt>
                <c:pt idx="285">
                  <c:v>5.6723716909102606E-2</c:v>
                </c:pt>
                <c:pt idx="286">
                  <c:v>0.17479727001401235</c:v>
                </c:pt>
                <c:pt idx="287">
                  <c:v>0.35519265889611074</c:v>
                </c:pt>
                <c:pt idx="288">
                  <c:v>0.65453662305481664</c:v>
                </c:pt>
                <c:pt idx="289">
                  <c:v>-0.23414735560967259</c:v>
                </c:pt>
                <c:pt idx="290">
                  <c:v>-4.5190361328266038E-2</c:v>
                </c:pt>
                <c:pt idx="291">
                  <c:v>4.7329184266647895E-2</c:v>
                </c:pt>
                <c:pt idx="292">
                  <c:v>1.2880109588867019</c:v>
                </c:pt>
                <c:pt idx="293">
                  <c:v>36.057882225320498</c:v>
                </c:pt>
                <c:pt idx="294">
                  <c:v>-0.85107771723411596</c:v>
                </c:pt>
                <c:pt idx="295">
                  <c:v>-0.51302476433560706</c:v>
                </c:pt>
                <c:pt idx="296">
                  <c:v>3.9163002802231182</c:v>
                </c:pt>
                <c:pt idx="297">
                  <c:v>-0.92144490607152685</c:v>
                </c:pt>
                <c:pt idx="298">
                  <c:v>-0.49595356510647481</c:v>
                </c:pt>
                <c:pt idx="299">
                  <c:v>-0.58588031861950307</c:v>
                </c:pt>
                <c:pt idx="300">
                  <c:v>-0.87961222668685723</c:v>
                </c:pt>
                <c:pt idx="301">
                  <c:v>-0.69329130300359698</c:v>
                </c:pt>
                <c:pt idx="302">
                  <c:v>-0.49317836761474609</c:v>
                </c:pt>
                <c:pt idx="303">
                  <c:v>0.33087398224826425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F-4282-9944-B1EE35D5D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13856</xdr:rowOff>
    </xdr:from>
    <xdr:to>
      <xdr:col>33</xdr:col>
      <xdr:colOff>687917</xdr:colOff>
      <xdr:row>318</xdr:row>
      <xdr:rowOff>21168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383213</xdr:colOff>
      <xdr:row>252</xdr:row>
      <xdr:rowOff>173183</xdr:rowOff>
    </xdr:from>
    <xdr:to>
      <xdr:col>16</xdr:col>
      <xdr:colOff>759410</xdr:colOff>
      <xdr:row>279</xdr:row>
      <xdr:rowOff>161705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419254</xdr:colOff>
      <xdr:row>253</xdr:row>
      <xdr:rowOff>51956</xdr:rowOff>
    </xdr:from>
    <xdr:to>
      <xdr:col>29</xdr:col>
      <xdr:colOff>347614</xdr:colOff>
      <xdr:row>280</xdr:row>
      <xdr:rowOff>63272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476028</xdr:colOff>
      <xdr:row>280</xdr:row>
      <xdr:rowOff>145963</xdr:rowOff>
    </xdr:from>
    <xdr:to>
      <xdr:col>17</xdr:col>
      <xdr:colOff>106507</xdr:colOff>
      <xdr:row>309</xdr:row>
      <xdr:rowOff>143358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411085</xdr:colOff>
      <xdr:row>280</xdr:row>
      <xdr:rowOff>154620</xdr:rowOff>
    </xdr:from>
    <xdr:to>
      <xdr:col>29</xdr:col>
      <xdr:colOff>338956</xdr:colOff>
      <xdr:row>309</xdr:row>
      <xdr:rowOff>165775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24245</xdr:colOff>
      <xdr:row>248</xdr:row>
      <xdr:rowOff>50224</xdr:rowOff>
    </xdr:from>
    <xdr:to>
      <xdr:col>17</xdr:col>
      <xdr:colOff>389171</xdr:colOff>
      <xdr:row>278</xdr:row>
      <xdr:rowOff>162792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613352</xdr:colOff>
      <xdr:row>248</xdr:row>
      <xdr:rowOff>68552</xdr:rowOff>
    </xdr:from>
    <xdr:to>
      <xdr:col>30</xdr:col>
      <xdr:colOff>680783</xdr:colOff>
      <xdr:row>278</xdr:row>
      <xdr:rowOff>159426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21359</xdr:colOff>
      <xdr:row>279</xdr:row>
      <xdr:rowOff>52675</xdr:rowOff>
    </xdr:from>
    <xdr:to>
      <xdr:col>17</xdr:col>
      <xdr:colOff>419678</xdr:colOff>
      <xdr:row>311</xdr:row>
      <xdr:rowOff>26410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613353</xdr:colOff>
      <xdr:row>279</xdr:row>
      <xdr:rowOff>52675</xdr:rowOff>
    </xdr:from>
    <xdr:to>
      <xdr:col>30</xdr:col>
      <xdr:colOff>662711</xdr:colOff>
      <xdr:row>311</xdr:row>
      <xdr:rowOff>44306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635490</xdr:colOff>
      <xdr:row>260</xdr:row>
      <xdr:rowOff>29186</xdr:rowOff>
    </xdr:from>
    <xdr:to>
      <xdr:col>14</xdr:col>
      <xdr:colOff>575082</xdr:colOff>
      <xdr:row>283</xdr:row>
      <xdr:rowOff>67284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742584</xdr:colOff>
      <xdr:row>260</xdr:row>
      <xdr:rowOff>65944</xdr:rowOff>
    </xdr:from>
    <xdr:to>
      <xdr:col>24</xdr:col>
      <xdr:colOff>426670</xdr:colOff>
      <xdr:row>283</xdr:row>
      <xdr:rowOff>84503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615950</xdr:colOff>
      <xdr:row>283</xdr:row>
      <xdr:rowOff>150202</xdr:rowOff>
    </xdr:from>
    <xdr:to>
      <xdr:col>14</xdr:col>
      <xdr:colOff>594619</xdr:colOff>
      <xdr:row>310</xdr:row>
      <xdr:rowOff>70786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722191</xdr:colOff>
      <xdr:row>283</xdr:row>
      <xdr:rowOff>169007</xdr:rowOff>
    </xdr:from>
    <xdr:to>
      <xdr:col>24</xdr:col>
      <xdr:colOff>402859</xdr:colOff>
      <xdr:row>310</xdr:row>
      <xdr:rowOff>102535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700136</xdr:colOff>
      <xdr:row>265</xdr:row>
      <xdr:rowOff>57149</xdr:rowOff>
    </xdr:from>
    <xdr:to>
      <xdr:col>14</xdr:col>
      <xdr:colOff>22017</xdr:colOff>
      <xdr:row>285</xdr:row>
      <xdr:rowOff>36961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142876</xdr:colOff>
      <xdr:row>265</xdr:row>
      <xdr:rowOff>51472</xdr:rowOff>
    </xdr:from>
    <xdr:to>
      <xdr:col>22</xdr:col>
      <xdr:colOff>398963</xdr:colOff>
      <xdr:row>285</xdr:row>
      <xdr:rowOff>50334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693978</xdr:colOff>
      <xdr:row>285</xdr:row>
      <xdr:rowOff>136813</xdr:rowOff>
    </xdr:from>
    <xdr:to>
      <xdr:col>13</xdr:col>
      <xdr:colOff>750150</xdr:colOff>
      <xdr:row>308</xdr:row>
      <xdr:rowOff>56817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148551</xdr:colOff>
      <xdr:row>285</xdr:row>
      <xdr:rowOff>153747</xdr:rowOff>
    </xdr:from>
    <xdr:to>
      <xdr:col>22</xdr:col>
      <xdr:colOff>399347</xdr:colOff>
      <xdr:row>308</xdr:row>
      <xdr:rowOff>58120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700136</xdr:colOff>
      <xdr:row>265</xdr:row>
      <xdr:rowOff>57149</xdr:rowOff>
    </xdr:from>
    <xdr:to>
      <xdr:col>14</xdr:col>
      <xdr:colOff>22017</xdr:colOff>
      <xdr:row>285</xdr:row>
      <xdr:rowOff>36961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E61D0A-08B3-42CF-B553-C142897EFD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142876</xdr:colOff>
      <xdr:row>265</xdr:row>
      <xdr:rowOff>51472</xdr:rowOff>
    </xdr:from>
    <xdr:to>
      <xdr:col>22</xdr:col>
      <xdr:colOff>398963</xdr:colOff>
      <xdr:row>285</xdr:row>
      <xdr:rowOff>50334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38B2F8-389E-4791-8085-3507D82BB6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693978</xdr:colOff>
      <xdr:row>285</xdr:row>
      <xdr:rowOff>136813</xdr:rowOff>
    </xdr:from>
    <xdr:to>
      <xdr:col>13</xdr:col>
      <xdr:colOff>750150</xdr:colOff>
      <xdr:row>308</xdr:row>
      <xdr:rowOff>56817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FFA0796-9232-443E-9673-667B5525ED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148551</xdr:colOff>
      <xdr:row>285</xdr:row>
      <xdr:rowOff>153747</xdr:rowOff>
    </xdr:from>
    <xdr:to>
      <xdr:col>22</xdr:col>
      <xdr:colOff>399347</xdr:colOff>
      <xdr:row>308</xdr:row>
      <xdr:rowOff>58120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D4295CE-8E32-47B7-BE69-DD64F1C62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9" totalsRowShown="0" dataDxfId="94" headerRowBorderDxfId="95" tableBorderDxfId="93" totalsRowBorderDxfId="92">
  <autoFilter ref="A5:E309" xr:uid="{00000000-0009-0000-0100-000001000000}"/>
  <tableColumns count="5">
    <tableColumn id="1" xr3:uid="{00000000-0010-0000-0000-000001000000}" name="Date" dataDxfId="91"/>
    <tableColumn id="2" xr3:uid="{00000000-0010-0000-0000-000002000000}" name="Value" dataDxfId="90">
      <calculatedColumnFormula>VLOOKUP(A6,Database!A:L,MATCH($A$1,Database!$A$1:$L$1,),)</calculatedColumnFormula>
    </tableColumn>
    <tableColumn id="3" xr3:uid="{00000000-0010-0000-0000-000003000000}" name="GDP q/q %" dataDxfId="89">
      <calculatedColumnFormula>(B6-B5)/B5</calculatedColumnFormula>
    </tableColumn>
    <tableColumn id="4" xr3:uid="{00000000-0010-0000-0000-000004000000}" name="GDP y/y %" dataDxfId="88">
      <calculatedColumnFormula>(B6-B2)/B2</calculatedColumnFormula>
    </tableColumn>
    <tableColumn id="5" xr3:uid="{00000000-0010-0000-0000-000005000000}" name="GDP Annualized QoQ" dataDxfId="8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9" totalsRowShown="0" headerRowDxfId="86" dataDxfId="84" headerRowBorderDxfId="85">
  <autoFilter ref="A5:L309" xr:uid="{00000000-0009-0000-0100-000002000000}"/>
  <tableColumns count="12">
    <tableColumn id="1" xr3:uid="{00000000-0010-0000-0100-000001000000}" name="Date" dataDxfId="83"/>
    <tableColumn id="2" xr3:uid="{00000000-0010-0000-0100-000002000000}" name="GDP" dataDxfId="82">
      <calculatedColumnFormula>VLOOKUP(A6,'U.S. GDP'!A:B,2,)</calculatedColumnFormula>
    </tableColumn>
    <tableColumn id="9" xr3:uid="{00000000-0010-0000-0100-000009000000}" name="Personal Consumption" dataDxfId="81">
      <calculatedColumnFormula>VLOOKUP(A6,PersonalConsumption!A:B,2,)</calculatedColumnFormula>
    </tableColumn>
    <tableColumn id="5" xr3:uid="{00000000-0010-0000-0100-000005000000}" name="Private Investment" dataDxfId="80">
      <calculatedColumnFormula>VLOOKUP(A6,PrivateInvestment!A:B,2,)</calculatedColumnFormula>
    </tableColumn>
    <tableColumn id="3" xr3:uid="{00000000-0010-0000-0100-000003000000}" name="Exports" dataDxfId="79">
      <calculatedColumnFormula>VLOOKUP(A6,Exports!A:B,2,)</calculatedColumnFormula>
    </tableColumn>
    <tableColumn id="10" xr3:uid="{00000000-0010-0000-0100-00000A000000}" name="Imports" dataDxfId="78">
      <calculatedColumnFormula>VLOOKUP(A6,Imports!A:B,2,)</calculatedColumnFormula>
    </tableColumn>
    <tableColumn id="11" xr3:uid="{00000000-0010-0000-0100-00000B000000}" name="Government" dataDxfId="77">
      <calculatedColumnFormula>VLOOKUP(A6,Government!A:B,2,)</calculatedColumnFormula>
    </tableColumn>
    <tableColumn id="15" xr3:uid="{00000000-0010-0000-0100-00000F000000}" name="PC%" dataDxfId="76">
      <calculatedColumnFormula>Table58[[#This Row],[Personal Consumption]]/Table58[[#This Row],[GDP]]</calculatedColumnFormula>
    </tableColumn>
    <tableColumn id="14" xr3:uid="{00000000-0010-0000-0100-00000E000000}" name="I%" dataDxfId="75">
      <calculatedColumnFormula>Table58[[#This Row],[Private Investment]]/Table58[[#This Row],[GDP]]</calculatedColumnFormula>
    </tableColumn>
    <tableColumn id="13" xr3:uid="{00000000-0010-0000-0100-00000D000000}" name="E%" dataDxfId="74">
      <calculatedColumnFormula>Table58[[#This Row],[Exports]]/Table58[[#This Row],[GDP]]</calculatedColumnFormula>
    </tableColumn>
    <tableColumn id="12" xr3:uid="{00000000-0010-0000-0100-00000C000000}" name="I%2" dataDxfId="73">
      <calculatedColumnFormula>-Table58[[#This Row],[Imports]]/Table58[[#This Row],[GDP]]</calculatedColumnFormula>
    </tableColumn>
    <tableColumn id="8" xr3:uid="{00000000-0010-0000-0100-000008000000}" name="G%" dataDxfId="72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9" totalsRowShown="0" dataDxfId="70" headerRowBorderDxfId="71" tableBorderDxfId="69" totalsRowBorderDxfId="68">
  <autoFilter ref="A5:E309" xr:uid="{00000000-0009-0000-0100-000003000000}"/>
  <tableColumns count="5">
    <tableColumn id="1" xr3:uid="{00000000-0010-0000-0200-000001000000}" name="Date" dataDxfId="67"/>
    <tableColumn id="2" xr3:uid="{00000000-0010-0000-0200-000002000000}" name="Value" dataDxfId="66">
      <calculatedColumnFormula>VLOOKUP(A6,Database!A:L,MATCH($A$1,Database!$A$1:$L$1,),)</calculatedColumnFormula>
    </tableColumn>
    <tableColumn id="3" xr3:uid="{00000000-0010-0000-0200-000003000000}" name="qoq" dataDxfId="65">
      <calculatedColumnFormula>(B6-B5)/B5</calculatedColumnFormula>
    </tableColumn>
    <tableColumn id="4" xr3:uid="{00000000-0010-0000-0200-000004000000}" name="yoy" dataDxfId="64">
      <calculatedColumnFormula>(B6-B2)/B2</calculatedColumnFormula>
    </tableColumn>
    <tableColumn id="5" xr3:uid="{00000000-0010-0000-0200-000005000000}" name="qoq annualized" dataDxfId="63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9" totalsRowShown="0" dataDxfId="61" headerRowBorderDxfId="62" tableBorderDxfId="60" totalsRowBorderDxfId="59">
  <autoFilter ref="A5:E309" xr:uid="{00000000-0009-0000-0100-000004000000}"/>
  <tableColumns count="5">
    <tableColumn id="1" xr3:uid="{00000000-0010-0000-0300-000001000000}" name="Date" dataDxfId="58"/>
    <tableColumn id="2" xr3:uid="{00000000-0010-0000-0300-000002000000}" name="Value" dataDxfId="57">
      <calculatedColumnFormula>VLOOKUP(A6,Database!A:L,MATCH($A$1,Database!$A$1:$L$1,),)</calculatedColumnFormula>
    </tableColumn>
    <tableColumn id="3" xr3:uid="{00000000-0010-0000-0300-000003000000}" name="qoq" dataDxfId="56">
      <calculatedColumnFormula>(B6-B5)/B5</calculatedColumnFormula>
    </tableColumn>
    <tableColumn id="4" xr3:uid="{00000000-0010-0000-0300-000004000000}" name="yoy" dataDxfId="55">
      <calculatedColumnFormula>(B6-B2)/B2</calculatedColumnFormula>
    </tableColumn>
    <tableColumn id="5" xr3:uid="{00000000-0010-0000-03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9" totalsRowShown="0" dataDxfId="52" headerRowBorderDxfId="53" tableBorderDxfId="51" totalsRowBorderDxfId="50">
  <autoFilter ref="A5:E309" xr:uid="{00000000-0009-0000-0100-000005000000}"/>
  <tableColumns count="5">
    <tableColumn id="1" xr3:uid="{00000000-0010-0000-0400-000001000000}" name="Date" dataDxfId="49"/>
    <tableColumn id="2" xr3:uid="{00000000-0010-0000-0400-000002000000}" name="Value" dataDxfId="48">
      <calculatedColumnFormula>VLOOKUP(A6,Database!A:L,MATCH($A$1,Database!$A$1:$L$1,),)</calculatedColumnFormula>
    </tableColumn>
    <tableColumn id="3" xr3:uid="{00000000-0010-0000-0400-000003000000}" name="qoq" dataDxfId="47">
      <calculatedColumnFormula>(B6-B5)/B5</calculatedColumnFormula>
    </tableColumn>
    <tableColumn id="4" xr3:uid="{00000000-0010-0000-0400-000004000000}" name="yoy" dataDxfId="46">
      <calculatedColumnFormula>(B6-B2)/B2</calculatedColumnFormula>
    </tableColumn>
    <tableColumn id="5" xr3:uid="{00000000-0010-0000-04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9" totalsRowShown="0" dataDxfId="43" headerRowBorderDxfId="44" tableBorderDxfId="42" totalsRowBorderDxfId="41">
  <autoFilter ref="A5:E309" xr:uid="{00000000-0009-0000-0100-000006000000}"/>
  <tableColumns count="5">
    <tableColumn id="1" xr3:uid="{00000000-0010-0000-0500-000001000000}" name="Date" dataDxfId="40"/>
    <tableColumn id="2" xr3:uid="{00000000-0010-0000-0500-000002000000}" name="Value" dataDxfId="39">
      <calculatedColumnFormula>VLOOKUP(A6,Database!A:L,MATCH($A$1,Database!$A$1:$L$1,),)</calculatedColumnFormula>
    </tableColumn>
    <tableColumn id="3" xr3:uid="{00000000-0010-0000-0500-000003000000}" name="qoq" dataDxfId="38">
      <calculatedColumnFormula>(B6-B5)/B5</calculatedColumnFormula>
    </tableColumn>
    <tableColumn id="4" xr3:uid="{00000000-0010-0000-0500-000004000000}" name="yoy" dataDxfId="37">
      <calculatedColumnFormula>(B6-B2)/B2</calculatedColumnFormula>
    </tableColumn>
    <tableColumn id="5" xr3:uid="{00000000-0010-0000-05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9" totalsRowShown="0" dataDxfId="34" headerRowBorderDxfId="35" tableBorderDxfId="33" totalsRowBorderDxfId="32">
  <autoFilter ref="A5:E309" xr:uid="{00000000-0009-0000-0100-000007000000}"/>
  <tableColumns count="5">
    <tableColumn id="1" xr3:uid="{00000000-0010-0000-0600-000001000000}" name="Date" dataDxfId="31"/>
    <tableColumn id="2" xr3:uid="{00000000-0010-0000-0600-000002000000}" name="Value" dataDxfId="30">
      <calculatedColumnFormula>VLOOKUP(A6,Database!A:L,MATCH($A$1,Database!$A$1:$L$1,),)</calculatedColumnFormula>
    </tableColumn>
    <tableColumn id="3" xr3:uid="{00000000-0010-0000-0600-000003000000}" name="qoq" dataDxfId="29">
      <calculatedColumnFormula>(B6-B5)/B5</calculatedColumnFormula>
    </tableColumn>
    <tableColumn id="4" xr3:uid="{00000000-0010-0000-0600-000004000000}" name="yoy" dataDxfId="28">
      <calculatedColumnFormula>(B6-B2)/B2</calculatedColumnFormula>
    </tableColumn>
    <tableColumn id="5" xr3:uid="{00000000-0010-0000-06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9" totalsRowShown="0" dataDxfId="25" headerRowBorderDxfId="26" tableBorderDxfId="24" totalsRowBorderDxfId="23">
  <autoFilter ref="A5:E309" xr:uid="{00000000-0009-0000-0100-000008000000}"/>
  <tableColumns count="5">
    <tableColumn id="1" xr3:uid="{00000000-0010-0000-0700-000001000000}" name="Date" dataDxfId="22"/>
    <tableColumn id="2" xr3:uid="{00000000-0010-0000-0700-000002000000}" name="Value" dataDxfId="21">
      <calculatedColumnFormula>VLOOKUP(A6,Database!A:L,MATCH($A$1,Database!$A$1:$L$1,),)</calculatedColumnFormula>
    </tableColumn>
    <tableColumn id="3" xr3:uid="{00000000-0010-0000-0700-000003000000}" name="qoq" dataDxfId="20">
      <calculatedColumnFormula>(B6-B5)/B5</calculatedColumnFormula>
    </tableColumn>
    <tableColumn id="4" xr3:uid="{00000000-0010-0000-0700-000004000000}" name="yoy" dataDxfId="19">
      <calculatedColumnFormula>(B6-B2)/B2</calculatedColumnFormula>
    </tableColumn>
    <tableColumn id="5" xr3:uid="{00000000-0010-0000-07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9" totalsRowShown="0" dataDxfId="16" headerRowBorderDxfId="17" tableBorderDxfId="15" totalsRowBorderDxfId="14">
  <autoFilter ref="A5:E309" xr:uid="{00000000-0009-0000-0100-000009000000}"/>
  <tableColumns count="5">
    <tableColumn id="1" xr3:uid="{00000000-0010-0000-0800-000001000000}" name="Date" dataDxfId="13"/>
    <tableColumn id="2" xr3:uid="{00000000-0010-0000-0800-000002000000}" name="Value" dataDxfId="12">
      <calculatedColumnFormula>VLOOKUP(A6,Database!A:L,MATCH($A$1,Database!$A$1:$L$1,),)</calculatedColumnFormula>
    </tableColumn>
    <tableColumn id="3" xr3:uid="{00000000-0010-0000-0800-000003000000}" name="qoq" dataDxfId="11">
      <calculatedColumnFormula>(B6-B5)/B5</calculatedColumnFormula>
    </tableColumn>
    <tableColumn id="4" xr3:uid="{00000000-0010-0000-0800-000004000000}" name="yoy" dataDxfId="10">
      <calculatedColumnFormula>(B6-B2)/B2</calculatedColumnFormula>
    </tableColumn>
    <tableColumn id="5" xr3:uid="{00000000-0010-0000-08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C667E4-3ADB-4F21-8E77-67AA59EFCB15}" name="Table911" displayName="Table911" ref="A5:E309" totalsRowShown="0" dataDxfId="8" headerRowBorderDxfId="6" tableBorderDxfId="7" totalsRowBorderDxfId="5">
  <autoFilter ref="A5:E309" xr:uid="{00000000-0009-0000-0100-000009000000}"/>
  <tableColumns count="5">
    <tableColumn id="1" xr3:uid="{583935DD-A525-4E2D-A0E4-DECBDEB8E7C9}" name="Date" dataDxfId="4"/>
    <tableColumn id="2" xr3:uid="{BDC2CB35-F4A9-4D82-990F-52715E21330D}" name="Value" dataDxfId="3">
      <calculatedColumnFormula>VLOOKUP(A6,Database!A:L,MATCH($A$1,Database!$A$1:$L$1,),)</calculatedColumnFormula>
    </tableColumn>
    <tableColumn id="3" xr3:uid="{60CAD92D-3E84-46DE-A77E-FE8D9B200CD8}" name="qoq" dataDxfId="2">
      <calculatedColumnFormula>(B6-B5)/B5</calculatedColumnFormula>
    </tableColumn>
    <tableColumn id="4" xr3:uid="{6629E1D6-D65C-40C2-A418-03FFF92301AF}" name="yoy" dataDxfId="1">
      <calculatedColumnFormula>(B6-B2)/B2</calculatedColumnFormula>
    </tableColumn>
    <tableColumn id="5" xr3:uid="{5AFE914E-6CF2-4FBE-99FB-909FFED1F55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hyperlink" Target="https://fred.stlouisfed.org/series/A072RC1Q156SBE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zoomScale="150" zoomScaleNormal="150" workbookViewId="0">
      <selection activeCell="I311" sqref="I311"/>
    </sheetView>
  </sheetViews>
  <sheetFormatPr defaultColWidth="9.1796875" defaultRowHeight="14.5" x14ac:dyDescent="0.35"/>
  <cols>
    <col min="1" max="1" width="5.1796875" style="76" customWidth="1"/>
    <col min="2" max="10" width="12.81640625" style="76" customWidth="1"/>
    <col min="11" max="12" width="6.6328125" style="76" customWidth="1"/>
    <col min="13" max="15" width="24.1796875" style="76" customWidth="1"/>
    <col min="16" max="33" width="9.1796875" style="76" customWidth="1"/>
    <col min="34" max="16384" width="9.1796875" style="76"/>
  </cols>
  <sheetData>
    <row r="1" spans="2:15" x14ac:dyDescent="0.35">
      <c r="B1" s="82"/>
      <c r="C1" s="83"/>
      <c r="D1" s="83"/>
      <c r="E1" s="83"/>
      <c r="F1" s="83"/>
      <c r="G1" s="83"/>
      <c r="H1" s="83"/>
      <c r="I1" s="83"/>
      <c r="J1" s="83"/>
    </row>
    <row r="2" spans="2:15" ht="16" customHeight="1" thickBot="1" x14ac:dyDescent="0.4">
      <c r="B2" s="84"/>
      <c r="C2" s="84"/>
      <c r="D2" s="84"/>
      <c r="E2" s="84"/>
      <c r="F2" s="84"/>
      <c r="G2" s="84"/>
      <c r="H2" s="84"/>
      <c r="I2" s="84"/>
      <c r="J2" s="84"/>
    </row>
    <row r="3" spans="2:15" ht="16" customHeight="1" thickBot="1" x14ac:dyDescent="0.4">
      <c r="B3" s="85" t="s">
        <v>0</v>
      </c>
      <c r="C3" s="86"/>
      <c r="D3" s="86"/>
      <c r="E3" s="86"/>
      <c r="F3" s="86"/>
      <c r="G3" s="86"/>
      <c r="H3" s="86"/>
      <c r="I3" s="86"/>
      <c r="J3" s="87"/>
    </row>
    <row r="5" spans="2:15" x14ac:dyDescent="0.35">
      <c r="B5" s="79" t="s">
        <v>1</v>
      </c>
      <c r="C5" s="80"/>
      <c r="D5" s="80"/>
      <c r="E5" s="80"/>
      <c r="F5" s="80"/>
      <c r="G5" s="80"/>
      <c r="H5" s="80"/>
      <c r="I5" s="80"/>
      <c r="J5" s="81"/>
    </row>
    <row r="7" spans="2:15" ht="182" customHeight="1" x14ac:dyDescent="0.35">
      <c r="B7" s="88" t="s">
        <v>2</v>
      </c>
      <c r="C7" s="83"/>
      <c r="D7" s="83"/>
      <c r="E7" s="83"/>
      <c r="F7" s="83"/>
      <c r="G7" s="83"/>
      <c r="H7" s="83"/>
      <c r="I7" s="83"/>
      <c r="J7" s="83"/>
      <c r="N7" s="15"/>
    </row>
    <row r="8" spans="2:15" ht="30.75" customHeight="1" x14ac:dyDescent="0.35">
      <c r="B8" s="1" t="s">
        <v>3</v>
      </c>
      <c r="C8" s="75"/>
      <c r="D8" s="75"/>
      <c r="E8" s="75"/>
      <c r="F8" s="75"/>
      <c r="G8" s="75"/>
      <c r="H8" s="75"/>
      <c r="I8" s="75"/>
      <c r="J8" s="75"/>
    </row>
    <row r="9" spans="2:15" x14ac:dyDescent="0.35">
      <c r="B9" s="8"/>
      <c r="C9" s="9"/>
      <c r="D9" s="9"/>
      <c r="E9" s="9"/>
    </row>
    <row r="10" spans="2:15" x14ac:dyDescent="0.35">
      <c r="B10" s="79" t="s">
        <v>4</v>
      </c>
      <c r="C10" s="80"/>
      <c r="D10" s="80"/>
      <c r="E10" s="80"/>
      <c r="F10" s="80"/>
      <c r="G10" s="80"/>
      <c r="H10" s="80"/>
      <c r="I10" s="80"/>
      <c r="J10" s="81"/>
      <c r="M10" s="79" t="s">
        <v>5</v>
      </c>
      <c r="N10" s="80"/>
      <c r="O10" s="81"/>
    </row>
    <row r="12" spans="2:15" x14ac:dyDescent="0.35">
      <c r="B12" s="79" t="s">
        <v>6</v>
      </c>
      <c r="C12" s="80"/>
      <c r="D12" s="80"/>
      <c r="E12" s="80"/>
      <c r="F12" s="81"/>
      <c r="G12" s="79" t="s">
        <v>7</v>
      </c>
      <c r="H12" s="80"/>
      <c r="I12" s="80"/>
      <c r="J12" s="81"/>
    </row>
    <row r="13" spans="2:15" ht="16" customHeight="1" thickBot="1" x14ac:dyDescent="0.4"/>
    <row r="14" spans="2:15" ht="16" customHeight="1" thickBot="1" x14ac:dyDescent="0.4">
      <c r="B14" s="90" t="s">
        <v>8</v>
      </c>
      <c r="C14" s="83"/>
      <c r="D14" s="83"/>
      <c r="E14" s="83"/>
      <c r="F14" s="83"/>
      <c r="N14" s="30" t="s">
        <v>9</v>
      </c>
      <c r="O14" s="31" t="s">
        <v>10</v>
      </c>
    </row>
    <row r="15" spans="2:15" ht="16" customHeight="1" thickBot="1" x14ac:dyDescent="0.4">
      <c r="B15" s="83" t="s">
        <v>11</v>
      </c>
      <c r="C15" s="83"/>
      <c r="D15" s="83"/>
      <c r="E15" s="83"/>
      <c r="F15" s="83"/>
      <c r="G15" s="83" t="s">
        <v>12</v>
      </c>
      <c r="H15" s="83"/>
      <c r="I15" s="83"/>
      <c r="J15" s="83"/>
      <c r="M15" s="32">
        <v>44470</v>
      </c>
      <c r="N15" s="56">
        <f>VLOOKUP(M15,'U.S. GDP'!A:E,4,)</f>
        <v>5.7171000908780578E-2</v>
      </c>
      <c r="O15" s="57">
        <f>VLOOKUP(M15,'U.S. GDP'!A:F,5,)</f>
        <v>6.9572573442330254E-2</v>
      </c>
    </row>
    <row r="16" spans="2:15" ht="16" customHeight="1" thickBot="1" x14ac:dyDescent="0.4">
      <c r="B16" s="26" t="s">
        <v>13</v>
      </c>
      <c r="G16" s="76" t="s">
        <v>14</v>
      </c>
      <c r="M16" s="33">
        <v>44378</v>
      </c>
      <c r="N16" s="56">
        <f>VLOOKUP(M16,'U.S. GDP'!A:E,4,)</f>
        <v>4.9556544805406812E-2</v>
      </c>
      <c r="O16" s="57">
        <f>VLOOKUP(M16,'U.S. GDP'!A:F,5,)</f>
        <v>2.6527662900279969E-2</v>
      </c>
    </row>
    <row r="17" spans="2:15" ht="16" customHeight="1" thickBot="1" x14ac:dyDescent="0.4">
      <c r="B17" s="26" t="s">
        <v>15</v>
      </c>
      <c r="M17" s="33">
        <v>44287</v>
      </c>
      <c r="N17" s="56">
        <f>VLOOKUP(M17,'U.S. GDP'!A:E,4,)</f>
        <v>0.12460854406241384</v>
      </c>
      <c r="O17" s="57">
        <f>VLOOKUP(M17,'U.S. GDP'!A:F,5,)</f>
        <v>7.0048959400919264E-2</v>
      </c>
    </row>
    <row r="18" spans="2:15" ht="16" customHeight="1" thickBot="1" x14ac:dyDescent="0.4">
      <c r="B18" s="26" t="s">
        <v>16</v>
      </c>
      <c r="G18" s="83" t="s">
        <v>17</v>
      </c>
      <c r="H18" s="83"/>
      <c r="I18" s="83"/>
      <c r="J18" s="83"/>
      <c r="M18" s="33">
        <v>44197</v>
      </c>
      <c r="N18" s="56">
        <f>VLOOKUP(M18,'U.S. GDP'!A:E,4,)</f>
        <v>1.1919350504481832E-2</v>
      </c>
      <c r="O18" s="57">
        <f>VLOOKUP(M18,'U.S. GDP'!A:F,5,)</f>
        <v>6.3154549562086215E-2</v>
      </c>
    </row>
    <row r="19" spans="2:15" ht="16" customHeight="1" thickBot="1" x14ac:dyDescent="0.4">
      <c r="B19" s="26" t="s">
        <v>18</v>
      </c>
      <c r="M19" s="33">
        <v>44105</v>
      </c>
      <c r="N19" s="56">
        <f>VLOOKUP(M19,'U.S. GDP'!A:E,4,)</f>
        <v>-1.5166199331577517E-2</v>
      </c>
      <c r="O19" s="57">
        <f>VLOOKUP(M19,'U.S. GDP'!A:F,5,)</f>
        <v>3.9088782255552346E-2</v>
      </c>
    </row>
    <row r="20" spans="2:15" ht="16" customHeight="1" thickBot="1" x14ac:dyDescent="0.4">
      <c r="B20" s="26" t="s">
        <v>19</v>
      </c>
      <c r="G20" s="83"/>
      <c r="H20" s="83"/>
      <c r="I20" s="83"/>
      <c r="J20" s="83"/>
      <c r="M20" s="33">
        <v>44013</v>
      </c>
      <c r="N20" s="56">
        <f>VLOOKUP(M20,'U.S. GDP'!A:E,4,)</f>
        <v>-2.0240101214096601E-2</v>
      </c>
      <c r="O20" s="57">
        <f>VLOOKUP(M20,'U.S. GDP'!A:F,5,)</f>
        <v>0.35317139137290665</v>
      </c>
    </row>
    <row r="21" spans="2:15" ht="16" customHeight="1" thickBot="1" x14ac:dyDescent="0.4">
      <c r="B21" s="26" t="s">
        <v>20</v>
      </c>
      <c r="G21" s="83"/>
      <c r="H21" s="83"/>
      <c r="I21" s="83"/>
      <c r="J21" s="83"/>
      <c r="M21" s="33">
        <v>43922</v>
      </c>
      <c r="N21" s="56">
        <f>VLOOKUP(M21,'U.S. GDP'!A:E,4,)</f>
        <v>-8.3506401559947624E-2</v>
      </c>
      <c r="O21" s="57">
        <f>VLOOKUP(M21,'U.S. GDP'!A:F,5,)</f>
        <v>-0.29857419774143357</v>
      </c>
    </row>
    <row r="22" spans="2:15" ht="16" customHeight="1" thickBot="1" x14ac:dyDescent="0.4">
      <c r="B22" s="26" t="s">
        <v>21</v>
      </c>
      <c r="G22" s="83"/>
      <c r="H22" s="83"/>
      <c r="I22" s="83"/>
      <c r="J22" s="83"/>
      <c r="M22" s="33">
        <v>43831</v>
      </c>
      <c r="N22" s="56">
        <f>VLOOKUP(M22,'U.S. GDP'!A:E,4,)</f>
        <v>8.2008298093415831E-3</v>
      </c>
      <c r="O22" s="57">
        <f>VLOOKUP(M22,'U.S. GDP'!A:F,5,)</f>
        <v>-4.6184048016051249E-2</v>
      </c>
    </row>
    <row r="23" spans="2:15" ht="16" customHeight="1" thickBot="1" x14ac:dyDescent="0.4">
      <c r="B23" s="26" t="s">
        <v>22</v>
      </c>
      <c r="M23" s="33">
        <v>43739</v>
      </c>
      <c r="N23" s="56">
        <f>VLOOKUP(M23,'U.S. GDP'!A:E,4,)</f>
        <v>2.5726308482646208E-2</v>
      </c>
      <c r="O23" s="57">
        <f>VLOOKUP(M23,'U.S. GDP'!A:F,5,)</f>
        <v>1.7839998335064777E-2</v>
      </c>
    </row>
    <row r="24" spans="2:15" ht="16" customHeight="1" thickBot="1" x14ac:dyDescent="0.4">
      <c r="B24" s="26" t="s">
        <v>23</v>
      </c>
      <c r="M24" s="33">
        <v>43647</v>
      </c>
      <c r="N24" s="56">
        <f>VLOOKUP(M24,'U.S. GDP'!A:E,4,)</f>
        <v>2.3058278646321925E-2</v>
      </c>
      <c r="O24" s="57">
        <f>VLOOKUP(M24,'U.S. GDP'!A:F,5,)</f>
        <v>3.607670893327275E-2</v>
      </c>
    </row>
    <row r="25" spans="2:15" ht="16" customHeight="1" thickBot="1" x14ac:dyDescent="0.4">
      <c r="M25" s="33">
        <v>43556</v>
      </c>
      <c r="N25" s="56">
        <f>VLOOKUP(M25,'U.S. GDP'!A:E,4,)</f>
        <v>2.1355406155772076E-2</v>
      </c>
      <c r="O25" s="57">
        <f>VLOOKUP(M25,'U.S. GDP'!A:F,5,)</f>
        <v>2.7193343623263422E-2</v>
      </c>
    </row>
    <row r="26" spans="2:15" ht="16" customHeight="1" thickBot="1" x14ac:dyDescent="0.4">
      <c r="M26" s="33">
        <v>43466</v>
      </c>
      <c r="N26" s="56">
        <f>VLOOKUP(M26,'U.S. GDP'!A:E,4,)</f>
        <v>2.1602281092927313E-2</v>
      </c>
      <c r="O26" s="57">
        <f>VLOOKUP(M26,'U.S. GDP'!A:F,5,)</f>
        <v>2.1885785527535617E-2</v>
      </c>
    </row>
    <row r="27" spans="2:15" ht="16" customHeight="1" thickBot="1" x14ac:dyDescent="0.4">
      <c r="M27" s="34">
        <v>43374</v>
      </c>
      <c r="N27" s="56">
        <f>VLOOKUP(M27,'U.S. GDP'!A:E,4,)</f>
        <v>2.3125836277942062E-2</v>
      </c>
      <c r="O27" s="57">
        <f>VLOOKUP(M27,'U.S. GDP'!A:F,5,)</f>
        <v>7.2911790523160214E-3</v>
      </c>
    </row>
    <row r="28" spans="2:15" x14ac:dyDescent="0.35">
      <c r="B28" s="10"/>
    </row>
    <row r="29" spans="2:15" x14ac:dyDescent="0.35">
      <c r="B29" s="89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</row>
    <row r="30" spans="2:15" x14ac:dyDescent="0.35">
      <c r="B30" s="11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K305"/>
  <sheetViews>
    <sheetView zoomScale="120" zoomScaleNormal="120" workbookViewId="0">
      <pane ySplit="1" topLeftCell="A277" activePane="bottomLeft" state="frozen"/>
      <selection activeCell="I311" sqref="I311"/>
      <selection pane="bottomLeft" activeCell="B1" sqref="B1"/>
    </sheetView>
  </sheetViews>
  <sheetFormatPr defaultColWidth="8.81640625" defaultRowHeight="14.5" x14ac:dyDescent="0.35"/>
  <cols>
    <col min="1" max="1" width="12.6328125" customWidth="1"/>
    <col min="2" max="2" width="15.6328125" customWidth="1"/>
    <col min="3" max="4" width="11.6328125" customWidth="1"/>
    <col min="5" max="5" width="12.6328125" customWidth="1"/>
    <col min="6" max="6" width="10.6328125" customWidth="1"/>
    <col min="7" max="8" width="11.6328125" customWidth="1"/>
    <col min="9" max="9" width="10.6328125" customWidth="1"/>
    <col min="10" max="10" width="12.6328125" customWidth="1"/>
    <col min="11" max="256" width="9.1796875" customWidth="1"/>
    <col min="257" max="257" width="12.6328125" customWidth="1"/>
    <col min="258" max="258" width="15.6328125" customWidth="1"/>
    <col min="259" max="260" width="11.6328125" customWidth="1"/>
    <col min="261" max="261" width="12.6328125" customWidth="1"/>
    <col min="262" max="262" width="10.6328125" customWidth="1"/>
    <col min="263" max="264" width="11.6328125" customWidth="1"/>
    <col min="265" max="265" width="10.6328125" customWidth="1"/>
    <col min="266" max="266" width="12.6328125" customWidth="1"/>
    <col min="267" max="512" width="9.1796875" customWidth="1"/>
    <col min="513" max="513" width="12.6328125" customWidth="1"/>
    <col min="514" max="514" width="15.6328125" customWidth="1"/>
    <col min="515" max="516" width="11.6328125" customWidth="1"/>
    <col min="517" max="517" width="12.6328125" customWidth="1"/>
    <col min="518" max="518" width="10.6328125" customWidth="1"/>
    <col min="519" max="520" width="11.6328125" customWidth="1"/>
    <col min="521" max="521" width="10.6328125" customWidth="1"/>
    <col min="522" max="522" width="12.6328125" customWidth="1"/>
    <col min="523" max="768" width="9.1796875" customWidth="1"/>
    <col min="769" max="769" width="12.6328125" customWidth="1"/>
    <col min="770" max="770" width="15.6328125" customWidth="1"/>
    <col min="771" max="772" width="11.6328125" customWidth="1"/>
    <col min="773" max="773" width="12.6328125" customWidth="1"/>
    <col min="774" max="774" width="10.6328125" customWidth="1"/>
    <col min="775" max="776" width="11.6328125" customWidth="1"/>
    <col min="777" max="777" width="10.6328125" customWidth="1"/>
    <col min="778" max="778" width="12.6328125" customWidth="1"/>
    <col min="779" max="1024" width="9.1796875" customWidth="1"/>
    <col min="1025" max="1025" width="12.6328125" customWidth="1"/>
    <col min="1026" max="1026" width="15.6328125" customWidth="1"/>
    <col min="1027" max="1028" width="11.6328125" customWidth="1"/>
    <col min="1029" max="1029" width="12.6328125" customWidth="1"/>
    <col min="1030" max="1030" width="10.6328125" customWidth="1"/>
    <col min="1031" max="1032" width="11.6328125" customWidth="1"/>
    <col min="1033" max="1033" width="10.6328125" customWidth="1"/>
    <col min="1034" max="1034" width="12.6328125" customWidth="1"/>
    <col min="1035" max="1280" width="9.1796875" customWidth="1"/>
    <col min="1281" max="1281" width="12.6328125" customWidth="1"/>
    <col min="1282" max="1282" width="15.6328125" customWidth="1"/>
    <col min="1283" max="1284" width="11.6328125" customWidth="1"/>
    <col min="1285" max="1285" width="12.6328125" customWidth="1"/>
    <col min="1286" max="1286" width="10.6328125" customWidth="1"/>
    <col min="1287" max="1288" width="11.6328125" customWidth="1"/>
    <col min="1289" max="1289" width="10.6328125" customWidth="1"/>
    <col min="1290" max="1290" width="12.6328125" customWidth="1"/>
    <col min="1291" max="1536" width="9.1796875" customWidth="1"/>
    <col min="1537" max="1537" width="12.6328125" customWidth="1"/>
    <col min="1538" max="1538" width="15.6328125" customWidth="1"/>
    <col min="1539" max="1540" width="11.6328125" customWidth="1"/>
    <col min="1541" max="1541" width="12.6328125" customWidth="1"/>
    <col min="1542" max="1542" width="10.6328125" customWidth="1"/>
    <col min="1543" max="1544" width="11.6328125" customWidth="1"/>
    <col min="1545" max="1545" width="10.6328125" customWidth="1"/>
    <col min="1546" max="1546" width="12.6328125" customWidth="1"/>
    <col min="1547" max="1792" width="9.1796875" customWidth="1"/>
    <col min="1793" max="1793" width="12.6328125" customWidth="1"/>
    <col min="1794" max="1794" width="15.6328125" customWidth="1"/>
    <col min="1795" max="1796" width="11.6328125" customWidth="1"/>
    <col min="1797" max="1797" width="12.6328125" customWidth="1"/>
    <col min="1798" max="1798" width="10.6328125" customWidth="1"/>
    <col min="1799" max="1800" width="11.6328125" customWidth="1"/>
    <col min="1801" max="1801" width="10.6328125" customWidth="1"/>
    <col min="1802" max="1802" width="12.6328125" customWidth="1"/>
    <col min="1803" max="2048" width="9.1796875" customWidth="1"/>
    <col min="2049" max="2049" width="12.6328125" customWidth="1"/>
    <col min="2050" max="2050" width="15.6328125" customWidth="1"/>
    <col min="2051" max="2052" width="11.6328125" customWidth="1"/>
    <col min="2053" max="2053" width="12.6328125" customWidth="1"/>
    <col min="2054" max="2054" width="10.6328125" customWidth="1"/>
    <col min="2055" max="2056" width="11.6328125" customWidth="1"/>
    <col min="2057" max="2057" width="10.6328125" customWidth="1"/>
    <col min="2058" max="2058" width="12.6328125" customWidth="1"/>
    <col min="2059" max="2304" width="9.1796875" customWidth="1"/>
    <col min="2305" max="2305" width="12.6328125" customWidth="1"/>
    <col min="2306" max="2306" width="15.6328125" customWidth="1"/>
    <col min="2307" max="2308" width="11.6328125" customWidth="1"/>
    <col min="2309" max="2309" width="12.6328125" customWidth="1"/>
    <col min="2310" max="2310" width="10.6328125" customWidth="1"/>
    <col min="2311" max="2312" width="11.6328125" customWidth="1"/>
    <col min="2313" max="2313" width="10.6328125" customWidth="1"/>
    <col min="2314" max="2314" width="12.6328125" customWidth="1"/>
    <col min="2315" max="2560" width="9.1796875" customWidth="1"/>
    <col min="2561" max="2561" width="12.6328125" customWidth="1"/>
    <col min="2562" max="2562" width="15.6328125" customWidth="1"/>
    <col min="2563" max="2564" width="11.6328125" customWidth="1"/>
    <col min="2565" max="2565" width="12.6328125" customWidth="1"/>
    <col min="2566" max="2566" width="10.6328125" customWidth="1"/>
    <col min="2567" max="2568" width="11.6328125" customWidth="1"/>
    <col min="2569" max="2569" width="10.6328125" customWidth="1"/>
    <col min="2570" max="2570" width="12.6328125" customWidth="1"/>
    <col min="2571" max="2816" width="9.1796875" customWidth="1"/>
    <col min="2817" max="2817" width="12.6328125" customWidth="1"/>
    <col min="2818" max="2818" width="15.6328125" customWidth="1"/>
    <col min="2819" max="2820" width="11.6328125" customWidth="1"/>
    <col min="2821" max="2821" width="12.6328125" customWidth="1"/>
    <col min="2822" max="2822" width="10.6328125" customWidth="1"/>
    <col min="2823" max="2824" width="11.6328125" customWidth="1"/>
    <col min="2825" max="2825" width="10.6328125" customWidth="1"/>
    <col min="2826" max="2826" width="12.6328125" customWidth="1"/>
    <col min="2827" max="3072" width="9.1796875" customWidth="1"/>
    <col min="3073" max="3073" width="12.6328125" customWidth="1"/>
    <col min="3074" max="3074" width="15.6328125" customWidth="1"/>
    <col min="3075" max="3076" width="11.6328125" customWidth="1"/>
    <col min="3077" max="3077" width="12.6328125" customWidth="1"/>
    <col min="3078" max="3078" width="10.6328125" customWidth="1"/>
    <col min="3079" max="3080" width="11.6328125" customWidth="1"/>
    <col min="3081" max="3081" width="10.6328125" customWidth="1"/>
    <col min="3082" max="3082" width="12.6328125" customWidth="1"/>
    <col min="3083" max="3328" width="9.1796875" customWidth="1"/>
    <col min="3329" max="3329" width="12.6328125" customWidth="1"/>
    <col min="3330" max="3330" width="15.6328125" customWidth="1"/>
    <col min="3331" max="3332" width="11.6328125" customWidth="1"/>
    <col min="3333" max="3333" width="12.6328125" customWidth="1"/>
    <col min="3334" max="3334" width="10.6328125" customWidth="1"/>
    <col min="3335" max="3336" width="11.6328125" customWidth="1"/>
    <col min="3337" max="3337" width="10.6328125" customWidth="1"/>
    <col min="3338" max="3338" width="12.6328125" customWidth="1"/>
    <col min="3339" max="3584" width="9.1796875" customWidth="1"/>
    <col min="3585" max="3585" width="12.6328125" customWidth="1"/>
    <col min="3586" max="3586" width="15.6328125" customWidth="1"/>
    <col min="3587" max="3588" width="11.6328125" customWidth="1"/>
    <col min="3589" max="3589" width="12.6328125" customWidth="1"/>
    <col min="3590" max="3590" width="10.6328125" customWidth="1"/>
    <col min="3591" max="3592" width="11.6328125" customWidth="1"/>
    <col min="3593" max="3593" width="10.6328125" customWidth="1"/>
    <col min="3594" max="3594" width="12.6328125" customWidth="1"/>
    <col min="3595" max="3840" width="9.1796875" customWidth="1"/>
    <col min="3841" max="3841" width="12.6328125" customWidth="1"/>
    <col min="3842" max="3842" width="15.6328125" customWidth="1"/>
    <col min="3843" max="3844" width="11.6328125" customWidth="1"/>
    <col min="3845" max="3845" width="12.6328125" customWidth="1"/>
    <col min="3846" max="3846" width="10.6328125" customWidth="1"/>
    <col min="3847" max="3848" width="11.6328125" customWidth="1"/>
    <col min="3849" max="3849" width="10.6328125" customWidth="1"/>
    <col min="3850" max="3850" width="12.6328125" customWidth="1"/>
    <col min="3851" max="4096" width="9.1796875" customWidth="1"/>
    <col min="4097" max="4097" width="12.6328125" customWidth="1"/>
    <col min="4098" max="4098" width="15.6328125" customWidth="1"/>
    <col min="4099" max="4100" width="11.6328125" customWidth="1"/>
    <col min="4101" max="4101" width="12.6328125" customWidth="1"/>
    <col min="4102" max="4102" width="10.6328125" customWidth="1"/>
    <col min="4103" max="4104" width="11.6328125" customWidth="1"/>
    <col min="4105" max="4105" width="10.6328125" customWidth="1"/>
    <col min="4106" max="4106" width="12.6328125" customWidth="1"/>
    <col min="4107" max="4352" width="9.1796875" customWidth="1"/>
    <col min="4353" max="4353" width="12.6328125" customWidth="1"/>
    <col min="4354" max="4354" width="15.6328125" customWidth="1"/>
    <col min="4355" max="4356" width="11.6328125" customWidth="1"/>
    <col min="4357" max="4357" width="12.6328125" customWidth="1"/>
    <col min="4358" max="4358" width="10.6328125" customWidth="1"/>
    <col min="4359" max="4360" width="11.6328125" customWidth="1"/>
    <col min="4361" max="4361" width="10.6328125" customWidth="1"/>
    <col min="4362" max="4362" width="12.6328125" customWidth="1"/>
    <col min="4363" max="4608" width="9.1796875" customWidth="1"/>
    <col min="4609" max="4609" width="12.6328125" customWidth="1"/>
    <col min="4610" max="4610" width="15.6328125" customWidth="1"/>
    <col min="4611" max="4612" width="11.6328125" customWidth="1"/>
    <col min="4613" max="4613" width="12.6328125" customWidth="1"/>
    <col min="4614" max="4614" width="10.6328125" customWidth="1"/>
    <col min="4615" max="4616" width="11.6328125" customWidth="1"/>
    <col min="4617" max="4617" width="10.6328125" customWidth="1"/>
    <col min="4618" max="4618" width="12.6328125" customWidth="1"/>
    <col min="4619" max="4864" width="9.1796875" customWidth="1"/>
    <col min="4865" max="4865" width="12.6328125" customWidth="1"/>
    <col min="4866" max="4866" width="15.6328125" customWidth="1"/>
    <col min="4867" max="4868" width="11.6328125" customWidth="1"/>
    <col min="4869" max="4869" width="12.6328125" customWidth="1"/>
    <col min="4870" max="4870" width="10.6328125" customWidth="1"/>
    <col min="4871" max="4872" width="11.6328125" customWidth="1"/>
    <col min="4873" max="4873" width="10.6328125" customWidth="1"/>
    <col min="4874" max="4874" width="12.6328125" customWidth="1"/>
    <col min="4875" max="5120" width="9.1796875" customWidth="1"/>
    <col min="5121" max="5121" width="12.6328125" customWidth="1"/>
    <col min="5122" max="5122" width="15.6328125" customWidth="1"/>
    <col min="5123" max="5124" width="11.6328125" customWidth="1"/>
    <col min="5125" max="5125" width="12.6328125" customWidth="1"/>
    <col min="5126" max="5126" width="10.6328125" customWidth="1"/>
    <col min="5127" max="5128" width="11.6328125" customWidth="1"/>
    <col min="5129" max="5129" width="10.6328125" customWidth="1"/>
    <col min="5130" max="5130" width="12.6328125" customWidth="1"/>
    <col min="5131" max="5376" width="9.1796875" customWidth="1"/>
    <col min="5377" max="5377" width="12.6328125" customWidth="1"/>
    <col min="5378" max="5378" width="15.6328125" customWidth="1"/>
    <col min="5379" max="5380" width="11.6328125" customWidth="1"/>
    <col min="5381" max="5381" width="12.6328125" customWidth="1"/>
    <col min="5382" max="5382" width="10.6328125" customWidth="1"/>
    <col min="5383" max="5384" width="11.6328125" customWidth="1"/>
    <col min="5385" max="5385" width="10.6328125" customWidth="1"/>
    <col min="5386" max="5386" width="12.6328125" customWidth="1"/>
    <col min="5387" max="5632" width="9.1796875" customWidth="1"/>
    <col min="5633" max="5633" width="12.6328125" customWidth="1"/>
    <col min="5634" max="5634" width="15.6328125" customWidth="1"/>
    <col min="5635" max="5636" width="11.6328125" customWidth="1"/>
    <col min="5637" max="5637" width="12.6328125" customWidth="1"/>
    <col min="5638" max="5638" width="10.6328125" customWidth="1"/>
    <col min="5639" max="5640" width="11.6328125" customWidth="1"/>
    <col min="5641" max="5641" width="10.6328125" customWidth="1"/>
    <col min="5642" max="5642" width="12.6328125" customWidth="1"/>
    <col min="5643" max="5888" width="9.1796875" customWidth="1"/>
    <col min="5889" max="5889" width="12.6328125" customWidth="1"/>
    <col min="5890" max="5890" width="15.6328125" customWidth="1"/>
    <col min="5891" max="5892" width="11.6328125" customWidth="1"/>
    <col min="5893" max="5893" width="12.6328125" customWidth="1"/>
    <col min="5894" max="5894" width="10.6328125" customWidth="1"/>
    <col min="5895" max="5896" width="11.6328125" customWidth="1"/>
    <col min="5897" max="5897" width="10.6328125" customWidth="1"/>
    <col min="5898" max="5898" width="12.6328125" customWidth="1"/>
    <col min="5899" max="6144" width="9.1796875" customWidth="1"/>
    <col min="6145" max="6145" width="12.6328125" customWidth="1"/>
    <col min="6146" max="6146" width="15.6328125" customWidth="1"/>
    <col min="6147" max="6148" width="11.6328125" customWidth="1"/>
    <col min="6149" max="6149" width="12.6328125" customWidth="1"/>
    <col min="6150" max="6150" width="10.6328125" customWidth="1"/>
    <col min="6151" max="6152" width="11.6328125" customWidth="1"/>
    <col min="6153" max="6153" width="10.6328125" customWidth="1"/>
    <col min="6154" max="6154" width="12.6328125" customWidth="1"/>
    <col min="6155" max="6400" width="9.1796875" customWidth="1"/>
    <col min="6401" max="6401" width="12.6328125" customWidth="1"/>
    <col min="6402" max="6402" width="15.6328125" customWidth="1"/>
    <col min="6403" max="6404" width="11.6328125" customWidth="1"/>
    <col min="6405" max="6405" width="12.6328125" customWidth="1"/>
    <col min="6406" max="6406" width="10.6328125" customWidth="1"/>
    <col min="6407" max="6408" width="11.6328125" customWidth="1"/>
    <col min="6409" max="6409" width="10.6328125" customWidth="1"/>
    <col min="6410" max="6410" width="12.6328125" customWidth="1"/>
    <col min="6411" max="6656" width="9.1796875" customWidth="1"/>
    <col min="6657" max="6657" width="12.6328125" customWidth="1"/>
    <col min="6658" max="6658" width="15.6328125" customWidth="1"/>
    <col min="6659" max="6660" width="11.6328125" customWidth="1"/>
    <col min="6661" max="6661" width="12.6328125" customWidth="1"/>
    <col min="6662" max="6662" width="10.6328125" customWidth="1"/>
    <col min="6663" max="6664" width="11.6328125" customWidth="1"/>
    <col min="6665" max="6665" width="10.6328125" customWidth="1"/>
    <col min="6666" max="6666" width="12.6328125" customWidth="1"/>
    <col min="6667" max="6912" width="9.1796875" customWidth="1"/>
    <col min="6913" max="6913" width="12.6328125" customWidth="1"/>
    <col min="6914" max="6914" width="15.6328125" customWidth="1"/>
    <col min="6915" max="6916" width="11.6328125" customWidth="1"/>
    <col min="6917" max="6917" width="12.6328125" customWidth="1"/>
    <col min="6918" max="6918" width="10.6328125" customWidth="1"/>
    <col min="6919" max="6920" width="11.6328125" customWidth="1"/>
    <col min="6921" max="6921" width="10.6328125" customWidth="1"/>
    <col min="6922" max="6922" width="12.6328125" customWidth="1"/>
    <col min="6923" max="7168" width="9.1796875" customWidth="1"/>
    <col min="7169" max="7169" width="12.6328125" customWidth="1"/>
    <col min="7170" max="7170" width="15.6328125" customWidth="1"/>
    <col min="7171" max="7172" width="11.6328125" customWidth="1"/>
    <col min="7173" max="7173" width="12.6328125" customWidth="1"/>
    <col min="7174" max="7174" width="10.6328125" customWidth="1"/>
    <col min="7175" max="7176" width="11.6328125" customWidth="1"/>
    <col min="7177" max="7177" width="10.6328125" customWidth="1"/>
    <col min="7178" max="7178" width="12.6328125" customWidth="1"/>
    <col min="7179" max="7424" width="9.1796875" customWidth="1"/>
    <col min="7425" max="7425" width="12.6328125" customWidth="1"/>
    <col min="7426" max="7426" width="15.6328125" customWidth="1"/>
    <col min="7427" max="7428" width="11.6328125" customWidth="1"/>
    <col min="7429" max="7429" width="12.6328125" customWidth="1"/>
    <col min="7430" max="7430" width="10.6328125" customWidth="1"/>
    <col min="7431" max="7432" width="11.6328125" customWidth="1"/>
    <col min="7433" max="7433" width="10.6328125" customWidth="1"/>
    <col min="7434" max="7434" width="12.6328125" customWidth="1"/>
    <col min="7435" max="7680" width="9.1796875" customWidth="1"/>
    <col min="7681" max="7681" width="12.6328125" customWidth="1"/>
    <col min="7682" max="7682" width="15.6328125" customWidth="1"/>
    <col min="7683" max="7684" width="11.6328125" customWidth="1"/>
    <col min="7685" max="7685" width="12.6328125" customWidth="1"/>
    <col min="7686" max="7686" width="10.6328125" customWidth="1"/>
    <col min="7687" max="7688" width="11.6328125" customWidth="1"/>
    <col min="7689" max="7689" width="10.6328125" customWidth="1"/>
    <col min="7690" max="7690" width="12.6328125" customWidth="1"/>
    <col min="7691" max="7936" width="9.1796875" customWidth="1"/>
    <col min="7937" max="7937" width="12.6328125" customWidth="1"/>
    <col min="7938" max="7938" width="15.6328125" customWidth="1"/>
    <col min="7939" max="7940" width="11.6328125" customWidth="1"/>
    <col min="7941" max="7941" width="12.6328125" customWidth="1"/>
    <col min="7942" max="7942" width="10.6328125" customWidth="1"/>
    <col min="7943" max="7944" width="11.6328125" customWidth="1"/>
    <col min="7945" max="7945" width="10.6328125" customWidth="1"/>
    <col min="7946" max="7946" width="12.6328125" customWidth="1"/>
    <col min="7947" max="8192" width="9.1796875" customWidth="1"/>
    <col min="8193" max="8193" width="12.6328125" customWidth="1"/>
    <col min="8194" max="8194" width="15.6328125" customWidth="1"/>
    <col min="8195" max="8196" width="11.6328125" customWidth="1"/>
    <col min="8197" max="8197" width="12.6328125" customWidth="1"/>
    <col min="8198" max="8198" width="10.6328125" customWidth="1"/>
    <col min="8199" max="8200" width="11.6328125" customWidth="1"/>
    <col min="8201" max="8201" width="10.6328125" customWidth="1"/>
    <col min="8202" max="8202" width="12.6328125" customWidth="1"/>
    <col min="8203" max="8448" width="9.1796875" customWidth="1"/>
    <col min="8449" max="8449" width="12.6328125" customWidth="1"/>
    <col min="8450" max="8450" width="15.6328125" customWidth="1"/>
    <col min="8451" max="8452" width="11.6328125" customWidth="1"/>
    <col min="8453" max="8453" width="12.6328125" customWidth="1"/>
    <col min="8454" max="8454" width="10.6328125" customWidth="1"/>
    <col min="8455" max="8456" width="11.6328125" customWidth="1"/>
    <col min="8457" max="8457" width="10.6328125" customWidth="1"/>
    <col min="8458" max="8458" width="12.6328125" customWidth="1"/>
    <col min="8459" max="8704" width="9.1796875" customWidth="1"/>
    <col min="8705" max="8705" width="12.6328125" customWidth="1"/>
    <col min="8706" max="8706" width="15.6328125" customWidth="1"/>
    <col min="8707" max="8708" width="11.6328125" customWidth="1"/>
    <col min="8709" max="8709" width="12.6328125" customWidth="1"/>
    <col min="8710" max="8710" width="10.6328125" customWidth="1"/>
    <col min="8711" max="8712" width="11.6328125" customWidth="1"/>
    <col min="8713" max="8713" width="10.6328125" customWidth="1"/>
    <col min="8714" max="8714" width="12.6328125" customWidth="1"/>
    <col min="8715" max="8960" width="9.1796875" customWidth="1"/>
    <col min="8961" max="8961" width="12.6328125" customWidth="1"/>
    <col min="8962" max="8962" width="15.6328125" customWidth="1"/>
    <col min="8963" max="8964" width="11.6328125" customWidth="1"/>
    <col min="8965" max="8965" width="12.6328125" customWidth="1"/>
    <col min="8966" max="8966" width="10.6328125" customWidth="1"/>
    <col min="8967" max="8968" width="11.6328125" customWidth="1"/>
    <col min="8969" max="8969" width="10.6328125" customWidth="1"/>
    <col min="8970" max="8970" width="12.6328125" customWidth="1"/>
    <col min="8971" max="9216" width="9.1796875" customWidth="1"/>
    <col min="9217" max="9217" width="12.6328125" customWidth="1"/>
    <col min="9218" max="9218" width="15.6328125" customWidth="1"/>
    <col min="9219" max="9220" width="11.6328125" customWidth="1"/>
    <col min="9221" max="9221" width="12.6328125" customWidth="1"/>
    <col min="9222" max="9222" width="10.6328125" customWidth="1"/>
    <col min="9223" max="9224" width="11.6328125" customWidth="1"/>
    <col min="9225" max="9225" width="10.6328125" customWidth="1"/>
    <col min="9226" max="9226" width="12.6328125" customWidth="1"/>
    <col min="9227" max="9472" width="9.1796875" customWidth="1"/>
    <col min="9473" max="9473" width="12.6328125" customWidth="1"/>
    <col min="9474" max="9474" width="15.6328125" customWidth="1"/>
    <col min="9475" max="9476" width="11.6328125" customWidth="1"/>
    <col min="9477" max="9477" width="12.6328125" customWidth="1"/>
    <col min="9478" max="9478" width="10.6328125" customWidth="1"/>
    <col min="9479" max="9480" width="11.6328125" customWidth="1"/>
    <col min="9481" max="9481" width="10.6328125" customWidth="1"/>
    <col min="9482" max="9482" width="12.6328125" customWidth="1"/>
    <col min="9483" max="9728" width="9.1796875" customWidth="1"/>
    <col min="9729" max="9729" width="12.6328125" customWidth="1"/>
    <col min="9730" max="9730" width="15.6328125" customWidth="1"/>
    <col min="9731" max="9732" width="11.6328125" customWidth="1"/>
    <col min="9733" max="9733" width="12.6328125" customWidth="1"/>
    <col min="9734" max="9734" width="10.6328125" customWidth="1"/>
    <col min="9735" max="9736" width="11.6328125" customWidth="1"/>
    <col min="9737" max="9737" width="10.6328125" customWidth="1"/>
    <col min="9738" max="9738" width="12.6328125" customWidth="1"/>
    <col min="9739" max="9984" width="9.1796875" customWidth="1"/>
    <col min="9985" max="9985" width="12.6328125" customWidth="1"/>
    <col min="9986" max="9986" width="15.6328125" customWidth="1"/>
    <col min="9987" max="9988" width="11.6328125" customWidth="1"/>
    <col min="9989" max="9989" width="12.6328125" customWidth="1"/>
    <col min="9990" max="9990" width="10.6328125" customWidth="1"/>
    <col min="9991" max="9992" width="11.6328125" customWidth="1"/>
    <col min="9993" max="9993" width="10.6328125" customWidth="1"/>
    <col min="9994" max="9994" width="12.6328125" customWidth="1"/>
    <col min="9995" max="10240" width="9.1796875" customWidth="1"/>
    <col min="10241" max="10241" width="12.6328125" customWidth="1"/>
    <col min="10242" max="10242" width="15.6328125" customWidth="1"/>
    <col min="10243" max="10244" width="11.6328125" customWidth="1"/>
    <col min="10245" max="10245" width="12.6328125" customWidth="1"/>
    <col min="10246" max="10246" width="10.6328125" customWidth="1"/>
    <col min="10247" max="10248" width="11.6328125" customWidth="1"/>
    <col min="10249" max="10249" width="10.6328125" customWidth="1"/>
    <col min="10250" max="10250" width="12.6328125" customWidth="1"/>
    <col min="10251" max="10496" width="9.1796875" customWidth="1"/>
    <col min="10497" max="10497" width="12.6328125" customWidth="1"/>
    <col min="10498" max="10498" width="15.6328125" customWidth="1"/>
    <col min="10499" max="10500" width="11.6328125" customWidth="1"/>
    <col min="10501" max="10501" width="12.6328125" customWidth="1"/>
    <col min="10502" max="10502" width="10.6328125" customWidth="1"/>
    <col min="10503" max="10504" width="11.6328125" customWidth="1"/>
    <col min="10505" max="10505" width="10.6328125" customWidth="1"/>
    <col min="10506" max="10506" width="12.6328125" customWidth="1"/>
    <col min="10507" max="10752" width="9.1796875" customWidth="1"/>
    <col min="10753" max="10753" width="12.6328125" customWidth="1"/>
    <col min="10754" max="10754" width="15.6328125" customWidth="1"/>
    <col min="10755" max="10756" width="11.6328125" customWidth="1"/>
    <col min="10757" max="10757" width="12.6328125" customWidth="1"/>
    <col min="10758" max="10758" width="10.6328125" customWidth="1"/>
    <col min="10759" max="10760" width="11.6328125" customWidth="1"/>
    <col min="10761" max="10761" width="10.6328125" customWidth="1"/>
    <col min="10762" max="10762" width="12.6328125" customWidth="1"/>
    <col min="10763" max="11008" width="9.1796875" customWidth="1"/>
    <col min="11009" max="11009" width="12.6328125" customWidth="1"/>
    <col min="11010" max="11010" width="15.6328125" customWidth="1"/>
    <col min="11011" max="11012" width="11.6328125" customWidth="1"/>
    <col min="11013" max="11013" width="12.6328125" customWidth="1"/>
    <col min="11014" max="11014" width="10.6328125" customWidth="1"/>
    <col min="11015" max="11016" width="11.6328125" customWidth="1"/>
    <col min="11017" max="11017" width="10.6328125" customWidth="1"/>
    <col min="11018" max="11018" width="12.6328125" customWidth="1"/>
    <col min="11019" max="11264" width="9.1796875" customWidth="1"/>
    <col min="11265" max="11265" width="12.6328125" customWidth="1"/>
    <col min="11266" max="11266" width="15.6328125" customWidth="1"/>
    <col min="11267" max="11268" width="11.6328125" customWidth="1"/>
    <col min="11269" max="11269" width="12.6328125" customWidth="1"/>
    <col min="11270" max="11270" width="10.6328125" customWidth="1"/>
    <col min="11271" max="11272" width="11.6328125" customWidth="1"/>
    <col min="11273" max="11273" width="10.6328125" customWidth="1"/>
    <col min="11274" max="11274" width="12.6328125" customWidth="1"/>
    <col min="11275" max="11520" width="9.1796875" customWidth="1"/>
    <col min="11521" max="11521" width="12.6328125" customWidth="1"/>
    <col min="11522" max="11522" width="15.6328125" customWidth="1"/>
    <col min="11523" max="11524" width="11.6328125" customWidth="1"/>
    <col min="11525" max="11525" width="12.6328125" customWidth="1"/>
    <col min="11526" max="11526" width="10.6328125" customWidth="1"/>
    <col min="11527" max="11528" width="11.6328125" customWidth="1"/>
    <col min="11529" max="11529" width="10.6328125" customWidth="1"/>
    <col min="11530" max="11530" width="12.6328125" customWidth="1"/>
    <col min="11531" max="11776" width="9.1796875" customWidth="1"/>
    <col min="11777" max="11777" width="12.6328125" customWidth="1"/>
    <col min="11778" max="11778" width="15.6328125" customWidth="1"/>
    <col min="11779" max="11780" width="11.6328125" customWidth="1"/>
    <col min="11781" max="11781" width="12.6328125" customWidth="1"/>
    <col min="11782" max="11782" width="10.6328125" customWidth="1"/>
    <col min="11783" max="11784" width="11.6328125" customWidth="1"/>
    <col min="11785" max="11785" width="10.6328125" customWidth="1"/>
    <col min="11786" max="11786" width="12.6328125" customWidth="1"/>
    <col min="11787" max="12032" width="9.1796875" customWidth="1"/>
    <col min="12033" max="12033" width="12.6328125" customWidth="1"/>
    <col min="12034" max="12034" width="15.6328125" customWidth="1"/>
    <col min="12035" max="12036" width="11.6328125" customWidth="1"/>
    <col min="12037" max="12037" width="12.6328125" customWidth="1"/>
    <col min="12038" max="12038" width="10.6328125" customWidth="1"/>
    <col min="12039" max="12040" width="11.6328125" customWidth="1"/>
    <col min="12041" max="12041" width="10.6328125" customWidth="1"/>
    <col min="12042" max="12042" width="12.6328125" customWidth="1"/>
    <col min="12043" max="12288" width="9.1796875" customWidth="1"/>
    <col min="12289" max="12289" width="12.6328125" customWidth="1"/>
    <col min="12290" max="12290" width="15.6328125" customWidth="1"/>
    <col min="12291" max="12292" width="11.6328125" customWidth="1"/>
    <col min="12293" max="12293" width="12.6328125" customWidth="1"/>
    <col min="12294" max="12294" width="10.6328125" customWidth="1"/>
    <col min="12295" max="12296" width="11.6328125" customWidth="1"/>
    <col min="12297" max="12297" width="10.6328125" customWidth="1"/>
    <col min="12298" max="12298" width="12.6328125" customWidth="1"/>
    <col min="12299" max="12544" width="9.1796875" customWidth="1"/>
    <col min="12545" max="12545" width="12.6328125" customWidth="1"/>
    <col min="12546" max="12546" width="15.6328125" customWidth="1"/>
    <col min="12547" max="12548" width="11.6328125" customWidth="1"/>
    <col min="12549" max="12549" width="12.6328125" customWidth="1"/>
    <col min="12550" max="12550" width="10.6328125" customWidth="1"/>
    <col min="12551" max="12552" width="11.6328125" customWidth="1"/>
    <col min="12553" max="12553" width="10.6328125" customWidth="1"/>
    <col min="12554" max="12554" width="12.6328125" customWidth="1"/>
    <col min="12555" max="12800" width="9.1796875" customWidth="1"/>
    <col min="12801" max="12801" width="12.6328125" customWidth="1"/>
    <col min="12802" max="12802" width="15.6328125" customWidth="1"/>
    <col min="12803" max="12804" width="11.6328125" customWidth="1"/>
    <col min="12805" max="12805" width="12.6328125" customWidth="1"/>
    <col min="12806" max="12806" width="10.6328125" customWidth="1"/>
    <col min="12807" max="12808" width="11.6328125" customWidth="1"/>
    <col min="12809" max="12809" width="10.6328125" customWidth="1"/>
    <col min="12810" max="12810" width="12.6328125" customWidth="1"/>
    <col min="12811" max="13056" width="9.1796875" customWidth="1"/>
    <col min="13057" max="13057" width="12.6328125" customWidth="1"/>
    <col min="13058" max="13058" width="15.6328125" customWidth="1"/>
    <col min="13059" max="13060" width="11.6328125" customWidth="1"/>
    <col min="13061" max="13061" width="12.6328125" customWidth="1"/>
    <col min="13062" max="13062" width="10.6328125" customWidth="1"/>
    <col min="13063" max="13064" width="11.6328125" customWidth="1"/>
    <col min="13065" max="13065" width="10.6328125" customWidth="1"/>
    <col min="13066" max="13066" width="12.6328125" customWidth="1"/>
    <col min="13067" max="13312" width="9.1796875" customWidth="1"/>
    <col min="13313" max="13313" width="12.6328125" customWidth="1"/>
    <col min="13314" max="13314" width="15.6328125" customWidth="1"/>
    <col min="13315" max="13316" width="11.6328125" customWidth="1"/>
    <col min="13317" max="13317" width="12.6328125" customWidth="1"/>
    <col min="13318" max="13318" width="10.6328125" customWidth="1"/>
    <col min="13319" max="13320" width="11.6328125" customWidth="1"/>
    <col min="13321" max="13321" width="10.6328125" customWidth="1"/>
    <col min="13322" max="13322" width="12.6328125" customWidth="1"/>
    <col min="13323" max="13568" width="9.1796875" customWidth="1"/>
    <col min="13569" max="13569" width="12.6328125" customWidth="1"/>
    <col min="13570" max="13570" width="15.6328125" customWidth="1"/>
    <col min="13571" max="13572" width="11.6328125" customWidth="1"/>
    <col min="13573" max="13573" width="12.6328125" customWidth="1"/>
    <col min="13574" max="13574" width="10.6328125" customWidth="1"/>
    <col min="13575" max="13576" width="11.6328125" customWidth="1"/>
    <col min="13577" max="13577" width="10.6328125" customWidth="1"/>
    <col min="13578" max="13578" width="12.6328125" customWidth="1"/>
    <col min="13579" max="13824" width="9.1796875" customWidth="1"/>
    <col min="13825" max="13825" width="12.6328125" customWidth="1"/>
    <col min="13826" max="13826" width="15.6328125" customWidth="1"/>
    <col min="13827" max="13828" width="11.6328125" customWidth="1"/>
    <col min="13829" max="13829" width="12.6328125" customWidth="1"/>
    <col min="13830" max="13830" width="10.6328125" customWidth="1"/>
    <col min="13831" max="13832" width="11.6328125" customWidth="1"/>
    <col min="13833" max="13833" width="10.6328125" customWidth="1"/>
    <col min="13834" max="13834" width="12.6328125" customWidth="1"/>
    <col min="13835" max="14080" width="9.1796875" customWidth="1"/>
    <col min="14081" max="14081" width="12.6328125" customWidth="1"/>
    <col min="14082" max="14082" width="15.6328125" customWidth="1"/>
    <col min="14083" max="14084" width="11.6328125" customWidth="1"/>
    <col min="14085" max="14085" width="12.6328125" customWidth="1"/>
    <col min="14086" max="14086" width="10.6328125" customWidth="1"/>
    <col min="14087" max="14088" width="11.6328125" customWidth="1"/>
    <col min="14089" max="14089" width="10.6328125" customWidth="1"/>
    <col min="14090" max="14090" width="12.6328125" customWidth="1"/>
    <col min="14091" max="14336" width="9.1796875" customWidth="1"/>
    <col min="14337" max="14337" width="12.6328125" customWidth="1"/>
    <col min="14338" max="14338" width="15.6328125" customWidth="1"/>
    <col min="14339" max="14340" width="11.6328125" customWidth="1"/>
    <col min="14341" max="14341" width="12.6328125" customWidth="1"/>
    <col min="14342" max="14342" width="10.6328125" customWidth="1"/>
    <col min="14343" max="14344" width="11.6328125" customWidth="1"/>
    <col min="14345" max="14345" width="10.6328125" customWidth="1"/>
    <col min="14346" max="14346" width="12.6328125" customWidth="1"/>
    <col min="14347" max="14592" width="9.1796875" customWidth="1"/>
    <col min="14593" max="14593" width="12.6328125" customWidth="1"/>
    <col min="14594" max="14594" width="15.6328125" customWidth="1"/>
    <col min="14595" max="14596" width="11.6328125" customWidth="1"/>
    <col min="14597" max="14597" width="12.6328125" customWidth="1"/>
    <col min="14598" max="14598" width="10.6328125" customWidth="1"/>
    <col min="14599" max="14600" width="11.6328125" customWidth="1"/>
    <col min="14601" max="14601" width="10.6328125" customWidth="1"/>
    <col min="14602" max="14602" width="12.6328125" customWidth="1"/>
    <col min="14603" max="14848" width="9.1796875" customWidth="1"/>
    <col min="14849" max="14849" width="12.6328125" customWidth="1"/>
    <col min="14850" max="14850" width="15.6328125" customWidth="1"/>
    <col min="14851" max="14852" width="11.6328125" customWidth="1"/>
    <col min="14853" max="14853" width="12.6328125" customWidth="1"/>
    <col min="14854" max="14854" width="10.6328125" customWidth="1"/>
    <col min="14855" max="14856" width="11.6328125" customWidth="1"/>
    <col min="14857" max="14857" width="10.6328125" customWidth="1"/>
    <col min="14858" max="14858" width="12.6328125" customWidth="1"/>
    <col min="14859" max="15104" width="9.1796875" customWidth="1"/>
    <col min="15105" max="15105" width="12.6328125" customWidth="1"/>
    <col min="15106" max="15106" width="15.6328125" customWidth="1"/>
    <col min="15107" max="15108" width="11.6328125" customWidth="1"/>
    <col min="15109" max="15109" width="12.6328125" customWidth="1"/>
    <col min="15110" max="15110" width="10.6328125" customWidth="1"/>
    <col min="15111" max="15112" width="11.6328125" customWidth="1"/>
    <col min="15113" max="15113" width="10.6328125" customWidth="1"/>
    <col min="15114" max="15114" width="12.6328125" customWidth="1"/>
    <col min="15115" max="15360" width="9.1796875" customWidth="1"/>
    <col min="15361" max="15361" width="12.6328125" customWidth="1"/>
    <col min="15362" max="15362" width="15.6328125" customWidth="1"/>
    <col min="15363" max="15364" width="11.6328125" customWidth="1"/>
    <col min="15365" max="15365" width="12.6328125" customWidth="1"/>
    <col min="15366" max="15366" width="10.6328125" customWidth="1"/>
    <col min="15367" max="15368" width="11.6328125" customWidth="1"/>
    <col min="15369" max="15369" width="10.6328125" customWidth="1"/>
    <col min="15370" max="15370" width="12.6328125" customWidth="1"/>
    <col min="15371" max="15616" width="9.1796875" customWidth="1"/>
    <col min="15617" max="15617" width="12.6328125" customWidth="1"/>
    <col min="15618" max="15618" width="15.6328125" customWidth="1"/>
    <col min="15619" max="15620" width="11.6328125" customWidth="1"/>
    <col min="15621" max="15621" width="12.6328125" customWidth="1"/>
    <col min="15622" max="15622" width="10.6328125" customWidth="1"/>
    <col min="15623" max="15624" width="11.6328125" customWidth="1"/>
    <col min="15625" max="15625" width="10.6328125" customWidth="1"/>
    <col min="15626" max="15626" width="12.6328125" customWidth="1"/>
    <col min="15627" max="15872" width="9.1796875" customWidth="1"/>
    <col min="15873" max="15873" width="12.6328125" customWidth="1"/>
    <col min="15874" max="15874" width="15.6328125" customWidth="1"/>
    <col min="15875" max="15876" width="11.6328125" customWidth="1"/>
    <col min="15877" max="15877" width="12.6328125" customWidth="1"/>
    <col min="15878" max="15878" width="10.6328125" customWidth="1"/>
    <col min="15879" max="15880" width="11.6328125" customWidth="1"/>
    <col min="15881" max="15881" width="10.6328125" customWidth="1"/>
    <col min="15882" max="15882" width="12.6328125" customWidth="1"/>
    <col min="15883" max="16128" width="9.1796875" customWidth="1"/>
    <col min="16129" max="16129" width="12.6328125" customWidth="1"/>
    <col min="16130" max="16130" width="15.6328125" customWidth="1"/>
    <col min="16131" max="16132" width="11.6328125" customWidth="1"/>
    <col min="16133" max="16133" width="12.6328125" customWidth="1"/>
    <col min="16134" max="16134" width="10.6328125" customWidth="1"/>
    <col min="16135" max="16136" width="11.6328125" customWidth="1"/>
    <col min="16137" max="16137" width="10.6328125" customWidth="1"/>
    <col min="16138" max="16138" width="12.6328125" customWidth="1"/>
    <col min="16139" max="16384" width="9.1796875" customWidth="1"/>
  </cols>
  <sheetData>
    <row r="1" spans="1:11" x14ac:dyDescent="0.35">
      <c r="A1" t="s">
        <v>24</v>
      </c>
      <c r="B1" t="s">
        <v>25</v>
      </c>
      <c r="C1" t="s">
        <v>13</v>
      </c>
      <c r="D1" t="s">
        <v>15</v>
      </c>
      <c r="E1" t="s">
        <v>16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</row>
    <row r="2" spans="1:11" x14ac:dyDescent="0.35">
      <c r="A2" s="78">
        <v>17168</v>
      </c>
      <c r="B2">
        <v>7.4</v>
      </c>
      <c r="D2">
        <v>97.63</v>
      </c>
      <c r="E2">
        <v>524.02599999999995</v>
      </c>
      <c r="F2">
        <v>2034.45</v>
      </c>
      <c r="G2">
        <v>11.961</v>
      </c>
      <c r="H2">
        <v>218.09100000000001</v>
      </c>
      <c r="I2">
        <v>60.396000000000001</v>
      </c>
      <c r="K2">
        <v>1277.44</v>
      </c>
    </row>
    <row r="3" spans="1:11" x14ac:dyDescent="0.35">
      <c r="A3" s="78">
        <v>17258</v>
      </c>
      <c r="B3">
        <v>5</v>
      </c>
      <c r="D3">
        <v>96.399000000000001</v>
      </c>
      <c r="E3">
        <v>523.58299999999997</v>
      </c>
      <c r="F3">
        <v>2029.0239999999999</v>
      </c>
      <c r="G3">
        <v>12.124000000000001</v>
      </c>
      <c r="H3">
        <v>201.386</v>
      </c>
      <c r="I3">
        <v>61.558999999999997</v>
      </c>
      <c r="K3">
        <v>1298.692</v>
      </c>
    </row>
    <row r="4" spans="1:11" x14ac:dyDescent="0.35">
      <c r="A4" s="78">
        <v>17349</v>
      </c>
      <c r="B4">
        <v>7.1</v>
      </c>
      <c r="D4">
        <v>91.506</v>
      </c>
      <c r="E4">
        <v>523.47699999999998</v>
      </c>
      <c r="F4">
        <v>2024.8340000000001</v>
      </c>
      <c r="G4">
        <v>12.315</v>
      </c>
      <c r="H4">
        <v>195.46100000000001</v>
      </c>
      <c r="I4">
        <v>54.594000000000001</v>
      </c>
      <c r="K4">
        <v>1302.925</v>
      </c>
    </row>
    <row r="5" spans="1:11" x14ac:dyDescent="0.35">
      <c r="A5" s="78">
        <v>17441</v>
      </c>
      <c r="B5">
        <v>5.8</v>
      </c>
      <c r="D5">
        <v>81.138999999999996</v>
      </c>
      <c r="E5">
        <v>519.23599999999999</v>
      </c>
      <c r="F5">
        <v>2056.5079999999998</v>
      </c>
      <c r="G5">
        <v>12.569000000000001</v>
      </c>
      <c r="H5">
        <v>233.28399999999999</v>
      </c>
      <c r="I5">
        <v>57.537999999999997</v>
      </c>
      <c r="K5">
        <v>1303.3399999999999</v>
      </c>
    </row>
    <row r="6" spans="1:11" x14ac:dyDescent="0.35">
      <c r="A6" s="78">
        <v>17533</v>
      </c>
      <c r="B6">
        <v>6.9</v>
      </c>
      <c r="D6">
        <v>77.436999999999998</v>
      </c>
      <c r="E6">
        <v>526.97</v>
      </c>
      <c r="F6">
        <v>2087.442</v>
      </c>
      <c r="G6">
        <v>12.712999999999999</v>
      </c>
      <c r="H6">
        <v>257.22000000000003</v>
      </c>
      <c r="I6">
        <v>64.882999999999996</v>
      </c>
      <c r="K6">
        <v>1309.8340000000001</v>
      </c>
    </row>
    <row r="7" spans="1:11" x14ac:dyDescent="0.35">
      <c r="A7" s="78">
        <v>17624</v>
      </c>
      <c r="B7">
        <v>8.6</v>
      </c>
      <c r="D7">
        <v>70.197999999999993</v>
      </c>
      <c r="E7">
        <v>545.55700000000002</v>
      </c>
      <c r="F7">
        <v>2121.8989999999999</v>
      </c>
      <c r="G7">
        <v>12.864000000000001</v>
      </c>
      <c r="H7">
        <v>273.13799999999998</v>
      </c>
      <c r="I7">
        <v>67.454999999999998</v>
      </c>
      <c r="K7">
        <v>1325.075</v>
      </c>
    </row>
    <row r="8" spans="1:11" x14ac:dyDescent="0.35">
      <c r="A8" s="78">
        <v>17715</v>
      </c>
      <c r="B8">
        <v>10</v>
      </c>
      <c r="D8">
        <v>71.847999999999999</v>
      </c>
      <c r="E8">
        <v>556.94000000000005</v>
      </c>
      <c r="F8">
        <v>2134.056</v>
      </c>
      <c r="G8">
        <v>13.087999999999999</v>
      </c>
      <c r="H8">
        <v>275.93599999999998</v>
      </c>
      <c r="I8">
        <v>70.977000000000004</v>
      </c>
      <c r="K8">
        <v>1327.0309999999999</v>
      </c>
    </row>
    <row r="9" spans="1:11" x14ac:dyDescent="0.35">
      <c r="A9" s="78">
        <v>17807</v>
      </c>
      <c r="B9">
        <v>9.6999999999999993</v>
      </c>
      <c r="D9">
        <v>69.316000000000003</v>
      </c>
      <c r="E9">
        <v>577.45299999999997</v>
      </c>
      <c r="F9">
        <v>2136.44</v>
      </c>
      <c r="G9">
        <v>13.083</v>
      </c>
      <c r="H9">
        <v>262.74099999999999</v>
      </c>
      <c r="I9">
        <v>69.825999999999993</v>
      </c>
      <c r="K9">
        <v>1337.6220000000001</v>
      </c>
    </row>
    <row r="10" spans="1:11" x14ac:dyDescent="0.35">
      <c r="A10" s="78">
        <v>17899</v>
      </c>
      <c r="B10">
        <v>7.8</v>
      </c>
      <c r="D10">
        <v>77.611999999999995</v>
      </c>
      <c r="E10">
        <v>592.76900000000001</v>
      </c>
      <c r="F10">
        <v>2107.0010000000002</v>
      </c>
      <c r="G10">
        <v>13.041</v>
      </c>
      <c r="H10">
        <v>223.50700000000001</v>
      </c>
      <c r="I10">
        <v>67.730999999999995</v>
      </c>
      <c r="K10">
        <v>1339.787</v>
      </c>
    </row>
    <row r="11" spans="1:11" x14ac:dyDescent="0.35">
      <c r="A11" s="78">
        <v>17989</v>
      </c>
      <c r="B11">
        <v>6.8</v>
      </c>
      <c r="D11">
        <v>76.947000000000003</v>
      </c>
      <c r="E11">
        <v>618.52700000000004</v>
      </c>
      <c r="F11">
        <v>2099.8139999999999</v>
      </c>
      <c r="G11">
        <v>12.96</v>
      </c>
      <c r="H11">
        <v>193.79499999999999</v>
      </c>
      <c r="I11">
        <v>66.742999999999995</v>
      </c>
      <c r="K11">
        <v>1360.3219999999999</v>
      </c>
    </row>
    <row r="12" spans="1:11" x14ac:dyDescent="0.35">
      <c r="A12" s="78">
        <v>18080</v>
      </c>
      <c r="B12">
        <v>7.2</v>
      </c>
      <c r="D12">
        <v>70.52</v>
      </c>
      <c r="E12">
        <v>621.78899999999999</v>
      </c>
      <c r="F12">
        <v>2121.4929999999999</v>
      </c>
      <c r="G12">
        <v>12.867000000000001</v>
      </c>
      <c r="H12">
        <v>209.86199999999999</v>
      </c>
      <c r="I12">
        <v>64.022999999999996</v>
      </c>
      <c r="K12">
        <v>1363.4069999999999</v>
      </c>
    </row>
    <row r="13" spans="1:11" x14ac:dyDescent="0.35">
      <c r="A13" s="78">
        <v>18172</v>
      </c>
      <c r="B13">
        <v>6.3</v>
      </c>
      <c r="D13">
        <v>61.046999999999997</v>
      </c>
      <c r="E13">
        <v>610.904</v>
      </c>
      <c r="F13">
        <v>2103.6880000000001</v>
      </c>
      <c r="G13">
        <v>12.864000000000001</v>
      </c>
      <c r="H13">
        <v>199.54</v>
      </c>
      <c r="I13">
        <v>64.986999999999995</v>
      </c>
      <c r="K13">
        <v>1383.396</v>
      </c>
    </row>
    <row r="14" spans="1:11" x14ac:dyDescent="0.35">
      <c r="A14" s="78">
        <v>18264</v>
      </c>
      <c r="B14">
        <v>11.5</v>
      </c>
      <c r="D14">
        <v>60.040999999999997</v>
      </c>
      <c r="E14">
        <v>599.56899999999996</v>
      </c>
      <c r="F14">
        <v>2186.3649999999998</v>
      </c>
      <c r="G14">
        <v>12.827999999999999</v>
      </c>
      <c r="H14">
        <v>246.911</v>
      </c>
      <c r="I14">
        <v>66.802999999999997</v>
      </c>
      <c r="K14">
        <v>1406.4290000000001</v>
      </c>
    </row>
    <row r="15" spans="1:11" x14ac:dyDescent="0.35">
      <c r="A15" s="78">
        <v>18354</v>
      </c>
      <c r="B15">
        <v>9.8000000000000007</v>
      </c>
      <c r="D15">
        <v>60.765999999999998</v>
      </c>
      <c r="E15">
        <v>610.51900000000001</v>
      </c>
      <c r="F15">
        <v>2253.0450000000001</v>
      </c>
      <c r="G15">
        <v>12.882</v>
      </c>
      <c r="H15">
        <v>273.33499999999998</v>
      </c>
      <c r="I15">
        <v>70.489999999999995</v>
      </c>
      <c r="K15">
        <v>1429.5909999999999</v>
      </c>
    </row>
    <row r="16" spans="1:11" x14ac:dyDescent="0.35">
      <c r="A16" s="78">
        <v>18445</v>
      </c>
      <c r="B16">
        <v>6.3</v>
      </c>
      <c r="D16">
        <v>62.341999999999999</v>
      </c>
      <c r="E16">
        <v>600.66300000000001</v>
      </c>
      <c r="F16">
        <v>2340.1120000000001</v>
      </c>
      <c r="G16">
        <v>13.15</v>
      </c>
      <c r="H16">
        <v>296.83100000000002</v>
      </c>
      <c r="I16">
        <v>86.986000000000004</v>
      </c>
      <c r="K16">
        <v>1503.0029999999999</v>
      </c>
    </row>
    <row r="17" spans="1:11" x14ac:dyDescent="0.35">
      <c r="A17" s="78">
        <v>18537</v>
      </c>
      <c r="B17">
        <v>9.6999999999999993</v>
      </c>
      <c r="D17">
        <v>67.394999999999996</v>
      </c>
      <c r="E17">
        <v>643.1</v>
      </c>
      <c r="F17">
        <v>2384.92</v>
      </c>
      <c r="G17">
        <v>13.36</v>
      </c>
      <c r="H17">
        <v>334.548</v>
      </c>
      <c r="I17">
        <v>87.149000000000001</v>
      </c>
      <c r="K17">
        <v>1457.694</v>
      </c>
    </row>
    <row r="18" spans="1:11" x14ac:dyDescent="0.35">
      <c r="A18" s="78">
        <v>18629</v>
      </c>
      <c r="B18">
        <v>7.6</v>
      </c>
      <c r="D18">
        <v>70.763000000000005</v>
      </c>
      <c r="E18">
        <v>711.53700000000003</v>
      </c>
      <c r="F18">
        <v>2417.3110000000001</v>
      </c>
      <c r="G18">
        <v>13.811999999999999</v>
      </c>
      <c r="H18">
        <v>300.363</v>
      </c>
      <c r="I18">
        <v>87.153999999999996</v>
      </c>
      <c r="K18">
        <v>1492.942</v>
      </c>
    </row>
    <row r="19" spans="1:11" x14ac:dyDescent="0.35">
      <c r="A19" s="78">
        <v>18719</v>
      </c>
      <c r="B19">
        <v>12.2</v>
      </c>
      <c r="D19">
        <v>77.727000000000004</v>
      </c>
      <c r="E19">
        <v>806.37599999999998</v>
      </c>
      <c r="F19">
        <v>2459.1959999999999</v>
      </c>
      <c r="G19">
        <v>13.891999999999999</v>
      </c>
      <c r="H19">
        <v>307.32600000000002</v>
      </c>
      <c r="I19">
        <v>84.266000000000005</v>
      </c>
      <c r="K19">
        <v>1450.7529999999999</v>
      </c>
    </row>
    <row r="20" spans="1:11" x14ac:dyDescent="0.35">
      <c r="A20" s="78">
        <v>18810</v>
      </c>
      <c r="B20">
        <v>12.2</v>
      </c>
      <c r="D20">
        <v>79.635999999999996</v>
      </c>
      <c r="E20">
        <v>895.01499999999999</v>
      </c>
      <c r="F20">
        <v>2509.88</v>
      </c>
      <c r="G20">
        <v>13.936999999999999</v>
      </c>
      <c r="H20">
        <v>284.697</v>
      </c>
      <c r="I20">
        <v>77.13</v>
      </c>
      <c r="K20">
        <v>1467.654</v>
      </c>
    </row>
    <row r="21" spans="1:11" x14ac:dyDescent="0.35">
      <c r="A21" s="78">
        <v>18902</v>
      </c>
      <c r="B21">
        <v>11.5</v>
      </c>
      <c r="D21">
        <v>78.888999999999996</v>
      </c>
      <c r="E21">
        <v>942.35</v>
      </c>
      <c r="F21">
        <v>2515.4079999999999</v>
      </c>
      <c r="G21">
        <v>14.12</v>
      </c>
      <c r="H21">
        <v>262.01299999999998</v>
      </c>
      <c r="I21">
        <v>75.113</v>
      </c>
      <c r="K21">
        <v>1476.2049999999999</v>
      </c>
    </row>
    <row r="22" spans="1:11" x14ac:dyDescent="0.35">
      <c r="A22" s="78">
        <v>18994</v>
      </c>
      <c r="B22">
        <v>11.2</v>
      </c>
      <c r="D22">
        <v>83.087999999999994</v>
      </c>
      <c r="E22">
        <v>970.39400000000001</v>
      </c>
      <c r="F22">
        <v>2542.2860000000001</v>
      </c>
      <c r="G22">
        <v>14.137</v>
      </c>
      <c r="H22">
        <v>268.85000000000002</v>
      </c>
      <c r="I22">
        <v>83.828000000000003</v>
      </c>
      <c r="K22">
        <v>1479.625</v>
      </c>
    </row>
    <row r="23" spans="1:11" x14ac:dyDescent="0.35">
      <c r="A23" s="78">
        <v>19085</v>
      </c>
      <c r="B23">
        <v>10.6</v>
      </c>
      <c r="D23">
        <v>73.953999999999994</v>
      </c>
      <c r="E23">
        <v>1003.463</v>
      </c>
      <c r="F23">
        <v>2547.7620000000002</v>
      </c>
      <c r="G23">
        <v>14.192</v>
      </c>
      <c r="H23">
        <v>248.58</v>
      </c>
      <c r="I23">
        <v>83.394000000000005</v>
      </c>
      <c r="K23">
        <v>1508.6010000000001</v>
      </c>
    </row>
    <row r="24" spans="1:11" x14ac:dyDescent="0.35">
      <c r="A24" s="78">
        <v>19176</v>
      </c>
      <c r="B24">
        <v>11.9</v>
      </c>
      <c r="D24">
        <v>68.114000000000004</v>
      </c>
      <c r="E24">
        <v>1013.614</v>
      </c>
      <c r="F24">
        <v>2566.1529999999998</v>
      </c>
      <c r="G24">
        <v>14.298999999999999</v>
      </c>
      <c r="H24">
        <v>261.90600000000001</v>
      </c>
      <c r="I24">
        <v>88.497</v>
      </c>
      <c r="K24">
        <v>1515.837</v>
      </c>
    </row>
    <row r="25" spans="1:11" x14ac:dyDescent="0.35">
      <c r="A25" s="78">
        <v>19268</v>
      </c>
      <c r="B25">
        <v>10.7</v>
      </c>
      <c r="D25">
        <v>68.58</v>
      </c>
      <c r="E25">
        <v>1030.52</v>
      </c>
      <c r="F25">
        <v>2650.431</v>
      </c>
      <c r="G25">
        <v>14.349</v>
      </c>
      <c r="H25">
        <v>280.77199999999999</v>
      </c>
      <c r="I25">
        <v>96.430999999999997</v>
      </c>
      <c r="K25">
        <v>1569.3130000000001</v>
      </c>
    </row>
    <row r="26" spans="1:11" x14ac:dyDescent="0.35">
      <c r="A26" s="78">
        <v>19360</v>
      </c>
      <c r="B26">
        <v>10.6</v>
      </c>
      <c r="D26">
        <v>67.42</v>
      </c>
      <c r="E26">
        <v>1063.1659999999999</v>
      </c>
      <c r="F26">
        <v>2699.6990000000001</v>
      </c>
      <c r="G26">
        <v>14.363</v>
      </c>
      <c r="H26">
        <v>286.81299999999999</v>
      </c>
      <c r="I26">
        <v>94.054000000000002</v>
      </c>
      <c r="K26">
        <v>1587.7429999999999</v>
      </c>
    </row>
    <row r="27" spans="1:11" x14ac:dyDescent="0.35">
      <c r="A27" s="78">
        <v>19450</v>
      </c>
      <c r="B27">
        <v>11.2</v>
      </c>
      <c r="D27">
        <v>67.84</v>
      </c>
      <c r="E27">
        <v>1084.9659999999999</v>
      </c>
      <c r="F27">
        <v>2720.5659999999998</v>
      </c>
      <c r="G27">
        <v>14.397</v>
      </c>
      <c r="H27">
        <v>288.44499999999999</v>
      </c>
      <c r="I27">
        <v>98.932000000000002</v>
      </c>
      <c r="K27">
        <v>1597.3019999999999</v>
      </c>
    </row>
    <row r="28" spans="1:11" x14ac:dyDescent="0.35">
      <c r="A28" s="78">
        <v>19541</v>
      </c>
      <c r="B28">
        <v>10.9</v>
      </c>
      <c r="D28">
        <v>70.56</v>
      </c>
      <c r="E28">
        <v>1073.4480000000001</v>
      </c>
      <c r="F28">
        <v>2705.2579999999998</v>
      </c>
      <c r="G28">
        <v>14.451000000000001</v>
      </c>
      <c r="H28">
        <v>282.411</v>
      </c>
      <c r="I28">
        <v>98.555000000000007</v>
      </c>
      <c r="K28">
        <v>1593.4970000000001</v>
      </c>
    </row>
    <row r="29" spans="1:11" x14ac:dyDescent="0.35">
      <c r="A29" s="78">
        <v>19633</v>
      </c>
      <c r="B29">
        <v>11.2</v>
      </c>
      <c r="D29">
        <v>68.233999999999995</v>
      </c>
      <c r="E29">
        <v>1070.7739999999999</v>
      </c>
      <c r="F29">
        <v>2664.3020000000001</v>
      </c>
      <c r="G29">
        <v>14.494</v>
      </c>
      <c r="H29">
        <v>262.005</v>
      </c>
      <c r="I29">
        <v>93.706999999999994</v>
      </c>
      <c r="K29">
        <v>1582.8119999999999</v>
      </c>
    </row>
    <row r="30" spans="1:11" x14ac:dyDescent="0.35">
      <c r="A30" s="78">
        <v>19725</v>
      </c>
      <c r="B30">
        <v>11.3</v>
      </c>
      <c r="D30">
        <v>65.174000000000007</v>
      </c>
      <c r="E30">
        <v>1042.9390000000001</v>
      </c>
      <c r="F30">
        <v>2651.5659999999998</v>
      </c>
      <c r="G30">
        <v>14.555</v>
      </c>
      <c r="H30">
        <v>260.12700000000001</v>
      </c>
      <c r="I30">
        <v>88.296000000000006</v>
      </c>
      <c r="K30">
        <v>1588.65</v>
      </c>
    </row>
    <row r="31" spans="1:11" x14ac:dyDescent="0.35">
      <c r="A31" s="78">
        <v>19815</v>
      </c>
      <c r="B31">
        <v>10.3</v>
      </c>
      <c r="D31">
        <v>74.537999999999997</v>
      </c>
      <c r="E31">
        <v>1007.623</v>
      </c>
      <c r="F31">
        <v>2654.4560000000001</v>
      </c>
      <c r="G31">
        <v>14.582000000000001</v>
      </c>
      <c r="H31">
        <v>259.51299999999998</v>
      </c>
      <c r="I31">
        <v>96.236999999999995</v>
      </c>
      <c r="K31">
        <v>1609.28</v>
      </c>
    </row>
    <row r="32" spans="1:11" x14ac:dyDescent="0.35">
      <c r="A32" s="78">
        <v>19906</v>
      </c>
      <c r="B32">
        <v>9.9</v>
      </c>
      <c r="D32">
        <v>72.143000000000001</v>
      </c>
      <c r="E32">
        <v>985.83199999999999</v>
      </c>
      <c r="F32">
        <v>2684.4340000000002</v>
      </c>
      <c r="G32">
        <v>14.569000000000001</v>
      </c>
      <c r="H32">
        <v>272.03699999999998</v>
      </c>
      <c r="I32">
        <v>90.432000000000002</v>
      </c>
      <c r="K32">
        <v>1631.059</v>
      </c>
    </row>
    <row r="33" spans="1:11" x14ac:dyDescent="0.35">
      <c r="A33" s="78">
        <v>19998</v>
      </c>
      <c r="B33">
        <v>9.9</v>
      </c>
      <c r="D33">
        <v>75.465000000000003</v>
      </c>
      <c r="E33">
        <v>979.89700000000005</v>
      </c>
      <c r="F33">
        <v>2736.96</v>
      </c>
      <c r="G33">
        <v>14.587999999999999</v>
      </c>
      <c r="H33">
        <v>283.96800000000002</v>
      </c>
      <c r="I33">
        <v>91.29</v>
      </c>
      <c r="K33">
        <v>1665.2909999999999</v>
      </c>
    </row>
    <row r="34" spans="1:11" x14ac:dyDescent="0.35">
      <c r="A34" s="78">
        <v>20090</v>
      </c>
      <c r="B34">
        <v>9.3000000000000007</v>
      </c>
      <c r="D34">
        <v>78.269000000000005</v>
      </c>
      <c r="E34">
        <v>980.47199999999998</v>
      </c>
      <c r="F34">
        <v>2815.134</v>
      </c>
      <c r="G34">
        <v>14.643000000000001</v>
      </c>
      <c r="H34">
        <v>312.33699999999999</v>
      </c>
      <c r="I34">
        <v>96.683999999999997</v>
      </c>
      <c r="K34">
        <v>1702.6559999999999</v>
      </c>
    </row>
    <row r="35" spans="1:11" x14ac:dyDescent="0.35">
      <c r="A35" s="78">
        <v>20180</v>
      </c>
      <c r="B35">
        <v>9.5</v>
      </c>
      <c r="D35">
        <v>76.444000000000003</v>
      </c>
      <c r="E35">
        <v>970.85199999999998</v>
      </c>
      <c r="F35">
        <v>2860.942</v>
      </c>
      <c r="G35">
        <v>14.725</v>
      </c>
      <c r="H35">
        <v>331.33300000000003</v>
      </c>
      <c r="I35">
        <v>102.167</v>
      </c>
      <c r="K35">
        <v>1735.2739999999999</v>
      </c>
    </row>
    <row r="36" spans="1:11" x14ac:dyDescent="0.35">
      <c r="A36" s="78">
        <v>20271</v>
      </c>
      <c r="B36">
        <v>10</v>
      </c>
      <c r="D36">
        <v>81.460999999999999</v>
      </c>
      <c r="E36">
        <v>977.06299999999999</v>
      </c>
      <c r="F36">
        <v>2899.578</v>
      </c>
      <c r="G36">
        <v>14.826000000000001</v>
      </c>
      <c r="H36">
        <v>336.41800000000001</v>
      </c>
      <c r="I36">
        <v>103.886</v>
      </c>
      <c r="K36">
        <v>1756.7070000000001</v>
      </c>
    </row>
    <row r="37" spans="1:11" x14ac:dyDescent="0.35">
      <c r="A37" s="78">
        <v>20363</v>
      </c>
      <c r="B37">
        <v>9.9</v>
      </c>
      <c r="D37">
        <v>81.828999999999994</v>
      </c>
      <c r="E37">
        <v>957.67700000000002</v>
      </c>
      <c r="F37">
        <v>2916.9850000000001</v>
      </c>
      <c r="G37">
        <v>14.923999999999999</v>
      </c>
      <c r="H37">
        <v>344.21800000000002</v>
      </c>
      <c r="I37">
        <v>107.65</v>
      </c>
      <c r="K37">
        <v>1778.7670000000001</v>
      </c>
    </row>
    <row r="38" spans="1:11" x14ac:dyDescent="0.35">
      <c r="A38" s="78">
        <v>20455</v>
      </c>
      <c r="B38">
        <v>10.6</v>
      </c>
      <c r="D38">
        <v>85.712999999999994</v>
      </c>
      <c r="E38">
        <v>957.42899999999997</v>
      </c>
      <c r="F38">
        <v>2905.6559999999999</v>
      </c>
      <c r="G38">
        <v>15.071</v>
      </c>
      <c r="H38">
        <v>334.39</v>
      </c>
      <c r="I38">
        <v>112.169</v>
      </c>
      <c r="K38">
        <v>1781.6569999999999</v>
      </c>
    </row>
    <row r="39" spans="1:11" x14ac:dyDescent="0.35">
      <c r="A39" s="78">
        <v>20546</v>
      </c>
      <c r="B39">
        <v>11.1</v>
      </c>
      <c r="D39">
        <v>91.488</v>
      </c>
      <c r="E39">
        <v>976.76099999999997</v>
      </c>
      <c r="F39">
        <v>2929.6660000000002</v>
      </c>
      <c r="G39">
        <v>15.214</v>
      </c>
      <c r="H39">
        <v>331.75900000000001</v>
      </c>
      <c r="I39">
        <v>111.58499999999999</v>
      </c>
      <c r="K39">
        <v>1787.5830000000001</v>
      </c>
    </row>
    <row r="40" spans="1:11" x14ac:dyDescent="0.35">
      <c r="A40" s="78">
        <v>20637</v>
      </c>
      <c r="B40">
        <v>11.3</v>
      </c>
      <c r="D40">
        <v>94.531999999999996</v>
      </c>
      <c r="E40">
        <v>968.17899999999997</v>
      </c>
      <c r="F40">
        <v>2927.0340000000001</v>
      </c>
      <c r="G40">
        <v>15.381</v>
      </c>
      <c r="H40">
        <v>328.78800000000001</v>
      </c>
      <c r="I40">
        <v>112.55500000000001</v>
      </c>
      <c r="K40">
        <v>1791.625</v>
      </c>
    </row>
    <row r="41" spans="1:11" x14ac:dyDescent="0.35">
      <c r="A41" s="78">
        <v>20729</v>
      </c>
      <c r="B41">
        <v>11.5</v>
      </c>
      <c r="D41">
        <v>98.769000000000005</v>
      </c>
      <c r="E41">
        <v>992.81100000000004</v>
      </c>
      <c r="F41">
        <v>2975.2089999999998</v>
      </c>
      <c r="G41">
        <v>15.476000000000001</v>
      </c>
      <c r="H41">
        <v>325.73899999999998</v>
      </c>
      <c r="I41">
        <v>107.392</v>
      </c>
      <c r="K41">
        <v>1816.3240000000001</v>
      </c>
    </row>
    <row r="42" spans="1:11" x14ac:dyDescent="0.35">
      <c r="A42" s="78">
        <v>20821</v>
      </c>
      <c r="B42">
        <v>11.1</v>
      </c>
      <c r="D42">
        <v>105.205</v>
      </c>
      <c r="E42">
        <v>1014.096</v>
      </c>
      <c r="F42">
        <v>2994.259</v>
      </c>
      <c r="G42">
        <v>15.653</v>
      </c>
      <c r="H42">
        <v>320.68200000000002</v>
      </c>
      <c r="I42">
        <v>115.93600000000001</v>
      </c>
      <c r="K42">
        <v>1828.9559999999999</v>
      </c>
    </row>
    <row r="43" spans="1:11" x14ac:dyDescent="0.35">
      <c r="A43" s="78">
        <v>20911</v>
      </c>
      <c r="B43">
        <v>11.6</v>
      </c>
      <c r="D43">
        <v>102.08799999999999</v>
      </c>
      <c r="E43">
        <v>1008.852</v>
      </c>
      <c r="F43">
        <v>2987.6990000000001</v>
      </c>
      <c r="G43">
        <v>15.763999999999999</v>
      </c>
      <c r="H43">
        <v>320.35700000000003</v>
      </c>
      <c r="I43">
        <v>116.84</v>
      </c>
      <c r="K43">
        <v>1832.145</v>
      </c>
    </row>
    <row r="44" spans="1:11" x14ac:dyDescent="0.35">
      <c r="A44" s="78">
        <v>21002</v>
      </c>
      <c r="B44">
        <v>11.4</v>
      </c>
      <c r="D44">
        <v>99.233999999999995</v>
      </c>
      <c r="E44">
        <v>1017.442</v>
      </c>
      <c r="F44">
        <v>3016.9789999999998</v>
      </c>
      <c r="G44">
        <v>15.885</v>
      </c>
      <c r="H44">
        <v>327.70100000000002</v>
      </c>
      <c r="I44">
        <v>114.584</v>
      </c>
      <c r="K44">
        <v>1846.623</v>
      </c>
    </row>
    <row r="45" spans="1:11" x14ac:dyDescent="0.35">
      <c r="A45" s="78">
        <v>21094</v>
      </c>
      <c r="B45">
        <v>10.7</v>
      </c>
      <c r="D45">
        <v>96.277000000000001</v>
      </c>
      <c r="E45">
        <v>1034.18</v>
      </c>
      <c r="F45">
        <v>2985.7750000000001</v>
      </c>
      <c r="G45">
        <v>15.978</v>
      </c>
      <c r="H45">
        <v>302.50299999999999</v>
      </c>
      <c r="I45">
        <v>114.971</v>
      </c>
      <c r="K45">
        <v>1847.3910000000001</v>
      </c>
    </row>
    <row r="46" spans="1:11" x14ac:dyDescent="0.35">
      <c r="A46" s="78">
        <v>21186</v>
      </c>
      <c r="B46">
        <v>11.2</v>
      </c>
      <c r="D46">
        <v>86.733999999999995</v>
      </c>
      <c r="E46">
        <v>1025.248</v>
      </c>
      <c r="F46">
        <v>2908.2809999999999</v>
      </c>
      <c r="G46">
        <v>16.111999999999998</v>
      </c>
      <c r="H46">
        <v>282.096</v>
      </c>
      <c r="I46">
        <v>116.672</v>
      </c>
      <c r="K46">
        <v>1821.8340000000001</v>
      </c>
    </row>
    <row r="47" spans="1:11" x14ac:dyDescent="0.35">
      <c r="A47" s="78">
        <v>21276</v>
      </c>
      <c r="B47">
        <v>11.1</v>
      </c>
      <c r="D47">
        <v>87.14</v>
      </c>
      <c r="E47">
        <v>1050.8230000000001</v>
      </c>
      <c r="F47">
        <v>2927.395</v>
      </c>
      <c r="G47">
        <v>16.181000000000001</v>
      </c>
      <c r="H47">
        <v>276.41300000000001</v>
      </c>
      <c r="I47">
        <v>121.661</v>
      </c>
      <c r="K47">
        <v>1836.8969999999999</v>
      </c>
    </row>
    <row r="48" spans="1:11" x14ac:dyDescent="0.35">
      <c r="A48" s="78">
        <v>21367</v>
      </c>
      <c r="B48">
        <v>11.6</v>
      </c>
      <c r="D48">
        <v>87.394000000000005</v>
      </c>
      <c r="E48">
        <v>1056.856</v>
      </c>
      <c r="F48">
        <v>2995.1120000000001</v>
      </c>
      <c r="G48">
        <v>16.22</v>
      </c>
      <c r="H48">
        <v>297.62700000000001</v>
      </c>
      <c r="I48">
        <v>119.82899999999999</v>
      </c>
      <c r="K48">
        <v>1867.373</v>
      </c>
    </row>
    <row r="49" spans="1:11" x14ac:dyDescent="0.35">
      <c r="A49" s="78">
        <v>21459</v>
      </c>
      <c r="B49">
        <v>11.8</v>
      </c>
      <c r="D49">
        <v>87.08</v>
      </c>
      <c r="E49">
        <v>1078.163</v>
      </c>
      <c r="F49">
        <v>3065.1410000000001</v>
      </c>
      <c r="G49">
        <v>16.239999999999998</v>
      </c>
      <c r="H49">
        <v>323.00400000000002</v>
      </c>
      <c r="I49">
        <v>126.13200000000001</v>
      </c>
      <c r="K49">
        <v>1892.7380000000001</v>
      </c>
    </row>
    <row r="50" spans="1:11" x14ac:dyDescent="0.35">
      <c r="A50" s="78">
        <v>21551</v>
      </c>
      <c r="B50">
        <v>10.7</v>
      </c>
      <c r="D50">
        <v>93.393000000000001</v>
      </c>
      <c r="E50">
        <v>1067.1969999999999</v>
      </c>
      <c r="F50">
        <v>3123.9780000000001</v>
      </c>
      <c r="G50">
        <v>16.315999999999999</v>
      </c>
      <c r="H50">
        <v>340.60399999999998</v>
      </c>
      <c r="I50">
        <v>129.446</v>
      </c>
      <c r="J50">
        <v>16.702999999999999</v>
      </c>
      <c r="K50">
        <v>1927.43</v>
      </c>
    </row>
    <row r="51" spans="1:11" x14ac:dyDescent="0.35">
      <c r="A51" s="78">
        <v>21641</v>
      </c>
      <c r="B51">
        <v>10.8</v>
      </c>
      <c r="C51">
        <v>2.1</v>
      </c>
      <c r="D51">
        <v>92.647000000000006</v>
      </c>
      <c r="E51">
        <v>1080.4159999999999</v>
      </c>
      <c r="F51">
        <v>3194.4290000000001</v>
      </c>
      <c r="G51">
        <v>16.363</v>
      </c>
      <c r="H51">
        <v>367.09899999999999</v>
      </c>
      <c r="I51">
        <v>135.745</v>
      </c>
      <c r="J51">
        <v>16.792000000000002</v>
      </c>
      <c r="K51">
        <v>1957.1969999999999</v>
      </c>
    </row>
    <row r="52" spans="1:11" x14ac:dyDescent="0.35">
      <c r="A52" s="78">
        <v>21732</v>
      </c>
      <c r="B52">
        <v>9.6999999999999993</v>
      </c>
      <c r="C52">
        <v>2.7</v>
      </c>
      <c r="D52">
        <v>101.58199999999999</v>
      </c>
      <c r="E52">
        <v>1089.655</v>
      </c>
      <c r="F52">
        <v>3196.683</v>
      </c>
      <c r="G52">
        <v>16.431999999999999</v>
      </c>
      <c r="H52">
        <v>343.39100000000002</v>
      </c>
      <c r="I52">
        <v>137.041</v>
      </c>
      <c r="J52">
        <v>16.904</v>
      </c>
      <c r="K52">
        <v>1977.643</v>
      </c>
    </row>
    <row r="53" spans="1:11" x14ac:dyDescent="0.35">
      <c r="A53" s="78">
        <v>21824</v>
      </c>
      <c r="B53">
        <v>10.199999999999999</v>
      </c>
      <c r="C53">
        <v>2.2999999999999998</v>
      </c>
      <c r="D53">
        <v>96.555000000000007</v>
      </c>
      <c r="E53">
        <v>1080.7439999999999</v>
      </c>
      <c r="F53">
        <v>3205.79</v>
      </c>
      <c r="G53">
        <v>16.495999999999999</v>
      </c>
      <c r="H53">
        <v>354.56700000000001</v>
      </c>
      <c r="I53">
        <v>133.56100000000001</v>
      </c>
      <c r="J53">
        <v>17.001999999999999</v>
      </c>
      <c r="K53">
        <v>1979.8710000000001</v>
      </c>
    </row>
    <row r="54" spans="1:11" x14ac:dyDescent="0.35">
      <c r="A54" s="78">
        <v>21916</v>
      </c>
      <c r="B54">
        <v>10.3</v>
      </c>
      <c r="C54">
        <v>1.3</v>
      </c>
      <c r="D54">
        <v>108.999</v>
      </c>
      <c r="E54">
        <v>1062.3119999999999</v>
      </c>
      <c r="F54">
        <v>3277.8470000000002</v>
      </c>
      <c r="G54">
        <v>16.527000000000001</v>
      </c>
      <c r="H54">
        <v>390.21</v>
      </c>
      <c r="I54">
        <v>138.60599999999999</v>
      </c>
      <c r="J54">
        <v>17.055</v>
      </c>
      <c r="K54">
        <v>1998.8109999999999</v>
      </c>
    </row>
    <row r="55" spans="1:11" x14ac:dyDescent="0.35">
      <c r="A55" s="78">
        <v>22007</v>
      </c>
      <c r="B55">
        <v>9.6999999999999993</v>
      </c>
      <c r="C55">
        <v>1.5</v>
      </c>
      <c r="D55">
        <v>112.126</v>
      </c>
      <c r="E55">
        <v>1074.24</v>
      </c>
      <c r="F55">
        <v>3260.1770000000001</v>
      </c>
      <c r="G55">
        <v>16.585999999999999</v>
      </c>
      <c r="H55">
        <v>353.84100000000001</v>
      </c>
      <c r="I55">
        <v>139.636</v>
      </c>
      <c r="J55">
        <v>17.12</v>
      </c>
      <c r="K55">
        <v>2024.0250000000001</v>
      </c>
    </row>
    <row r="56" spans="1:11" x14ac:dyDescent="0.35">
      <c r="A56" s="78">
        <v>22098</v>
      </c>
      <c r="B56">
        <v>10.199999999999999</v>
      </c>
      <c r="C56">
        <v>1.6</v>
      </c>
      <c r="D56">
        <v>114.57</v>
      </c>
      <c r="E56">
        <v>1100.511</v>
      </c>
      <c r="F56">
        <v>3276.1329999999998</v>
      </c>
      <c r="G56">
        <v>16.658000000000001</v>
      </c>
      <c r="H56">
        <v>352.94200000000001</v>
      </c>
      <c r="I56">
        <v>135.52099999999999</v>
      </c>
      <c r="J56">
        <v>17.187000000000001</v>
      </c>
      <c r="K56">
        <v>2015.934</v>
      </c>
    </row>
    <row r="57" spans="1:11" x14ac:dyDescent="0.35">
      <c r="A57" s="78">
        <v>22190</v>
      </c>
      <c r="B57">
        <v>10</v>
      </c>
      <c r="C57">
        <v>1.3</v>
      </c>
      <c r="D57">
        <v>115.18</v>
      </c>
      <c r="E57">
        <v>1108.1420000000001</v>
      </c>
      <c r="F57">
        <v>3234.087</v>
      </c>
      <c r="G57">
        <v>16.731000000000002</v>
      </c>
      <c r="H57">
        <v>313.84300000000002</v>
      </c>
      <c r="I57">
        <v>129.12799999999999</v>
      </c>
      <c r="J57">
        <v>17.242999999999999</v>
      </c>
      <c r="K57">
        <v>2018.5450000000001</v>
      </c>
    </row>
    <row r="58" spans="1:11" x14ac:dyDescent="0.35">
      <c r="A58" s="78">
        <v>22282</v>
      </c>
      <c r="B58">
        <v>10.9</v>
      </c>
      <c r="C58">
        <v>0.7</v>
      </c>
      <c r="D58">
        <v>114.38800000000001</v>
      </c>
      <c r="E58">
        <v>1124.596</v>
      </c>
      <c r="F58">
        <v>3255.9140000000002</v>
      </c>
      <c r="G58">
        <v>16.751000000000001</v>
      </c>
      <c r="H58">
        <v>321.988</v>
      </c>
      <c r="I58">
        <v>128.50299999999999</v>
      </c>
      <c r="J58">
        <v>17.273</v>
      </c>
      <c r="K58">
        <v>2017.7950000000001</v>
      </c>
    </row>
    <row r="59" spans="1:11" x14ac:dyDescent="0.35">
      <c r="A59" s="78">
        <v>22372</v>
      </c>
      <c r="B59">
        <v>10.9</v>
      </c>
      <c r="C59">
        <v>1.3</v>
      </c>
      <c r="D59">
        <v>109.06399999999999</v>
      </c>
      <c r="E59">
        <v>1127.4110000000001</v>
      </c>
      <c r="F59">
        <v>3311.181</v>
      </c>
      <c r="G59">
        <v>16.783999999999999</v>
      </c>
      <c r="H59">
        <v>344.54899999999998</v>
      </c>
      <c r="I59">
        <v>130.07300000000001</v>
      </c>
      <c r="J59">
        <v>17.329000000000001</v>
      </c>
      <c r="K59">
        <v>2047.8230000000001</v>
      </c>
    </row>
    <row r="60" spans="1:11" x14ac:dyDescent="0.35">
      <c r="A60" s="78">
        <v>22463</v>
      </c>
      <c r="B60">
        <v>11.7</v>
      </c>
      <c r="C60">
        <v>1.8</v>
      </c>
      <c r="D60">
        <v>113.99299999999999</v>
      </c>
      <c r="E60">
        <v>1151.491</v>
      </c>
      <c r="F60">
        <v>3374.7420000000002</v>
      </c>
      <c r="G60">
        <v>16.818999999999999</v>
      </c>
      <c r="H60">
        <v>371.33499999999998</v>
      </c>
      <c r="I60">
        <v>138.68799999999999</v>
      </c>
      <c r="J60">
        <v>17.405000000000001</v>
      </c>
      <c r="K60">
        <v>2057.7820000000002</v>
      </c>
    </row>
    <row r="61" spans="1:11" x14ac:dyDescent="0.35">
      <c r="A61" s="78">
        <v>22555</v>
      </c>
      <c r="B61">
        <v>11.6</v>
      </c>
      <c r="C61">
        <v>1</v>
      </c>
      <c r="D61">
        <v>115.852</v>
      </c>
      <c r="E61">
        <v>1176.7370000000001</v>
      </c>
      <c r="F61">
        <v>3440.924</v>
      </c>
      <c r="G61">
        <v>16.858000000000001</v>
      </c>
      <c r="H61">
        <v>377.47899999999998</v>
      </c>
      <c r="I61">
        <v>141.98599999999999</v>
      </c>
      <c r="J61">
        <v>17.446999999999999</v>
      </c>
      <c r="K61">
        <v>2099.1729999999998</v>
      </c>
    </row>
    <row r="62" spans="1:11" x14ac:dyDescent="0.35">
      <c r="A62" s="78">
        <v>22647</v>
      </c>
      <c r="B62">
        <v>11.6</v>
      </c>
      <c r="C62">
        <v>1.5</v>
      </c>
      <c r="D62">
        <v>115.17</v>
      </c>
      <c r="E62">
        <v>1199.4449999999999</v>
      </c>
      <c r="F62">
        <v>3502.2979999999998</v>
      </c>
      <c r="G62">
        <v>16.942</v>
      </c>
      <c r="H62">
        <v>397.83100000000002</v>
      </c>
      <c r="I62">
        <v>146.30799999999999</v>
      </c>
      <c r="J62">
        <v>17.510999999999999</v>
      </c>
      <c r="K62">
        <v>2121.4090000000001</v>
      </c>
    </row>
    <row r="63" spans="1:11" x14ac:dyDescent="0.35">
      <c r="A63" s="78">
        <v>22737</v>
      </c>
      <c r="B63">
        <v>11.4</v>
      </c>
      <c r="C63">
        <v>1.5</v>
      </c>
      <c r="D63">
        <v>121.789</v>
      </c>
      <c r="E63">
        <v>1205.5039999999999</v>
      </c>
      <c r="F63">
        <v>3533.9470000000001</v>
      </c>
      <c r="G63">
        <v>16.989000000000001</v>
      </c>
      <c r="H63">
        <v>394.69400000000002</v>
      </c>
      <c r="I63">
        <v>149.5</v>
      </c>
      <c r="J63">
        <v>17.577999999999999</v>
      </c>
      <c r="K63">
        <v>2147.489</v>
      </c>
    </row>
    <row r="64" spans="1:11" x14ac:dyDescent="0.35">
      <c r="A64" s="78">
        <v>22828</v>
      </c>
      <c r="B64">
        <v>11.1</v>
      </c>
      <c r="C64">
        <v>1.3</v>
      </c>
      <c r="D64">
        <v>121.57599999999999</v>
      </c>
      <c r="E64">
        <v>1233.3320000000001</v>
      </c>
      <c r="F64">
        <v>3577.3620000000001</v>
      </c>
      <c r="G64">
        <v>17.029</v>
      </c>
      <c r="H64">
        <v>401.40100000000001</v>
      </c>
      <c r="I64">
        <v>151.39500000000001</v>
      </c>
      <c r="J64">
        <v>17.635999999999999</v>
      </c>
      <c r="K64">
        <v>2164.7959999999998</v>
      </c>
    </row>
    <row r="65" spans="1:11" x14ac:dyDescent="0.35">
      <c r="A65" s="78">
        <v>22920</v>
      </c>
      <c r="B65">
        <v>10.7</v>
      </c>
      <c r="C65">
        <v>0.8</v>
      </c>
      <c r="D65">
        <v>117.64400000000001</v>
      </c>
      <c r="E65">
        <v>1241.8510000000001</v>
      </c>
      <c r="F65">
        <v>3589.1280000000002</v>
      </c>
      <c r="G65">
        <v>17.07</v>
      </c>
      <c r="H65">
        <v>389.65699999999998</v>
      </c>
      <c r="I65">
        <v>153.24600000000001</v>
      </c>
      <c r="J65">
        <v>17.669</v>
      </c>
      <c r="K65">
        <v>2195.4270000000001</v>
      </c>
    </row>
    <row r="66" spans="1:11" x14ac:dyDescent="0.35">
      <c r="A66" s="78">
        <v>23012</v>
      </c>
      <c r="B66">
        <v>10.8</v>
      </c>
      <c r="C66">
        <v>1.3</v>
      </c>
      <c r="D66">
        <v>119.43</v>
      </c>
      <c r="E66">
        <v>1225.0050000000001</v>
      </c>
      <c r="F66">
        <v>3628.306</v>
      </c>
      <c r="G66">
        <v>17.154</v>
      </c>
      <c r="H66">
        <v>410.15800000000002</v>
      </c>
      <c r="I66">
        <v>149.69900000000001</v>
      </c>
      <c r="J66">
        <v>17.728000000000002</v>
      </c>
      <c r="K66">
        <v>2210.8049999999998</v>
      </c>
    </row>
    <row r="67" spans="1:11" x14ac:dyDescent="0.35">
      <c r="A67" s="78">
        <v>23102</v>
      </c>
      <c r="B67">
        <v>10.7</v>
      </c>
      <c r="C67">
        <v>1.5</v>
      </c>
      <c r="D67">
        <v>128.977</v>
      </c>
      <c r="E67">
        <v>1225.904</v>
      </c>
      <c r="F67">
        <v>3669.02</v>
      </c>
      <c r="G67">
        <v>17.169</v>
      </c>
      <c r="H67">
        <v>416.68299999999999</v>
      </c>
      <c r="I67">
        <v>153.22300000000001</v>
      </c>
      <c r="J67">
        <v>17.795000000000002</v>
      </c>
      <c r="K67">
        <v>2231.6669999999999</v>
      </c>
    </row>
    <row r="68" spans="1:11" x14ac:dyDescent="0.35">
      <c r="A68" s="78">
        <v>23193</v>
      </c>
      <c r="B68">
        <v>10.4</v>
      </c>
      <c r="C68">
        <v>1.5</v>
      </c>
      <c r="D68">
        <v>128.33099999999999</v>
      </c>
      <c r="E68">
        <v>1280.2950000000001</v>
      </c>
      <c r="F68">
        <v>3749.681</v>
      </c>
      <c r="G68">
        <v>17.187999999999999</v>
      </c>
      <c r="H68">
        <v>429.512</v>
      </c>
      <c r="I68">
        <v>157.114</v>
      </c>
      <c r="J68">
        <v>17.863</v>
      </c>
      <c r="K68">
        <v>2261.942</v>
      </c>
    </row>
    <row r="69" spans="1:11" x14ac:dyDescent="0.35">
      <c r="A69" s="78">
        <v>23285</v>
      </c>
      <c r="B69">
        <v>11.1</v>
      </c>
      <c r="C69">
        <v>2</v>
      </c>
      <c r="D69">
        <v>133.34700000000001</v>
      </c>
      <c r="E69">
        <v>1267.0450000000001</v>
      </c>
      <c r="F69">
        <v>3774.2640000000001</v>
      </c>
      <c r="G69">
        <v>17.3</v>
      </c>
      <c r="H69">
        <v>434.72699999999998</v>
      </c>
      <c r="I69">
        <v>156.59800000000001</v>
      </c>
      <c r="J69">
        <v>17.95</v>
      </c>
      <c r="K69">
        <v>2280.79</v>
      </c>
    </row>
    <row r="70" spans="1:11" x14ac:dyDescent="0.35">
      <c r="A70" s="78">
        <v>23377</v>
      </c>
      <c r="B70">
        <v>11.1</v>
      </c>
      <c r="C70">
        <v>1.7</v>
      </c>
      <c r="D70">
        <v>140.09100000000001</v>
      </c>
      <c r="E70">
        <v>1270.9970000000001</v>
      </c>
      <c r="F70">
        <v>3853.835</v>
      </c>
      <c r="G70">
        <v>17.364999999999998</v>
      </c>
      <c r="H70">
        <v>450.99700000000001</v>
      </c>
      <c r="I70">
        <v>156.45099999999999</v>
      </c>
      <c r="J70">
        <v>18.026</v>
      </c>
      <c r="K70">
        <v>2325.5540000000001</v>
      </c>
    </row>
    <row r="71" spans="1:11" x14ac:dyDescent="0.35">
      <c r="A71" s="78">
        <v>23468</v>
      </c>
      <c r="B71">
        <v>11.9</v>
      </c>
      <c r="C71">
        <v>1.2</v>
      </c>
      <c r="D71">
        <v>139.51900000000001</v>
      </c>
      <c r="E71">
        <v>1282.412</v>
      </c>
      <c r="F71">
        <v>3895.7930000000001</v>
      </c>
      <c r="G71">
        <v>17.416</v>
      </c>
      <c r="H71">
        <v>449.37299999999999</v>
      </c>
      <c r="I71">
        <v>159.97300000000001</v>
      </c>
      <c r="J71">
        <v>18.079000000000001</v>
      </c>
      <c r="K71">
        <v>2366.6909999999998</v>
      </c>
    </row>
    <row r="72" spans="1:11" x14ac:dyDescent="0.35">
      <c r="A72" s="78">
        <v>23559</v>
      </c>
      <c r="B72">
        <v>11.4</v>
      </c>
      <c r="C72">
        <v>1.1000000000000001</v>
      </c>
      <c r="D72">
        <v>143.887</v>
      </c>
      <c r="E72">
        <v>1283.9290000000001</v>
      </c>
      <c r="F72">
        <v>3956.6570000000002</v>
      </c>
      <c r="G72">
        <v>17.501999999999999</v>
      </c>
      <c r="H72">
        <v>459.86099999999999</v>
      </c>
      <c r="I72">
        <v>164.26599999999999</v>
      </c>
      <c r="J72">
        <v>18.129000000000001</v>
      </c>
      <c r="K72">
        <v>2410.4079999999999</v>
      </c>
    </row>
    <row r="73" spans="1:11" x14ac:dyDescent="0.35">
      <c r="A73" s="78">
        <v>23651</v>
      </c>
      <c r="B73">
        <v>12.1</v>
      </c>
      <c r="C73">
        <v>1</v>
      </c>
      <c r="D73">
        <v>146.78399999999999</v>
      </c>
      <c r="E73">
        <v>1283.386</v>
      </c>
      <c r="F73">
        <v>3968.8780000000002</v>
      </c>
      <c r="G73">
        <v>17.577000000000002</v>
      </c>
      <c r="H73">
        <v>464.22899999999998</v>
      </c>
      <c r="I73">
        <v>168.709</v>
      </c>
      <c r="J73">
        <v>18.175000000000001</v>
      </c>
      <c r="K73">
        <v>2417.288</v>
      </c>
    </row>
    <row r="74" spans="1:11" x14ac:dyDescent="0.35">
      <c r="A74" s="78">
        <v>23743</v>
      </c>
      <c r="B74">
        <v>11.2</v>
      </c>
      <c r="C74">
        <v>1.5</v>
      </c>
      <c r="D74">
        <v>129.69999999999999</v>
      </c>
      <c r="E74">
        <v>1281.9100000000001</v>
      </c>
      <c r="F74">
        <v>4064.915</v>
      </c>
      <c r="G74">
        <v>17.652999999999999</v>
      </c>
      <c r="H74">
        <v>508.49099999999999</v>
      </c>
      <c r="I74">
        <v>162.63499999999999</v>
      </c>
      <c r="J74">
        <v>18.244</v>
      </c>
      <c r="K74">
        <v>2471.1959999999999</v>
      </c>
    </row>
    <row r="75" spans="1:11" x14ac:dyDescent="0.35">
      <c r="A75" s="78">
        <v>23833</v>
      </c>
      <c r="B75">
        <v>11.2</v>
      </c>
      <c r="C75">
        <v>1.3</v>
      </c>
      <c r="D75">
        <v>151.411</v>
      </c>
      <c r="E75">
        <v>1297.0740000000001</v>
      </c>
      <c r="F75">
        <v>4116.2669999999998</v>
      </c>
      <c r="G75">
        <v>17.736000000000001</v>
      </c>
      <c r="H75">
        <v>509.827</v>
      </c>
      <c r="I75">
        <v>181.828</v>
      </c>
      <c r="J75">
        <v>18.300999999999998</v>
      </c>
      <c r="K75">
        <v>2498.4499999999998</v>
      </c>
    </row>
    <row r="76" spans="1:11" x14ac:dyDescent="0.35">
      <c r="A76" s="78">
        <v>23924</v>
      </c>
      <c r="B76">
        <v>12</v>
      </c>
      <c r="C76">
        <v>1.3</v>
      </c>
      <c r="D76">
        <v>148.04599999999999</v>
      </c>
      <c r="E76">
        <v>1340.1089999999999</v>
      </c>
      <c r="F76">
        <v>4207.7820000000002</v>
      </c>
      <c r="G76">
        <v>17.815999999999999</v>
      </c>
      <c r="H76">
        <v>527.57799999999997</v>
      </c>
      <c r="I76">
        <v>182.57400000000001</v>
      </c>
      <c r="J76">
        <v>18.358000000000001</v>
      </c>
      <c r="K76">
        <v>2541.38</v>
      </c>
    </row>
    <row r="77" spans="1:11" x14ac:dyDescent="0.35">
      <c r="A77" s="78">
        <v>24016</v>
      </c>
      <c r="B77">
        <v>11.4</v>
      </c>
      <c r="C77">
        <v>1.3</v>
      </c>
      <c r="D77">
        <v>157.095</v>
      </c>
      <c r="E77">
        <v>1365.498</v>
      </c>
      <c r="F77">
        <v>4304.7309999999998</v>
      </c>
      <c r="G77">
        <v>17.934000000000001</v>
      </c>
      <c r="H77">
        <v>531.072</v>
      </c>
      <c r="I77">
        <v>191.482</v>
      </c>
      <c r="J77">
        <v>18.419</v>
      </c>
      <c r="K77">
        <v>2612.826</v>
      </c>
    </row>
    <row r="78" spans="1:11" x14ac:dyDescent="0.35">
      <c r="A78" s="78">
        <v>24108</v>
      </c>
      <c r="B78">
        <v>11</v>
      </c>
      <c r="C78">
        <v>2</v>
      </c>
      <c r="D78">
        <v>153.22399999999999</v>
      </c>
      <c r="E78">
        <v>1390.9469999999999</v>
      </c>
      <c r="F78">
        <v>4409.518</v>
      </c>
      <c r="G78">
        <v>18.042999999999999</v>
      </c>
      <c r="H78">
        <v>573.50199999999995</v>
      </c>
      <c r="I78">
        <v>196.417</v>
      </c>
      <c r="J78">
        <v>18.510999999999999</v>
      </c>
      <c r="K78">
        <v>2651.3969999999999</v>
      </c>
    </row>
    <row r="79" spans="1:11" x14ac:dyDescent="0.35">
      <c r="A79" s="78">
        <v>24198</v>
      </c>
      <c r="B79">
        <v>11</v>
      </c>
      <c r="C79">
        <v>3.3</v>
      </c>
      <c r="D79">
        <v>157.828</v>
      </c>
      <c r="E79">
        <v>1417.2260000000001</v>
      </c>
      <c r="F79">
        <v>4424.5810000000001</v>
      </c>
      <c r="G79">
        <v>18.206</v>
      </c>
      <c r="H79">
        <v>565.01199999999994</v>
      </c>
      <c r="I79">
        <v>201.30199999999999</v>
      </c>
      <c r="J79">
        <v>18.661000000000001</v>
      </c>
      <c r="K79">
        <v>2658.1909999999998</v>
      </c>
    </row>
    <row r="80" spans="1:11" x14ac:dyDescent="0.35">
      <c r="A80" s="78">
        <v>24289</v>
      </c>
      <c r="B80">
        <v>11</v>
      </c>
      <c r="C80">
        <v>3.3</v>
      </c>
      <c r="D80">
        <v>155.94200000000001</v>
      </c>
      <c r="E80">
        <v>1455.85</v>
      </c>
      <c r="F80">
        <v>4462.0529999999999</v>
      </c>
      <c r="G80">
        <v>18.366</v>
      </c>
      <c r="H80">
        <v>560.84400000000005</v>
      </c>
      <c r="I80">
        <v>212.59299999999999</v>
      </c>
      <c r="J80">
        <v>18.815000000000001</v>
      </c>
      <c r="K80">
        <v>2688.5459999999998</v>
      </c>
    </row>
    <row r="81" spans="1:11" x14ac:dyDescent="0.35">
      <c r="A81" s="78">
        <v>24381</v>
      </c>
      <c r="B81">
        <v>11.7</v>
      </c>
      <c r="C81">
        <v>3.5</v>
      </c>
      <c r="D81">
        <v>159.81899999999999</v>
      </c>
      <c r="E81">
        <v>1480.9849999999999</v>
      </c>
      <c r="F81">
        <v>4498.66</v>
      </c>
      <c r="G81">
        <v>18.515999999999998</v>
      </c>
      <c r="H81">
        <v>564.13099999999997</v>
      </c>
      <c r="I81">
        <v>214.98699999999999</v>
      </c>
      <c r="J81">
        <v>18.978000000000002</v>
      </c>
      <c r="K81">
        <v>2699.7469999999998</v>
      </c>
    </row>
    <row r="82" spans="1:11" x14ac:dyDescent="0.35">
      <c r="A82" s="78">
        <v>24473</v>
      </c>
      <c r="B82">
        <v>12.5</v>
      </c>
      <c r="C82">
        <v>2.2000000000000002</v>
      </c>
      <c r="D82">
        <v>161.78200000000001</v>
      </c>
      <c r="E82">
        <v>1543.56</v>
      </c>
      <c r="F82">
        <v>4538.4979999999996</v>
      </c>
      <c r="G82">
        <v>18.593</v>
      </c>
      <c r="H82">
        <v>550.28599999999994</v>
      </c>
      <c r="I82">
        <v>218.34299999999999</v>
      </c>
      <c r="J82">
        <v>19.082000000000001</v>
      </c>
      <c r="K82">
        <v>2715.3029999999999</v>
      </c>
    </row>
    <row r="83" spans="1:11" x14ac:dyDescent="0.35">
      <c r="A83" s="78">
        <v>24563</v>
      </c>
      <c r="B83">
        <v>11.9</v>
      </c>
      <c r="C83">
        <v>2.7</v>
      </c>
      <c r="D83">
        <v>159.631</v>
      </c>
      <c r="E83">
        <v>1537.155</v>
      </c>
      <c r="F83">
        <v>4541.28</v>
      </c>
      <c r="G83">
        <v>18.704999999999998</v>
      </c>
      <c r="H83">
        <v>530.37800000000004</v>
      </c>
      <c r="I83">
        <v>216.608</v>
      </c>
      <c r="J83">
        <v>19.21</v>
      </c>
      <c r="K83">
        <v>2752.4259999999999</v>
      </c>
    </row>
    <row r="84" spans="1:11" x14ac:dyDescent="0.35">
      <c r="A84" s="78">
        <v>24654</v>
      </c>
      <c r="B84">
        <v>12.4</v>
      </c>
      <c r="C84">
        <v>3.7</v>
      </c>
      <c r="D84">
        <v>158.35</v>
      </c>
      <c r="E84">
        <v>1554.2370000000001</v>
      </c>
      <c r="F84">
        <v>4584.2460000000001</v>
      </c>
      <c r="G84">
        <v>18.873000000000001</v>
      </c>
      <c r="H84">
        <v>545.92999999999995</v>
      </c>
      <c r="I84">
        <v>219.452</v>
      </c>
      <c r="J84">
        <v>19.385000000000002</v>
      </c>
      <c r="K84">
        <v>2766.518</v>
      </c>
    </row>
    <row r="85" spans="1:11" x14ac:dyDescent="0.35">
      <c r="A85" s="78">
        <v>24746</v>
      </c>
      <c r="B85">
        <v>12.5</v>
      </c>
      <c r="C85">
        <v>4.0999999999999996</v>
      </c>
      <c r="D85">
        <v>161.33699999999999</v>
      </c>
      <c r="E85">
        <v>1566.046</v>
      </c>
      <c r="F85">
        <v>4618.8119999999999</v>
      </c>
      <c r="G85">
        <v>19.082000000000001</v>
      </c>
      <c r="H85">
        <v>557.70600000000002</v>
      </c>
      <c r="I85">
        <v>231.02600000000001</v>
      </c>
      <c r="J85">
        <v>19.579999999999998</v>
      </c>
      <c r="K85">
        <v>2783.4470000000001</v>
      </c>
    </row>
    <row r="86" spans="1:11" x14ac:dyDescent="0.35">
      <c r="A86" s="78">
        <v>24838</v>
      </c>
      <c r="B86">
        <v>11.9</v>
      </c>
      <c r="C86">
        <v>4.5999999999999996</v>
      </c>
      <c r="D86">
        <v>165.86799999999999</v>
      </c>
      <c r="E86">
        <v>1594.047</v>
      </c>
      <c r="F86">
        <v>4713.0129999999999</v>
      </c>
      <c r="G86">
        <v>19.29</v>
      </c>
      <c r="H86">
        <v>568.88699999999994</v>
      </c>
      <c r="I86">
        <v>244.637</v>
      </c>
      <c r="J86">
        <v>19.803000000000001</v>
      </c>
      <c r="K86">
        <v>2850.1529999999998</v>
      </c>
    </row>
    <row r="87" spans="1:11" x14ac:dyDescent="0.35">
      <c r="A87" s="78">
        <v>24929</v>
      </c>
      <c r="B87">
        <v>12</v>
      </c>
      <c r="C87">
        <v>4.7</v>
      </c>
      <c r="D87">
        <v>168.643</v>
      </c>
      <c r="E87">
        <v>1602.3150000000001</v>
      </c>
      <c r="F87">
        <v>4791.7579999999998</v>
      </c>
      <c r="G87">
        <v>19.506</v>
      </c>
      <c r="H87">
        <v>590.64700000000005</v>
      </c>
      <c r="I87">
        <v>248.369</v>
      </c>
      <c r="J87">
        <v>20.033000000000001</v>
      </c>
      <c r="K87">
        <v>2893.5529999999999</v>
      </c>
    </row>
    <row r="88" spans="1:11" x14ac:dyDescent="0.35">
      <c r="A88" s="78">
        <v>25020</v>
      </c>
      <c r="B88">
        <v>10.6</v>
      </c>
      <c r="C88">
        <v>4.5999999999999996</v>
      </c>
      <c r="D88">
        <v>180.63499999999999</v>
      </c>
      <c r="E88">
        <v>1607.115</v>
      </c>
      <c r="F88">
        <v>4828.8919999999998</v>
      </c>
      <c r="G88">
        <v>19.693000000000001</v>
      </c>
      <c r="H88">
        <v>574.53899999999999</v>
      </c>
      <c r="I88">
        <v>263.29599999999999</v>
      </c>
      <c r="J88">
        <v>20.257999999999999</v>
      </c>
      <c r="K88">
        <v>2947.7840000000001</v>
      </c>
    </row>
    <row r="89" spans="1:11" x14ac:dyDescent="0.35">
      <c r="A89" s="78">
        <v>25112</v>
      </c>
      <c r="B89">
        <v>10.9</v>
      </c>
      <c r="C89">
        <v>4.7</v>
      </c>
      <c r="D89">
        <v>176.62100000000001</v>
      </c>
      <c r="E89">
        <v>1608.5730000000001</v>
      </c>
      <c r="F89">
        <v>4847.8850000000002</v>
      </c>
      <c r="G89">
        <v>19.966999999999999</v>
      </c>
      <c r="H89">
        <v>580.78899999999999</v>
      </c>
      <c r="I89">
        <v>261.077</v>
      </c>
      <c r="J89">
        <v>20.492999999999999</v>
      </c>
      <c r="K89">
        <v>2961.0810000000001</v>
      </c>
    </row>
    <row r="90" spans="1:11" x14ac:dyDescent="0.35">
      <c r="A90" s="78">
        <v>25204</v>
      </c>
      <c r="B90">
        <v>10.1</v>
      </c>
      <c r="C90">
        <v>4.4000000000000004</v>
      </c>
      <c r="D90">
        <v>156.09</v>
      </c>
      <c r="E90">
        <v>1612.2190000000001</v>
      </c>
      <c r="F90">
        <v>4923.76</v>
      </c>
      <c r="G90">
        <v>20.167000000000002</v>
      </c>
      <c r="H90">
        <v>614.98900000000003</v>
      </c>
      <c r="I90">
        <v>236.452</v>
      </c>
      <c r="J90">
        <v>20.716999999999999</v>
      </c>
      <c r="K90">
        <v>2993.913</v>
      </c>
    </row>
    <row r="91" spans="1:11" x14ac:dyDescent="0.35">
      <c r="A91" s="78">
        <v>25294</v>
      </c>
      <c r="B91">
        <v>10.3</v>
      </c>
      <c r="C91">
        <v>4.9000000000000004</v>
      </c>
      <c r="D91">
        <v>190.297</v>
      </c>
      <c r="E91">
        <v>1607.192</v>
      </c>
      <c r="F91">
        <v>4938.7280000000001</v>
      </c>
      <c r="G91">
        <v>20.433</v>
      </c>
      <c r="H91">
        <v>611.36599999999999</v>
      </c>
      <c r="I91">
        <v>283.101</v>
      </c>
      <c r="J91">
        <v>20.965</v>
      </c>
      <c r="K91">
        <v>3013.2269999999999</v>
      </c>
    </row>
    <row r="92" spans="1:11" x14ac:dyDescent="0.35">
      <c r="A92" s="78">
        <v>25385</v>
      </c>
      <c r="B92">
        <v>11.7</v>
      </c>
      <c r="C92">
        <v>4.7</v>
      </c>
      <c r="D92">
        <v>187.11199999999999</v>
      </c>
      <c r="E92">
        <v>1610.451</v>
      </c>
      <c r="F92">
        <v>4971.3490000000002</v>
      </c>
      <c r="G92">
        <v>20.724</v>
      </c>
      <c r="H92">
        <v>623.77800000000002</v>
      </c>
      <c r="I92">
        <v>279.43299999999999</v>
      </c>
      <c r="J92">
        <v>21.207000000000001</v>
      </c>
      <c r="K92">
        <v>3027.9180000000001</v>
      </c>
    </row>
    <row r="93" spans="1:11" x14ac:dyDescent="0.35">
      <c r="A93" s="78">
        <v>25477</v>
      </c>
      <c r="B93">
        <v>11.6</v>
      </c>
      <c r="C93">
        <v>4.8</v>
      </c>
      <c r="D93">
        <v>192.00700000000001</v>
      </c>
      <c r="E93">
        <v>1588.788</v>
      </c>
      <c r="F93">
        <v>4947.1040000000003</v>
      </c>
      <c r="G93">
        <v>20.983000000000001</v>
      </c>
      <c r="H93">
        <v>593.65899999999999</v>
      </c>
      <c r="I93">
        <v>276.363</v>
      </c>
      <c r="J93">
        <v>21.456</v>
      </c>
      <c r="K93">
        <v>3052.1179999999999</v>
      </c>
    </row>
    <row r="94" spans="1:11" x14ac:dyDescent="0.35">
      <c r="A94" s="78">
        <v>25569</v>
      </c>
      <c r="B94">
        <v>12</v>
      </c>
      <c r="C94">
        <v>4.4000000000000004</v>
      </c>
      <c r="D94">
        <v>194.54</v>
      </c>
      <c r="E94">
        <v>1581.1469999999999</v>
      </c>
      <c r="F94">
        <v>4939.759</v>
      </c>
      <c r="G94">
        <v>21.271999999999998</v>
      </c>
      <c r="H94">
        <v>575.95299999999997</v>
      </c>
      <c r="I94">
        <v>275.45800000000003</v>
      </c>
      <c r="J94">
        <v>21.69</v>
      </c>
      <c r="K94">
        <v>3071.056</v>
      </c>
    </row>
    <row r="95" spans="1:11" x14ac:dyDescent="0.35">
      <c r="A95" s="78">
        <v>25659</v>
      </c>
      <c r="B95">
        <v>12.6</v>
      </c>
      <c r="C95">
        <v>4.5999999999999996</v>
      </c>
      <c r="D95">
        <v>202.078</v>
      </c>
      <c r="E95">
        <v>1562.7639999999999</v>
      </c>
      <c r="F95">
        <v>4946.7700000000004</v>
      </c>
      <c r="G95">
        <v>21.579000000000001</v>
      </c>
      <c r="H95">
        <v>577.20500000000004</v>
      </c>
      <c r="I95">
        <v>280.90199999999999</v>
      </c>
      <c r="J95">
        <v>21.934999999999999</v>
      </c>
      <c r="K95">
        <v>3084.9679999999998</v>
      </c>
    </row>
    <row r="96" spans="1:11" x14ac:dyDescent="0.35">
      <c r="A96" s="78">
        <v>25750</v>
      </c>
      <c r="B96">
        <v>13.3</v>
      </c>
      <c r="C96">
        <v>4.5</v>
      </c>
      <c r="D96">
        <v>202.887</v>
      </c>
      <c r="E96">
        <v>1569.37</v>
      </c>
      <c r="F96">
        <v>4992.357</v>
      </c>
      <c r="G96">
        <v>21.756</v>
      </c>
      <c r="H96">
        <v>586.59799999999996</v>
      </c>
      <c r="I96">
        <v>280.25799999999998</v>
      </c>
      <c r="J96">
        <v>22.178999999999998</v>
      </c>
      <c r="K96">
        <v>3112.0140000000001</v>
      </c>
    </row>
    <row r="97" spans="1:11" x14ac:dyDescent="0.35">
      <c r="A97" s="78">
        <v>25842</v>
      </c>
      <c r="B97">
        <v>13.3</v>
      </c>
      <c r="C97">
        <v>5.7</v>
      </c>
      <c r="D97">
        <v>203.30799999999999</v>
      </c>
      <c r="E97">
        <v>1570.1010000000001</v>
      </c>
      <c r="F97">
        <v>4938.857</v>
      </c>
      <c r="G97">
        <v>22.041</v>
      </c>
      <c r="H97">
        <v>555.45399999999995</v>
      </c>
      <c r="I97">
        <v>284.60399999999998</v>
      </c>
      <c r="J97">
        <v>22.491</v>
      </c>
      <c r="K97">
        <v>3103.5650000000001</v>
      </c>
    </row>
    <row r="98" spans="1:11" x14ac:dyDescent="0.35">
      <c r="A98" s="78">
        <v>25934</v>
      </c>
      <c r="B98">
        <v>13.4</v>
      </c>
      <c r="C98">
        <v>5.2</v>
      </c>
      <c r="D98">
        <v>205.16399999999999</v>
      </c>
      <c r="E98">
        <v>1547.1389999999999</v>
      </c>
      <c r="F98">
        <v>5072.9960000000001</v>
      </c>
      <c r="G98">
        <v>22.375</v>
      </c>
      <c r="H98">
        <v>620.21199999999999</v>
      </c>
      <c r="I98">
        <v>281.24900000000002</v>
      </c>
      <c r="J98">
        <v>22.776</v>
      </c>
      <c r="K98">
        <v>3163.1390000000001</v>
      </c>
    </row>
    <row r="99" spans="1:11" x14ac:dyDescent="0.35">
      <c r="A99" s="78">
        <v>26024</v>
      </c>
      <c r="B99">
        <v>13.8</v>
      </c>
      <c r="C99">
        <v>4.5999999999999996</v>
      </c>
      <c r="D99">
        <v>203.64699999999999</v>
      </c>
      <c r="E99">
        <v>1543.5840000000001</v>
      </c>
      <c r="F99">
        <v>5100.4470000000001</v>
      </c>
      <c r="G99">
        <v>22.673999999999999</v>
      </c>
      <c r="H99">
        <v>637.81100000000004</v>
      </c>
      <c r="I99">
        <v>302.46600000000001</v>
      </c>
      <c r="J99">
        <v>23.036000000000001</v>
      </c>
      <c r="K99">
        <v>3192.21</v>
      </c>
    </row>
    <row r="100" spans="1:11" x14ac:dyDescent="0.35">
      <c r="A100" s="78">
        <v>26115</v>
      </c>
      <c r="B100">
        <v>13.6</v>
      </c>
      <c r="C100">
        <v>3.8</v>
      </c>
      <c r="D100">
        <v>213.827</v>
      </c>
      <c r="E100">
        <v>1542.778</v>
      </c>
      <c r="F100">
        <v>5142.4219999999996</v>
      </c>
      <c r="G100">
        <v>22.902999999999999</v>
      </c>
      <c r="H100">
        <v>645.54899999999998</v>
      </c>
      <c r="I100">
        <v>309.15199999999999</v>
      </c>
      <c r="J100">
        <v>23.253</v>
      </c>
      <c r="K100">
        <v>3217.6610000000001</v>
      </c>
    </row>
    <row r="101" spans="1:11" x14ac:dyDescent="0.35">
      <c r="A101" s="78">
        <v>26207</v>
      </c>
      <c r="B101">
        <v>13.1</v>
      </c>
      <c r="C101">
        <v>2.2999999999999998</v>
      </c>
      <c r="D101">
        <v>194.08799999999999</v>
      </c>
      <c r="E101">
        <v>1531.9359999999999</v>
      </c>
      <c r="F101">
        <v>5154.5469999999996</v>
      </c>
      <c r="G101">
        <v>23.091999999999999</v>
      </c>
      <c r="H101">
        <v>628.16499999999996</v>
      </c>
      <c r="I101">
        <v>288.197</v>
      </c>
      <c r="J101">
        <v>23.385000000000002</v>
      </c>
      <c r="K101">
        <v>3271.05</v>
      </c>
    </row>
    <row r="102" spans="1:11" x14ac:dyDescent="0.35">
      <c r="A102" s="78">
        <v>26299</v>
      </c>
      <c r="B102">
        <v>12.4</v>
      </c>
      <c r="C102">
        <v>3.9</v>
      </c>
      <c r="D102">
        <v>216.149</v>
      </c>
      <c r="E102">
        <v>1540.394</v>
      </c>
      <c r="F102">
        <v>5249.3370000000004</v>
      </c>
      <c r="G102">
        <v>23.463000000000001</v>
      </c>
      <c r="H102">
        <v>669.55799999999999</v>
      </c>
      <c r="I102">
        <v>330.31700000000001</v>
      </c>
      <c r="J102">
        <v>23.609000000000002</v>
      </c>
      <c r="K102">
        <v>3314.2220000000002</v>
      </c>
    </row>
    <row r="103" spans="1:11" x14ac:dyDescent="0.35">
      <c r="A103" s="78">
        <v>26390</v>
      </c>
      <c r="B103">
        <v>11.6</v>
      </c>
      <c r="C103">
        <v>2.7</v>
      </c>
      <c r="D103">
        <v>209.84200000000001</v>
      </c>
      <c r="E103">
        <v>1546.5930000000001</v>
      </c>
      <c r="F103">
        <v>5368.4849999999997</v>
      </c>
      <c r="G103">
        <v>23.606000000000002</v>
      </c>
      <c r="H103">
        <v>707.58900000000006</v>
      </c>
      <c r="I103">
        <v>318.58100000000002</v>
      </c>
      <c r="J103">
        <v>23.768999999999998</v>
      </c>
      <c r="K103">
        <v>3377.3139999999999</v>
      </c>
    </row>
    <row r="104" spans="1:11" x14ac:dyDescent="0.35">
      <c r="A104" s="78">
        <v>26481</v>
      </c>
      <c r="B104">
        <v>12</v>
      </c>
      <c r="C104">
        <v>3</v>
      </c>
      <c r="D104">
        <v>222.49299999999999</v>
      </c>
      <c r="E104">
        <v>1517.1389999999999</v>
      </c>
      <c r="F104">
        <v>5419.1840000000002</v>
      </c>
      <c r="G104">
        <v>23.82</v>
      </c>
      <c r="H104">
        <v>717.63800000000003</v>
      </c>
      <c r="I104">
        <v>325.21199999999999</v>
      </c>
      <c r="J104">
        <v>23.948</v>
      </c>
      <c r="K104">
        <v>3429.3620000000001</v>
      </c>
    </row>
    <row r="105" spans="1:11" x14ac:dyDescent="0.35">
      <c r="A105" s="78">
        <v>26573</v>
      </c>
      <c r="B105">
        <v>13.4</v>
      </c>
      <c r="C105">
        <v>2.5</v>
      </c>
      <c r="D105">
        <v>231.90199999999999</v>
      </c>
      <c r="E105">
        <v>1529.691</v>
      </c>
      <c r="F105">
        <v>5509.9260000000004</v>
      </c>
      <c r="G105">
        <v>24.09</v>
      </c>
      <c r="H105">
        <v>722.13800000000003</v>
      </c>
      <c r="I105">
        <v>339.86200000000002</v>
      </c>
      <c r="J105">
        <v>24.097999999999999</v>
      </c>
      <c r="K105">
        <v>3509.8380000000002</v>
      </c>
    </row>
    <row r="106" spans="1:11" x14ac:dyDescent="0.35">
      <c r="A106" s="78">
        <v>26665</v>
      </c>
      <c r="B106">
        <v>12.6</v>
      </c>
      <c r="C106">
        <v>2.8</v>
      </c>
      <c r="D106">
        <v>248.86699999999999</v>
      </c>
      <c r="E106">
        <v>1542.8610000000001</v>
      </c>
      <c r="F106">
        <v>5646.2860000000001</v>
      </c>
      <c r="G106">
        <v>24.396000000000001</v>
      </c>
      <c r="H106">
        <v>764.45799999999997</v>
      </c>
      <c r="I106">
        <v>355.56599999999997</v>
      </c>
      <c r="J106">
        <v>24.265999999999998</v>
      </c>
      <c r="K106">
        <v>3573.9180000000001</v>
      </c>
    </row>
    <row r="107" spans="1:11" x14ac:dyDescent="0.35">
      <c r="A107" s="78">
        <v>26755</v>
      </c>
      <c r="B107">
        <v>13.3</v>
      </c>
      <c r="C107">
        <v>5.6</v>
      </c>
      <c r="D107">
        <v>260.85599999999999</v>
      </c>
      <c r="E107">
        <v>1531.9880000000001</v>
      </c>
      <c r="F107">
        <v>5707.7550000000001</v>
      </c>
      <c r="G107">
        <v>24.8</v>
      </c>
      <c r="H107">
        <v>797.04399999999998</v>
      </c>
      <c r="I107">
        <v>345.31799999999998</v>
      </c>
      <c r="J107">
        <v>24.597000000000001</v>
      </c>
      <c r="K107">
        <v>3572.3069999999998</v>
      </c>
    </row>
    <row r="108" spans="1:11" x14ac:dyDescent="0.35">
      <c r="A108" s="78">
        <v>26846</v>
      </c>
      <c r="B108">
        <v>13.4</v>
      </c>
      <c r="C108">
        <v>5.4</v>
      </c>
      <c r="D108">
        <v>261.73500000000001</v>
      </c>
      <c r="E108">
        <v>1513.9649999999999</v>
      </c>
      <c r="F108">
        <v>5677.7380000000003</v>
      </c>
      <c r="G108">
        <v>25.273</v>
      </c>
      <c r="H108">
        <v>768.14300000000003</v>
      </c>
      <c r="I108">
        <v>335.77800000000002</v>
      </c>
      <c r="J108">
        <v>24.923999999999999</v>
      </c>
      <c r="K108">
        <v>3584.8809999999999</v>
      </c>
    </row>
    <row r="109" spans="1:11" x14ac:dyDescent="0.35">
      <c r="A109" s="78">
        <v>26938</v>
      </c>
      <c r="B109">
        <v>14.5</v>
      </c>
      <c r="C109">
        <v>5.7</v>
      </c>
      <c r="D109">
        <v>274.61</v>
      </c>
      <c r="E109">
        <v>1525.325</v>
      </c>
      <c r="F109">
        <v>5731.6319999999996</v>
      </c>
      <c r="G109">
        <v>25.710999999999999</v>
      </c>
      <c r="H109">
        <v>795.50400000000002</v>
      </c>
      <c r="I109">
        <v>338.28399999999999</v>
      </c>
      <c r="J109">
        <v>25.271000000000001</v>
      </c>
      <c r="K109">
        <v>3574.1880000000001</v>
      </c>
    </row>
    <row r="110" spans="1:11" x14ac:dyDescent="0.35">
      <c r="A110" s="78">
        <v>27030</v>
      </c>
      <c r="B110">
        <v>14</v>
      </c>
      <c r="C110">
        <v>7</v>
      </c>
      <c r="D110">
        <v>278.17099999999999</v>
      </c>
      <c r="E110">
        <v>1552.8779999999999</v>
      </c>
      <c r="F110">
        <v>5682.3530000000001</v>
      </c>
      <c r="G110">
        <v>26.231999999999999</v>
      </c>
      <c r="H110">
        <v>750.07600000000002</v>
      </c>
      <c r="I110">
        <v>326.81</v>
      </c>
      <c r="J110">
        <v>25.704000000000001</v>
      </c>
      <c r="K110">
        <v>3542.2109999999998</v>
      </c>
    </row>
    <row r="111" spans="1:11" x14ac:dyDescent="0.35">
      <c r="A111" s="78">
        <v>27120</v>
      </c>
      <c r="B111">
        <v>12.9</v>
      </c>
      <c r="C111">
        <v>10.3</v>
      </c>
      <c r="D111">
        <v>291.73500000000001</v>
      </c>
      <c r="E111">
        <v>1560.6569999999999</v>
      </c>
      <c r="F111">
        <v>5695.8590000000004</v>
      </c>
      <c r="G111">
        <v>26.815000000000001</v>
      </c>
      <c r="H111">
        <v>747.08199999999999</v>
      </c>
      <c r="I111">
        <v>344.12299999999999</v>
      </c>
      <c r="J111">
        <v>26.343</v>
      </c>
      <c r="K111">
        <v>3554.9659999999999</v>
      </c>
    </row>
    <row r="112" spans="1:11" x14ac:dyDescent="0.35">
      <c r="A112" s="78">
        <v>27211</v>
      </c>
      <c r="B112">
        <v>12.6</v>
      </c>
      <c r="C112">
        <v>11.9</v>
      </c>
      <c r="D112">
        <v>276.01799999999997</v>
      </c>
      <c r="E112">
        <v>1563.7660000000001</v>
      </c>
      <c r="F112">
        <v>5642.0249999999996</v>
      </c>
      <c r="G112">
        <v>27.640999999999998</v>
      </c>
      <c r="H112">
        <v>708.36199999999997</v>
      </c>
      <c r="I112">
        <v>338.10899999999998</v>
      </c>
      <c r="J112">
        <v>27.096</v>
      </c>
      <c r="K112">
        <v>3570.2359999999999</v>
      </c>
    </row>
    <row r="113" spans="1:11" x14ac:dyDescent="0.35">
      <c r="A113" s="78">
        <v>27303</v>
      </c>
      <c r="B113">
        <v>13.7</v>
      </c>
      <c r="C113">
        <v>10.1</v>
      </c>
      <c r="D113">
        <v>283.22800000000001</v>
      </c>
      <c r="E113">
        <v>1571.26</v>
      </c>
      <c r="F113">
        <v>5620.1260000000002</v>
      </c>
      <c r="G113">
        <v>28.478999999999999</v>
      </c>
      <c r="H113">
        <v>712.66099999999994</v>
      </c>
      <c r="I113">
        <v>334.75400000000002</v>
      </c>
      <c r="J113">
        <v>27.757999999999999</v>
      </c>
      <c r="K113">
        <v>3518.05</v>
      </c>
    </row>
    <row r="114" spans="1:11" x14ac:dyDescent="0.35">
      <c r="A114" s="78">
        <v>27395</v>
      </c>
      <c r="B114">
        <v>12.8</v>
      </c>
      <c r="C114">
        <v>8.1</v>
      </c>
      <c r="D114">
        <v>285.20400000000001</v>
      </c>
      <c r="E114">
        <v>1588.3720000000001</v>
      </c>
      <c r="F114">
        <v>5551.7129999999997</v>
      </c>
      <c r="G114">
        <v>29.123999999999999</v>
      </c>
      <c r="H114">
        <v>597.86599999999999</v>
      </c>
      <c r="I114">
        <v>301.16399999999999</v>
      </c>
      <c r="J114">
        <v>28.300999999999998</v>
      </c>
      <c r="K114">
        <v>3547.5569999999998</v>
      </c>
    </row>
    <row r="115" spans="1:11" x14ac:dyDescent="0.35">
      <c r="A115" s="78">
        <v>27485</v>
      </c>
      <c r="B115">
        <v>15.3</v>
      </c>
      <c r="C115">
        <v>6.2</v>
      </c>
      <c r="D115">
        <v>276.88900000000001</v>
      </c>
      <c r="E115">
        <v>1574.9480000000001</v>
      </c>
      <c r="F115">
        <v>5591.3819999999996</v>
      </c>
      <c r="G115">
        <v>29.545999999999999</v>
      </c>
      <c r="H115">
        <v>580.06700000000001</v>
      </c>
      <c r="I115">
        <v>277.065</v>
      </c>
      <c r="J115">
        <v>28.731999999999999</v>
      </c>
      <c r="K115">
        <v>3605.9090000000001</v>
      </c>
    </row>
    <row r="116" spans="1:11" x14ac:dyDescent="0.35">
      <c r="A116" s="78">
        <v>27576</v>
      </c>
      <c r="B116">
        <v>12.9</v>
      </c>
      <c r="C116">
        <v>6.1</v>
      </c>
      <c r="D116">
        <v>272.21800000000002</v>
      </c>
      <c r="E116">
        <v>1604.3689999999999</v>
      </c>
      <c r="F116">
        <v>5687.0870000000004</v>
      </c>
      <c r="G116">
        <v>30.068000000000001</v>
      </c>
      <c r="H116">
        <v>625.03700000000003</v>
      </c>
      <c r="I116">
        <v>300.09800000000001</v>
      </c>
      <c r="J116">
        <v>29.163</v>
      </c>
      <c r="K116">
        <v>3657.1579999999999</v>
      </c>
    </row>
    <row r="117" spans="1:11" x14ac:dyDescent="0.35">
      <c r="A117" s="78">
        <v>27668</v>
      </c>
      <c r="B117">
        <v>12.7</v>
      </c>
      <c r="C117">
        <v>6.7</v>
      </c>
      <c r="D117">
        <v>287.60899999999998</v>
      </c>
      <c r="E117">
        <v>1618.424</v>
      </c>
      <c r="F117">
        <v>5763.665</v>
      </c>
      <c r="G117">
        <v>30.57</v>
      </c>
      <c r="H117">
        <v>642.48400000000004</v>
      </c>
      <c r="I117">
        <v>316.11700000000002</v>
      </c>
      <c r="J117">
        <v>29.638000000000002</v>
      </c>
      <c r="K117">
        <v>3696.4850000000001</v>
      </c>
    </row>
    <row r="118" spans="1:11" x14ac:dyDescent="0.35">
      <c r="A118" s="78">
        <v>27760</v>
      </c>
      <c r="B118">
        <v>12.1</v>
      </c>
      <c r="C118">
        <v>6.2</v>
      </c>
      <c r="D118">
        <v>285.62400000000002</v>
      </c>
      <c r="E118">
        <v>1620.97</v>
      </c>
      <c r="F118">
        <v>5893.2759999999998</v>
      </c>
      <c r="G118">
        <v>30.905000000000001</v>
      </c>
      <c r="H118">
        <v>704.47500000000002</v>
      </c>
      <c r="I118">
        <v>335.92099999999999</v>
      </c>
      <c r="J118">
        <v>30.088000000000001</v>
      </c>
      <c r="K118">
        <v>3770.3910000000001</v>
      </c>
    </row>
    <row r="119" spans="1:11" x14ac:dyDescent="0.35">
      <c r="A119" s="78">
        <v>27851</v>
      </c>
      <c r="B119">
        <v>11.8</v>
      </c>
      <c r="C119">
        <v>4.9000000000000004</v>
      </c>
      <c r="D119">
        <v>288.50299999999999</v>
      </c>
      <c r="E119">
        <v>1602.934</v>
      </c>
      <c r="F119">
        <v>5936.5150000000003</v>
      </c>
      <c r="G119">
        <v>31.213000000000001</v>
      </c>
      <c r="H119">
        <v>732.35799999999995</v>
      </c>
      <c r="I119">
        <v>350.47</v>
      </c>
      <c r="J119">
        <v>30.449000000000002</v>
      </c>
      <c r="K119">
        <v>3805.0810000000001</v>
      </c>
    </row>
    <row r="120" spans="1:11" x14ac:dyDescent="0.35">
      <c r="A120" s="78">
        <v>27942</v>
      </c>
      <c r="B120">
        <v>11.6</v>
      </c>
      <c r="C120">
        <v>6.4</v>
      </c>
      <c r="D120">
        <v>296.88600000000002</v>
      </c>
      <c r="E120">
        <v>1598.2429999999999</v>
      </c>
      <c r="F120">
        <v>5969.0889999999999</v>
      </c>
      <c r="G120">
        <v>31.611000000000001</v>
      </c>
      <c r="H120">
        <v>734.91</v>
      </c>
      <c r="I120">
        <v>364.76799999999997</v>
      </c>
      <c r="J120">
        <v>30.925999999999998</v>
      </c>
      <c r="K120">
        <v>3845.1439999999998</v>
      </c>
    </row>
    <row r="121" spans="1:11" x14ac:dyDescent="0.35">
      <c r="A121" s="78">
        <v>28034</v>
      </c>
      <c r="B121">
        <v>11</v>
      </c>
      <c r="C121">
        <v>6.4</v>
      </c>
      <c r="D121">
        <v>299.89800000000002</v>
      </c>
      <c r="E121">
        <v>1597.2639999999999</v>
      </c>
      <c r="F121">
        <v>6012.3559999999998</v>
      </c>
      <c r="G121">
        <v>32.148000000000003</v>
      </c>
      <c r="H121">
        <v>740.40800000000002</v>
      </c>
      <c r="I121">
        <v>376.84100000000001</v>
      </c>
      <c r="J121">
        <v>31.41</v>
      </c>
      <c r="K121">
        <v>3895.0340000000001</v>
      </c>
    </row>
    <row r="122" spans="1:11" x14ac:dyDescent="0.35">
      <c r="A122" s="78">
        <v>28126</v>
      </c>
      <c r="B122">
        <v>10.1</v>
      </c>
      <c r="C122">
        <v>6.9</v>
      </c>
      <c r="D122">
        <v>295.072</v>
      </c>
      <c r="E122">
        <v>1610.8420000000001</v>
      </c>
      <c r="F122">
        <v>6083.3909999999996</v>
      </c>
      <c r="G122">
        <v>32.667999999999999</v>
      </c>
      <c r="H122">
        <v>774.71100000000001</v>
      </c>
      <c r="I122">
        <v>394.68</v>
      </c>
      <c r="J122">
        <v>31.939</v>
      </c>
      <c r="K122">
        <v>3940.944</v>
      </c>
    </row>
    <row r="123" spans="1:11" x14ac:dyDescent="0.35">
      <c r="A123" s="78">
        <v>28216</v>
      </c>
      <c r="B123">
        <v>10.5</v>
      </c>
      <c r="C123">
        <v>6.3</v>
      </c>
      <c r="D123">
        <v>303.024</v>
      </c>
      <c r="E123">
        <v>1625.58</v>
      </c>
      <c r="F123">
        <v>6201.6589999999997</v>
      </c>
      <c r="G123">
        <v>33.183999999999997</v>
      </c>
      <c r="H123">
        <v>830.25099999999998</v>
      </c>
      <c r="I123">
        <v>398.31900000000002</v>
      </c>
      <c r="J123">
        <v>32.427</v>
      </c>
      <c r="K123">
        <v>3962.3139999999999</v>
      </c>
    </row>
    <row r="124" spans="1:11" x14ac:dyDescent="0.35">
      <c r="A124" s="78">
        <v>28307</v>
      </c>
      <c r="B124">
        <v>10.8</v>
      </c>
      <c r="C124">
        <v>6.8</v>
      </c>
      <c r="D124">
        <v>305.375</v>
      </c>
      <c r="E124">
        <v>1632.1079999999999</v>
      </c>
      <c r="F124">
        <v>6313.5590000000002</v>
      </c>
      <c r="G124">
        <v>33.640999999999998</v>
      </c>
      <c r="H124">
        <v>872.26400000000001</v>
      </c>
      <c r="I124">
        <v>392.76799999999997</v>
      </c>
      <c r="J124">
        <v>32.966000000000001</v>
      </c>
      <c r="K124">
        <v>3999.779</v>
      </c>
    </row>
    <row r="125" spans="1:11" x14ac:dyDescent="0.35">
      <c r="A125" s="78">
        <v>28399</v>
      </c>
      <c r="B125">
        <v>11.2</v>
      </c>
      <c r="C125">
        <v>5.9</v>
      </c>
      <c r="D125">
        <v>295.584</v>
      </c>
      <c r="E125">
        <v>1628.2159999999999</v>
      </c>
      <c r="F125">
        <v>6313.6970000000001</v>
      </c>
      <c r="G125">
        <v>34.203000000000003</v>
      </c>
      <c r="H125">
        <v>850.38300000000004</v>
      </c>
      <c r="I125">
        <v>398.34199999999998</v>
      </c>
      <c r="J125">
        <v>33.445</v>
      </c>
      <c r="K125">
        <v>4059.9180000000001</v>
      </c>
    </row>
    <row r="126" spans="1:11" x14ac:dyDescent="0.35">
      <c r="A126" s="78">
        <v>28491</v>
      </c>
      <c r="B126">
        <v>11.3</v>
      </c>
      <c r="C126">
        <v>6.4</v>
      </c>
      <c r="D126">
        <v>302.56299999999999</v>
      </c>
      <c r="E126">
        <v>1628.6310000000001</v>
      </c>
      <c r="F126">
        <v>6333.848</v>
      </c>
      <c r="G126">
        <v>34.762999999999998</v>
      </c>
      <c r="H126">
        <v>866.95699999999999</v>
      </c>
      <c r="I126">
        <v>425.07</v>
      </c>
      <c r="J126">
        <v>33.966999999999999</v>
      </c>
      <c r="K126">
        <v>4082.7260000000001</v>
      </c>
    </row>
    <row r="127" spans="1:11" x14ac:dyDescent="0.35">
      <c r="A127" s="78">
        <v>28581</v>
      </c>
      <c r="B127">
        <v>10.4</v>
      </c>
      <c r="C127">
        <v>7.1</v>
      </c>
      <c r="D127">
        <v>334.10599999999999</v>
      </c>
      <c r="E127">
        <v>1669.4770000000001</v>
      </c>
      <c r="F127">
        <v>6578.6049999999996</v>
      </c>
      <c r="G127">
        <v>35.457000000000001</v>
      </c>
      <c r="H127">
        <v>923.26599999999996</v>
      </c>
      <c r="I127">
        <v>426.41899999999998</v>
      </c>
      <c r="J127">
        <v>34.552999999999997</v>
      </c>
      <c r="K127">
        <v>4170.01</v>
      </c>
    </row>
    <row r="128" spans="1:11" x14ac:dyDescent="0.35">
      <c r="A128" s="78">
        <v>28672</v>
      </c>
      <c r="B128">
        <v>10.7</v>
      </c>
      <c r="C128">
        <v>7</v>
      </c>
      <c r="D128">
        <v>337.77199999999999</v>
      </c>
      <c r="E128">
        <v>1684.9</v>
      </c>
      <c r="F128">
        <v>6644.7539999999999</v>
      </c>
      <c r="G128">
        <v>36.082999999999998</v>
      </c>
      <c r="H128">
        <v>950.16600000000005</v>
      </c>
      <c r="I128">
        <v>431.99299999999999</v>
      </c>
      <c r="J128">
        <v>35.146000000000001</v>
      </c>
      <c r="K128">
        <v>4187.5200000000004</v>
      </c>
    </row>
    <row r="129" spans="1:11" x14ac:dyDescent="0.35">
      <c r="A129" s="78">
        <v>28764</v>
      </c>
      <c r="B129">
        <v>10.5</v>
      </c>
      <c r="C129">
        <v>7.4</v>
      </c>
      <c r="D129">
        <v>351.178</v>
      </c>
      <c r="E129">
        <v>1700.067</v>
      </c>
      <c r="F129">
        <v>6734.0690000000004</v>
      </c>
      <c r="G129">
        <v>36.795999999999999</v>
      </c>
      <c r="H129">
        <v>972.13900000000001</v>
      </c>
      <c r="I129">
        <v>437.92399999999998</v>
      </c>
      <c r="J129">
        <v>35.777000000000001</v>
      </c>
      <c r="K129">
        <v>4221.3100000000004</v>
      </c>
    </row>
    <row r="130" spans="1:11" x14ac:dyDescent="0.35">
      <c r="A130" s="78">
        <v>28856</v>
      </c>
      <c r="B130">
        <v>11.1</v>
      </c>
      <c r="C130">
        <v>5.6</v>
      </c>
      <c r="D130">
        <v>351.45299999999997</v>
      </c>
      <c r="E130">
        <v>1683.258</v>
      </c>
      <c r="F130">
        <v>6746.1760000000004</v>
      </c>
      <c r="G130">
        <v>37.482999999999997</v>
      </c>
      <c r="H130">
        <v>973.75400000000002</v>
      </c>
      <c r="I130">
        <v>436.73399999999998</v>
      </c>
      <c r="J130">
        <v>36.265999999999998</v>
      </c>
      <c r="K130">
        <v>4243.1729999999998</v>
      </c>
    </row>
    <row r="131" spans="1:11" x14ac:dyDescent="0.35">
      <c r="A131" s="78">
        <v>28946</v>
      </c>
      <c r="B131">
        <v>10.4</v>
      </c>
      <c r="C131">
        <v>9.1</v>
      </c>
      <c r="D131">
        <v>352.36900000000003</v>
      </c>
      <c r="E131">
        <v>1699.6590000000001</v>
      </c>
      <c r="F131">
        <v>6753.3890000000001</v>
      </c>
      <c r="G131">
        <v>38.387999999999998</v>
      </c>
      <c r="H131">
        <v>972.87699999999995</v>
      </c>
      <c r="I131">
        <v>439.09199999999998</v>
      </c>
      <c r="J131">
        <v>37.063000000000002</v>
      </c>
      <c r="K131">
        <v>4240.4189999999999</v>
      </c>
    </row>
    <row r="132" spans="1:11" x14ac:dyDescent="0.35">
      <c r="A132" s="78">
        <v>29037</v>
      </c>
      <c r="B132">
        <v>9.9</v>
      </c>
      <c r="C132">
        <v>7.6</v>
      </c>
      <c r="D132">
        <v>365.05</v>
      </c>
      <c r="E132">
        <v>1704.624</v>
      </c>
      <c r="F132">
        <v>6803.558</v>
      </c>
      <c r="G132">
        <v>39.19</v>
      </c>
      <c r="H132">
        <v>956.49300000000005</v>
      </c>
      <c r="I132">
        <v>432.38600000000002</v>
      </c>
      <c r="J132">
        <v>37.747</v>
      </c>
      <c r="K132">
        <v>4281.6819999999998</v>
      </c>
    </row>
    <row r="133" spans="1:11" x14ac:dyDescent="0.35">
      <c r="A133" s="78">
        <v>29129</v>
      </c>
      <c r="B133">
        <v>9.8000000000000007</v>
      </c>
      <c r="C133">
        <v>8.6</v>
      </c>
      <c r="D133">
        <v>388.01900000000001</v>
      </c>
      <c r="E133">
        <v>1715.85</v>
      </c>
      <c r="F133">
        <v>6820.5720000000001</v>
      </c>
      <c r="G133">
        <v>39.905000000000001</v>
      </c>
      <c r="H133">
        <v>939.52599999999995</v>
      </c>
      <c r="I133">
        <v>441.81599999999997</v>
      </c>
      <c r="J133">
        <v>38.533999999999999</v>
      </c>
      <c r="K133">
        <v>4292.335</v>
      </c>
    </row>
    <row r="134" spans="1:11" x14ac:dyDescent="0.35">
      <c r="A134" s="78">
        <v>29221</v>
      </c>
      <c r="B134">
        <v>10.1</v>
      </c>
      <c r="C134">
        <v>10.199999999999999</v>
      </c>
      <c r="D134">
        <v>398.84800000000001</v>
      </c>
      <c r="E134">
        <v>1741.0340000000001</v>
      </c>
      <c r="F134">
        <v>6842.0240000000003</v>
      </c>
      <c r="G134">
        <v>40.777000000000001</v>
      </c>
      <c r="H134">
        <v>933.101</v>
      </c>
      <c r="I134">
        <v>442.11700000000002</v>
      </c>
      <c r="J134">
        <v>39.476999999999997</v>
      </c>
      <c r="K134">
        <v>4286.2</v>
      </c>
    </row>
    <row r="135" spans="1:11" x14ac:dyDescent="0.35">
      <c r="A135" s="78">
        <v>29312</v>
      </c>
      <c r="B135">
        <v>11.3</v>
      </c>
      <c r="C135">
        <v>9.3000000000000007</v>
      </c>
      <c r="D135">
        <v>406.36700000000002</v>
      </c>
      <c r="E135">
        <v>1744.4559999999999</v>
      </c>
      <c r="F135">
        <v>6701.0460000000003</v>
      </c>
      <c r="G135">
        <v>41.744999999999997</v>
      </c>
      <c r="H135">
        <v>853.76</v>
      </c>
      <c r="I135">
        <v>410.012</v>
      </c>
      <c r="J135">
        <v>40.36</v>
      </c>
      <c r="K135">
        <v>4189.6710000000003</v>
      </c>
    </row>
    <row r="136" spans="1:11" x14ac:dyDescent="0.35">
      <c r="A136" s="78">
        <v>29403</v>
      </c>
      <c r="B136">
        <v>11.4</v>
      </c>
      <c r="C136">
        <v>9.1999999999999993</v>
      </c>
      <c r="D136">
        <v>405.50099999999998</v>
      </c>
      <c r="E136">
        <v>1720.713</v>
      </c>
      <c r="F136">
        <v>6693.0820000000003</v>
      </c>
      <c r="G136">
        <v>42.676000000000002</v>
      </c>
      <c r="H136">
        <v>797.41099999999994</v>
      </c>
      <c r="I136">
        <v>380.50700000000001</v>
      </c>
      <c r="J136">
        <v>41.259</v>
      </c>
      <c r="K136">
        <v>4235.6289999999999</v>
      </c>
    </row>
    <row r="137" spans="1:11" x14ac:dyDescent="0.35">
      <c r="A137" s="78">
        <v>29495</v>
      </c>
      <c r="B137">
        <v>11.4</v>
      </c>
      <c r="C137">
        <v>10.1</v>
      </c>
      <c r="D137">
        <v>403.04500000000002</v>
      </c>
      <c r="E137">
        <v>1720.3340000000001</v>
      </c>
      <c r="F137">
        <v>6817.9030000000002</v>
      </c>
      <c r="G137">
        <v>43.807000000000002</v>
      </c>
      <c r="H137">
        <v>871.73299999999995</v>
      </c>
      <c r="I137">
        <v>400.911</v>
      </c>
      <c r="J137">
        <v>42.264000000000003</v>
      </c>
      <c r="K137">
        <v>4292.8559999999998</v>
      </c>
    </row>
    <row r="138" spans="1:11" x14ac:dyDescent="0.35">
      <c r="A138" s="78">
        <v>29587</v>
      </c>
      <c r="B138">
        <v>10.9</v>
      </c>
      <c r="C138">
        <v>9.1999999999999993</v>
      </c>
      <c r="D138">
        <v>410.625</v>
      </c>
      <c r="E138">
        <v>1743.3430000000001</v>
      </c>
      <c r="F138">
        <v>6951.4949999999999</v>
      </c>
      <c r="G138">
        <v>44.968000000000004</v>
      </c>
      <c r="H138">
        <v>952.41800000000001</v>
      </c>
      <c r="I138">
        <v>418.02199999999999</v>
      </c>
      <c r="J138">
        <v>43.201999999999998</v>
      </c>
      <c r="K138">
        <v>4307.2370000000001</v>
      </c>
    </row>
    <row r="139" spans="1:11" x14ac:dyDescent="0.35">
      <c r="A139" s="78">
        <v>29677</v>
      </c>
      <c r="B139">
        <v>10.9</v>
      </c>
      <c r="C139">
        <v>7.8</v>
      </c>
      <c r="D139">
        <v>412.84500000000003</v>
      </c>
      <c r="E139">
        <v>1746.6949999999999</v>
      </c>
      <c r="F139">
        <v>6899.98</v>
      </c>
      <c r="G139">
        <v>45.813000000000002</v>
      </c>
      <c r="H139">
        <v>912.94500000000005</v>
      </c>
      <c r="I139">
        <v>418.63900000000001</v>
      </c>
      <c r="J139">
        <v>44.018000000000001</v>
      </c>
      <c r="K139">
        <v>4307.55</v>
      </c>
    </row>
    <row r="140" spans="1:11" x14ac:dyDescent="0.35">
      <c r="A140" s="78">
        <v>29768</v>
      </c>
      <c r="B140">
        <v>12.3</v>
      </c>
      <c r="C140">
        <v>7.6</v>
      </c>
      <c r="D140">
        <v>404.05</v>
      </c>
      <c r="E140">
        <v>1740.68</v>
      </c>
      <c r="F140">
        <v>6982.6090000000004</v>
      </c>
      <c r="G140">
        <v>46.703000000000003</v>
      </c>
      <c r="H140">
        <v>964.40099999999995</v>
      </c>
      <c r="I140">
        <v>413.84699999999998</v>
      </c>
      <c r="J140">
        <v>44.829000000000001</v>
      </c>
      <c r="K140">
        <v>4327.4759999999997</v>
      </c>
    </row>
    <row r="141" spans="1:11" x14ac:dyDescent="0.35">
      <c r="A141" s="78">
        <v>29860</v>
      </c>
      <c r="B141">
        <v>12.9</v>
      </c>
      <c r="C141">
        <v>7.3</v>
      </c>
      <c r="D141">
        <v>405.90499999999997</v>
      </c>
      <c r="E141">
        <v>1762.8040000000001</v>
      </c>
      <c r="F141">
        <v>6906.5290000000005</v>
      </c>
      <c r="G141">
        <v>47.475000000000001</v>
      </c>
      <c r="H141">
        <v>930.44</v>
      </c>
      <c r="I141">
        <v>425.69600000000003</v>
      </c>
      <c r="J141">
        <v>45.625999999999998</v>
      </c>
      <c r="K141">
        <v>4297.875</v>
      </c>
    </row>
    <row r="142" spans="1:11" x14ac:dyDescent="0.35">
      <c r="A142" s="78">
        <v>29952</v>
      </c>
      <c r="B142">
        <v>12.3</v>
      </c>
      <c r="C142">
        <v>6</v>
      </c>
      <c r="D142">
        <v>388.28899999999999</v>
      </c>
      <c r="E142">
        <v>1760.84</v>
      </c>
      <c r="F142">
        <v>6799.2330000000002</v>
      </c>
      <c r="G142">
        <v>48.155000000000001</v>
      </c>
      <c r="H142">
        <v>842.42899999999997</v>
      </c>
      <c r="I142">
        <v>413.53899999999999</v>
      </c>
      <c r="J142">
        <v>46.293999999999997</v>
      </c>
      <c r="K142">
        <v>4329.5330000000004</v>
      </c>
    </row>
    <row r="143" spans="1:11" x14ac:dyDescent="0.35">
      <c r="A143" s="78">
        <v>30042</v>
      </c>
      <c r="B143">
        <v>12.5</v>
      </c>
      <c r="C143">
        <v>5.5</v>
      </c>
      <c r="D143">
        <v>390.60500000000002</v>
      </c>
      <c r="E143">
        <v>1767.5319999999999</v>
      </c>
      <c r="F143">
        <v>6830.2510000000002</v>
      </c>
      <c r="G143">
        <v>48.795000000000002</v>
      </c>
      <c r="H143">
        <v>841.78899999999999</v>
      </c>
      <c r="I143">
        <v>406.76799999999997</v>
      </c>
      <c r="J143">
        <v>46.92</v>
      </c>
      <c r="K143">
        <v>4342.7209999999995</v>
      </c>
    </row>
    <row r="144" spans="1:11" x14ac:dyDescent="0.35">
      <c r="A144" s="78">
        <v>30133</v>
      </c>
      <c r="B144">
        <v>12.3</v>
      </c>
      <c r="C144">
        <v>6.6</v>
      </c>
      <c r="D144">
        <v>373.28300000000002</v>
      </c>
      <c r="E144">
        <v>1781.703</v>
      </c>
      <c r="F144">
        <v>6804.1390000000001</v>
      </c>
      <c r="G144">
        <v>49.472000000000001</v>
      </c>
      <c r="H144">
        <v>834.07500000000005</v>
      </c>
      <c r="I144">
        <v>425.63499999999999</v>
      </c>
      <c r="J144">
        <v>47.671999999999997</v>
      </c>
      <c r="K144">
        <v>4371.8329999999996</v>
      </c>
    </row>
    <row r="145" spans="1:11" x14ac:dyDescent="0.35">
      <c r="A145" s="78">
        <v>30225</v>
      </c>
      <c r="B145">
        <v>11</v>
      </c>
      <c r="C145">
        <v>5.7</v>
      </c>
      <c r="D145">
        <v>356.178</v>
      </c>
      <c r="E145">
        <v>1809.171</v>
      </c>
      <c r="F145">
        <v>6806.857</v>
      </c>
      <c r="G145">
        <v>49.972999999999999</v>
      </c>
      <c r="H145">
        <v>769.60199999999998</v>
      </c>
      <c r="I145">
        <v>408.92899999999997</v>
      </c>
      <c r="J145">
        <v>48.335999999999999</v>
      </c>
      <c r="K145">
        <v>4448.4139999999998</v>
      </c>
    </row>
    <row r="146" spans="1:11" x14ac:dyDescent="0.35">
      <c r="A146" s="78">
        <v>30317</v>
      </c>
      <c r="B146">
        <v>11</v>
      </c>
      <c r="C146">
        <v>5.4</v>
      </c>
      <c r="D146">
        <v>361.923</v>
      </c>
      <c r="E146">
        <v>1826.558</v>
      </c>
      <c r="F146">
        <v>6896.5609999999997</v>
      </c>
      <c r="G146">
        <v>50.372</v>
      </c>
      <c r="H146">
        <v>796.26599999999996</v>
      </c>
      <c r="I146">
        <v>418.30099999999999</v>
      </c>
      <c r="J146">
        <v>48.970999999999997</v>
      </c>
      <c r="K146">
        <v>4492.3950000000004</v>
      </c>
    </row>
    <row r="147" spans="1:11" x14ac:dyDescent="0.35">
      <c r="A147" s="78">
        <v>30407</v>
      </c>
      <c r="B147">
        <v>9.8000000000000007</v>
      </c>
      <c r="C147">
        <v>3.1</v>
      </c>
      <c r="D147">
        <v>363.00599999999997</v>
      </c>
      <c r="E147">
        <v>1841.6079999999999</v>
      </c>
      <c r="F147">
        <v>7053.5</v>
      </c>
      <c r="G147">
        <v>50.746000000000002</v>
      </c>
      <c r="H147">
        <v>866.78399999999999</v>
      </c>
      <c r="I147">
        <v>450.46499999999997</v>
      </c>
      <c r="J147">
        <v>49.345999999999997</v>
      </c>
      <c r="K147">
        <v>4583.8729999999996</v>
      </c>
    </row>
    <row r="148" spans="1:11" x14ac:dyDescent="0.35">
      <c r="A148" s="78">
        <v>30498</v>
      </c>
      <c r="B148">
        <v>9.5</v>
      </c>
      <c r="C148">
        <v>6.2</v>
      </c>
      <c r="D148">
        <v>368.46300000000002</v>
      </c>
      <c r="E148">
        <v>1873.396</v>
      </c>
      <c r="F148">
        <v>7194.5039999999999</v>
      </c>
      <c r="G148">
        <v>51.284999999999997</v>
      </c>
      <c r="H148">
        <v>921.05100000000004</v>
      </c>
      <c r="I148">
        <v>485.55599999999998</v>
      </c>
      <c r="J148">
        <v>50.094999999999999</v>
      </c>
      <c r="K148">
        <v>4666.07</v>
      </c>
    </row>
    <row r="149" spans="1:11" x14ac:dyDescent="0.35">
      <c r="A149" s="78">
        <v>30590</v>
      </c>
      <c r="B149">
        <v>10</v>
      </c>
      <c r="C149">
        <v>3.2</v>
      </c>
      <c r="D149">
        <v>375.87799999999999</v>
      </c>
      <c r="E149">
        <v>1843.4169999999999</v>
      </c>
      <c r="F149">
        <v>7344.5969999999998</v>
      </c>
      <c r="G149">
        <v>51.668999999999997</v>
      </c>
      <c r="H149">
        <v>1010.654</v>
      </c>
      <c r="I149">
        <v>509.375</v>
      </c>
      <c r="J149">
        <v>50.496000000000002</v>
      </c>
      <c r="K149">
        <v>4740.4269999999997</v>
      </c>
    </row>
    <row r="150" spans="1:11" x14ac:dyDescent="0.35">
      <c r="A150" s="78">
        <v>30682</v>
      </c>
      <c r="B150">
        <v>11.1</v>
      </c>
      <c r="C150">
        <v>4.0999999999999996</v>
      </c>
      <c r="D150">
        <v>383.72300000000001</v>
      </c>
      <c r="E150">
        <v>1862.9549999999999</v>
      </c>
      <c r="F150">
        <v>7488.1670000000004</v>
      </c>
      <c r="G150">
        <v>52.177999999999997</v>
      </c>
      <c r="H150">
        <v>1108.328</v>
      </c>
      <c r="I150">
        <v>550.32399999999996</v>
      </c>
      <c r="J150">
        <v>51.006</v>
      </c>
      <c r="K150">
        <v>4779.7669999999998</v>
      </c>
    </row>
    <row r="151" spans="1:11" x14ac:dyDescent="0.35">
      <c r="A151" s="78">
        <v>30773</v>
      </c>
      <c r="B151">
        <v>11.3</v>
      </c>
      <c r="C151">
        <v>4.8</v>
      </c>
      <c r="D151">
        <v>393.26</v>
      </c>
      <c r="E151">
        <v>1903.424</v>
      </c>
      <c r="F151">
        <v>7617.5469999999996</v>
      </c>
      <c r="G151">
        <v>52.646999999999998</v>
      </c>
      <c r="H151">
        <v>1144.3710000000001</v>
      </c>
      <c r="I151">
        <v>573.37699999999995</v>
      </c>
      <c r="J151">
        <v>51.603000000000002</v>
      </c>
      <c r="K151">
        <v>4846.7309999999998</v>
      </c>
    </row>
    <row r="152" spans="1:11" x14ac:dyDescent="0.35">
      <c r="A152" s="78">
        <v>30864</v>
      </c>
      <c r="B152">
        <v>11.7</v>
      </c>
      <c r="C152">
        <v>3.8</v>
      </c>
      <c r="D152">
        <v>401.94799999999998</v>
      </c>
      <c r="E152">
        <v>1918.8330000000001</v>
      </c>
      <c r="F152">
        <v>7690.9849999999997</v>
      </c>
      <c r="G152">
        <v>53.122</v>
      </c>
      <c r="H152">
        <v>1169.136</v>
      </c>
      <c r="I152">
        <v>588.22</v>
      </c>
      <c r="J152">
        <v>52.088000000000001</v>
      </c>
      <c r="K152">
        <v>4882.6760000000004</v>
      </c>
    </row>
    <row r="153" spans="1:11" x14ac:dyDescent="0.35">
      <c r="A153" s="78">
        <v>30956</v>
      </c>
      <c r="B153">
        <v>11.3</v>
      </c>
      <c r="C153">
        <v>2.9</v>
      </c>
      <c r="D153">
        <v>410.12599999999998</v>
      </c>
      <c r="E153">
        <v>1959.1210000000001</v>
      </c>
      <c r="F153">
        <v>7754.1170000000002</v>
      </c>
      <c r="G153">
        <v>53.494</v>
      </c>
      <c r="H153">
        <v>1153.971</v>
      </c>
      <c r="I153">
        <v>605.46100000000001</v>
      </c>
      <c r="J153">
        <v>52.457999999999998</v>
      </c>
      <c r="K153">
        <v>4945.9260000000004</v>
      </c>
    </row>
    <row r="154" spans="1:11" x14ac:dyDescent="0.35">
      <c r="A154" s="78">
        <v>31048</v>
      </c>
      <c r="B154">
        <v>9.3000000000000007</v>
      </c>
      <c r="C154">
        <v>5.6</v>
      </c>
      <c r="D154">
        <v>411.214</v>
      </c>
      <c r="E154">
        <v>1980.4580000000001</v>
      </c>
      <c r="F154">
        <v>7829.26</v>
      </c>
      <c r="G154">
        <v>54.040999999999997</v>
      </c>
      <c r="H154">
        <v>1122.3309999999999</v>
      </c>
      <c r="I154">
        <v>592.10799999999995</v>
      </c>
      <c r="J154">
        <v>53.173999999999999</v>
      </c>
      <c r="K154">
        <v>5029.9589999999998</v>
      </c>
    </row>
    <row r="155" spans="1:11" x14ac:dyDescent="0.35">
      <c r="A155" s="78">
        <v>31138</v>
      </c>
      <c r="B155">
        <v>10.199999999999999</v>
      </c>
      <c r="C155">
        <v>3.5</v>
      </c>
      <c r="D155">
        <v>410.33199999999999</v>
      </c>
      <c r="E155">
        <v>2024.41</v>
      </c>
      <c r="F155">
        <v>7898.1940000000004</v>
      </c>
      <c r="G155">
        <v>54.360999999999997</v>
      </c>
      <c r="H155">
        <v>1141.4469999999999</v>
      </c>
      <c r="I155">
        <v>621.20100000000002</v>
      </c>
      <c r="J155">
        <v>53.634999999999998</v>
      </c>
      <c r="K155">
        <v>5076.1360000000004</v>
      </c>
    </row>
    <row r="156" spans="1:11" x14ac:dyDescent="0.35">
      <c r="A156" s="78">
        <v>31229</v>
      </c>
      <c r="B156">
        <v>8.1999999999999993</v>
      </c>
      <c r="C156">
        <v>4.2</v>
      </c>
      <c r="D156">
        <v>404.34699999999998</v>
      </c>
      <c r="E156">
        <v>2070.5500000000002</v>
      </c>
      <c r="F156">
        <v>8018.8090000000002</v>
      </c>
      <c r="G156">
        <v>54.722000000000001</v>
      </c>
      <c r="H156">
        <v>1133.665</v>
      </c>
      <c r="I156">
        <v>615.19200000000001</v>
      </c>
      <c r="J156">
        <v>54.186</v>
      </c>
      <c r="K156">
        <v>5172.55</v>
      </c>
    </row>
    <row r="157" spans="1:11" x14ac:dyDescent="0.35">
      <c r="A157" s="78">
        <v>31321</v>
      </c>
      <c r="B157">
        <v>8.9</v>
      </c>
      <c r="C157">
        <v>2.9</v>
      </c>
      <c r="D157">
        <v>416.411</v>
      </c>
      <c r="E157">
        <v>2079.0859999999998</v>
      </c>
      <c r="F157">
        <v>8078.415</v>
      </c>
      <c r="G157">
        <v>55.006</v>
      </c>
      <c r="H157">
        <v>1175.45</v>
      </c>
      <c r="I157">
        <v>639.26700000000005</v>
      </c>
      <c r="J157">
        <v>54.575000000000003</v>
      </c>
      <c r="K157">
        <v>5183.741</v>
      </c>
    </row>
    <row r="158" spans="1:11" x14ac:dyDescent="0.35">
      <c r="A158" s="78">
        <v>31413</v>
      </c>
      <c r="B158">
        <v>9.3000000000000007</v>
      </c>
      <c r="C158">
        <v>4.4000000000000004</v>
      </c>
      <c r="D158">
        <v>429.45299999999997</v>
      </c>
      <c r="E158">
        <v>2095.5120000000002</v>
      </c>
      <c r="F158">
        <v>8153.8289999999997</v>
      </c>
      <c r="G158">
        <v>55.277999999999999</v>
      </c>
      <c r="H158">
        <v>1175.105</v>
      </c>
      <c r="I158">
        <v>638.62900000000002</v>
      </c>
      <c r="J158">
        <v>55.164999999999999</v>
      </c>
      <c r="K158">
        <v>5229.0410000000002</v>
      </c>
    </row>
    <row r="159" spans="1:11" x14ac:dyDescent="0.35">
      <c r="A159" s="78">
        <v>31503</v>
      </c>
      <c r="B159">
        <v>9.5</v>
      </c>
      <c r="C159">
        <v>2.8</v>
      </c>
      <c r="D159">
        <v>434.077</v>
      </c>
      <c r="E159">
        <v>2139.194</v>
      </c>
      <c r="F159">
        <v>8190.5519999999997</v>
      </c>
      <c r="G159">
        <v>55.472000000000001</v>
      </c>
      <c r="H159">
        <v>1154.5889999999999</v>
      </c>
      <c r="I159">
        <v>665.80100000000004</v>
      </c>
      <c r="J159">
        <v>55.542000000000002</v>
      </c>
      <c r="K159">
        <v>5286.0190000000002</v>
      </c>
    </row>
    <row r="160" spans="1:11" x14ac:dyDescent="0.35">
      <c r="A160" s="78">
        <v>31594</v>
      </c>
      <c r="B160">
        <v>8.5</v>
      </c>
      <c r="C160">
        <v>2.8</v>
      </c>
      <c r="D160">
        <v>444.012</v>
      </c>
      <c r="E160">
        <v>2185.7890000000002</v>
      </c>
      <c r="F160">
        <v>8268.9349999999995</v>
      </c>
      <c r="G160">
        <v>55.734999999999999</v>
      </c>
      <c r="H160">
        <v>1123.5319999999999</v>
      </c>
      <c r="I160">
        <v>684.25599999999997</v>
      </c>
      <c r="J160">
        <v>55.923999999999999</v>
      </c>
      <c r="K160">
        <v>5379.527</v>
      </c>
    </row>
    <row r="161" spans="1:11" x14ac:dyDescent="0.35">
      <c r="A161" s="78">
        <v>31686</v>
      </c>
      <c r="B161">
        <v>8.1</v>
      </c>
      <c r="C161">
        <v>3.3</v>
      </c>
      <c r="D161">
        <v>460.6</v>
      </c>
      <c r="E161">
        <v>2176.7570000000001</v>
      </c>
      <c r="F161">
        <v>8313.3379999999997</v>
      </c>
      <c r="G161">
        <v>56.066000000000003</v>
      </c>
      <c r="H161">
        <v>1126.895</v>
      </c>
      <c r="I161">
        <v>689.56700000000001</v>
      </c>
      <c r="J161">
        <v>56.378</v>
      </c>
      <c r="K161">
        <v>5412.5150000000003</v>
      </c>
    </row>
    <row r="162" spans="1:11" x14ac:dyDescent="0.35">
      <c r="A162" s="78">
        <v>31778</v>
      </c>
      <c r="B162">
        <v>8.9</v>
      </c>
      <c r="C162">
        <v>2.5</v>
      </c>
      <c r="D162">
        <v>461.01</v>
      </c>
      <c r="E162">
        <v>2189.5230000000001</v>
      </c>
      <c r="F162">
        <v>8375.2739999999994</v>
      </c>
      <c r="G162">
        <v>56.390999999999998</v>
      </c>
      <c r="H162">
        <v>1157.306</v>
      </c>
      <c r="I162">
        <v>685.524</v>
      </c>
      <c r="J162">
        <v>56.731999999999999</v>
      </c>
      <c r="K162">
        <v>5417.9040000000005</v>
      </c>
    </row>
    <row r="163" spans="1:11" x14ac:dyDescent="0.35">
      <c r="A163" s="78">
        <v>31868</v>
      </c>
      <c r="B163">
        <v>6.8</v>
      </c>
      <c r="C163">
        <v>3.9</v>
      </c>
      <c r="D163">
        <v>480.00299999999999</v>
      </c>
      <c r="E163">
        <v>2206.5</v>
      </c>
      <c r="F163">
        <v>8465.6299999999992</v>
      </c>
      <c r="G163">
        <v>56.774000000000001</v>
      </c>
      <c r="H163">
        <v>1157.9090000000001</v>
      </c>
      <c r="I163">
        <v>702.67499999999995</v>
      </c>
      <c r="J163">
        <v>57.281999999999996</v>
      </c>
      <c r="K163">
        <v>5491.8370000000004</v>
      </c>
    </row>
    <row r="164" spans="1:11" x14ac:dyDescent="0.35">
      <c r="A164" s="78">
        <v>31959</v>
      </c>
      <c r="B164">
        <v>7.5</v>
      </c>
      <c r="C164">
        <v>3.6</v>
      </c>
      <c r="D164">
        <v>500.839</v>
      </c>
      <c r="E164">
        <v>2208.8180000000002</v>
      </c>
      <c r="F164">
        <v>8539.0750000000007</v>
      </c>
      <c r="G164">
        <v>57.212000000000003</v>
      </c>
      <c r="H164">
        <v>1158.077</v>
      </c>
      <c r="I164">
        <v>716.37199999999996</v>
      </c>
      <c r="J164">
        <v>57.795000000000002</v>
      </c>
      <c r="K164">
        <v>5554.5119999999997</v>
      </c>
    </row>
    <row r="165" spans="1:11" x14ac:dyDescent="0.35">
      <c r="A165" s="78">
        <v>32051</v>
      </c>
      <c r="B165">
        <v>8.5</v>
      </c>
      <c r="C165">
        <v>4.0999999999999996</v>
      </c>
      <c r="D165">
        <v>519.52300000000002</v>
      </c>
      <c r="E165">
        <v>2241.9340000000002</v>
      </c>
      <c r="F165">
        <v>8685.6939999999995</v>
      </c>
      <c r="G165">
        <v>57.640999999999998</v>
      </c>
      <c r="H165">
        <v>1236.9860000000001</v>
      </c>
      <c r="I165">
        <v>732.84500000000003</v>
      </c>
      <c r="J165">
        <v>58.381999999999998</v>
      </c>
      <c r="K165">
        <v>5566.2629999999999</v>
      </c>
    </row>
    <row r="166" spans="1:11" x14ac:dyDescent="0.35">
      <c r="A166" s="78">
        <v>32143</v>
      </c>
      <c r="B166">
        <v>8.3000000000000007</v>
      </c>
      <c r="C166">
        <v>3.9</v>
      </c>
      <c r="D166">
        <v>548.37300000000005</v>
      </c>
      <c r="E166">
        <v>2223.2289999999998</v>
      </c>
      <c r="F166">
        <v>8730.5689999999995</v>
      </c>
      <c r="G166">
        <v>58.087000000000003</v>
      </c>
      <c r="H166">
        <v>1177.604</v>
      </c>
      <c r="I166">
        <v>729.39300000000003</v>
      </c>
      <c r="J166">
        <v>58.945</v>
      </c>
      <c r="K166">
        <v>5664.5929999999998</v>
      </c>
    </row>
    <row r="167" spans="1:11" x14ac:dyDescent="0.35">
      <c r="A167" s="78">
        <v>32234</v>
      </c>
      <c r="B167">
        <v>8.6</v>
      </c>
      <c r="C167">
        <v>4.9000000000000004</v>
      </c>
      <c r="D167">
        <v>563.74099999999999</v>
      </c>
      <c r="E167">
        <v>2229.8679999999999</v>
      </c>
      <c r="F167">
        <v>8845.2800000000007</v>
      </c>
      <c r="G167">
        <v>58.667000000000002</v>
      </c>
      <c r="H167">
        <v>1205.662</v>
      </c>
      <c r="I167">
        <v>720.99199999999996</v>
      </c>
      <c r="J167">
        <v>59.66</v>
      </c>
      <c r="K167">
        <v>5706.4139999999998</v>
      </c>
    </row>
    <row r="168" spans="1:11" x14ac:dyDescent="0.35">
      <c r="A168" s="78">
        <v>32325</v>
      </c>
      <c r="B168">
        <v>8.6</v>
      </c>
      <c r="C168">
        <v>4.7</v>
      </c>
      <c r="D168">
        <v>574.85</v>
      </c>
      <c r="E168">
        <v>2230.13</v>
      </c>
      <c r="F168">
        <v>8897.107</v>
      </c>
      <c r="G168">
        <v>59.384999999999998</v>
      </c>
      <c r="H168">
        <v>1212.3599999999999</v>
      </c>
      <c r="I168">
        <v>738.00300000000004</v>
      </c>
      <c r="J168">
        <v>60.347000000000001</v>
      </c>
      <c r="K168">
        <v>5757.12</v>
      </c>
    </row>
    <row r="169" spans="1:11" x14ac:dyDescent="0.35">
      <c r="A169" s="78">
        <v>32417</v>
      </c>
      <c r="B169">
        <v>8.5</v>
      </c>
      <c r="C169">
        <v>4.5</v>
      </c>
      <c r="D169">
        <v>592.39499999999998</v>
      </c>
      <c r="E169">
        <v>2273.404</v>
      </c>
      <c r="F169">
        <v>9015.6610000000001</v>
      </c>
      <c r="G169">
        <v>59.932000000000002</v>
      </c>
      <c r="H169">
        <v>1230.8610000000001</v>
      </c>
      <c r="I169">
        <v>760.48400000000004</v>
      </c>
      <c r="J169">
        <v>61.021999999999998</v>
      </c>
      <c r="K169">
        <v>5822.5789999999997</v>
      </c>
    </row>
    <row r="170" spans="1:11" x14ac:dyDescent="0.35">
      <c r="A170" s="78">
        <v>32509</v>
      </c>
      <c r="B170">
        <v>9</v>
      </c>
      <c r="C170">
        <v>4.4000000000000004</v>
      </c>
      <c r="D170">
        <v>610.08799999999997</v>
      </c>
      <c r="E170">
        <v>2263.4110000000001</v>
      </c>
      <c r="F170">
        <v>9107.3140000000003</v>
      </c>
      <c r="G170">
        <v>60.508000000000003</v>
      </c>
      <c r="H170">
        <v>1272.6379999999999</v>
      </c>
      <c r="I170">
        <v>764.02099999999996</v>
      </c>
      <c r="J170">
        <v>61.686999999999998</v>
      </c>
      <c r="K170">
        <v>5849.5919999999996</v>
      </c>
    </row>
    <row r="171" spans="1:11" x14ac:dyDescent="0.35">
      <c r="A171" s="78">
        <v>32599</v>
      </c>
      <c r="B171">
        <v>8.3000000000000007</v>
      </c>
      <c r="C171">
        <v>3.7</v>
      </c>
      <c r="D171">
        <v>636.79999999999995</v>
      </c>
      <c r="E171">
        <v>2298.2249999999999</v>
      </c>
      <c r="F171">
        <v>9176.8269999999993</v>
      </c>
      <c r="G171">
        <v>61.162999999999997</v>
      </c>
      <c r="H171">
        <v>1260.328</v>
      </c>
      <c r="I171">
        <v>767.64300000000003</v>
      </c>
      <c r="J171">
        <v>62.249000000000002</v>
      </c>
      <c r="K171">
        <v>5876.8959999999997</v>
      </c>
    </row>
    <row r="172" spans="1:11" x14ac:dyDescent="0.35">
      <c r="A172" s="78">
        <v>32690</v>
      </c>
      <c r="B172">
        <v>8</v>
      </c>
      <c r="C172">
        <v>3</v>
      </c>
      <c r="D172">
        <v>643.30499999999995</v>
      </c>
      <c r="E172">
        <v>2318.902</v>
      </c>
      <c r="F172">
        <v>9244.8160000000007</v>
      </c>
      <c r="G172">
        <v>61.616999999999997</v>
      </c>
      <c r="H172">
        <v>1249.0119999999999</v>
      </c>
      <c r="I172">
        <v>766.59900000000005</v>
      </c>
      <c r="J172">
        <v>62.712000000000003</v>
      </c>
      <c r="K172">
        <v>5933.79</v>
      </c>
    </row>
    <row r="173" spans="1:11" x14ac:dyDescent="0.35">
      <c r="A173" s="78">
        <v>32782</v>
      </c>
      <c r="B173">
        <v>8.3000000000000007</v>
      </c>
      <c r="C173">
        <v>3.7</v>
      </c>
      <c r="D173">
        <v>653.04300000000001</v>
      </c>
      <c r="E173">
        <v>2330.5340000000001</v>
      </c>
      <c r="F173">
        <v>9263.0329999999994</v>
      </c>
      <c r="G173">
        <v>62.036999999999999</v>
      </c>
      <c r="H173">
        <v>1239.7470000000001</v>
      </c>
      <c r="I173">
        <v>780.46900000000005</v>
      </c>
      <c r="J173">
        <v>63.286000000000001</v>
      </c>
      <c r="K173">
        <v>5959.58</v>
      </c>
    </row>
    <row r="174" spans="1:11" x14ac:dyDescent="0.35">
      <c r="A174" s="78">
        <v>32874</v>
      </c>
      <c r="B174">
        <v>8.3000000000000007</v>
      </c>
      <c r="C174">
        <v>4.7</v>
      </c>
      <c r="D174">
        <v>681.404</v>
      </c>
      <c r="E174">
        <v>2367.8000000000002</v>
      </c>
      <c r="F174">
        <v>9364.259</v>
      </c>
      <c r="G174">
        <v>62.713000000000001</v>
      </c>
      <c r="H174">
        <v>1252.058</v>
      </c>
      <c r="I174">
        <v>805.21900000000005</v>
      </c>
      <c r="J174">
        <v>64.015000000000001</v>
      </c>
      <c r="K174">
        <v>6009.7349999999997</v>
      </c>
    </row>
    <row r="175" spans="1:11" x14ac:dyDescent="0.35">
      <c r="A175" s="78">
        <v>32964</v>
      </c>
      <c r="B175">
        <v>8.6999999999999993</v>
      </c>
      <c r="C175">
        <v>4.5</v>
      </c>
      <c r="D175">
        <v>689.87800000000004</v>
      </c>
      <c r="E175">
        <v>2371.5329999999999</v>
      </c>
      <c r="F175">
        <v>9398.2430000000004</v>
      </c>
      <c r="G175">
        <v>63.414999999999999</v>
      </c>
      <c r="H175">
        <v>1252.4490000000001</v>
      </c>
      <c r="I175">
        <v>803.86800000000005</v>
      </c>
      <c r="J175">
        <v>64.73</v>
      </c>
      <c r="K175">
        <v>6028.0410000000002</v>
      </c>
    </row>
    <row r="176" spans="1:11" x14ac:dyDescent="0.35">
      <c r="A176" s="78">
        <v>33055</v>
      </c>
      <c r="B176">
        <v>8.3000000000000007</v>
      </c>
      <c r="C176">
        <v>4.0999999999999996</v>
      </c>
      <c r="D176">
        <v>695.09900000000005</v>
      </c>
      <c r="E176">
        <v>2375.306</v>
      </c>
      <c r="F176">
        <v>9404.4940000000006</v>
      </c>
      <c r="G176">
        <v>63.963000000000001</v>
      </c>
      <c r="H176">
        <v>1228.17</v>
      </c>
      <c r="I176">
        <v>800.62199999999996</v>
      </c>
      <c r="J176">
        <v>65.384</v>
      </c>
      <c r="K176">
        <v>6051.9219999999996</v>
      </c>
    </row>
    <row r="177" spans="1:11" x14ac:dyDescent="0.35">
      <c r="A177" s="78">
        <v>33147</v>
      </c>
      <c r="B177">
        <v>8.1999999999999993</v>
      </c>
      <c r="C177">
        <v>3.4</v>
      </c>
      <c r="D177">
        <v>701.21900000000005</v>
      </c>
      <c r="E177">
        <v>2391.1880000000001</v>
      </c>
      <c r="F177">
        <v>9318.8760000000002</v>
      </c>
      <c r="G177">
        <v>64.451999999999998</v>
      </c>
      <c r="H177">
        <v>1159.4639999999999</v>
      </c>
      <c r="I177">
        <v>779.15099999999995</v>
      </c>
      <c r="J177">
        <v>65.933000000000007</v>
      </c>
      <c r="K177">
        <v>6005.8819999999996</v>
      </c>
    </row>
    <row r="178" spans="1:11" x14ac:dyDescent="0.35">
      <c r="A178" s="78">
        <v>33239</v>
      </c>
      <c r="B178">
        <v>8.6999999999999993</v>
      </c>
      <c r="C178">
        <v>3.6</v>
      </c>
      <c r="D178">
        <v>705.50300000000004</v>
      </c>
      <c r="E178">
        <v>2405.4470000000001</v>
      </c>
      <c r="F178">
        <v>9275.2759999999998</v>
      </c>
      <c r="G178">
        <v>65.078000000000003</v>
      </c>
      <c r="H178">
        <v>1120.884</v>
      </c>
      <c r="I178">
        <v>770.27200000000005</v>
      </c>
      <c r="J178">
        <v>66.518000000000001</v>
      </c>
      <c r="K178">
        <v>5983.2979999999998</v>
      </c>
    </row>
    <row r="179" spans="1:11" x14ac:dyDescent="0.35">
      <c r="A179" s="78">
        <v>33329</v>
      </c>
      <c r="B179">
        <v>8.6</v>
      </c>
      <c r="C179">
        <v>3.1</v>
      </c>
      <c r="D179">
        <v>731.22500000000002</v>
      </c>
      <c r="E179">
        <v>2415.232</v>
      </c>
      <c r="F179">
        <v>9347.5969999999998</v>
      </c>
      <c r="G179">
        <v>65.546999999999997</v>
      </c>
      <c r="H179">
        <v>1120.8800000000001</v>
      </c>
      <c r="I179">
        <v>783.96299999999997</v>
      </c>
      <c r="J179">
        <v>67.031000000000006</v>
      </c>
      <c r="K179">
        <v>6032.8850000000002</v>
      </c>
    </row>
    <row r="180" spans="1:11" x14ac:dyDescent="0.35">
      <c r="A180" s="78">
        <v>33420</v>
      </c>
      <c r="B180">
        <v>8.6</v>
      </c>
      <c r="C180">
        <v>3.7</v>
      </c>
      <c r="D180">
        <v>748.53599999999994</v>
      </c>
      <c r="E180">
        <v>2408.4670000000001</v>
      </c>
      <c r="F180">
        <v>9394.8340000000007</v>
      </c>
      <c r="G180">
        <v>66.05</v>
      </c>
      <c r="H180">
        <v>1143.0730000000001</v>
      </c>
      <c r="I180">
        <v>806.02499999999998</v>
      </c>
      <c r="J180">
        <v>67.635000000000005</v>
      </c>
      <c r="K180">
        <v>6062.9639999999999</v>
      </c>
    </row>
    <row r="181" spans="1:11" x14ac:dyDescent="0.35">
      <c r="A181" s="78">
        <v>33512</v>
      </c>
      <c r="B181">
        <v>9.4</v>
      </c>
      <c r="C181">
        <v>3.2</v>
      </c>
      <c r="D181">
        <v>765.39099999999996</v>
      </c>
      <c r="E181">
        <v>2390.8440000000001</v>
      </c>
      <c r="F181">
        <v>9427.5810000000001</v>
      </c>
      <c r="G181">
        <v>66.433999999999997</v>
      </c>
      <c r="H181">
        <v>1183.605</v>
      </c>
      <c r="I181">
        <v>823.83100000000002</v>
      </c>
      <c r="J181">
        <v>68.167000000000002</v>
      </c>
      <c r="K181">
        <v>6059.93</v>
      </c>
    </row>
    <row r="182" spans="1:11" x14ac:dyDescent="0.35">
      <c r="A182" s="78">
        <v>33604</v>
      </c>
      <c r="B182">
        <v>9.6</v>
      </c>
      <c r="C182">
        <v>3.1</v>
      </c>
      <c r="D182">
        <v>779.22799999999995</v>
      </c>
      <c r="E182">
        <v>2412.0329999999999</v>
      </c>
      <c r="F182">
        <v>9540.4439999999995</v>
      </c>
      <c r="G182">
        <v>66.7</v>
      </c>
      <c r="H182">
        <v>1161.74</v>
      </c>
      <c r="I182">
        <v>829.81500000000005</v>
      </c>
      <c r="J182">
        <v>68.688000000000002</v>
      </c>
      <c r="K182">
        <v>6173.393</v>
      </c>
    </row>
    <row r="183" spans="1:11" x14ac:dyDescent="0.35">
      <c r="A183" s="78">
        <v>33695</v>
      </c>
      <c r="B183">
        <v>9.9</v>
      </c>
      <c r="C183">
        <v>2.9</v>
      </c>
      <c r="D183">
        <v>779.59900000000005</v>
      </c>
      <c r="E183">
        <v>2407.3690000000001</v>
      </c>
      <c r="F183">
        <v>9643.893</v>
      </c>
      <c r="G183">
        <v>67.097999999999999</v>
      </c>
      <c r="H183">
        <v>1227.44</v>
      </c>
      <c r="I183">
        <v>843.45699999999999</v>
      </c>
      <c r="J183">
        <v>69.173000000000002</v>
      </c>
      <c r="K183">
        <v>6215.3</v>
      </c>
    </row>
    <row r="184" spans="1:11" x14ac:dyDescent="0.35">
      <c r="A184" s="78">
        <v>33786</v>
      </c>
      <c r="B184">
        <v>9.3000000000000007</v>
      </c>
      <c r="C184">
        <v>2.4</v>
      </c>
      <c r="D184">
        <v>796.12</v>
      </c>
      <c r="E184">
        <v>2422.703</v>
      </c>
      <c r="F184">
        <v>9739.1849999999995</v>
      </c>
      <c r="G184">
        <v>67.418999999999997</v>
      </c>
      <c r="H184">
        <v>1237.1969999999999</v>
      </c>
      <c r="I184">
        <v>856.75300000000004</v>
      </c>
      <c r="J184">
        <v>69.582999999999998</v>
      </c>
      <c r="K184">
        <v>6281.9229999999998</v>
      </c>
    </row>
    <row r="185" spans="1:11" x14ac:dyDescent="0.35">
      <c r="A185" s="78">
        <v>33878</v>
      </c>
      <c r="B185">
        <v>8.9</v>
      </c>
      <c r="C185">
        <v>3</v>
      </c>
      <c r="D185">
        <v>800.11</v>
      </c>
      <c r="E185">
        <v>2422.424</v>
      </c>
      <c r="F185">
        <v>9840.7530000000006</v>
      </c>
      <c r="G185">
        <v>67.894000000000005</v>
      </c>
      <c r="H185">
        <v>1274.9449999999999</v>
      </c>
      <c r="I185">
        <v>877.26300000000003</v>
      </c>
      <c r="J185">
        <v>70.093000000000004</v>
      </c>
      <c r="K185">
        <v>6356.7960000000003</v>
      </c>
    </row>
    <row r="186" spans="1:11" x14ac:dyDescent="0.35">
      <c r="A186" s="78">
        <v>33970</v>
      </c>
      <c r="B186">
        <v>8.8000000000000007</v>
      </c>
      <c r="C186">
        <v>2.8</v>
      </c>
      <c r="D186">
        <v>801.89599999999996</v>
      </c>
      <c r="E186">
        <v>2392.3710000000001</v>
      </c>
      <c r="F186">
        <v>9857.1849999999995</v>
      </c>
      <c r="G186">
        <v>68.298000000000002</v>
      </c>
      <c r="H186">
        <v>1305.0029999999999</v>
      </c>
      <c r="I186">
        <v>896.25699999999995</v>
      </c>
      <c r="J186">
        <v>70.575999999999993</v>
      </c>
      <c r="K186">
        <v>6381.1679999999997</v>
      </c>
    </row>
    <row r="187" spans="1:11" x14ac:dyDescent="0.35">
      <c r="A187" s="78">
        <v>34060</v>
      </c>
      <c r="B187">
        <v>8.3000000000000007</v>
      </c>
      <c r="C187">
        <v>3.1</v>
      </c>
      <c r="D187">
        <v>811.48</v>
      </c>
      <c r="E187">
        <v>2392.585</v>
      </c>
      <c r="F187">
        <v>9914.5650000000005</v>
      </c>
      <c r="G187">
        <v>68.700999999999993</v>
      </c>
      <c r="H187">
        <v>1312.511</v>
      </c>
      <c r="I187">
        <v>914.774</v>
      </c>
      <c r="J187">
        <v>71.111999999999995</v>
      </c>
      <c r="K187">
        <v>6439.2110000000002</v>
      </c>
    </row>
    <row r="188" spans="1:11" x14ac:dyDescent="0.35">
      <c r="A188" s="78">
        <v>34151</v>
      </c>
      <c r="B188">
        <v>7.4</v>
      </c>
      <c r="C188">
        <v>2.2999999999999998</v>
      </c>
      <c r="D188">
        <v>809.29899999999998</v>
      </c>
      <c r="E188">
        <v>2395.9870000000001</v>
      </c>
      <c r="F188">
        <v>9961.8729999999996</v>
      </c>
      <c r="G188">
        <v>69.046000000000006</v>
      </c>
      <c r="H188">
        <v>1303.597</v>
      </c>
      <c r="I188">
        <v>926.82100000000003</v>
      </c>
      <c r="J188">
        <v>71.509</v>
      </c>
      <c r="K188">
        <v>6510.8739999999998</v>
      </c>
    </row>
    <row r="189" spans="1:11" x14ac:dyDescent="0.35">
      <c r="A189" s="78">
        <v>34243</v>
      </c>
      <c r="B189">
        <v>7.3</v>
      </c>
      <c r="C189">
        <v>2.1</v>
      </c>
      <c r="D189">
        <v>835.38400000000001</v>
      </c>
      <c r="E189">
        <v>2404.4470000000001</v>
      </c>
      <c r="F189">
        <v>10097.361999999999</v>
      </c>
      <c r="G189">
        <v>69.451999999999998</v>
      </c>
      <c r="H189">
        <v>1372.097</v>
      </c>
      <c r="I189">
        <v>964.05499999999995</v>
      </c>
      <c r="J189">
        <v>71.876999999999995</v>
      </c>
      <c r="K189">
        <v>6568.0280000000002</v>
      </c>
    </row>
    <row r="190" spans="1:11" x14ac:dyDescent="0.35">
      <c r="A190" s="78">
        <v>34335</v>
      </c>
      <c r="B190">
        <v>6.8</v>
      </c>
      <c r="C190">
        <v>1.8</v>
      </c>
      <c r="D190">
        <v>843.58399999999995</v>
      </c>
      <c r="E190">
        <v>2374.6979999999999</v>
      </c>
      <c r="F190">
        <v>10195.338</v>
      </c>
      <c r="G190">
        <v>69.807000000000002</v>
      </c>
      <c r="H190">
        <v>1424.36</v>
      </c>
      <c r="I190">
        <v>986.51400000000001</v>
      </c>
      <c r="J190">
        <v>72.203000000000003</v>
      </c>
      <c r="K190">
        <v>6643.1509999999998</v>
      </c>
    </row>
    <row r="191" spans="1:11" x14ac:dyDescent="0.35">
      <c r="A191" s="78">
        <v>34425</v>
      </c>
      <c r="B191">
        <v>7</v>
      </c>
      <c r="C191">
        <v>2.7</v>
      </c>
      <c r="D191">
        <v>872.06500000000005</v>
      </c>
      <c r="E191">
        <v>2386.451</v>
      </c>
      <c r="F191">
        <v>10333.495000000001</v>
      </c>
      <c r="G191">
        <v>70.14</v>
      </c>
      <c r="H191">
        <v>1494.4110000000001</v>
      </c>
      <c r="I191">
        <v>1023.272</v>
      </c>
      <c r="J191">
        <v>72.688999999999993</v>
      </c>
      <c r="K191">
        <v>6694.8389999999999</v>
      </c>
    </row>
    <row r="192" spans="1:11" x14ac:dyDescent="0.35">
      <c r="A192" s="78">
        <v>34516</v>
      </c>
      <c r="B192">
        <v>6.8</v>
      </c>
      <c r="C192">
        <v>2.2999999999999998</v>
      </c>
      <c r="D192">
        <v>904.70500000000004</v>
      </c>
      <c r="E192">
        <v>2426.6790000000001</v>
      </c>
      <c r="F192">
        <v>10393.897999999999</v>
      </c>
      <c r="G192">
        <v>70.513999999999996</v>
      </c>
      <c r="H192">
        <v>1469.999</v>
      </c>
      <c r="I192">
        <v>1052.047</v>
      </c>
      <c r="J192">
        <v>73.094999999999999</v>
      </c>
      <c r="K192">
        <v>6745.8869999999997</v>
      </c>
    </row>
    <row r="193" spans="1:11" x14ac:dyDescent="0.35">
      <c r="A193" s="78">
        <v>34608</v>
      </c>
      <c r="B193">
        <v>7.1</v>
      </c>
      <c r="C193">
        <v>2.1</v>
      </c>
      <c r="D193">
        <v>925.58900000000006</v>
      </c>
      <c r="E193">
        <v>2405.5650000000001</v>
      </c>
      <c r="F193">
        <v>10512.962</v>
      </c>
      <c r="G193">
        <v>70.906999999999996</v>
      </c>
      <c r="H193">
        <v>1530.4760000000001</v>
      </c>
      <c r="I193">
        <v>1081.6469999999999</v>
      </c>
      <c r="J193">
        <v>73.466999999999999</v>
      </c>
      <c r="K193">
        <v>6818.8190000000004</v>
      </c>
    </row>
    <row r="194" spans="1:11" x14ac:dyDescent="0.35">
      <c r="A194" s="78">
        <v>34700</v>
      </c>
      <c r="B194">
        <v>7.6</v>
      </c>
      <c r="C194">
        <v>2.1</v>
      </c>
      <c r="D194">
        <v>943.41800000000001</v>
      </c>
      <c r="E194">
        <v>2413.98</v>
      </c>
      <c r="F194">
        <v>10550.251</v>
      </c>
      <c r="G194">
        <v>71.311000000000007</v>
      </c>
      <c r="H194">
        <v>1546.548</v>
      </c>
      <c r="I194">
        <v>1105.3800000000001</v>
      </c>
      <c r="J194">
        <v>73.852000000000004</v>
      </c>
      <c r="K194">
        <v>6835.7910000000002</v>
      </c>
    </row>
    <row r="195" spans="1:11" x14ac:dyDescent="0.35">
      <c r="A195" s="78">
        <v>34790</v>
      </c>
      <c r="B195">
        <v>6.9</v>
      </c>
      <c r="C195">
        <v>2.4</v>
      </c>
      <c r="D195">
        <v>956.64700000000005</v>
      </c>
      <c r="E195">
        <v>2422.0909999999999</v>
      </c>
      <c r="F195">
        <v>10581.723</v>
      </c>
      <c r="G195">
        <v>71.661000000000001</v>
      </c>
      <c r="H195">
        <v>1514.4259999999999</v>
      </c>
      <c r="I195">
        <v>1115.8779999999999</v>
      </c>
      <c r="J195">
        <v>74.290000000000006</v>
      </c>
      <c r="K195">
        <v>6895.7179999999998</v>
      </c>
    </row>
    <row r="196" spans="1:11" x14ac:dyDescent="0.35">
      <c r="A196" s="78">
        <v>34881</v>
      </c>
      <c r="B196">
        <v>6.8</v>
      </c>
      <c r="C196">
        <v>1.9</v>
      </c>
      <c r="D196">
        <v>998.04600000000005</v>
      </c>
      <c r="E196">
        <v>2415.7359999999999</v>
      </c>
      <c r="F196">
        <v>10671.737999999999</v>
      </c>
      <c r="G196">
        <v>71.981999999999999</v>
      </c>
      <c r="H196">
        <v>1505.3989999999999</v>
      </c>
      <c r="I196">
        <v>1119.712</v>
      </c>
      <c r="J196">
        <v>74.644000000000005</v>
      </c>
      <c r="K196">
        <v>6958.21</v>
      </c>
    </row>
    <row r="197" spans="1:11" x14ac:dyDescent="0.35">
      <c r="A197" s="78">
        <v>34973</v>
      </c>
      <c r="B197">
        <v>6.6</v>
      </c>
      <c r="C197">
        <v>2</v>
      </c>
      <c r="D197">
        <v>1012.295</v>
      </c>
      <c r="E197">
        <v>2390.46</v>
      </c>
      <c r="F197">
        <v>10744.203</v>
      </c>
      <c r="G197">
        <v>72.322000000000003</v>
      </c>
      <c r="H197">
        <v>1542.7850000000001</v>
      </c>
      <c r="I197">
        <v>1134.0239999999999</v>
      </c>
      <c r="J197">
        <v>75.019000000000005</v>
      </c>
      <c r="K197">
        <v>7006.7470000000003</v>
      </c>
    </row>
    <row r="198" spans="1:11" x14ac:dyDescent="0.35">
      <c r="A198" s="78">
        <v>35065</v>
      </c>
      <c r="B198">
        <v>6.7</v>
      </c>
      <c r="C198">
        <v>1.6</v>
      </c>
      <c r="D198">
        <v>1024.482</v>
      </c>
      <c r="E198">
        <v>2406.2280000000001</v>
      </c>
      <c r="F198">
        <v>10824.674000000001</v>
      </c>
      <c r="G198">
        <v>72.655000000000001</v>
      </c>
      <c r="H198">
        <v>1567.56</v>
      </c>
      <c r="I198">
        <v>1170.8879999999999</v>
      </c>
      <c r="J198">
        <v>75.313000000000002</v>
      </c>
      <c r="K198">
        <v>7071.3689999999997</v>
      </c>
    </row>
    <row r="199" spans="1:11" x14ac:dyDescent="0.35">
      <c r="A199" s="78">
        <v>35156</v>
      </c>
      <c r="B199">
        <v>6.5</v>
      </c>
      <c r="C199">
        <v>1.9</v>
      </c>
      <c r="D199">
        <v>1041.134</v>
      </c>
      <c r="E199">
        <v>2436.1979999999999</v>
      </c>
      <c r="F199">
        <v>11005.217000000001</v>
      </c>
      <c r="G199">
        <v>72.951999999999998</v>
      </c>
      <c r="H199">
        <v>1642.8820000000001</v>
      </c>
      <c r="I199">
        <v>1197.0920000000001</v>
      </c>
      <c r="J199">
        <v>75.671999999999997</v>
      </c>
      <c r="K199">
        <v>7147.4409999999998</v>
      </c>
    </row>
    <row r="200" spans="1:11" x14ac:dyDescent="0.35">
      <c r="A200" s="78">
        <v>35247</v>
      </c>
      <c r="B200">
        <v>6.6</v>
      </c>
      <c r="C200">
        <v>1.8</v>
      </c>
      <c r="D200">
        <v>1049.548</v>
      </c>
      <c r="E200">
        <v>2436.1819999999998</v>
      </c>
      <c r="F200">
        <v>11103.934999999999</v>
      </c>
      <c r="G200">
        <v>73.305999999999997</v>
      </c>
      <c r="H200">
        <v>1717.51</v>
      </c>
      <c r="I200">
        <v>1235.904</v>
      </c>
      <c r="J200">
        <v>76.016999999999996</v>
      </c>
      <c r="K200">
        <v>7190.7129999999997</v>
      </c>
    </row>
    <row r="201" spans="1:11" x14ac:dyDescent="0.35">
      <c r="A201" s="78">
        <v>35339</v>
      </c>
      <c r="B201">
        <v>6.4</v>
      </c>
      <c r="C201">
        <v>2.2999999999999998</v>
      </c>
      <c r="D201">
        <v>1114.9749999999999</v>
      </c>
      <c r="E201">
        <v>2452.9940000000001</v>
      </c>
      <c r="F201">
        <v>11219.237999999999</v>
      </c>
      <c r="G201">
        <v>73.616</v>
      </c>
      <c r="H201">
        <v>1715.2449999999999</v>
      </c>
      <c r="I201">
        <v>1260.278</v>
      </c>
      <c r="J201">
        <v>76.45</v>
      </c>
      <c r="K201">
        <v>7247.9870000000001</v>
      </c>
    </row>
    <row r="202" spans="1:11" x14ac:dyDescent="0.35">
      <c r="A202" s="78">
        <v>35431</v>
      </c>
      <c r="B202">
        <v>6.3</v>
      </c>
      <c r="C202">
        <v>1.6</v>
      </c>
      <c r="D202">
        <v>1136.155</v>
      </c>
      <c r="E202">
        <v>2440.2449999999999</v>
      </c>
      <c r="F202">
        <v>11291.665000000001</v>
      </c>
      <c r="G202">
        <v>73.945999999999998</v>
      </c>
      <c r="H202">
        <v>1749.8789999999999</v>
      </c>
      <c r="I202">
        <v>1314.106</v>
      </c>
      <c r="J202">
        <v>76.75</v>
      </c>
      <c r="K202">
        <v>7324.3879999999999</v>
      </c>
    </row>
    <row r="203" spans="1:11" x14ac:dyDescent="0.35">
      <c r="A203" s="78">
        <v>35521</v>
      </c>
      <c r="B203">
        <v>6.6</v>
      </c>
      <c r="C203">
        <v>2.1</v>
      </c>
      <c r="D203">
        <v>1181.5740000000001</v>
      </c>
      <c r="E203">
        <v>2471.8670000000002</v>
      </c>
      <c r="F203">
        <v>11479.33</v>
      </c>
      <c r="G203">
        <v>74.313999999999993</v>
      </c>
      <c r="H203">
        <v>1856.9559999999999</v>
      </c>
      <c r="I203">
        <v>1358.212</v>
      </c>
      <c r="J203">
        <v>77.150000000000006</v>
      </c>
      <c r="K203">
        <v>7357.3620000000001</v>
      </c>
    </row>
    <row r="204" spans="1:11" x14ac:dyDescent="0.35">
      <c r="A204" s="78">
        <v>35612</v>
      </c>
      <c r="B204">
        <v>6.1</v>
      </c>
      <c r="C204">
        <v>0.9</v>
      </c>
      <c r="D204">
        <v>1208.942</v>
      </c>
      <c r="E204">
        <v>2483.31</v>
      </c>
      <c r="F204">
        <v>11622.911</v>
      </c>
      <c r="G204">
        <v>74.534999999999997</v>
      </c>
      <c r="H204">
        <v>1882.9549999999999</v>
      </c>
      <c r="I204">
        <v>1408.2639999999999</v>
      </c>
      <c r="J204">
        <v>77.33</v>
      </c>
      <c r="K204">
        <v>7482.7129999999997</v>
      </c>
    </row>
    <row r="205" spans="1:11" x14ac:dyDescent="0.35">
      <c r="A205" s="78">
        <v>35704</v>
      </c>
      <c r="B205">
        <v>6.3</v>
      </c>
      <c r="C205">
        <v>1.3</v>
      </c>
      <c r="D205">
        <v>1207.259</v>
      </c>
      <c r="E205">
        <v>2495.7719999999999</v>
      </c>
      <c r="F205">
        <v>11722.722</v>
      </c>
      <c r="G205">
        <v>74.802000000000007</v>
      </c>
      <c r="H205">
        <v>1911.048</v>
      </c>
      <c r="I205">
        <v>1438.655</v>
      </c>
      <c r="J205">
        <v>77.575000000000003</v>
      </c>
      <c r="K205">
        <v>7572.1469999999999</v>
      </c>
    </row>
    <row r="206" spans="1:11" x14ac:dyDescent="0.35">
      <c r="A206" s="78">
        <v>35796</v>
      </c>
      <c r="B206">
        <v>7.4</v>
      </c>
      <c r="C206">
        <v>1.2</v>
      </c>
      <c r="D206">
        <v>1212.914</v>
      </c>
      <c r="E206">
        <v>2486.8409999999999</v>
      </c>
      <c r="F206">
        <v>11839.876</v>
      </c>
      <c r="G206">
        <v>74.878</v>
      </c>
      <c r="H206">
        <v>1994.375</v>
      </c>
      <c r="I206">
        <v>1492.6130000000001</v>
      </c>
      <c r="J206">
        <v>77.804000000000002</v>
      </c>
      <c r="K206">
        <v>7648.741</v>
      </c>
    </row>
    <row r="207" spans="1:11" x14ac:dyDescent="0.35">
      <c r="A207" s="78">
        <v>35886</v>
      </c>
      <c r="B207">
        <v>7</v>
      </c>
      <c r="C207">
        <v>1.2</v>
      </c>
      <c r="D207">
        <v>1199.5250000000001</v>
      </c>
      <c r="E207">
        <v>2530.3649999999998</v>
      </c>
      <c r="F207">
        <v>11949.492</v>
      </c>
      <c r="G207">
        <v>75.072000000000003</v>
      </c>
      <c r="H207">
        <v>1982.058</v>
      </c>
      <c r="I207">
        <v>1526.8219999999999</v>
      </c>
      <c r="J207">
        <v>78.042000000000002</v>
      </c>
      <c r="K207">
        <v>7783.43</v>
      </c>
    </row>
    <row r="208" spans="1:11" x14ac:dyDescent="0.35">
      <c r="A208" s="78">
        <v>35977</v>
      </c>
      <c r="B208">
        <v>6.7</v>
      </c>
      <c r="C208">
        <v>1.4</v>
      </c>
      <c r="D208">
        <v>1193.9449999999999</v>
      </c>
      <c r="E208">
        <v>2549.4259999999999</v>
      </c>
      <c r="F208">
        <v>12099.191000000001</v>
      </c>
      <c r="G208">
        <v>75.363</v>
      </c>
      <c r="H208">
        <v>2033.0150000000001</v>
      </c>
      <c r="I208">
        <v>1547.423</v>
      </c>
      <c r="J208">
        <v>78.319000000000003</v>
      </c>
      <c r="K208">
        <v>7884.9290000000001</v>
      </c>
    </row>
    <row r="209" spans="1:11" x14ac:dyDescent="0.35">
      <c r="A209" s="78">
        <v>36069</v>
      </c>
      <c r="B209">
        <v>6.1</v>
      </c>
      <c r="C209">
        <v>1.3</v>
      </c>
      <c r="D209">
        <v>1238.1189999999999</v>
      </c>
      <c r="E209">
        <v>2564.473</v>
      </c>
      <c r="F209">
        <v>12294.736999999999</v>
      </c>
      <c r="G209">
        <v>75.564999999999998</v>
      </c>
      <c r="H209">
        <v>2095.7600000000002</v>
      </c>
      <c r="I209">
        <v>1597.5070000000001</v>
      </c>
      <c r="J209">
        <v>78.567999999999998</v>
      </c>
      <c r="K209">
        <v>7998.8419999999996</v>
      </c>
    </row>
    <row r="210" spans="1:11" x14ac:dyDescent="0.35">
      <c r="A210" s="78">
        <v>36161</v>
      </c>
      <c r="B210">
        <v>6.2</v>
      </c>
      <c r="C210">
        <v>1</v>
      </c>
      <c r="D210">
        <v>1234.528</v>
      </c>
      <c r="E210">
        <v>2582.8870000000002</v>
      </c>
      <c r="F210">
        <v>12410.778</v>
      </c>
      <c r="G210">
        <v>75.769000000000005</v>
      </c>
      <c r="H210">
        <v>2153.308</v>
      </c>
      <c r="I210">
        <v>1642.6469999999999</v>
      </c>
      <c r="J210">
        <v>78.766000000000005</v>
      </c>
      <c r="K210">
        <v>8080.9960000000001</v>
      </c>
    </row>
    <row r="211" spans="1:11" x14ac:dyDescent="0.35">
      <c r="A211" s="78">
        <v>36251</v>
      </c>
      <c r="B211">
        <v>4.8</v>
      </c>
      <c r="C211">
        <v>1.4</v>
      </c>
      <c r="D211">
        <v>1249.6110000000001</v>
      </c>
      <c r="E211">
        <v>2592.2179999999998</v>
      </c>
      <c r="F211">
        <v>12514.407999999999</v>
      </c>
      <c r="G211">
        <v>76.111999999999995</v>
      </c>
      <c r="H211">
        <v>2154.652</v>
      </c>
      <c r="I211">
        <v>1689.8230000000001</v>
      </c>
      <c r="J211">
        <v>79.039000000000001</v>
      </c>
      <c r="K211">
        <v>8204.75</v>
      </c>
    </row>
    <row r="212" spans="1:11" x14ac:dyDescent="0.35">
      <c r="A212" s="78">
        <v>36342</v>
      </c>
      <c r="B212">
        <v>4.5</v>
      </c>
      <c r="C212">
        <v>1.5</v>
      </c>
      <c r="D212">
        <v>1287.1600000000001</v>
      </c>
      <c r="E212">
        <v>2623.4229999999998</v>
      </c>
      <c r="F212">
        <v>12679.977000000001</v>
      </c>
      <c r="G212">
        <v>76.403999999999996</v>
      </c>
      <c r="H212">
        <v>2213.7730000000001</v>
      </c>
      <c r="I212">
        <v>1750.9110000000001</v>
      </c>
      <c r="J212">
        <v>79.33</v>
      </c>
      <c r="K212">
        <v>8296.9879999999994</v>
      </c>
    </row>
    <row r="213" spans="1:11" x14ac:dyDescent="0.35">
      <c r="A213" s="78">
        <v>36434</v>
      </c>
      <c r="B213">
        <v>4.4000000000000004</v>
      </c>
      <c r="C213">
        <v>1.9</v>
      </c>
      <c r="D213">
        <v>1314.6369999999999</v>
      </c>
      <c r="E213">
        <v>2664.2359999999999</v>
      </c>
      <c r="F213">
        <v>12888.281000000001</v>
      </c>
      <c r="G213">
        <v>76.805999999999997</v>
      </c>
      <c r="H213">
        <v>2273.0949999999998</v>
      </c>
      <c r="I213">
        <v>1795.6969999999999</v>
      </c>
      <c r="J213">
        <v>79.703000000000003</v>
      </c>
      <c r="K213">
        <v>8418.3490000000002</v>
      </c>
    </row>
    <row r="214" spans="1:11" x14ac:dyDescent="0.35">
      <c r="A214" s="78">
        <v>36526</v>
      </c>
      <c r="B214">
        <v>4.5999999999999996</v>
      </c>
      <c r="C214">
        <v>2.1</v>
      </c>
      <c r="D214">
        <v>1333.6659999999999</v>
      </c>
      <c r="E214">
        <v>2645.3229999999999</v>
      </c>
      <c r="F214">
        <v>12935.252</v>
      </c>
      <c r="G214">
        <v>77.317999999999998</v>
      </c>
      <c r="H214">
        <v>2257.1089999999999</v>
      </c>
      <c r="I214">
        <v>1863.4880000000001</v>
      </c>
      <c r="J214">
        <v>80.120999999999995</v>
      </c>
      <c r="K214">
        <v>8545.6389999999992</v>
      </c>
    </row>
    <row r="215" spans="1:11" x14ac:dyDescent="0.35">
      <c r="A215" s="78">
        <v>36617</v>
      </c>
      <c r="B215">
        <v>4.8</v>
      </c>
      <c r="C215">
        <v>1.4</v>
      </c>
      <c r="D215">
        <v>1374.2919999999999</v>
      </c>
      <c r="E215">
        <v>2671.3980000000001</v>
      </c>
      <c r="F215">
        <v>13170.749</v>
      </c>
      <c r="G215">
        <v>77.783000000000001</v>
      </c>
      <c r="H215">
        <v>2390.7330000000002</v>
      </c>
      <c r="I215">
        <v>1922.854</v>
      </c>
      <c r="J215">
        <v>80.400000000000006</v>
      </c>
      <c r="K215">
        <v>8625.4349999999995</v>
      </c>
    </row>
    <row r="216" spans="1:11" x14ac:dyDescent="0.35">
      <c r="A216" s="78">
        <v>36708</v>
      </c>
      <c r="B216">
        <v>5</v>
      </c>
      <c r="C216">
        <v>1.9</v>
      </c>
      <c r="D216">
        <v>1407.33</v>
      </c>
      <c r="E216">
        <v>2660.1390000000001</v>
      </c>
      <c r="F216">
        <v>13183.89</v>
      </c>
      <c r="G216">
        <v>78.27</v>
      </c>
      <c r="H216">
        <v>2367.2739999999999</v>
      </c>
      <c r="I216">
        <v>1992.04</v>
      </c>
      <c r="J216">
        <v>80.787999999999997</v>
      </c>
      <c r="K216">
        <v>8708.0740000000005</v>
      </c>
    </row>
    <row r="217" spans="1:11" x14ac:dyDescent="0.35">
      <c r="A217" s="78">
        <v>36800</v>
      </c>
      <c r="B217">
        <v>4.5999999999999996</v>
      </c>
      <c r="C217">
        <v>2</v>
      </c>
      <c r="D217">
        <v>1393.3489999999999</v>
      </c>
      <c r="E217">
        <v>2676.4459999999999</v>
      </c>
      <c r="F217">
        <v>13262.25</v>
      </c>
      <c r="G217">
        <v>78.694000000000003</v>
      </c>
      <c r="H217">
        <v>2371.8090000000002</v>
      </c>
      <c r="I217">
        <v>1994.953</v>
      </c>
      <c r="J217">
        <v>81.188999999999993</v>
      </c>
      <c r="K217">
        <v>8784.1550000000007</v>
      </c>
    </row>
    <row r="218" spans="1:11" x14ac:dyDescent="0.35">
      <c r="A218" s="78">
        <v>36892</v>
      </c>
      <c r="B218">
        <v>5.0999999999999996</v>
      </c>
      <c r="C218">
        <v>2.6</v>
      </c>
      <c r="D218">
        <v>1375.8</v>
      </c>
      <c r="E218">
        <v>2718.2910000000002</v>
      </c>
      <c r="F218">
        <v>13219.251</v>
      </c>
      <c r="G218">
        <v>79.233000000000004</v>
      </c>
      <c r="H218">
        <v>2264.2020000000002</v>
      </c>
      <c r="I218">
        <v>1969.2180000000001</v>
      </c>
      <c r="J218">
        <v>81.715999999999994</v>
      </c>
      <c r="K218">
        <v>8816.0139999999992</v>
      </c>
    </row>
    <row r="219" spans="1:11" x14ac:dyDescent="0.35">
      <c r="A219" s="78">
        <v>36982</v>
      </c>
      <c r="B219">
        <v>4.7</v>
      </c>
      <c r="C219">
        <v>1.5</v>
      </c>
      <c r="D219">
        <v>1335.433</v>
      </c>
      <c r="E219">
        <v>2765.415</v>
      </c>
      <c r="F219">
        <v>13301.394</v>
      </c>
      <c r="G219">
        <v>79.760999999999996</v>
      </c>
      <c r="H219">
        <v>2267.433</v>
      </c>
      <c r="I219">
        <v>1906.1890000000001</v>
      </c>
      <c r="J219">
        <v>82.025000000000006</v>
      </c>
      <c r="K219">
        <v>8833.7260000000006</v>
      </c>
    </row>
    <row r="220" spans="1:11" x14ac:dyDescent="0.35">
      <c r="A220" s="78">
        <v>37073</v>
      </c>
      <c r="B220">
        <v>6.4</v>
      </c>
      <c r="C220">
        <v>1</v>
      </c>
      <c r="D220">
        <v>1266.999</v>
      </c>
      <c r="E220">
        <v>2762.681</v>
      </c>
      <c r="F220">
        <v>13248.142</v>
      </c>
      <c r="G220">
        <v>80.003</v>
      </c>
      <c r="H220">
        <v>2218.37</v>
      </c>
      <c r="I220">
        <v>1862.95</v>
      </c>
      <c r="J220">
        <v>82.236999999999995</v>
      </c>
      <c r="K220">
        <v>8864.4650000000001</v>
      </c>
    </row>
    <row r="221" spans="1:11" x14ac:dyDescent="0.35">
      <c r="A221" s="78">
        <v>37165</v>
      </c>
      <c r="B221">
        <v>3.5</v>
      </c>
      <c r="C221">
        <v>1.9</v>
      </c>
      <c r="D221">
        <v>1222.9069999999999</v>
      </c>
      <c r="E221">
        <v>2808.498</v>
      </c>
      <c r="F221">
        <v>13284.880999999999</v>
      </c>
      <c r="G221">
        <v>80.260999999999996</v>
      </c>
      <c r="H221">
        <v>2108.5</v>
      </c>
      <c r="I221">
        <v>1843.6559999999999</v>
      </c>
      <c r="J221">
        <v>82.634</v>
      </c>
      <c r="K221">
        <v>9007.4940000000006</v>
      </c>
    </row>
    <row r="222" spans="1:11" x14ac:dyDescent="0.35">
      <c r="A222" s="78">
        <v>37257</v>
      </c>
      <c r="B222">
        <v>5.6</v>
      </c>
      <c r="C222">
        <v>1.2</v>
      </c>
      <c r="D222">
        <v>1249.6199999999999</v>
      </c>
      <c r="E222">
        <v>2857.3359999999998</v>
      </c>
      <c r="F222">
        <v>13394.91</v>
      </c>
      <c r="G222">
        <v>80.474999999999994</v>
      </c>
      <c r="H222">
        <v>2170.7069999999999</v>
      </c>
      <c r="I222">
        <v>1896.04</v>
      </c>
      <c r="J222">
        <v>82.888000000000005</v>
      </c>
      <c r="K222">
        <v>9027.5480000000007</v>
      </c>
    </row>
    <row r="223" spans="1:11" x14ac:dyDescent="0.35">
      <c r="A223" s="78">
        <v>37347</v>
      </c>
      <c r="B223">
        <v>6</v>
      </c>
      <c r="C223">
        <v>2.2000000000000002</v>
      </c>
      <c r="D223">
        <v>1286.817</v>
      </c>
      <c r="E223">
        <v>2879.2820000000002</v>
      </c>
      <c r="F223">
        <v>13477.356</v>
      </c>
      <c r="G223">
        <v>80.793999999999997</v>
      </c>
      <c r="H223">
        <v>2206.375</v>
      </c>
      <c r="I223">
        <v>1959.578</v>
      </c>
      <c r="J223">
        <v>83.343999999999994</v>
      </c>
      <c r="K223">
        <v>9073.2119999999995</v>
      </c>
    </row>
    <row r="224" spans="1:11" x14ac:dyDescent="0.35">
      <c r="A224" s="78">
        <v>37438</v>
      </c>
      <c r="B224">
        <v>5.6</v>
      </c>
      <c r="C224">
        <v>2.1</v>
      </c>
      <c r="D224">
        <v>1290.8679999999999</v>
      </c>
      <c r="E224">
        <v>2894.18</v>
      </c>
      <c r="F224">
        <v>13531.741</v>
      </c>
      <c r="G224">
        <v>81.155000000000001</v>
      </c>
      <c r="H224">
        <v>2203.1089999999999</v>
      </c>
      <c r="I224">
        <v>1984.492</v>
      </c>
      <c r="J224">
        <v>83.787999999999997</v>
      </c>
      <c r="K224">
        <v>9136.7090000000007</v>
      </c>
    </row>
    <row r="225" spans="1:11" x14ac:dyDescent="0.35">
      <c r="A225" s="78">
        <v>37530</v>
      </c>
      <c r="B225">
        <v>5.7</v>
      </c>
      <c r="C225">
        <v>1.4</v>
      </c>
      <c r="D225">
        <v>1271.796</v>
      </c>
      <c r="E225">
        <v>2915.62</v>
      </c>
      <c r="F225">
        <v>13549.421</v>
      </c>
      <c r="G225">
        <v>81.626999999999995</v>
      </c>
      <c r="H225">
        <v>2201.7489999999998</v>
      </c>
      <c r="I225">
        <v>2020.124</v>
      </c>
      <c r="J225">
        <v>84.085999999999999</v>
      </c>
      <c r="K225">
        <v>9187.527</v>
      </c>
    </row>
    <row r="226" spans="1:11" x14ac:dyDescent="0.35">
      <c r="A226" s="78">
        <v>37622</v>
      </c>
      <c r="B226">
        <v>5.2</v>
      </c>
      <c r="C226">
        <v>1.2</v>
      </c>
      <c r="D226">
        <v>1267.886</v>
      </c>
      <c r="E226">
        <v>2917.8670000000002</v>
      </c>
      <c r="F226">
        <v>13619.433999999999</v>
      </c>
      <c r="G226">
        <v>82.067999999999998</v>
      </c>
      <c r="H226">
        <v>2218.6849999999999</v>
      </c>
      <c r="I226">
        <v>2011.3309999999999</v>
      </c>
      <c r="J226">
        <v>84.344999999999999</v>
      </c>
      <c r="K226">
        <v>9232.7819999999992</v>
      </c>
    </row>
    <row r="227" spans="1:11" x14ac:dyDescent="0.35">
      <c r="A227" s="78">
        <v>37712</v>
      </c>
      <c r="B227">
        <v>5.3</v>
      </c>
      <c r="C227">
        <v>1.5</v>
      </c>
      <c r="D227">
        <v>1270.133</v>
      </c>
      <c r="E227">
        <v>2944.7190000000001</v>
      </c>
      <c r="F227">
        <v>13741.107</v>
      </c>
      <c r="G227">
        <v>82.349000000000004</v>
      </c>
      <c r="H227">
        <v>2233.9969999999998</v>
      </c>
      <c r="I227">
        <v>2040.6510000000001</v>
      </c>
      <c r="J227">
        <v>84.665000000000006</v>
      </c>
      <c r="K227">
        <v>9338.4950000000008</v>
      </c>
    </row>
    <row r="228" spans="1:11" x14ac:dyDescent="0.35">
      <c r="A228" s="78">
        <v>37803</v>
      </c>
      <c r="B228">
        <v>5.7</v>
      </c>
      <c r="C228">
        <v>1.8</v>
      </c>
      <c r="D228">
        <v>1304.816</v>
      </c>
      <c r="E228">
        <v>2951.221</v>
      </c>
      <c r="F228">
        <v>13970.156999999999</v>
      </c>
      <c r="G228">
        <v>82.822000000000003</v>
      </c>
      <c r="H228">
        <v>2315.3989999999999</v>
      </c>
      <c r="I228">
        <v>2072.6089999999999</v>
      </c>
      <c r="J228">
        <v>85.052999999999997</v>
      </c>
      <c r="K228">
        <v>9470.5409999999993</v>
      </c>
    </row>
    <row r="229" spans="1:11" x14ac:dyDescent="0.35">
      <c r="A229" s="78">
        <v>37895</v>
      </c>
      <c r="B229">
        <v>5.3</v>
      </c>
      <c r="C229">
        <v>1.8</v>
      </c>
      <c r="D229">
        <v>1363.499</v>
      </c>
      <c r="E229">
        <v>2969.1379999999999</v>
      </c>
      <c r="F229">
        <v>14131.379000000001</v>
      </c>
      <c r="G229">
        <v>83.302000000000007</v>
      </c>
      <c r="H229">
        <v>2393.402</v>
      </c>
      <c r="I229">
        <v>2138.44</v>
      </c>
      <c r="J229">
        <v>85.433999999999997</v>
      </c>
      <c r="K229">
        <v>9535.741</v>
      </c>
    </row>
    <row r="230" spans="1:11" x14ac:dyDescent="0.35">
      <c r="A230" s="78">
        <v>37987</v>
      </c>
      <c r="B230">
        <v>4.8</v>
      </c>
      <c r="C230">
        <v>2.2000000000000002</v>
      </c>
      <c r="D230">
        <v>1394.3109999999999</v>
      </c>
      <c r="E230">
        <v>2982.7350000000001</v>
      </c>
      <c r="F230">
        <v>14212.34</v>
      </c>
      <c r="G230">
        <v>83.899000000000001</v>
      </c>
      <c r="H230">
        <v>2398.1509999999998</v>
      </c>
      <c r="I230">
        <v>2198.3330000000001</v>
      </c>
      <c r="J230">
        <v>85.903000000000006</v>
      </c>
      <c r="K230">
        <v>9624.6489999999994</v>
      </c>
    </row>
    <row r="231" spans="1:11" x14ac:dyDescent="0.35">
      <c r="A231" s="78">
        <v>38078</v>
      </c>
      <c r="B231">
        <v>5.3</v>
      </c>
      <c r="C231">
        <v>2.2999999999999998</v>
      </c>
      <c r="D231">
        <v>1423.51</v>
      </c>
      <c r="E231">
        <v>2990.8240000000001</v>
      </c>
      <c r="F231">
        <v>14323.017</v>
      </c>
      <c r="G231">
        <v>84.58</v>
      </c>
      <c r="H231">
        <v>2493.9450000000002</v>
      </c>
      <c r="I231">
        <v>2284.933</v>
      </c>
      <c r="J231">
        <v>86.394999999999996</v>
      </c>
      <c r="K231">
        <v>9677.1659999999993</v>
      </c>
    </row>
    <row r="232" spans="1:11" x14ac:dyDescent="0.35">
      <c r="A232" s="78">
        <v>38169</v>
      </c>
      <c r="B232">
        <v>4.8</v>
      </c>
      <c r="C232">
        <v>1.4</v>
      </c>
      <c r="D232">
        <v>1428.1790000000001</v>
      </c>
      <c r="E232">
        <v>2996.3339999999998</v>
      </c>
      <c r="F232">
        <v>14457.832</v>
      </c>
      <c r="G232">
        <v>85.116</v>
      </c>
      <c r="H232">
        <v>2532.6350000000002</v>
      </c>
      <c r="I232">
        <v>2316.6039999999998</v>
      </c>
      <c r="J232">
        <v>86.703999999999994</v>
      </c>
      <c r="K232">
        <v>9790.8359999999993</v>
      </c>
    </row>
    <row r="233" spans="1:11" x14ac:dyDescent="0.35">
      <c r="A233" s="78">
        <v>38261</v>
      </c>
      <c r="B233">
        <v>4.9000000000000004</v>
      </c>
      <c r="C233">
        <v>2.2000000000000002</v>
      </c>
      <c r="D233">
        <v>1462.0809999999999</v>
      </c>
      <c r="E233">
        <v>2994.627</v>
      </c>
      <c r="F233">
        <v>14605.594999999999</v>
      </c>
      <c r="G233">
        <v>85.772000000000006</v>
      </c>
      <c r="H233">
        <v>2585.4769999999999</v>
      </c>
      <c r="I233">
        <v>2370.5630000000001</v>
      </c>
      <c r="J233">
        <v>87.174000000000007</v>
      </c>
      <c r="K233">
        <v>9901.58</v>
      </c>
    </row>
    <row r="234" spans="1:11" x14ac:dyDescent="0.35">
      <c r="A234" s="78">
        <v>38353</v>
      </c>
      <c r="B234">
        <v>3.1</v>
      </c>
      <c r="C234">
        <v>2.9</v>
      </c>
      <c r="D234">
        <v>1489.521</v>
      </c>
      <c r="E234">
        <v>3009.569</v>
      </c>
      <c r="F234">
        <v>14767.846</v>
      </c>
      <c r="G234">
        <v>86.43</v>
      </c>
      <c r="H234">
        <v>2658.163</v>
      </c>
      <c r="I234">
        <v>2390.9850000000001</v>
      </c>
      <c r="J234">
        <v>87.793999999999997</v>
      </c>
      <c r="K234">
        <v>9964.4959999999992</v>
      </c>
    </row>
    <row r="235" spans="1:11" x14ac:dyDescent="0.35">
      <c r="A235" s="78">
        <v>38443</v>
      </c>
      <c r="B235">
        <v>2.9</v>
      </c>
      <c r="C235">
        <v>2</v>
      </c>
      <c r="D235">
        <v>1522.7460000000001</v>
      </c>
      <c r="E235">
        <v>3007.8310000000001</v>
      </c>
      <c r="F235">
        <v>14839.707</v>
      </c>
      <c r="G235">
        <v>87.061999999999998</v>
      </c>
      <c r="H235">
        <v>2622.7930000000001</v>
      </c>
      <c r="I235">
        <v>2422.9949999999999</v>
      </c>
      <c r="J235">
        <v>88.228999999999999</v>
      </c>
      <c r="K235">
        <v>10074.922</v>
      </c>
    </row>
    <row r="236" spans="1:11" x14ac:dyDescent="0.35">
      <c r="A236" s="78">
        <v>38534</v>
      </c>
      <c r="B236">
        <v>2.4</v>
      </c>
      <c r="C236">
        <v>1.6</v>
      </c>
      <c r="D236">
        <v>1522.433</v>
      </c>
      <c r="E236">
        <v>3017.7730000000001</v>
      </c>
      <c r="F236">
        <v>14956.290999999999</v>
      </c>
      <c r="G236">
        <v>87.884</v>
      </c>
      <c r="H236">
        <v>2657.4580000000001</v>
      </c>
      <c r="I236">
        <v>2436.6010000000001</v>
      </c>
      <c r="J236">
        <v>88.572999999999993</v>
      </c>
      <c r="K236">
        <v>10158.513000000001</v>
      </c>
    </row>
    <row r="237" spans="1:11" x14ac:dyDescent="0.35">
      <c r="A237" s="78">
        <v>38626</v>
      </c>
      <c r="B237">
        <v>3</v>
      </c>
      <c r="C237">
        <v>2.7</v>
      </c>
      <c r="D237">
        <v>1569.6130000000001</v>
      </c>
      <c r="E237">
        <v>3020.1329999999998</v>
      </c>
      <c r="F237">
        <v>15041.232</v>
      </c>
      <c r="G237">
        <v>88.584000000000003</v>
      </c>
      <c r="H237">
        <v>2743.846</v>
      </c>
      <c r="I237">
        <v>2515.1320000000001</v>
      </c>
      <c r="J237">
        <v>89.165000000000006</v>
      </c>
      <c r="K237">
        <v>10177.237999999999</v>
      </c>
    </row>
    <row r="238" spans="1:11" x14ac:dyDescent="0.35">
      <c r="A238" s="78">
        <v>38718</v>
      </c>
      <c r="B238">
        <v>3.9</v>
      </c>
      <c r="C238">
        <v>2.2999999999999998</v>
      </c>
      <c r="D238">
        <v>1633.194</v>
      </c>
      <c r="E238">
        <v>3058.4830000000002</v>
      </c>
      <c r="F238">
        <v>15244.088</v>
      </c>
      <c r="G238">
        <v>89.203999999999994</v>
      </c>
      <c r="H238">
        <v>2784.5830000000001</v>
      </c>
      <c r="I238">
        <v>2566.893</v>
      </c>
      <c r="J238">
        <v>89.680999999999997</v>
      </c>
      <c r="K238">
        <v>10288.217000000001</v>
      </c>
    </row>
    <row r="239" spans="1:11" x14ac:dyDescent="0.35">
      <c r="A239" s="78">
        <v>38808</v>
      </c>
      <c r="B239">
        <v>3.7</v>
      </c>
      <c r="C239">
        <v>3.2</v>
      </c>
      <c r="D239">
        <v>1663.431</v>
      </c>
      <c r="E239">
        <v>3057.5509999999999</v>
      </c>
      <c r="F239">
        <v>15281.525</v>
      </c>
      <c r="G239">
        <v>89.992999999999995</v>
      </c>
      <c r="H239">
        <v>2766.6280000000002</v>
      </c>
      <c r="I239">
        <v>2592.4549999999999</v>
      </c>
      <c r="J239">
        <v>90.396000000000001</v>
      </c>
      <c r="K239">
        <v>10341.556</v>
      </c>
    </row>
    <row r="240" spans="1:11" x14ac:dyDescent="0.35">
      <c r="A240" s="78">
        <v>38899</v>
      </c>
      <c r="B240">
        <v>3.2</v>
      </c>
      <c r="C240">
        <v>2.2000000000000002</v>
      </c>
      <c r="D240">
        <v>1661.223</v>
      </c>
      <c r="E240">
        <v>3053.11</v>
      </c>
      <c r="F240">
        <v>15304.517</v>
      </c>
      <c r="G240">
        <v>90.652000000000001</v>
      </c>
      <c r="H240">
        <v>2755.9540000000002</v>
      </c>
      <c r="I240">
        <v>2618.357</v>
      </c>
      <c r="J240">
        <v>90.882999999999996</v>
      </c>
      <c r="K240">
        <v>10407.966</v>
      </c>
    </row>
    <row r="241" spans="1:11" x14ac:dyDescent="0.35">
      <c r="A241" s="78">
        <v>38991</v>
      </c>
      <c r="B241">
        <v>3.4</v>
      </c>
      <c r="C241">
        <v>1.7</v>
      </c>
      <c r="D241">
        <v>1724.2629999999999</v>
      </c>
      <c r="E241">
        <v>3078.2150000000001</v>
      </c>
      <c r="F241">
        <v>15433.643</v>
      </c>
      <c r="G241">
        <v>90.997</v>
      </c>
      <c r="H241">
        <v>2702.4870000000001</v>
      </c>
      <c r="I241">
        <v>2614.9920000000002</v>
      </c>
      <c r="J241">
        <v>91.274000000000001</v>
      </c>
      <c r="K241">
        <v>10507.248</v>
      </c>
    </row>
    <row r="242" spans="1:11" x14ac:dyDescent="0.35">
      <c r="A242" s="78">
        <v>39083</v>
      </c>
      <c r="B242">
        <v>3.6</v>
      </c>
      <c r="C242">
        <v>2.8</v>
      </c>
      <c r="D242">
        <v>1758.4490000000001</v>
      </c>
      <c r="E242">
        <v>3082.482</v>
      </c>
      <c r="F242">
        <v>15478.956</v>
      </c>
      <c r="G242">
        <v>91.908000000000001</v>
      </c>
      <c r="H242">
        <v>2683.893</v>
      </c>
      <c r="I242">
        <v>2653.058</v>
      </c>
      <c r="J242">
        <v>91.903999999999996</v>
      </c>
      <c r="K242">
        <v>10572.053</v>
      </c>
    </row>
    <row r="243" spans="1:11" x14ac:dyDescent="0.35">
      <c r="A243" s="78">
        <v>39173</v>
      </c>
      <c r="B243">
        <v>3.6</v>
      </c>
      <c r="C243">
        <v>1.7</v>
      </c>
      <c r="D243">
        <v>1785.0640000000001</v>
      </c>
      <c r="E243">
        <v>3110.6610000000001</v>
      </c>
      <c r="F243">
        <v>15577.779</v>
      </c>
      <c r="G243">
        <v>92.491</v>
      </c>
      <c r="H243">
        <v>2713.4949999999999</v>
      </c>
      <c r="I243">
        <v>2667.163</v>
      </c>
      <c r="J243">
        <v>92.286000000000001</v>
      </c>
      <c r="K243">
        <v>10599.795</v>
      </c>
    </row>
    <row r="244" spans="1:11" x14ac:dyDescent="0.35">
      <c r="A244" s="78">
        <v>39264</v>
      </c>
      <c r="B244">
        <v>3.2</v>
      </c>
      <c r="C244">
        <v>2</v>
      </c>
      <c r="D244">
        <v>1840.838</v>
      </c>
      <c r="E244">
        <v>3124.8829999999998</v>
      </c>
      <c r="F244">
        <v>15671.605</v>
      </c>
      <c r="G244">
        <v>92.882000000000005</v>
      </c>
      <c r="H244">
        <v>2686.1060000000002</v>
      </c>
      <c r="I244">
        <v>2682.0990000000002</v>
      </c>
      <c r="J244">
        <v>92.739000000000004</v>
      </c>
      <c r="K244">
        <v>10670.505999999999</v>
      </c>
    </row>
    <row r="245" spans="1:11" x14ac:dyDescent="0.35">
      <c r="A245" s="78">
        <v>39356</v>
      </c>
      <c r="B245">
        <v>3</v>
      </c>
      <c r="C245">
        <v>2.8</v>
      </c>
      <c r="D245">
        <v>1883.0619999999999</v>
      </c>
      <c r="E245">
        <v>3149.5419999999999</v>
      </c>
      <c r="F245">
        <v>15767.146000000001</v>
      </c>
      <c r="G245">
        <v>93.331999999999994</v>
      </c>
      <c r="H245">
        <v>2653.056</v>
      </c>
      <c r="I245">
        <v>2656.7669999999998</v>
      </c>
      <c r="J245">
        <v>93.381</v>
      </c>
      <c r="K245">
        <v>10712.556</v>
      </c>
    </row>
    <row r="246" spans="1:11" x14ac:dyDescent="0.35">
      <c r="A246" s="78">
        <v>39448</v>
      </c>
      <c r="B246">
        <v>3.4</v>
      </c>
      <c r="C246">
        <v>2.1</v>
      </c>
      <c r="D246">
        <v>1913.046</v>
      </c>
      <c r="E246">
        <v>3156.9279999999999</v>
      </c>
      <c r="F246">
        <v>15702.906000000001</v>
      </c>
      <c r="G246">
        <v>93.734999999999999</v>
      </c>
      <c r="H246">
        <v>2583.2530000000002</v>
      </c>
      <c r="I246">
        <v>2666.73</v>
      </c>
      <c r="J246">
        <v>93.875</v>
      </c>
      <c r="K246">
        <v>10697.867</v>
      </c>
    </row>
    <row r="247" spans="1:11" x14ac:dyDescent="0.35">
      <c r="A247" s="78">
        <v>39539</v>
      </c>
      <c r="B247">
        <v>5.0999999999999996</v>
      </c>
      <c r="C247">
        <v>1.7</v>
      </c>
      <c r="D247">
        <v>1969.204</v>
      </c>
      <c r="E247">
        <v>3184.2579999999998</v>
      </c>
      <c r="F247">
        <v>15792.772999999999</v>
      </c>
      <c r="G247">
        <v>94.075000000000003</v>
      </c>
      <c r="H247">
        <v>2536.4029999999998</v>
      </c>
      <c r="I247">
        <v>2641.498</v>
      </c>
      <c r="J247">
        <v>94.269000000000005</v>
      </c>
      <c r="K247">
        <v>10727.347</v>
      </c>
    </row>
    <row r="248" spans="1:11" x14ac:dyDescent="0.35">
      <c r="A248" s="78">
        <v>39630</v>
      </c>
      <c r="B248">
        <v>3.9</v>
      </c>
      <c r="C248">
        <v>2.1</v>
      </c>
      <c r="D248">
        <v>1960.3620000000001</v>
      </c>
      <c r="E248">
        <v>3210.02</v>
      </c>
      <c r="F248">
        <v>15709.562</v>
      </c>
      <c r="G248">
        <v>94.804000000000002</v>
      </c>
      <c r="H248">
        <v>2485.549</v>
      </c>
      <c r="I248">
        <v>2608.1610000000001</v>
      </c>
      <c r="J248">
        <v>94.751000000000005</v>
      </c>
      <c r="K248">
        <v>10644.668</v>
      </c>
    </row>
    <row r="249" spans="1:11" x14ac:dyDescent="0.35">
      <c r="A249" s="78">
        <v>39722</v>
      </c>
      <c r="B249">
        <v>5.9</v>
      </c>
      <c r="C249">
        <v>-0.3</v>
      </c>
      <c r="D249">
        <v>1844.981</v>
      </c>
      <c r="E249">
        <v>3231.944</v>
      </c>
      <c r="F249">
        <v>15366.607</v>
      </c>
      <c r="G249">
        <v>94.974999999999994</v>
      </c>
      <c r="H249">
        <v>2246.4409999999998</v>
      </c>
      <c r="I249">
        <v>2513.8440000000001</v>
      </c>
      <c r="J249">
        <v>94.676000000000002</v>
      </c>
      <c r="K249">
        <v>10548.871999999999</v>
      </c>
    </row>
    <row r="250" spans="1:11" x14ac:dyDescent="0.35">
      <c r="A250" s="78">
        <v>39814</v>
      </c>
      <c r="B250">
        <v>5.9</v>
      </c>
      <c r="C250">
        <v>0</v>
      </c>
      <c r="D250">
        <v>1697.6369999999999</v>
      </c>
      <c r="E250">
        <v>3268.8180000000002</v>
      </c>
      <c r="F250">
        <v>15187.475</v>
      </c>
      <c r="G250">
        <v>95.001000000000005</v>
      </c>
      <c r="H250">
        <v>1986.845</v>
      </c>
      <c r="I250">
        <v>2274.895</v>
      </c>
      <c r="J250">
        <v>94.674999999999997</v>
      </c>
      <c r="K250">
        <v>10522.083000000001</v>
      </c>
    </row>
    <row r="251" spans="1:11" x14ac:dyDescent="0.35">
      <c r="A251" s="78">
        <v>39904</v>
      </c>
      <c r="B251">
        <v>6.9</v>
      </c>
      <c r="C251">
        <v>1.6</v>
      </c>
      <c r="D251">
        <v>1708.8320000000001</v>
      </c>
      <c r="E251">
        <v>3316.62</v>
      </c>
      <c r="F251">
        <v>15161.772000000001</v>
      </c>
      <c r="G251">
        <v>94.87</v>
      </c>
      <c r="H251">
        <v>1872.287</v>
      </c>
      <c r="I251">
        <v>2182.5010000000002</v>
      </c>
      <c r="J251">
        <v>95.046000000000006</v>
      </c>
      <c r="K251">
        <v>10470.358</v>
      </c>
    </row>
    <row r="252" spans="1:11" x14ac:dyDescent="0.35">
      <c r="A252" s="78">
        <v>39995</v>
      </c>
      <c r="B252">
        <v>5.2</v>
      </c>
      <c r="C252">
        <v>1.4</v>
      </c>
      <c r="D252">
        <v>1772.0039999999999</v>
      </c>
      <c r="E252">
        <v>3325.6819999999998</v>
      </c>
      <c r="F252">
        <v>15216.647000000001</v>
      </c>
      <c r="G252">
        <v>94.927999999999997</v>
      </c>
      <c r="H252">
        <v>1868.0129999999999</v>
      </c>
      <c r="I252">
        <v>2272.5349999999999</v>
      </c>
      <c r="J252">
        <v>95.382999999999996</v>
      </c>
      <c r="K252">
        <v>10540.769</v>
      </c>
    </row>
    <row r="253" spans="1:11" x14ac:dyDescent="0.35">
      <c r="A253" s="78">
        <v>40087</v>
      </c>
      <c r="B253">
        <v>5.5</v>
      </c>
      <c r="C253">
        <v>2.5</v>
      </c>
      <c r="D253">
        <v>1871.4849999999999</v>
      </c>
      <c r="E253">
        <v>3331.645</v>
      </c>
      <c r="F253">
        <v>15379.155000000001</v>
      </c>
      <c r="G253">
        <v>95.277000000000001</v>
      </c>
      <c r="H253">
        <v>2040.7360000000001</v>
      </c>
      <c r="I253">
        <v>2385.0740000000001</v>
      </c>
      <c r="J253">
        <v>95.977000000000004</v>
      </c>
      <c r="K253">
        <v>10529.156000000001</v>
      </c>
    </row>
    <row r="254" spans="1:11" x14ac:dyDescent="0.35">
      <c r="A254" s="78">
        <v>40179</v>
      </c>
      <c r="B254">
        <v>5.7</v>
      </c>
      <c r="C254">
        <v>1.4</v>
      </c>
      <c r="D254">
        <v>1916.239</v>
      </c>
      <c r="E254">
        <v>3317.3470000000002</v>
      </c>
      <c r="F254">
        <v>15456.058999999999</v>
      </c>
      <c r="G254">
        <v>95.518000000000001</v>
      </c>
      <c r="H254">
        <v>2087.1709999999998</v>
      </c>
      <c r="I254">
        <v>2448.0439999999999</v>
      </c>
      <c r="J254">
        <v>96.305000000000007</v>
      </c>
      <c r="K254">
        <v>10590.177</v>
      </c>
    </row>
    <row r="255" spans="1:11" x14ac:dyDescent="0.35">
      <c r="A255" s="78">
        <v>40269</v>
      </c>
      <c r="B255">
        <v>6.5</v>
      </c>
      <c r="C255">
        <v>1.1000000000000001</v>
      </c>
      <c r="D255">
        <v>1958.367</v>
      </c>
      <c r="E255">
        <v>3327.5639999999999</v>
      </c>
      <c r="F255">
        <v>15605.628000000001</v>
      </c>
      <c r="G255">
        <v>95.962999999999994</v>
      </c>
      <c r="H255">
        <v>2196.7060000000001</v>
      </c>
      <c r="I255">
        <v>2559.69</v>
      </c>
      <c r="J255">
        <v>96.564999999999998</v>
      </c>
      <c r="K255">
        <v>10685.145</v>
      </c>
    </row>
    <row r="256" spans="1:11" x14ac:dyDescent="0.35">
      <c r="A256" s="78">
        <v>40360</v>
      </c>
      <c r="B256">
        <v>6.5</v>
      </c>
      <c r="C256">
        <v>0.6</v>
      </c>
      <c r="D256">
        <v>2014.232</v>
      </c>
      <c r="E256">
        <v>3304.078</v>
      </c>
      <c r="F256">
        <v>15726.281999999999</v>
      </c>
      <c r="G256">
        <v>96.311999999999998</v>
      </c>
      <c r="H256">
        <v>2294.672</v>
      </c>
      <c r="I256">
        <v>2649.1480000000001</v>
      </c>
      <c r="J256">
        <v>96.712999999999994</v>
      </c>
      <c r="K256">
        <v>10761.376</v>
      </c>
    </row>
    <row r="257" spans="1:11" x14ac:dyDescent="0.35">
      <c r="A257" s="78">
        <v>40452</v>
      </c>
      <c r="B257">
        <v>6.3</v>
      </c>
      <c r="C257">
        <v>1.3</v>
      </c>
      <c r="D257">
        <v>2069.3490000000002</v>
      </c>
      <c r="E257">
        <v>3283.0459999999998</v>
      </c>
      <c r="F257">
        <v>15807.995000000001</v>
      </c>
      <c r="G257">
        <v>96.864000000000004</v>
      </c>
      <c r="H257">
        <v>2287.3620000000001</v>
      </c>
      <c r="I257">
        <v>2658.8850000000002</v>
      </c>
      <c r="J257">
        <v>97.019000000000005</v>
      </c>
      <c r="K257">
        <v>10827.332</v>
      </c>
    </row>
    <row r="258" spans="1:11" x14ac:dyDescent="0.35">
      <c r="A258" s="78">
        <v>40544</v>
      </c>
      <c r="B258">
        <v>6.9</v>
      </c>
      <c r="C258">
        <v>1.8</v>
      </c>
      <c r="D258">
        <v>2087.06</v>
      </c>
      <c r="E258">
        <v>3242.78</v>
      </c>
      <c r="F258">
        <v>15769.911</v>
      </c>
      <c r="G258">
        <v>97.338999999999999</v>
      </c>
      <c r="H258">
        <v>2244.241</v>
      </c>
      <c r="I258">
        <v>2671.8719999999998</v>
      </c>
      <c r="J258">
        <v>97.444999999999993</v>
      </c>
      <c r="K258">
        <v>10868.689</v>
      </c>
    </row>
    <row r="259" spans="1:11" x14ac:dyDescent="0.35">
      <c r="A259" s="78">
        <v>40634</v>
      </c>
      <c r="B259">
        <v>6.6</v>
      </c>
      <c r="C259">
        <v>2.4</v>
      </c>
      <c r="D259">
        <v>2122.3209999999999</v>
      </c>
      <c r="E259">
        <v>3220.8159999999998</v>
      </c>
      <c r="F259">
        <v>15876.839</v>
      </c>
      <c r="G259">
        <v>98.042000000000002</v>
      </c>
      <c r="H259">
        <v>2336.0569999999998</v>
      </c>
      <c r="I259">
        <v>2681.8649999999998</v>
      </c>
      <c r="J259">
        <v>98.015000000000001</v>
      </c>
      <c r="K259">
        <v>10879.873</v>
      </c>
    </row>
    <row r="260" spans="1:11" x14ac:dyDescent="0.35">
      <c r="A260" s="78">
        <v>40725</v>
      </c>
      <c r="B260">
        <v>6.8</v>
      </c>
      <c r="C260">
        <v>1.8</v>
      </c>
      <c r="D260">
        <v>2151.4740000000002</v>
      </c>
      <c r="E260">
        <v>3174.8009999999999</v>
      </c>
      <c r="F260">
        <v>15870.683999999999</v>
      </c>
      <c r="G260">
        <v>98.561000000000007</v>
      </c>
      <c r="H260">
        <v>2343.7860000000001</v>
      </c>
      <c r="I260">
        <v>2711.6190000000001</v>
      </c>
      <c r="J260">
        <v>98.462000000000003</v>
      </c>
      <c r="K260">
        <v>10912.991</v>
      </c>
    </row>
    <row r="261" spans="1:11" x14ac:dyDescent="0.35">
      <c r="A261" s="78">
        <v>40817</v>
      </c>
      <c r="B261">
        <v>6.9</v>
      </c>
      <c r="C261">
        <v>1.4</v>
      </c>
      <c r="D261">
        <v>2167.652</v>
      </c>
      <c r="E261">
        <v>3172.5349999999999</v>
      </c>
      <c r="F261">
        <v>16048.701999999999</v>
      </c>
      <c r="G261">
        <v>98.686999999999998</v>
      </c>
      <c r="H261">
        <v>2524.4290000000001</v>
      </c>
      <c r="I261">
        <v>2747.221</v>
      </c>
      <c r="J261">
        <v>98.813000000000002</v>
      </c>
      <c r="K261">
        <v>10931.828</v>
      </c>
    </row>
    <row r="262" spans="1:11" x14ac:dyDescent="0.35">
      <c r="A262" s="78">
        <v>40909</v>
      </c>
      <c r="B262">
        <v>7.9</v>
      </c>
      <c r="C262">
        <v>2.6</v>
      </c>
      <c r="D262">
        <v>2194.087</v>
      </c>
      <c r="E262">
        <v>3158.9389999999999</v>
      </c>
      <c r="F262">
        <v>16179.968000000001</v>
      </c>
      <c r="G262">
        <v>99.277000000000001</v>
      </c>
      <c r="H262">
        <v>2577.1570000000002</v>
      </c>
      <c r="I262">
        <v>2760.748</v>
      </c>
      <c r="J262">
        <v>99.436999999999998</v>
      </c>
      <c r="K262">
        <v>11010.694</v>
      </c>
    </row>
    <row r="263" spans="1:11" x14ac:dyDescent="0.35">
      <c r="A263" s="78">
        <v>41000</v>
      </c>
      <c r="B263">
        <v>8.6</v>
      </c>
      <c r="C263">
        <v>1.7</v>
      </c>
      <c r="D263">
        <v>2215.7530000000002</v>
      </c>
      <c r="E263">
        <v>3142.4180000000001</v>
      </c>
      <c r="F263">
        <v>16253.726000000001</v>
      </c>
      <c r="G263">
        <v>99.69</v>
      </c>
      <c r="H263">
        <v>2636.4949999999999</v>
      </c>
      <c r="I263">
        <v>2771.011</v>
      </c>
      <c r="J263">
        <v>99.847999999999999</v>
      </c>
      <c r="K263">
        <v>11030.026</v>
      </c>
    </row>
    <row r="264" spans="1:11" x14ac:dyDescent="0.35">
      <c r="A264" s="78">
        <v>41091</v>
      </c>
      <c r="B264">
        <v>7.8</v>
      </c>
      <c r="C264">
        <v>1.2</v>
      </c>
      <c r="D264">
        <v>2229.3530000000001</v>
      </c>
      <c r="E264">
        <v>3137.6640000000002</v>
      </c>
      <c r="F264">
        <v>16282.151</v>
      </c>
      <c r="G264">
        <v>100.304</v>
      </c>
      <c r="H264">
        <v>2648.4589999999998</v>
      </c>
      <c r="I264">
        <v>2785.8829999999998</v>
      </c>
      <c r="J264">
        <v>100.136</v>
      </c>
      <c r="K264">
        <v>11052.368</v>
      </c>
    </row>
    <row r="265" spans="1:11" x14ac:dyDescent="0.35">
      <c r="A265" s="78">
        <v>41183</v>
      </c>
      <c r="B265">
        <v>10</v>
      </c>
      <c r="C265">
        <v>1.8</v>
      </c>
      <c r="D265">
        <v>2231.607</v>
      </c>
      <c r="E265">
        <v>3106.86</v>
      </c>
      <c r="F265">
        <v>16300.035</v>
      </c>
      <c r="G265">
        <v>100.73</v>
      </c>
      <c r="H265">
        <v>2624.9050000000002</v>
      </c>
      <c r="I265">
        <v>2759.627</v>
      </c>
      <c r="J265">
        <v>100.57899999999999</v>
      </c>
      <c r="K265">
        <v>11096.365</v>
      </c>
    </row>
    <row r="266" spans="1:11" x14ac:dyDescent="0.35">
      <c r="A266" s="78">
        <v>41275</v>
      </c>
      <c r="B266">
        <v>5.8</v>
      </c>
      <c r="C266">
        <v>1.6</v>
      </c>
      <c r="D266">
        <v>2242.308</v>
      </c>
      <c r="E266">
        <v>3078.855</v>
      </c>
      <c r="F266">
        <v>16441.485000000001</v>
      </c>
      <c r="G266">
        <v>101.124</v>
      </c>
      <c r="H266">
        <v>2722.7779999999998</v>
      </c>
      <c r="I266">
        <v>2757.2649999999999</v>
      </c>
      <c r="J266">
        <v>100.983</v>
      </c>
      <c r="K266">
        <v>11155.481</v>
      </c>
    </row>
    <row r="267" spans="1:11" x14ac:dyDescent="0.35">
      <c r="A267" s="78">
        <v>41365</v>
      </c>
      <c r="B267">
        <v>6.4</v>
      </c>
      <c r="C267">
        <v>1.2</v>
      </c>
      <c r="D267">
        <v>2262.5239999999999</v>
      </c>
      <c r="E267">
        <v>3073.6770000000001</v>
      </c>
      <c r="F267">
        <v>16464.401999999998</v>
      </c>
      <c r="G267">
        <v>101.428</v>
      </c>
      <c r="H267">
        <v>2753.2370000000001</v>
      </c>
      <c r="I267">
        <v>2797.3</v>
      </c>
      <c r="J267">
        <v>101.291</v>
      </c>
      <c r="K267">
        <v>11172.647000000001</v>
      </c>
    </row>
    <row r="268" spans="1:11" x14ac:dyDescent="0.35">
      <c r="A268" s="78">
        <v>41456</v>
      </c>
      <c r="B268">
        <v>6.4</v>
      </c>
      <c r="C268">
        <v>1.6</v>
      </c>
      <c r="D268">
        <v>2281.9789999999998</v>
      </c>
      <c r="E268">
        <v>3057.212</v>
      </c>
      <c r="F268">
        <v>16594.742999999999</v>
      </c>
      <c r="G268">
        <v>101.973</v>
      </c>
      <c r="H268">
        <v>2859.7510000000002</v>
      </c>
      <c r="I268">
        <v>2817.3989999999999</v>
      </c>
      <c r="J268">
        <v>101.684</v>
      </c>
      <c r="K268">
        <v>11214.416999999999</v>
      </c>
    </row>
    <row r="269" spans="1:11" x14ac:dyDescent="0.35">
      <c r="A269" s="78">
        <v>41548</v>
      </c>
      <c r="B269">
        <v>5.9</v>
      </c>
      <c r="C269">
        <v>2</v>
      </c>
      <c r="D269">
        <v>2347.5790000000002</v>
      </c>
      <c r="E269">
        <v>3033.1179999999999</v>
      </c>
      <c r="F269">
        <v>16712.759999999998</v>
      </c>
      <c r="G269">
        <v>102.55</v>
      </c>
      <c r="H269">
        <v>2870.127</v>
      </c>
      <c r="I269">
        <v>2839.6709999999998</v>
      </c>
      <c r="J269">
        <v>102.181</v>
      </c>
      <c r="K269">
        <v>11304.3</v>
      </c>
    </row>
    <row r="270" spans="1:11" x14ac:dyDescent="0.35">
      <c r="A270" s="78">
        <v>41640</v>
      </c>
      <c r="B270">
        <v>6.7</v>
      </c>
      <c r="C270">
        <v>1.4</v>
      </c>
      <c r="D270">
        <v>2324.808</v>
      </c>
      <c r="E270">
        <v>3020.58</v>
      </c>
      <c r="F270">
        <v>16654.246999999999</v>
      </c>
      <c r="G270">
        <v>102.965</v>
      </c>
      <c r="H270">
        <v>2838.2869999999998</v>
      </c>
      <c r="I270">
        <v>2876.337</v>
      </c>
      <c r="J270">
        <v>102.533</v>
      </c>
      <c r="K270">
        <v>11347.636</v>
      </c>
    </row>
    <row r="271" spans="1:11" x14ac:dyDescent="0.35">
      <c r="A271" s="78">
        <v>41730</v>
      </c>
      <c r="B271">
        <v>7</v>
      </c>
      <c r="C271">
        <v>2</v>
      </c>
      <c r="D271">
        <v>2375.1210000000001</v>
      </c>
      <c r="E271">
        <v>3024.424</v>
      </c>
      <c r="F271">
        <v>16868.109</v>
      </c>
      <c r="G271">
        <v>103.55200000000001</v>
      </c>
      <c r="H271">
        <v>2958.0680000000002</v>
      </c>
      <c r="I271">
        <v>2941.8389999999999</v>
      </c>
      <c r="J271">
        <v>103.04</v>
      </c>
      <c r="K271">
        <v>11453.013999999999</v>
      </c>
    </row>
    <row r="272" spans="1:11" x14ac:dyDescent="0.35">
      <c r="A272" s="78">
        <v>41821</v>
      </c>
      <c r="B272">
        <v>7.1</v>
      </c>
      <c r="C272">
        <v>1.6</v>
      </c>
      <c r="D272">
        <v>2384.779</v>
      </c>
      <c r="E272">
        <v>3044.694</v>
      </c>
      <c r="F272">
        <v>17064.616000000002</v>
      </c>
      <c r="G272">
        <v>104.029</v>
      </c>
      <c r="H272">
        <v>3018.5819999999999</v>
      </c>
      <c r="I272">
        <v>2947.3519999999999</v>
      </c>
      <c r="J272">
        <v>103.438</v>
      </c>
      <c r="K272">
        <v>11565.682000000001</v>
      </c>
    </row>
    <row r="273" spans="1:11" x14ac:dyDescent="0.35">
      <c r="A273" s="78">
        <v>41913</v>
      </c>
      <c r="B273">
        <v>7.3</v>
      </c>
      <c r="C273">
        <v>1.2</v>
      </c>
      <c r="D273">
        <v>2404.4299999999998</v>
      </c>
      <c r="E273">
        <v>3043.2150000000001</v>
      </c>
      <c r="F273">
        <v>17141.235000000001</v>
      </c>
      <c r="G273">
        <v>104.104</v>
      </c>
      <c r="H273">
        <v>3021.857</v>
      </c>
      <c r="I273">
        <v>3024.6819999999998</v>
      </c>
      <c r="J273">
        <v>103.735</v>
      </c>
      <c r="K273">
        <v>11694.916999999999</v>
      </c>
    </row>
    <row r="274" spans="1:11" x14ac:dyDescent="0.35">
      <c r="A274" s="78">
        <v>42005</v>
      </c>
      <c r="B274">
        <v>7.9</v>
      </c>
      <c r="C274">
        <v>0.8</v>
      </c>
      <c r="D274">
        <v>2384.8429999999998</v>
      </c>
      <c r="E274">
        <v>3058.973</v>
      </c>
      <c r="F274">
        <v>17280.647000000001</v>
      </c>
      <c r="G274">
        <v>104.092</v>
      </c>
      <c r="H274">
        <v>3127.2739999999999</v>
      </c>
      <c r="I274">
        <v>3068.49</v>
      </c>
      <c r="J274">
        <v>103.938</v>
      </c>
      <c r="K274">
        <v>11772.949000000001</v>
      </c>
    </row>
    <row r="275" spans="1:11" x14ac:dyDescent="0.35">
      <c r="A275" s="78">
        <v>42095</v>
      </c>
      <c r="B275">
        <v>7.5</v>
      </c>
      <c r="C275">
        <v>1.7</v>
      </c>
      <c r="D275">
        <v>2391.145</v>
      </c>
      <c r="E275">
        <v>3085.0889999999999</v>
      </c>
      <c r="F275">
        <v>17380.875</v>
      </c>
      <c r="G275">
        <v>104.68300000000001</v>
      </c>
      <c r="H275">
        <v>3136.6880000000001</v>
      </c>
      <c r="I275">
        <v>3091.0830000000001</v>
      </c>
      <c r="J275">
        <v>104.384</v>
      </c>
      <c r="K275">
        <v>11852.652</v>
      </c>
    </row>
    <row r="276" spans="1:11" x14ac:dyDescent="0.35">
      <c r="A276" s="78">
        <v>42186</v>
      </c>
      <c r="B276">
        <v>7.3</v>
      </c>
      <c r="C276">
        <v>1.2</v>
      </c>
      <c r="D276">
        <v>2371.2049999999999</v>
      </c>
      <c r="E276">
        <v>3099.0819999999999</v>
      </c>
      <c r="F276">
        <v>17437.080000000002</v>
      </c>
      <c r="G276">
        <v>104.93899999999999</v>
      </c>
      <c r="H276">
        <v>3130.3539999999998</v>
      </c>
      <c r="I276">
        <v>3117.7620000000002</v>
      </c>
      <c r="J276">
        <v>104.699</v>
      </c>
      <c r="K276">
        <v>11943.043</v>
      </c>
    </row>
    <row r="277" spans="1:11" x14ac:dyDescent="0.35">
      <c r="A277" s="78">
        <v>42278</v>
      </c>
      <c r="B277">
        <v>7.4</v>
      </c>
      <c r="C277">
        <v>0.9</v>
      </c>
      <c r="D277">
        <v>2367.6669999999999</v>
      </c>
      <c r="E277">
        <v>3110.2570000000001</v>
      </c>
      <c r="F277">
        <v>17462.579000000002</v>
      </c>
      <c r="G277">
        <v>104.932</v>
      </c>
      <c r="H277">
        <v>3092.7069999999999</v>
      </c>
      <c r="I277">
        <v>3124.3560000000002</v>
      </c>
      <c r="J277">
        <v>104.926</v>
      </c>
      <c r="K277">
        <v>12003.146000000001</v>
      </c>
    </row>
    <row r="278" spans="1:11" x14ac:dyDescent="0.35">
      <c r="A278" s="78">
        <v>42370</v>
      </c>
      <c r="B278">
        <v>7.5</v>
      </c>
      <c r="C278">
        <v>1.7</v>
      </c>
      <c r="D278">
        <v>2360.7049999999999</v>
      </c>
      <c r="E278">
        <v>3142.8409999999999</v>
      </c>
      <c r="F278">
        <v>17565.465</v>
      </c>
      <c r="G278">
        <v>104.873</v>
      </c>
      <c r="H278">
        <v>3079.4490000000001</v>
      </c>
      <c r="I278">
        <v>3119.9780000000001</v>
      </c>
      <c r="J278">
        <v>105.36499999999999</v>
      </c>
      <c r="K278">
        <v>12091.178</v>
      </c>
    </row>
    <row r="279" spans="1:11" x14ac:dyDescent="0.35">
      <c r="A279" s="78">
        <v>42461</v>
      </c>
      <c r="B279">
        <v>6.9</v>
      </c>
      <c r="C279">
        <v>2.2000000000000002</v>
      </c>
      <c r="D279">
        <v>2378.6120000000001</v>
      </c>
      <c r="E279">
        <v>3137.91</v>
      </c>
      <c r="F279">
        <v>17618.580999999998</v>
      </c>
      <c r="G279">
        <v>105.57599999999999</v>
      </c>
      <c r="H279">
        <v>3063.3330000000001</v>
      </c>
      <c r="I279">
        <v>3123.2449999999999</v>
      </c>
      <c r="J279">
        <v>105.937</v>
      </c>
      <c r="K279">
        <v>12152.627</v>
      </c>
    </row>
    <row r="280" spans="1:11" x14ac:dyDescent="0.35">
      <c r="A280" s="78">
        <v>42552</v>
      </c>
      <c r="B280">
        <v>6.8</v>
      </c>
      <c r="C280">
        <v>1.9</v>
      </c>
      <c r="D280">
        <v>2415.5520000000001</v>
      </c>
      <c r="E280">
        <v>3153.8939999999998</v>
      </c>
      <c r="F280">
        <v>17724.489000000001</v>
      </c>
      <c r="G280">
        <v>105.89400000000001</v>
      </c>
      <c r="H280">
        <v>3069.2979999999998</v>
      </c>
      <c r="I280">
        <v>3145.9769999999999</v>
      </c>
      <c r="J280">
        <v>106.43</v>
      </c>
      <c r="K280">
        <v>12223.822</v>
      </c>
    </row>
    <row r="281" spans="1:11" x14ac:dyDescent="0.35">
      <c r="A281" s="78">
        <v>42644</v>
      </c>
      <c r="B281">
        <v>6.8</v>
      </c>
      <c r="C281">
        <v>1.5</v>
      </c>
      <c r="D281">
        <v>2398.5520000000001</v>
      </c>
      <c r="E281">
        <v>3160.471</v>
      </c>
      <c r="F281">
        <v>17812.560000000001</v>
      </c>
      <c r="G281">
        <v>106.47</v>
      </c>
      <c r="H281">
        <v>3147.576</v>
      </c>
      <c r="I281">
        <v>3192.5250000000001</v>
      </c>
      <c r="J281">
        <v>106.818</v>
      </c>
      <c r="K281">
        <v>12283.075999999999</v>
      </c>
    </row>
    <row r="282" spans="1:11" x14ac:dyDescent="0.35">
      <c r="A282" s="78">
        <v>42736</v>
      </c>
      <c r="B282">
        <v>7.1</v>
      </c>
      <c r="C282">
        <v>1.9</v>
      </c>
      <c r="D282">
        <v>2460.7539999999999</v>
      </c>
      <c r="E282">
        <v>3152.232</v>
      </c>
      <c r="F282">
        <v>17889.094000000001</v>
      </c>
      <c r="G282">
        <v>107.02200000000001</v>
      </c>
      <c r="H282">
        <v>3131.9169999999999</v>
      </c>
      <c r="I282">
        <v>3241.8359999999998</v>
      </c>
      <c r="J282">
        <v>107.328</v>
      </c>
      <c r="K282">
        <v>12369.906999999999</v>
      </c>
    </row>
    <row r="283" spans="1:11" x14ac:dyDescent="0.35">
      <c r="A283" s="78">
        <v>42826</v>
      </c>
      <c r="B283">
        <v>7.6</v>
      </c>
      <c r="C283">
        <v>1.5</v>
      </c>
      <c r="D283">
        <v>2468.9459999999999</v>
      </c>
      <c r="E283">
        <v>3157.8739999999998</v>
      </c>
      <c r="F283">
        <v>17979.218000000001</v>
      </c>
      <c r="G283">
        <v>107.363</v>
      </c>
      <c r="H283">
        <v>3187.7809999999999</v>
      </c>
      <c r="I283">
        <v>3273.4029999999998</v>
      </c>
      <c r="J283">
        <v>107.738</v>
      </c>
      <c r="K283">
        <v>12419.406999999999</v>
      </c>
    </row>
    <row r="284" spans="1:11" x14ac:dyDescent="0.35">
      <c r="A284" s="78">
        <v>42917</v>
      </c>
      <c r="B284">
        <v>7.5</v>
      </c>
      <c r="C284">
        <v>1.3</v>
      </c>
      <c r="D284">
        <v>2483.4670000000001</v>
      </c>
      <c r="E284">
        <v>3157.0859999999998</v>
      </c>
      <c r="F284">
        <v>18127.993999999999</v>
      </c>
      <c r="G284">
        <v>107.94799999999999</v>
      </c>
      <c r="H284">
        <v>3250.8249999999998</v>
      </c>
      <c r="I284">
        <v>3270.7570000000001</v>
      </c>
      <c r="J284">
        <v>108.077</v>
      </c>
      <c r="K284">
        <v>12493.466</v>
      </c>
    </row>
    <row r="285" spans="1:11" x14ac:dyDescent="0.35">
      <c r="A285" s="78">
        <v>43009</v>
      </c>
      <c r="B285">
        <v>6.9</v>
      </c>
      <c r="C285">
        <v>2</v>
      </c>
      <c r="D285">
        <v>2547.9969999999998</v>
      </c>
      <c r="E285">
        <v>3181.9989999999998</v>
      </c>
      <c r="F285">
        <v>18310.3</v>
      </c>
      <c r="G285">
        <v>108.639</v>
      </c>
      <c r="H285">
        <v>3293.4409999999998</v>
      </c>
      <c r="I285">
        <v>3362.9569999999999</v>
      </c>
      <c r="J285">
        <v>108.608</v>
      </c>
      <c r="K285">
        <v>12630.132</v>
      </c>
    </row>
    <row r="286" spans="1:11" x14ac:dyDescent="0.35">
      <c r="A286" s="78">
        <v>43101</v>
      </c>
      <c r="B286">
        <v>7.2</v>
      </c>
      <c r="C286">
        <v>2.6</v>
      </c>
      <c r="D286">
        <v>2564.6610000000001</v>
      </c>
      <c r="E286">
        <v>3187.7139999999999</v>
      </c>
      <c r="F286">
        <v>18437.127</v>
      </c>
      <c r="G286">
        <v>109.36499999999999</v>
      </c>
      <c r="H286">
        <v>3342.884</v>
      </c>
      <c r="I286">
        <v>3391.2579999999998</v>
      </c>
      <c r="J286">
        <v>109.318</v>
      </c>
      <c r="K286">
        <v>12713.156000000001</v>
      </c>
    </row>
    <row r="287" spans="1:11" x14ac:dyDescent="0.35">
      <c r="A287" s="78">
        <v>43191</v>
      </c>
      <c r="B287">
        <v>7.3</v>
      </c>
      <c r="C287">
        <v>2.2000000000000002</v>
      </c>
      <c r="D287">
        <v>2578.61</v>
      </c>
      <c r="E287">
        <v>3210.0369999999998</v>
      </c>
      <c r="F287">
        <v>18565.697</v>
      </c>
      <c r="G287">
        <v>110.176</v>
      </c>
      <c r="H287">
        <v>3349.047</v>
      </c>
      <c r="I287">
        <v>3395.2829999999999</v>
      </c>
      <c r="J287">
        <v>109.926</v>
      </c>
      <c r="K287">
        <v>12805.609</v>
      </c>
    </row>
    <row r="288" spans="1:11" x14ac:dyDescent="0.35">
      <c r="A288" s="78">
        <v>43282</v>
      </c>
      <c r="B288">
        <v>7.6</v>
      </c>
      <c r="C288">
        <v>1.4</v>
      </c>
      <c r="D288">
        <v>2544.5520000000001</v>
      </c>
      <c r="E288">
        <v>3231.3359999999998</v>
      </c>
      <c r="F288">
        <v>18699.748</v>
      </c>
      <c r="G288">
        <v>110.68</v>
      </c>
      <c r="H288">
        <v>3453.0590000000002</v>
      </c>
      <c r="I288">
        <v>3441.0680000000002</v>
      </c>
      <c r="J288">
        <v>110.313</v>
      </c>
      <c r="K288">
        <v>12887.074000000001</v>
      </c>
    </row>
    <row r="289" spans="1:11" x14ac:dyDescent="0.35">
      <c r="A289" s="78">
        <v>43374</v>
      </c>
      <c r="B289">
        <v>8.1999999999999993</v>
      </c>
      <c r="C289">
        <v>1.9</v>
      </c>
      <c r="D289">
        <v>2552.4369999999999</v>
      </c>
      <c r="E289">
        <v>3232.3029999999999</v>
      </c>
      <c r="F289">
        <v>18733.741000000002</v>
      </c>
      <c r="G289">
        <v>111.155</v>
      </c>
      <c r="H289">
        <v>3450.6080000000002</v>
      </c>
      <c r="I289">
        <v>3474.268</v>
      </c>
      <c r="J289">
        <v>110.822</v>
      </c>
      <c r="K289">
        <v>12943.375</v>
      </c>
    </row>
    <row r="290" spans="1:11" x14ac:dyDescent="0.35">
      <c r="A290" s="78">
        <v>43466</v>
      </c>
      <c r="B290">
        <v>9.3000000000000007</v>
      </c>
      <c r="C290">
        <v>1.5</v>
      </c>
      <c r="D290">
        <v>2582.2849999999999</v>
      </c>
      <c r="E290">
        <v>3270.9659999999999</v>
      </c>
      <c r="F290">
        <v>18835.411</v>
      </c>
      <c r="G290">
        <v>111.56</v>
      </c>
      <c r="H290">
        <v>3484.3490000000002</v>
      </c>
      <c r="I290">
        <v>3485.931</v>
      </c>
      <c r="J290">
        <v>111.23</v>
      </c>
      <c r="K290">
        <v>12955.727000000001</v>
      </c>
    </row>
    <row r="291" spans="1:11" x14ac:dyDescent="0.35">
      <c r="A291" s="78">
        <v>43556</v>
      </c>
      <c r="B291">
        <v>8.6999999999999993</v>
      </c>
      <c r="C291">
        <v>2.1</v>
      </c>
      <c r="D291">
        <v>2567.2809999999999</v>
      </c>
      <c r="E291">
        <v>3313.8</v>
      </c>
      <c r="F291">
        <v>18962.174999999999</v>
      </c>
      <c r="G291">
        <v>112.184</v>
      </c>
      <c r="H291">
        <v>3504.855</v>
      </c>
      <c r="I291">
        <v>3491.7510000000002</v>
      </c>
      <c r="J291">
        <v>111.80800000000001</v>
      </c>
      <c r="K291">
        <v>13038.853999999999</v>
      </c>
    </row>
    <row r="292" spans="1:11" x14ac:dyDescent="0.35">
      <c r="A292" s="78">
        <v>43647</v>
      </c>
      <c r="B292">
        <v>8.6</v>
      </c>
      <c r="C292">
        <v>1.6</v>
      </c>
      <c r="D292">
        <v>2567.0100000000002</v>
      </c>
      <c r="E292">
        <v>3341.2289999999998</v>
      </c>
      <c r="F292">
        <v>19130.932000000001</v>
      </c>
      <c r="G292">
        <v>112.55800000000001</v>
      </c>
      <c r="H292">
        <v>3527.1930000000002</v>
      </c>
      <c r="I292">
        <v>3476.3820000000001</v>
      </c>
      <c r="J292">
        <v>112.255</v>
      </c>
      <c r="K292">
        <v>13148.857</v>
      </c>
    </row>
    <row r="293" spans="1:11" x14ac:dyDescent="0.35">
      <c r="A293" s="78">
        <v>43739</v>
      </c>
      <c r="B293">
        <v>8.6999999999999993</v>
      </c>
      <c r="C293">
        <v>1.2</v>
      </c>
      <c r="D293">
        <v>2571.8449999999998</v>
      </c>
      <c r="E293">
        <v>3360.85</v>
      </c>
      <c r="F293">
        <v>19215.690999999999</v>
      </c>
      <c r="G293">
        <v>112.91</v>
      </c>
      <c r="H293">
        <v>3454.3539999999998</v>
      </c>
      <c r="I293">
        <v>3404.66</v>
      </c>
      <c r="J293">
        <v>112.59699999999999</v>
      </c>
      <c r="K293">
        <v>13225.609</v>
      </c>
    </row>
    <row r="294" spans="1:11" x14ac:dyDescent="0.35">
      <c r="A294" s="78">
        <v>43831</v>
      </c>
      <c r="B294">
        <v>10.7</v>
      </c>
      <c r="C294">
        <v>1.9</v>
      </c>
      <c r="D294">
        <v>2467.3040000000001</v>
      </c>
      <c r="E294">
        <v>3387.944</v>
      </c>
      <c r="F294">
        <v>18989.877</v>
      </c>
      <c r="G294">
        <v>113.42700000000001</v>
      </c>
      <c r="H294">
        <v>3409.8829999999998</v>
      </c>
      <c r="I294">
        <v>3295.4929999999999</v>
      </c>
      <c r="J294">
        <v>113.119</v>
      </c>
      <c r="K294">
        <v>13016.75</v>
      </c>
    </row>
    <row r="295" spans="1:11" x14ac:dyDescent="0.35">
      <c r="A295" s="78">
        <v>43922</v>
      </c>
      <c r="B295">
        <v>26.4</v>
      </c>
      <c r="C295">
        <v>-1</v>
      </c>
      <c r="D295">
        <v>1951.3679999999999</v>
      </c>
      <c r="E295">
        <v>3448.0430000000001</v>
      </c>
      <c r="F295">
        <v>17378.712</v>
      </c>
      <c r="G295">
        <v>113.053</v>
      </c>
      <c r="H295">
        <v>2884.223</v>
      </c>
      <c r="I295">
        <v>2718.6190000000001</v>
      </c>
      <c r="J295">
        <v>112.846</v>
      </c>
      <c r="K295">
        <v>11817.147000000001</v>
      </c>
    </row>
    <row r="296" spans="1:11" x14ac:dyDescent="0.35">
      <c r="A296" s="78">
        <v>44013</v>
      </c>
      <c r="B296">
        <v>16.399999999999999</v>
      </c>
      <c r="C296">
        <v>3.2</v>
      </c>
      <c r="D296">
        <v>2193.0329999999999</v>
      </c>
      <c r="E296">
        <v>3395.877</v>
      </c>
      <c r="F296">
        <v>18743.72</v>
      </c>
      <c r="G296">
        <v>114.032</v>
      </c>
      <c r="H296">
        <v>3394.1419999999998</v>
      </c>
      <c r="I296">
        <v>3184.18</v>
      </c>
      <c r="J296">
        <v>113.729</v>
      </c>
      <c r="K296">
        <v>12922.380999999999</v>
      </c>
    </row>
    <row r="297" spans="1:11" x14ac:dyDescent="0.35">
      <c r="A297" s="78">
        <v>44105</v>
      </c>
      <c r="B297">
        <v>13.7</v>
      </c>
      <c r="C297">
        <v>1.5</v>
      </c>
      <c r="D297">
        <v>2315.0329999999999</v>
      </c>
      <c r="E297">
        <v>3394.7950000000001</v>
      </c>
      <c r="F297">
        <v>18924.261999999999</v>
      </c>
      <c r="G297">
        <v>114.744</v>
      </c>
      <c r="H297">
        <v>3537.645</v>
      </c>
      <c r="I297">
        <v>3419.0010000000002</v>
      </c>
      <c r="J297">
        <v>114.163</v>
      </c>
      <c r="K297">
        <v>13046.614</v>
      </c>
    </row>
    <row r="298" spans="1:11" x14ac:dyDescent="0.35">
      <c r="A298" s="78">
        <v>44197</v>
      </c>
      <c r="B298">
        <v>20.399999999999999</v>
      </c>
      <c r="C298">
        <v>3.2</v>
      </c>
      <c r="D298">
        <v>2317.5050000000001</v>
      </c>
      <c r="E298">
        <v>3448.7429999999999</v>
      </c>
      <c r="F298">
        <v>19216.223999999998</v>
      </c>
      <c r="G298">
        <v>116.199</v>
      </c>
      <c r="H298">
        <v>3489.2939999999999</v>
      </c>
      <c r="I298">
        <v>3482.0349999999999</v>
      </c>
      <c r="J298">
        <v>115.072</v>
      </c>
      <c r="K298">
        <v>13386.763000000001</v>
      </c>
    </row>
    <row r="299" spans="1:11" x14ac:dyDescent="0.35">
      <c r="A299" s="78">
        <v>44287</v>
      </c>
      <c r="B299">
        <v>10.8</v>
      </c>
      <c r="C299">
        <v>6</v>
      </c>
      <c r="D299">
        <v>2345.1320000000001</v>
      </c>
      <c r="E299">
        <v>3422.3629999999998</v>
      </c>
      <c r="F299">
        <v>19544.248</v>
      </c>
      <c r="G299">
        <v>117.974</v>
      </c>
      <c r="H299">
        <v>3496.8670000000002</v>
      </c>
      <c r="I299">
        <v>3549.002</v>
      </c>
      <c r="J299">
        <v>116.774</v>
      </c>
      <c r="K299">
        <v>13773.688</v>
      </c>
    </row>
    <row r="300" spans="1:11" x14ac:dyDescent="0.35">
      <c r="A300" s="78">
        <v>44378</v>
      </c>
      <c r="B300">
        <v>9.1</v>
      </c>
      <c r="C300">
        <v>4.8</v>
      </c>
      <c r="D300">
        <v>2338.8249999999998</v>
      </c>
      <c r="E300">
        <v>3421.0459999999998</v>
      </c>
      <c r="F300">
        <v>19672.594000000001</v>
      </c>
      <c r="G300">
        <v>119.76300000000001</v>
      </c>
      <c r="H300">
        <v>3584.05</v>
      </c>
      <c r="I300">
        <v>3606.2829999999999</v>
      </c>
      <c r="J300">
        <v>118.152</v>
      </c>
      <c r="K300">
        <v>13874.396000000001</v>
      </c>
    </row>
    <row r="301" spans="1:11" x14ac:dyDescent="0.35">
      <c r="A301" s="78">
        <v>44470</v>
      </c>
      <c r="B301">
        <v>7.3</v>
      </c>
      <c r="C301">
        <v>4.8</v>
      </c>
      <c r="D301">
        <v>2465.672</v>
      </c>
      <c r="E301">
        <v>3412.8580000000002</v>
      </c>
      <c r="F301">
        <v>20006.181</v>
      </c>
      <c r="G301">
        <v>121.758</v>
      </c>
      <c r="H301">
        <v>3841.7710000000002</v>
      </c>
      <c r="I301">
        <v>3763.3159999999998</v>
      </c>
      <c r="J301">
        <v>119.55500000000001</v>
      </c>
      <c r="K301">
        <v>13981.513999999999</v>
      </c>
    </row>
    <row r="302" spans="1:11" x14ac:dyDescent="0.35">
      <c r="A302" s="78">
        <v>44562</v>
      </c>
      <c r="B302">
        <v>4.3</v>
      </c>
      <c r="C302">
        <v>5.6</v>
      </c>
      <c r="D302">
        <v>2436.9340000000002</v>
      </c>
      <c r="E302">
        <v>3393.3890000000001</v>
      </c>
      <c r="F302">
        <v>19924.088</v>
      </c>
      <c r="G302">
        <v>124.209</v>
      </c>
      <c r="H302">
        <v>3892.48</v>
      </c>
      <c r="I302">
        <v>3925.6329999999998</v>
      </c>
      <c r="J302">
        <v>121.206</v>
      </c>
      <c r="K302">
        <v>14028.383</v>
      </c>
    </row>
    <row r="303" spans="1:11" x14ac:dyDescent="0.35">
      <c r="A303" s="78">
        <v>44652</v>
      </c>
      <c r="B303">
        <v>3.2</v>
      </c>
      <c r="C303">
        <v>4.7</v>
      </c>
      <c r="D303">
        <v>2516.9279999999999</v>
      </c>
      <c r="E303">
        <v>3379.4989999999998</v>
      </c>
      <c r="F303">
        <v>19895.271000000001</v>
      </c>
      <c r="G303">
        <v>126.914</v>
      </c>
      <c r="H303">
        <v>3746.973</v>
      </c>
      <c r="I303">
        <v>3947.4720000000002</v>
      </c>
      <c r="J303">
        <v>122.592</v>
      </c>
      <c r="K303">
        <v>14099.456</v>
      </c>
    </row>
    <row r="304" spans="1:11" x14ac:dyDescent="0.35">
      <c r="A304" s="78">
        <v>44743</v>
      </c>
      <c r="B304">
        <v>2.7</v>
      </c>
      <c r="C304">
        <v>4.7</v>
      </c>
      <c r="D304">
        <v>2604.1370000000002</v>
      </c>
      <c r="E304">
        <v>3410.625</v>
      </c>
      <c r="F304">
        <v>20054.663</v>
      </c>
      <c r="G304">
        <v>128.27600000000001</v>
      </c>
      <c r="H304">
        <v>3653.85</v>
      </c>
      <c r="I304">
        <v>3872.9079999999999</v>
      </c>
      <c r="J304">
        <v>123.997</v>
      </c>
      <c r="K304">
        <v>14178.562</v>
      </c>
    </row>
    <row r="305" spans="1:11" x14ac:dyDescent="0.35">
      <c r="A305" s="78">
        <v>44835</v>
      </c>
      <c r="B305">
        <v>2.9</v>
      </c>
      <c r="C305">
        <v>3.9</v>
      </c>
      <c r="D305">
        <v>2595.4520000000002</v>
      </c>
      <c r="E305">
        <v>3441.9079999999999</v>
      </c>
      <c r="F305">
        <v>20198.091</v>
      </c>
      <c r="G305">
        <v>129.374</v>
      </c>
      <c r="H305">
        <v>3666.902</v>
      </c>
      <c r="I305">
        <v>3827.8690000000001</v>
      </c>
      <c r="J305">
        <v>125.19</v>
      </c>
      <c r="K305">
        <v>14252.163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9"/>
  <sheetViews>
    <sheetView zoomScale="110" zoomScaleNormal="110" workbookViewId="0">
      <pane ySplit="5" topLeftCell="A272" activePane="bottomLeft" state="frozen"/>
      <selection activeCell="I311" sqref="I311"/>
      <selection pane="bottomLeft" activeCell="X329" sqref="X329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21.36328125" customWidth="1"/>
    <col min="6" max="18" width="10.81640625" customWidth="1"/>
  </cols>
  <sheetData>
    <row r="1" spans="1:16" ht="16" customHeight="1" x14ac:dyDescent="0.35">
      <c r="A1" s="38" t="s">
        <v>18</v>
      </c>
      <c r="B1" s="39" t="s">
        <v>26</v>
      </c>
      <c r="C1" s="13"/>
      <c r="D1" s="15" t="s">
        <v>27</v>
      </c>
      <c r="E1" s="14"/>
      <c r="F1" s="14"/>
      <c r="G1" s="14"/>
      <c r="H1" s="14"/>
      <c r="I1" s="15" t="s">
        <v>28</v>
      </c>
      <c r="J1" s="14"/>
      <c r="K1" s="14"/>
      <c r="L1" s="76"/>
      <c r="M1" s="76"/>
      <c r="N1" s="76"/>
      <c r="O1" s="76"/>
      <c r="P1" s="76"/>
    </row>
    <row r="2" spans="1:16" x14ac:dyDescent="0.35">
      <c r="A2" s="59" t="s">
        <v>29</v>
      </c>
      <c r="B2" s="12"/>
      <c r="C2" s="13"/>
      <c r="D2" s="13"/>
      <c r="E2" s="14"/>
      <c r="F2" s="60"/>
      <c r="G2" s="14"/>
      <c r="H2" s="16"/>
      <c r="I2" s="14" t="s">
        <v>30</v>
      </c>
      <c r="J2" s="14"/>
      <c r="K2" s="14"/>
      <c r="L2" s="76"/>
      <c r="M2" s="76"/>
      <c r="N2" s="76"/>
      <c r="O2" s="76"/>
      <c r="P2" s="76"/>
    </row>
    <row r="3" spans="1:16" x14ac:dyDescent="0.35">
      <c r="A3" s="61"/>
      <c r="B3" s="12"/>
      <c r="C3" s="13"/>
      <c r="D3" s="13"/>
      <c r="E3" s="14"/>
      <c r="F3" s="14"/>
      <c r="G3" s="14"/>
      <c r="H3" s="14"/>
      <c r="I3" s="14"/>
      <c r="J3" s="14"/>
      <c r="K3" s="14"/>
      <c r="L3" s="76"/>
      <c r="M3" s="76"/>
      <c r="N3" s="76"/>
      <c r="O3" s="76"/>
      <c r="P3" s="76"/>
    </row>
    <row r="4" spans="1:16" x14ac:dyDescent="0.35">
      <c r="A4" s="61"/>
      <c r="B4" s="12"/>
      <c r="C4" s="13"/>
      <c r="D4" s="13"/>
      <c r="E4" s="14"/>
      <c r="F4" s="14"/>
      <c r="G4" s="14"/>
      <c r="H4" s="14"/>
      <c r="I4" s="15" t="str">
        <f>C1&amp;A2</f>
        <v xml:space="preserve"> Billions of Chained 2012 Dollars, Seasonally Adjusted Annual Rate</v>
      </c>
      <c r="J4" s="14"/>
      <c r="K4" s="14"/>
      <c r="L4" s="76"/>
      <c r="M4" s="76"/>
      <c r="N4" s="76"/>
      <c r="O4" s="76"/>
      <c r="P4" s="76"/>
    </row>
    <row r="5" spans="1:16" x14ac:dyDescent="0.35">
      <c r="A5" s="49" t="s">
        <v>31</v>
      </c>
      <c r="B5" s="62" t="s">
        <v>32</v>
      </c>
      <c r="C5" s="50" t="s">
        <v>33</v>
      </c>
      <c r="D5" s="51" t="s">
        <v>34</v>
      </c>
      <c r="E5" s="52" t="s">
        <v>35</v>
      </c>
    </row>
    <row r="6" spans="1:16" x14ac:dyDescent="0.35">
      <c r="A6" s="35">
        <v>17168</v>
      </c>
      <c r="B6" s="63">
        <f>VLOOKUP(A6,Database!A:L,MATCH($A$1,Database!$A$1:$L$1,),)</f>
        <v>2034.45</v>
      </c>
      <c r="C6" s="36"/>
      <c r="D6" s="36"/>
      <c r="E6" s="36">
        <f t="shared" ref="E6:E69" si="0">((1+C6)^4)-1</f>
        <v>0</v>
      </c>
    </row>
    <row r="7" spans="1:16" x14ac:dyDescent="0.35">
      <c r="A7" s="35">
        <v>17258</v>
      </c>
      <c r="B7" s="63">
        <f>VLOOKUP(A7,Database!A:L,MATCH($A$1,Database!$A$1:$L$1,),)</f>
        <v>2029.0239999999999</v>
      </c>
      <c r="C7" s="37">
        <f t="shared" ref="C7:C70" si="1">(B7-B6)/B6</f>
        <v>-2.6670598933373432E-3</v>
      </c>
      <c r="D7" s="36"/>
      <c r="E7" s="36">
        <f t="shared" si="0"/>
        <v>-1.0625636157315932E-2</v>
      </c>
    </row>
    <row r="8" spans="1:16" x14ac:dyDescent="0.35">
      <c r="A8" s="35">
        <v>17349</v>
      </c>
      <c r="B8" s="63">
        <f>VLOOKUP(A8,Database!A:L,MATCH($A$1,Database!$A$1:$L$1,),)</f>
        <v>2024.8340000000001</v>
      </c>
      <c r="C8" s="37">
        <f t="shared" si="1"/>
        <v>-2.0650322519594777E-3</v>
      </c>
      <c r="D8" s="36"/>
      <c r="E8" s="36">
        <f t="shared" si="0"/>
        <v>-8.2345780645923794E-3</v>
      </c>
    </row>
    <row r="9" spans="1:16" x14ac:dyDescent="0.35">
      <c r="A9" s="35">
        <v>17441</v>
      </c>
      <c r="B9" s="63">
        <f>VLOOKUP(A9,Database!A:L,MATCH($A$1,Database!$A$1:$L$1,),)</f>
        <v>2056.5079999999998</v>
      </c>
      <c r="C9" s="37">
        <f t="shared" si="1"/>
        <v>1.5642763801872031E-2</v>
      </c>
      <c r="D9" s="36"/>
      <c r="E9" s="36">
        <f t="shared" si="0"/>
        <v>6.4054602330456234E-2</v>
      </c>
    </row>
    <row r="10" spans="1:16" x14ac:dyDescent="0.35">
      <c r="A10" s="35">
        <v>17533</v>
      </c>
      <c r="B10" s="63">
        <f>VLOOKUP(A10,Database!A:L,MATCH($A$1,Database!$A$1:$L$1,),)</f>
        <v>2087.442</v>
      </c>
      <c r="C10" s="37">
        <f t="shared" si="1"/>
        <v>1.5042003240444579E-2</v>
      </c>
      <c r="D10" s="36">
        <f t="shared" ref="D10:D73" si="2">(B10-B6)/B6</f>
        <v>2.6047334660473327E-2</v>
      </c>
      <c r="E10" s="36">
        <f t="shared" si="0"/>
        <v>6.1539249051735911E-2</v>
      </c>
    </row>
    <row r="11" spans="1:16" x14ac:dyDescent="0.35">
      <c r="A11" s="35">
        <v>17624</v>
      </c>
      <c r="B11" s="63">
        <f>VLOOKUP(A11,Database!A:L,MATCH($A$1,Database!$A$1:$L$1,),)</f>
        <v>2121.8989999999999</v>
      </c>
      <c r="C11" s="37">
        <f t="shared" si="1"/>
        <v>1.6506805937602041E-2</v>
      </c>
      <c r="D11" s="36">
        <f t="shared" si="2"/>
        <v>4.5773238759127546E-2</v>
      </c>
      <c r="E11" s="36">
        <f t="shared" si="0"/>
        <v>6.7680136590580142E-2</v>
      </c>
    </row>
    <row r="12" spans="1:16" x14ac:dyDescent="0.35">
      <c r="A12" s="35">
        <v>17715</v>
      </c>
      <c r="B12" s="63">
        <f>VLOOKUP(A12,Database!A:L,MATCH($A$1,Database!$A$1:$L$1,),)</f>
        <v>2134.056</v>
      </c>
      <c r="C12" s="37">
        <f t="shared" si="1"/>
        <v>5.7293019130505995E-3</v>
      </c>
      <c r="D12" s="36">
        <f t="shared" si="2"/>
        <v>5.3941211970956623E-2</v>
      </c>
      <c r="E12" s="36">
        <f t="shared" si="0"/>
        <v>2.3114910387201038E-2</v>
      </c>
    </row>
    <row r="13" spans="1:16" x14ac:dyDescent="0.35">
      <c r="A13" s="35">
        <v>17807</v>
      </c>
      <c r="B13" s="63">
        <f>VLOOKUP(A13,Database!A:L,MATCH($A$1,Database!$A$1:$L$1,),)</f>
        <v>2136.44</v>
      </c>
      <c r="C13" s="37">
        <f t="shared" si="1"/>
        <v>1.117121575066453E-3</v>
      </c>
      <c r="D13" s="36">
        <f t="shared" si="2"/>
        <v>3.8867828377035368E-2</v>
      </c>
      <c r="E13" s="36">
        <f t="shared" si="0"/>
        <v>4.4759796419993059E-3</v>
      </c>
    </row>
    <row r="14" spans="1:16" x14ac:dyDescent="0.35">
      <c r="A14" s="35">
        <v>17899</v>
      </c>
      <c r="B14" s="63">
        <f>VLOOKUP(A14,Database!A:L,MATCH($A$1,Database!$A$1:$L$1,),)</f>
        <v>2107.0010000000002</v>
      </c>
      <c r="C14" s="37">
        <f t="shared" si="1"/>
        <v>-1.377946490423314E-2</v>
      </c>
      <c r="D14" s="36">
        <f t="shared" si="2"/>
        <v>9.3698411740303182E-3</v>
      </c>
      <c r="E14" s="36">
        <f t="shared" si="0"/>
        <v>-5.398904707599983E-2</v>
      </c>
    </row>
    <row r="15" spans="1:16" x14ac:dyDescent="0.35">
      <c r="A15" s="35">
        <v>17989</v>
      </c>
      <c r="B15" s="63">
        <f>VLOOKUP(A15,Database!A:L,MATCH($A$1,Database!$A$1:$L$1,),)</f>
        <v>2099.8139999999999</v>
      </c>
      <c r="C15" s="37">
        <f t="shared" si="1"/>
        <v>-3.4110092971006431E-3</v>
      </c>
      <c r="D15" s="36">
        <f t="shared" si="2"/>
        <v>-1.0408129698915941E-2</v>
      </c>
      <c r="E15" s="36">
        <f t="shared" si="0"/>
        <v>-1.3574385894640661E-2</v>
      </c>
    </row>
    <row r="16" spans="1:16" x14ac:dyDescent="0.35">
      <c r="A16" s="35">
        <v>18080</v>
      </c>
      <c r="B16" s="63">
        <f>VLOOKUP(A16,Database!A:L,MATCH($A$1,Database!$A$1:$L$1,),)</f>
        <v>2121.4929999999999</v>
      </c>
      <c r="C16" s="37">
        <f t="shared" si="1"/>
        <v>1.0324247766706998E-2</v>
      </c>
      <c r="D16" s="36">
        <f t="shared" si="2"/>
        <v>-5.8869120585402172E-3</v>
      </c>
      <c r="E16" s="36">
        <f t="shared" si="0"/>
        <v>4.1940944830040516E-2</v>
      </c>
    </row>
    <row r="17" spans="1:5" x14ac:dyDescent="0.35">
      <c r="A17" s="35">
        <v>18172</v>
      </c>
      <c r="B17" s="63">
        <f>VLOOKUP(A17,Database!A:L,MATCH($A$1,Database!$A$1:$L$1,),)</f>
        <v>2103.6880000000001</v>
      </c>
      <c r="C17" s="37">
        <f t="shared" si="1"/>
        <v>-8.3926744042991594E-3</v>
      </c>
      <c r="D17" s="36">
        <f t="shared" si="2"/>
        <v>-1.5330175432027087E-2</v>
      </c>
      <c r="E17" s="36">
        <f t="shared" si="0"/>
        <v>-3.3150435372567788E-2</v>
      </c>
    </row>
    <row r="18" spans="1:5" x14ac:dyDescent="0.35">
      <c r="A18" s="35">
        <v>18264</v>
      </c>
      <c r="B18" s="63">
        <f>VLOOKUP(A18,Database!A:L,MATCH($A$1,Database!$A$1:$L$1,),)</f>
        <v>2186.3649999999998</v>
      </c>
      <c r="C18" s="37">
        <f t="shared" si="1"/>
        <v>3.9300979993230782E-2</v>
      </c>
      <c r="D18" s="36">
        <f t="shared" si="2"/>
        <v>3.7666806992497665E-2</v>
      </c>
      <c r="E18" s="36">
        <f t="shared" si="0"/>
        <v>0.16671651982232794</v>
      </c>
    </row>
    <row r="19" spans="1:5" x14ac:dyDescent="0.35">
      <c r="A19" s="35">
        <v>18354</v>
      </c>
      <c r="B19" s="63">
        <f>VLOOKUP(A19,Database!A:L,MATCH($A$1,Database!$A$1:$L$1,),)</f>
        <v>2253.0450000000001</v>
      </c>
      <c r="C19" s="37">
        <f t="shared" si="1"/>
        <v>3.0498109876438882E-2</v>
      </c>
      <c r="D19" s="36">
        <f t="shared" si="2"/>
        <v>7.2973606233695101E-2</v>
      </c>
      <c r="E19" s="36">
        <f t="shared" si="0"/>
        <v>0.12768758229439747</v>
      </c>
    </row>
    <row r="20" spans="1:5" x14ac:dyDescent="0.35">
      <c r="A20" s="35">
        <v>18445</v>
      </c>
      <c r="B20" s="63">
        <f>VLOOKUP(A20,Database!A:L,MATCH($A$1,Database!$A$1:$L$1,),)</f>
        <v>2340.1120000000001</v>
      </c>
      <c r="C20" s="37">
        <f t="shared" si="1"/>
        <v>3.864414603347914E-2</v>
      </c>
      <c r="D20" s="36">
        <f t="shared" si="2"/>
        <v>0.10304959761828116</v>
      </c>
      <c r="E20" s="36">
        <f t="shared" si="0"/>
        <v>0.16376987446083313</v>
      </c>
    </row>
    <row r="21" spans="1:5" x14ac:dyDescent="0.35">
      <c r="A21" s="35">
        <v>18537</v>
      </c>
      <c r="B21" s="63">
        <f>VLOOKUP(A21,Database!A:L,MATCH($A$1,Database!$A$1:$L$1,),)</f>
        <v>2384.92</v>
      </c>
      <c r="C21" s="37">
        <f t="shared" si="1"/>
        <v>1.9147801472750019E-2</v>
      </c>
      <c r="D21" s="36">
        <f t="shared" si="2"/>
        <v>0.13368522328406113</v>
      </c>
      <c r="E21" s="36">
        <f t="shared" si="0"/>
        <v>7.8819251391700984E-2</v>
      </c>
    </row>
    <row r="22" spans="1:5" x14ac:dyDescent="0.35">
      <c r="A22" s="35">
        <v>18629</v>
      </c>
      <c r="B22" s="63">
        <f>VLOOKUP(A22,Database!A:L,MATCH($A$1,Database!$A$1:$L$1,),)</f>
        <v>2417.3110000000001</v>
      </c>
      <c r="C22" s="37">
        <f t="shared" si="1"/>
        <v>1.3581587642352814E-2</v>
      </c>
      <c r="D22" s="36">
        <f t="shared" si="2"/>
        <v>0.1056301212286148</v>
      </c>
      <c r="E22" s="36">
        <f t="shared" si="0"/>
        <v>5.5443162744754471E-2</v>
      </c>
    </row>
    <row r="23" spans="1:5" x14ac:dyDescent="0.35">
      <c r="A23" s="35">
        <v>18719</v>
      </c>
      <c r="B23" s="63">
        <f>VLOOKUP(A23,Database!A:L,MATCH($A$1,Database!$A$1:$L$1,),)</f>
        <v>2459.1959999999999</v>
      </c>
      <c r="C23" s="37">
        <f t="shared" si="1"/>
        <v>1.7327104373413168E-2</v>
      </c>
      <c r="D23" s="36">
        <f t="shared" si="2"/>
        <v>9.1498838238916594E-2</v>
      </c>
      <c r="E23" s="36">
        <f t="shared" si="0"/>
        <v>7.1130687272042747E-2</v>
      </c>
    </row>
    <row r="24" spans="1:5" x14ac:dyDescent="0.35">
      <c r="A24" s="35">
        <v>18810</v>
      </c>
      <c r="B24" s="63">
        <f>VLOOKUP(A24,Database!A:L,MATCH($A$1,Database!$A$1:$L$1,),)</f>
        <v>2509.88</v>
      </c>
      <c r="C24" s="37">
        <f t="shared" si="1"/>
        <v>2.0609987979811367E-2</v>
      </c>
      <c r="D24" s="36">
        <f t="shared" si="2"/>
        <v>7.2546955017537634E-2</v>
      </c>
      <c r="E24" s="36">
        <f t="shared" si="0"/>
        <v>8.5023780127983395E-2</v>
      </c>
    </row>
    <row r="25" spans="1:5" x14ac:dyDescent="0.35">
      <c r="A25" s="35">
        <v>18902</v>
      </c>
      <c r="B25" s="63">
        <f>VLOOKUP(A25,Database!A:L,MATCH($A$1,Database!$A$1:$L$1,),)</f>
        <v>2515.4079999999999</v>
      </c>
      <c r="C25" s="37">
        <f t="shared" si="1"/>
        <v>2.202495736847894E-3</v>
      </c>
      <c r="D25" s="36">
        <f t="shared" si="2"/>
        <v>5.4713784948761314E-2</v>
      </c>
      <c r="E25" s="36">
        <f t="shared" si="0"/>
        <v>8.8391316328653158E-3</v>
      </c>
    </row>
    <row r="26" spans="1:5" x14ac:dyDescent="0.35">
      <c r="A26" s="35">
        <v>18994</v>
      </c>
      <c r="B26" s="63">
        <f>VLOOKUP(A26,Database!A:L,MATCH($A$1,Database!$A$1:$L$1,),)</f>
        <v>2542.2860000000001</v>
      </c>
      <c r="C26" s="37">
        <f t="shared" si="1"/>
        <v>1.0685344087321086E-2</v>
      </c>
      <c r="D26" s="36">
        <f t="shared" si="2"/>
        <v>5.1700008811443751E-2</v>
      </c>
      <c r="E26" s="36">
        <f t="shared" si="0"/>
        <v>4.3431328919264045E-2</v>
      </c>
    </row>
    <row r="27" spans="1:5" x14ac:dyDescent="0.35">
      <c r="A27" s="35">
        <v>19085</v>
      </c>
      <c r="B27" s="63">
        <f>VLOOKUP(A27,Database!A:L,MATCH($A$1,Database!$A$1:$L$1,),)</f>
        <v>2547.7620000000002</v>
      </c>
      <c r="C27" s="37">
        <f t="shared" si="1"/>
        <v>2.1539669415636606E-3</v>
      </c>
      <c r="D27" s="36">
        <f t="shared" si="2"/>
        <v>3.601420952213661E-2</v>
      </c>
      <c r="E27" s="36">
        <f t="shared" si="0"/>
        <v>8.6437452032444018E-3</v>
      </c>
    </row>
    <row r="28" spans="1:5" x14ac:dyDescent="0.35">
      <c r="A28" s="35">
        <v>19176</v>
      </c>
      <c r="B28" s="63">
        <f>VLOOKUP(A28,Database!A:L,MATCH($A$1,Database!$A$1:$L$1,),)</f>
        <v>2566.1529999999998</v>
      </c>
      <c r="C28" s="37">
        <f t="shared" si="1"/>
        <v>7.2184921511505469E-3</v>
      </c>
      <c r="D28" s="36">
        <f t="shared" si="2"/>
        <v>2.2420593813249907E-2</v>
      </c>
      <c r="E28" s="36">
        <f t="shared" si="0"/>
        <v>2.9188115618488109E-2</v>
      </c>
    </row>
    <row r="29" spans="1:5" x14ac:dyDescent="0.35">
      <c r="A29" s="35">
        <v>19268</v>
      </c>
      <c r="B29" s="63">
        <f>VLOOKUP(A29,Database!A:L,MATCH($A$1,Database!$A$1:$L$1,),)</f>
        <v>2650.431</v>
      </c>
      <c r="C29" s="37">
        <f t="shared" si="1"/>
        <v>3.2842157112222166E-2</v>
      </c>
      <c r="D29" s="36">
        <f t="shared" si="2"/>
        <v>5.3678369473262447E-2</v>
      </c>
      <c r="E29" s="36">
        <f t="shared" si="0"/>
        <v>0.13798313070477009</v>
      </c>
    </row>
    <row r="30" spans="1:5" x14ac:dyDescent="0.35">
      <c r="A30" s="35">
        <v>19360</v>
      </c>
      <c r="B30" s="63">
        <f>VLOOKUP(A30,Database!A:L,MATCH($A$1,Database!$A$1:$L$1,),)</f>
        <v>2699.6990000000001</v>
      </c>
      <c r="C30" s="37">
        <f t="shared" si="1"/>
        <v>1.8588674823075954E-2</v>
      </c>
      <c r="D30" s="36">
        <f t="shared" si="2"/>
        <v>6.1917895940897291E-2</v>
      </c>
      <c r="E30" s="36">
        <f t="shared" si="0"/>
        <v>7.6453744115379196E-2</v>
      </c>
    </row>
    <row r="31" spans="1:5" x14ac:dyDescent="0.35">
      <c r="A31" s="35">
        <v>19450</v>
      </c>
      <c r="B31" s="63">
        <f>VLOOKUP(A31,Database!A:L,MATCH($A$1,Database!$A$1:$L$1,),)</f>
        <v>2720.5659999999998</v>
      </c>
      <c r="C31" s="37">
        <f t="shared" si="1"/>
        <v>7.7293802012741919E-3</v>
      </c>
      <c r="D31" s="36">
        <f t="shared" si="2"/>
        <v>6.7825801625112397E-2</v>
      </c>
      <c r="E31" s="36">
        <f t="shared" si="0"/>
        <v>3.1277831399421974E-2</v>
      </c>
    </row>
    <row r="32" spans="1:5" x14ac:dyDescent="0.35">
      <c r="A32" s="35">
        <v>19541</v>
      </c>
      <c r="B32" s="63">
        <f>VLOOKUP(A32,Database!A:L,MATCH($A$1,Database!$A$1:$L$1,),)</f>
        <v>2705.2579999999998</v>
      </c>
      <c r="C32" s="37">
        <f t="shared" si="1"/>
        <v>-5.6267703117660051E-3</v>
      </c>
      <c r="D32" s="36">
        <f t="shared" si="2"/>
        <v>5.4207601807062959E-2</v>
      </c>
      <c r="E32" s="36">
        <f t="shared" si="0"/>
        <v>-2.2317829566265268E-2</v>
      </c>
    </row>
    <row r="33" spans="1:5" x14ac:dyDescent="0.35">
      <c r="A33" s="35">
        <v>19633</v>
      </c>
      <c r="B33" s="63">
        <f>VLOOKUP(A33,Database!A:L,MATCH($A$1,Database!$A$1:$L$1,),)</f>
        <v>2664.3020000000001</v>
      </c>
      <c r="C33" s="37">
        <f t="shared" si="1"/>
        <v>-1.5139406296922392E-2</v>
      </c>
      <c r="D33" s="36">
        <f t="shared" si="2"/>
        <v>5.2334884401820285E-3</v>
      </c>
      <c r="E33" s="36">
        <f t="shared" si="0"/>
        <v>-5.9196242822145084E-2</v>
      </c>
    </row>
    <row r="34" spans="1:5" x14ac:dyDescent="0.35">
      <c r="A34" s="35">
        <v>19725</v>
      </c>
      <c r="B34" s="63">
        <f>VLOOKUP(A34,Database!A:L,MATCH($A$1,Database!$A$1:$L$1,),)</f>
        <v>2651.5659999999998</v>
      </c>
      <c r="C34" s="37">
        <f t="shared" si="1"/>
        <v>-4.780238876824148E-3</v>
      </c>
      <c r="D34" s="36">
        <f t="shared" si="2"/>
        <v>-1.7829024643117721E-2</v>
      </c>
      <c r="E34" s="36">
        <f t="shared" si="0"/>
        <v>-1.898428780973227E-2</v>
      </c>
    </row>
    <row r="35" spans="1:5" x14ac:dyDescent="0.35">
      <c r="A35" s="35">
        <v>19815</v>
      </c>
      <c r="B35" s="63">
        <f>VLOOKUP(A35,Database!A:L,MATCH($A$1,Database!$A$1:$L$1,),)</f>
        <v>2654.4560000000001</v>
      </c>
      <c r="C35" s="37">
        <f t="shared" si="1"/>
        <v>1.0899219555539359E-3</v>
      </c>
      <c r="D35" s="36">
        <f t="shared" si="2"/>
        <v>-2.4300090495874636E-2</v>
      </c>
      <c r="E35" s="36">
        <f t="shared" si="0"/>
        <v>4.3668205818456762E-3</v>
      </c>
    </row>
    <row r="36" spans="1:5" x14ac:dyDescent="0.35">
      <c r="A36" s="35">
        <v>19906</v>
      </c>
      <c r="B36" s="63">
        <f>VLOOKUP(A36,Database!A:L,MATCH($A$1,Database!$A$1:$L$1,),)</f>
        <v>2684.4340000000002</v>
      </c>
      <c r="C36" s="37">
        <f t="shared" si="1"/>
        <v>1.1293462766005563E-2</v>
      </c>
      <c r="D36" s="36">
        <f t="shared" si="2"/>
        <v>-7.697602225000209E-3</v>
      </c>
      <c r="E36" s="36">
        <f t="shared" si="0"/>
        <v>4.5944882715464708E-2</v>
      </c>
    </row>
    <row r="37" spans="1:5" x14ac:dyDescent="0.35">
      <c r="A37" s="35">
        <v>19998</v>
      </c>
      <c r="B37" s="63">
        <f>VLOOKUP(A37,Database!A:L,MATCH($A$1,Database!$A$1:$L$1,),)</f>
        <v>2736.96</v>
      </c>
      <c r="C37" s="37">
        <f t="shared" si="1"/>
        <v>1.9566880765181725E-2</v>
      </c>
      <c r="D37" s="36">
        <f t="shared" si="2"/>
        <v>2.7270932499393798E-2</v>
      </c>
      <c r="E37" s="36">
        <f t="shared" si="0"/>
        <v>8.0594812306759467E-2</v>
      </c>
    </row>
    <row r="38" spans="1:5" x14ac:dyDescent="0.35">
      <c r="A38" s="35">
        <v>20090</v>
      </c>
      <c r="B38" s="63">
        <f>VLOOKUP(A38,Database!A:L,MATCH($A$1,Database!$A$1:$L$1,),)</f>
        <v>2815.134</v>
      </c>
      <c r="C38" s="37">
        <f t="shared" si="1"/>
        <v>2.8562346545071896E-2</v>
      </c>
      <c r="D38" s="36">
        <f t="shared" si="2"/>
        <v>6.1687319870597307E-2</v>
      </c>
      <c r="E38" s="36">
        <f t="shared" si="0"/>
        <v>0.11923810308548766</v>
      </c>
    </row>
    <row r="39" spans="1:5" x14ac:dyDescent="0.35">
      <c r="A39" s="35">
        <v>20180</v>
      </c>
      <c r="B39" s="63">
        <f>VLOOKUP(A39,Database!A:L,MATCH($A$1,Database!$A$1:$L$1,),)</f>
        <v>2860.942</v>
      </c>
      <c r="C39" s="37">
        <f t="shared" si="1"/>
        <v>1.6272049572062998E-2</v>
      </c>
      <c r="D39" s="36">
        <f t="shared" si="2"/>
        <v>7.7788443281787259E-2</v>
      </c>
      <c r="E39" s="36">
        <f t="shared" si="0"/>
        <v>6.669418000707128E-2</v>
      </c>
    </row>
    <row r="40" spans="1:5" x14ac:dyDescent="0.35">
      <c r="A40" s="35">
        <v>20271</v>
      </c>
      <c r="B40" s="63">
        <f>VLOOKUP(A40,Database!A:L,MATCH($A$1,Database!$A$1:$L$1,),)</f>
        <v>2899.578</v>
      </c>
      <c r="C40" s="37">
        <f t="shared" si="1"/>
        <v>1.3504642876367283E-2</v>
      </c>
      <c r="D40" s="36">
        <f t="shared" si="2"/>
        <v>8.0145013809242382E-2</v>
      </c>
      <c r="E40" s="36">
        <f t="shared" si="0"/>
        <v>5.5122708699020251E-2</v>
      </c>
    </row>
    <row r="41" spans="1:5" x14ac:dyDescent="0.35">
      <c r="A41" s="35">
        <v>20363</v>
      </c>
      <c r="B41" s="63">
        <f>VLOOKUP(A41,Database!A:L,MATCH($A$1,Database!$A$1:$L$1,),)</f>
        <v>2916.9850000000001</v>
      </c>
      <c r="C41" s="37">
        <f t="shared" si="1"/>
        <v>6.0032873749215065E-3</v>
      </c>
      <c r="D41" s="36">
        <f t="shared" si="2"/>
        <v>6.5775531977084092E-2</v>
      </c>
      <c r="E41" s="36">
        <f t="shared" si="0"/>
        <v>2.4230252975287803E-2</v>
      </c>
    </row>
    <row r="42" spans="1:5" x14ac:dyDescent="0.35">
      <c r="A42" s="35">
        <v>20455</v>
      </c>
      <c r="B42" s="63">
        <f>VLOOKUP(A42,Database!A:L,MATCH($A$1,Database!$A$1:$L$1,),)</f>
        <v>2905.6559999999999</v>
      </c>
      <c r="C42" s="37">
        <f t="shared" si="1"/>
        <v>-3.8838046818890663E-3</v>
      </c>
      <c r="D42" s="36">
        <f t="shared" si="2"/>
        <v>3.2155485316151887E-2</v>
      </c>
      <c r="E42" s="36">
        <f t="shared" si="0"/>
        <v>-1.5444949199477365E-2</v>
      </c>
    </row>
    <row r="43" spans="1:5" x14ac:dyDescent="0.35">
      <c r="A43" s="35">
        <v>20546</v>
      </c>
      <c r="B43" s="63">
        <f>VLOOKUP(A43,Database!A:L,MATCH($A$1,Database!$A$1:$L$1,),)</f>
        <v>2929.6660000000002</v>
      </c>
      <c r="C43" s="37">
        <f t="shared" si="1"/>
        <v>8.2631942666303998E-3</v>
      </c>
      <c r="D43" s="36">
        <f t="shared" si="2"/>
        <v>2.4021458666411328E-2</v>
      </c>
      <c r="E43" s="36">
        <f t="shared" si="0"/>
        <v>3.3464720861821728E-2</v>
      </c>
    </row>
    <row r="44" spans="1:5" x14ac:dyDescent="0.35">
      <c r="A44" s="35">
        <v>20637</v>
      </c>
      <c r="B44" s="63">
        <f>VLOOKUP(A44,Database!A:L,MATCH($A$1,Database!$A$1:$L$1,),)</f>
        <v>2927.0340000000001</v>
      </c>
      <c r="C44" s="37">
        <f t="shared" si="1"/>
        <v>-8.9839592636159265E-4</v>
      </c>
      <c r="D44" s="36">
        <f t="shared" si="2"/>
        <v>9.4689641044317929E-3</v>
      </c>
      <c r="E44" s="36">
        <f t="shared" si="0"/>
        <v>-3.5887439137878285E-3</v>
      </c>
    </row>
    <row r="45" spans="1:5" x14ac:dyDescent="0.35">
      <c r="A45" s="35">
        <v>20729</v>
      </c>
      <c r="B45" s="63">
        <f>VLOOKUP(A45,Database!A:L,MATCH($A$1,Database!$A$1:$L$1,),)</f>
        <v>2975.2089999999998</v>
      </c>
      <c r="C45" s="37">
        <f t="shared" si="1"/>
        <v>1.6458640384771659E-2</v>
      </c>
      <c r="D45" s="36">
        <f t="shared" si="2"/>
        <v>1.9960335757640064E-2</v>
      </c>
      <c r="E45" s="36">
        <f t="shared" si="0"/>
        <v>6.7477789695216561E-2</v>
      </c>
    </row>
    <row r="46" spans="1:5" x14ac:dyDescent="0.35">
      <c r="A46" s="35">
        <v>20821</v>
      </c>
      <c r="B46" s="63">
        <f>VLOOKUP(A46,Database!A:L,MATCH($A$1,Database!$A$1:$L$1,),)</f>
        <v>2994.259</v>
      </c>
      <c r="C46" s="37">
        <f t="shared" si="1"/>
        <v>6.4029115265516415E-3</v>
      </c>
      <c r="D46" s="36">
        <f t="shared" si="2"/>
        <v>3.0493286197677931E-2</v>
      </c>
      <c r="E46" s="36">
        <f t="shared" si="0"/>
        <v>2.5858681450808829E-2</v>
      </c>
    </row>
    <row r="47" spans="1:5" x14ac:dyDescent="0.35">
      <c r="A47" s="35">
        <v>20911</v>
      </c>
      <c r="B47" s="63">
        <f>VLOOKUP(A47,Database!A:L,MATCH($A$1,Database!$A$1:$L$1,),)</f>
        <v>2987.6990000000001</v>
      </c>
      <c r="C47" s="37">
        <f t="shared" si="1"/>
        <v>-2.1908592409674464E-3</v>
      </c>
      <c r="D47" s="36">
        <f t="shared" si="2"/>
        <v>1.9808742703093081E-2</v>
      </c>
      <c r="E47" s="36">
        <f t="shared" si="0"/>
        <v>-8.734679818855895E-3</v>
      </c>
    </row>
    <row r="48" spans="1:5" x14ac:dyDescent="0.35">
      <c r="A48" s="35">
        <v>21002</v>
      </c>
      <c r="B48" s="63">
        <f>VLOOKUP(A48,Database!A:L,MATCH($A$1,Database!$A$1:$L$1,),)</f>
        <v>3016.9789999999998</v>
      </c>
      <c r="C48" s="37">
        <f t="shared" si="1"/>
        <v>9.8001840212149031E-3</v>
      </c>
      <c r="D48" s="36">
        <f t="shared" si="2"/>
        <v>3.0729058835667677E-2</v>
      </c>
      <c r="E48" s="36">
        <f t="shared" si="0"/>
        <v>3.9780771930417291E-2</v>
      </c>
    </row>
    <row r="49" spans="1:5" x14ac:dyDescent="0.35">
      <c r="A49" s="35">
        <v>21094</v>
      </c>
      <c r="B49" s="63">
        <f>VLOOKUP(A49,Database!A:L,MATCH($A$1,Database!$A$1:$L$1,),)</f>
        <v>2985.7750000000001</v>
      </c>
      <c r="C49" s="37">
        <f t="shared" si="1"/>
        <v>-1.0342796552445252E-2</v>
      </c>
      <c r="D49" s="36">
        <f t="shared" si="2"/>
        <v>3.5513471490575144E-3</v>
      </c>
      <c r="E49" s="36">
        <f t="shared" si="0"/>
        <v>-4.0733759741440112E-2</v>
      </c>
    </row>
    <row r="50" spans="1:5" x14ac:dyDescent="0.35">
      <c r="A50" s="35">
        <v>21186</v>
      </c>
      <c r="B50" s="63">
        <f>VLOOKUP(A50,Database!A:L,MATCH($A$1,Database!$A$1:$L$1,),)</f>
        <v>2908.2809999999999</v>
      </c>
      <c r="C50" s="37">
        <f t="shared" si="1"/>
        <v>-2.5954400448794747E-2</v>
      </c>
      <c r="D50" s="36">
        <f t="shared" si="2"/>
        <v>-2.8714282899375127E-2</v>
      </c>
      <c r="E50" s="36">
        <f t="shared" si="0"/>
        <v>-9.9845297345456441E-2</v>
      </c>
    </row>
    <row r="51" spans="1:5" x14ac:dyDescent="0.35">
      <c r="A51" s="35">
        <v>21276</v>
      </c>
      <c r="B51" s="63">
        <f>VLOOKUP(A51,Database!A:L,MATCH($A$1,Database!$A$1:$L$1,),)</f>
        <v>2927.395</v>
      </c>
      <c r="C51" s="37">
        <f t="shared" si="1"/>
        <v>6.5722672602819441E-3</v>
      </c>
      <c r="D51" s="36">
        <f t="shared" si="2"/>
        <v>-2.0184094850251008E-2</v>
      </c>
      <c r="E51" s="36">
        <f t="shared" si="0"/>
        <v>2.6549374636923195E-2</v>
      </c>
    </row>
    <row r="52" spans="1:5" x14ac:dyDescent="0.35">
      <c r="A52" s="35">
        <v>21367</v>
      </c>
      <c r="B52" s="63">
        <f>VLOOKUP(A52,Database!A:L,MATCH($A$1,Database!$A$1:$L$1,),)</f>
        <v>2995.1120000000001</v>
      </c>
      <c r="C52" s="37">
        <f t="shared" si="1"/>
        <v>2.3132170410894361E-2</v>
      </c>
      <c r="D52" s="36">
        <f t="shared" si="2"/>
        <v>-7.2479788556697733E-3</v>
      </c>
      <c r="E52" s="36">
        <f t="shared" si="0"/>
        <v>9.5789063668671126E-2</v>
      </c>
    </row>
    <row r="53" spans="1:5" x14ac:dyDescent="0.35">
      <c r="A53" s="35">
        <v>21459</v>
      </c>
      <c r="B53" s="63">
        <f>VLOOKUP(A53,Database!A:L,MATCH($A$1,Database!$A$1:$L$1,),)</f>
        <v>3065.1410000000001</v>
      </c>
      <c r="C53" s="37">
        <f t="shared" si="1"/>
        <v>2.338109559842837E-2</v>
      </c>
      <c r="D53" s="36">
        <f t="shared" si="2"/>
        <v>2.6581373345278859E-2</v>
      </c>
      <c r="E53" s="36">
        <f t="shared" si="0"/>
        <v>9.6855862537051252E-2</v>
      </c>
    </row>
    <row r="54" spans="1:5" x14ac:dyDescent="0.35">
      <c r="A54" s="35">
        <v>21551</v>
      </c>
      <c r="B54" s="63">
        <f>VLOOKUP(A54,Database!A:L,MATCH($A$1,Database!$A$1:$L$1,),)</f>
        <v>3123.9780000000001</v>
      </c>
      <c r="C54" s="37">
        <f t="shared" si="1"/>
        <v>1.9195528036067503E-2</v>
      </c>
      <c r="D54" s="36">
        <f t="shared" si="2"/>
        <v>7.4166492164959338E-2</v>
      </c>
      <c r="E54" s="36">
        <f t="shared" si="0"/>
        <v>7.9021349466726676E-2</v>
      </c>
    </row>
    <row r="55" spans="1:5" x14ac:dyDescent="0.35">
      <c r="A55" s="35">
        <v>21641</v>
      </c>
      <c r="B55" s="63">
        <f>VLOOKUP(A55,Database!A:L,MATCH($A$1,Database!$A$1:$L$1,),)</f>
        <v>3194.4290000000001</v>
      </c>
      <c r="C55" s="37">
        <f t="shared" si="1"/>
        <v>2.2551695306433021E-2</v>
      </c>
      <c r="D55" s="36">
        <f t="shared" si="2"/>
        <v>9.121898479706364E-2</v>
      </c>
      <c r="E55" s="36">
        <f t="shared" si="0"/>
        <v>9.3304390916545854E-2</v>
      </c>
    </row>
    <row r="56" spans="1:5" x14ac:dyDescent="0.35">
      <c r="A56" s="35">
        <v>21732</v>
      </c>
      <c r="B56" s="63">
        <f>VLOOKUP(A56,Database!A:L,MATCH($A$1,Database!$A$1:$L$1,),)</f>
        <v>3196.683</v>
      </c>
      <c r="C56" s="37">
        <f t="shared" si="1"/>
        <v>7.0560341143907266E-4</v>
      </c>
      <c r="D56" s="36">
        <f t="shared" si="2"/>
        <v>6.7299987446212337E-2</v>
      </c>
      <c r="E56" s="36">
        <f t="shared" si="0"/>
        <v>2.8254023082618929E-3</v>
      </c>
    </row>
    <row r="57" spans="1:5" x14ac:dyDescent="0.35">
      <c r="A57" s="35">
        <v>21824</v>
      </c>
      <c r="B57" s="63">
        <f>VLOOKUP(A57,Database!A:L,MATCH($A$1,Database!$A$1:$L$1,),)</f>
        <v>3205.79</v>
      </c>
      <c r="C57" s="37">
        <f t="shared" si="1"/>
        <v>2.8488905531139533E-3</v>
      </c>
      <c r="D57" s="36">
        <f t="shared" si="2"/>
        <v>4.588663294771754E-2</v>
      </c>
      <c r="E57" s="36">
        <f t="shared" si="0"/>
        <v>1.1444351831034094E-2</v>
      </c>
    </row>
    <row r="58" spans="1:5" x14ac:dyDescent="0.35">
      <c r="A58" s="35">
        <v>21916</v>
      </c>
      <c r="B58" s="63">
        <f>VLOOKUP(A58,Database!A:L,MATCH($A$1,Database!$A$1:$L$1,),)</f>
        <v>3277.8470000000002</v>
      </c>
      <c r="C58" s="37">
        <f t="shared" si="1"/>
        <v>2.2477142919530051E-2</v>
      </c>
      <c r="D58" s="36">
        <f t="shared" si="2"/>
        <v>4.9254188089672891E-2</v>
      </c>
      <c r="E58" s="36">
        <f t="shared" si="0"/>
        <v>9.2985582434541802E-2</v>
      </c>
    </row>
    <row r="59" spans="1:5" x14ac:dyDescent="0.35">
      <c r="A59" s="35">
        <v>22007</v>
      </c>
      <c r="B59" s="63">
        <f>VLOOKUP(A59,Database!A:L,MATCH($A$1,Database!$A$1:$L$1,),)</f>
        <v>3260.1770000000001</v>
      </c>
      <c r="C59" s="37">
        <f t="shared" si="1"/>
        <v>-5.3907336126427109E-3</v>
      </c>
      <c r="D59" s="36">
        <f t="shared" si="2"/>
        <v>2.0582082118588346E-2</v>
      </c>
      <c r="E59" s="36">
        <f t="shared" si="0"/>
        <v>-2.1389200171858747E-2</v>
      </c>
    </row>
    <row r="60" spans="1:5" x14ac:dyDescent="0.35">
      <c r="A60" s="35">
        <v>22098</v>
      </c>
      <c r="B60" s="63">
        <f>VLOOKUP(A60,Database!A:L,MATCH($A$1,Database!$A$1:$L$1,),)</f>
        <v>3276.1329999999998</v>
      </c>
      <c r="C60" s="37">
        <f t="shared" si="1"/>
        <v>4.8942127988755441E-3</v>
      </c>
      <c r="D60" s="36">
        <f t="shared" si="2"/>
        <v>2.4853887607873479E-2</v>
      </c>
      <c r="E60" s="36">
        <f t="shared" si="0"/>
        <v>1.9721040613347895E-2</v>
      </c>
    </row>
    <row r="61" spans="1:5" x14ac:dyDescent="0.35">
      <c r="A61" s="35">
        <v>22190</v>
      </c>
      <c r="B61" s="63">
        <f>VLOOKUP(A61,Database!A:L,MATCH($A$1,Database!$A$1:$L$1,),)</f>
        <v>3234.087</v>
      </c>
      <c r="C61" s="37">
        <f t="shared" si="1"/>
        <v>-1.2834033294741034E-2</v>
      </c>
      <c r="D61" s="36">
        <f t="shared" si="2"/>
        <v>8.8268414337807615E-3</v>
      </c>
      <c r="E61" s="36">
        <f t="shared" si="0"/>
        <v>-5.0356287283370271E-2</v>
      </c>
    </row>
    <row r="62" spans="1:5" x14ac:dyDescent="0.35">
      <c r="A62" s="35">
        <v>22282</v>
      </c>
      <c r="B62" s="63">
        <f>VLOOKUP(A62,Database!A:L,MATCH($A$1,Database!$A$1:$L$1,),)</f>
        <v>3255.9140000000002</v>
      </c>
      <c r="C62" s="37">
        <f t="shared" si="1"/>
        <v>6.7490454029221309E-3</v>
      </c>
      <c r="D62" s="36">
        <f t="shared" si="2"/>
        <v>-6.6912824180018135E-3</v>
      </c>
      <c r="E62" s="36">
        <f t="shared" si="0"/>
        <v>2.7270711035208173E-2</v>
      </c>
    </row>
    <row r="63" spans="1:5" x14ac:dyDescent="0.35">
      <c r="A63" s="35">
        <v>22372</v>
      </c>
      <c r="B63" s="63">
        <f>VLOOKUP(A63,Database!A:L,MATCH($A$1,Database!$A$1:$L$1,),)</f>
        <v>3311.181</v>
      </c>
      <c r="C63" s="37">
        <f t="shared" si="1"/>
        <v>1.6974342688412476E-2</v>
      </c>
      <c r="D63" s="36">
        <f t="shared" si="2"/>
        <v>1.5644549360356787E-2</v>
      </c>
      <c r="E63" s="36">
        <f t="shared" si="0"/>
        <v>6.9645786784463537E-2</v>
      </c>
    </row>
    <row r="64" spans="1:5" x14ac:dyDescent="0.35">
      <c r="A64" s="35">
        <v>22463</v>
      </c>
      <c r="B64" s="63">
        <f>VLOOKUP(A64,Database!A:L,MATCH($A$1,Database!$A$1:$L$1,),)</f>
        <v>3374.7420000000002</v>
      </c>
      <c r="C64" s="37">
        <f t="shared" si="1"/>
        <v>1.9195869993213946E-2</v>
      </c>
      <c r="D64" s="36">
        <f t="shared" si="2"/>
        <v>3.009920537414091E-2</v>
      </c>
      <c r="E64" s="36">
        <f t="shared" si="0"/>
        <v>7.9022797586295823E-2</v>
      </c>
    </row>
    <row r="65" spans="1:5" x14ac:dyDescent="0.35">
      <c r="A65" s="35">
        <v>22555</v>
      </c>
      <c r="B65" s="63">
        <f>VLOOKUP(A65,Database!A:L,MATCH($A$1,Database!$A$1:$L$1,),)</f>
        <v>3440.924</v>
      </c>
      <c r="C65" s="37">
        <f t="shared" si="1"/>
        <v>1.9610980632000841E-2</v>
      </c>
      <c r="D65" s="36">
        <f t="shared" si="2"/>
        <v>6.3955298666980812E-2</v>
      </c>
      <c r="E65" s="36">
        <f t="shared" si="0"/>
        <v>8.0781782598194907E-2</v>
      </c>
    </row>
    <row r="66" spans="1:5" x14ac:dyDescent="0.35">
      <c r="A66" s="35">
        <v>22647</v>
      </c>
      <c r="B66" s="63">
        <f>VLOOKUP(A66,Database!A:L,MATCH($A$1,Database!$A$1:$L$1,),)</f>
        <v>3502.2979999999998</v>
      </c>
      <c r="C66" s="37">
        <f t="shared" si="1"/>
        <v>1.7836488106101674E-2</v>
      </c>
      <c r="D66" s="36">
        <f t="shared" si="2"/>
        <v>7.5672760398462477E-2</v>
      </c>
      <c r="E66" s="36">
        <f t="shared" si="0"/>
        <v>7.3277593508692895E-2</v>
      </c>
    </row>
    <row r="67" spans="1:5" x14ac:dyDescent="0.35">
      <c r="A67" s="35">
        <v>22737</v>
      </c>
      <c r="B67" s="63">
        <f>VLOOKUP(A67,Database!A:L,MATCH($A$1,Database!$A$1:$L$1,),)</f>
        <v>3533.9470000000001</v>
      </c>
      <c r="C67" s="37">
        <f t="shared" si="1"/>
        <v>9.0366382300993073E-3</v>
      </c>
      <c r="D67" s="36">
        <f t="shared" si="2"/>
        <v>6.7276902108341433E-2</v>
      </c>
      <c r="E67" s="36">
        <f t="shared" si="0"/>
        <v>3.6639476329429543E-2</v>
      </c>
    </row>
    <row r="68" spans="1:5" x14ac:dyDescent="0.35">
      <c r="A68" s="35">
        <v>22828</v>
      </c>
      <c r="B68" s="63">
        <f>VLOOKUP(A68,Database!A:L,MATCH($A$1,Database!$A$1:$L$1,),)</f>
        <v>3577.3620000000001</v>
      </c>
      <c r="C68" s="37">
        <f t="shared" si="1"/>
        <v>1.2285130478753632E-2</v>
      </c>
      <c r="D68" s="36">
        <f t="shared" si="2"/>
        <v>6.0040145291106663E-2</v>
      </c>
      <c r="E68" s="36">
        <f t="shared" si="0"/>
        <v>5.0053507783781592E-2</v>
      </c>
    </row>
    <row r="69" spans="1:5" x14ac:dyDescent="0.35">
      <c r="A69" s="35">
        <v>22920</v>
      </c>
      <c r="B69" s="63">
        <f>VLOOKUP(A69,Database!A:L,MATCH($A$1,Database!$A$1:$L$1,),)</f>
        <v>3589.1280000000002</v>
      </c>
      <c r="C69" s="37">
        <f t="shared" si="1"/>
        <v>3.2890157607756991E-3</v>
      </c>
      <c r="D69" s="36">
        <f t="shared" si="2"/>
        <v>4.3070989071540139E-2</v>
      </c>
      <c r="E69" s="36">
        <f t="shared" si="0"/>
        <v>1.3221111225523829E-2</v>
      </c>
    </row>
    <row r="70" spans="1:5" x14ac:dyDescent="0.35">
      <c r="A70" s="35">
        <v>23012</v>
      </c>
      <c r="B70" s="63">
        <f>VLOOKUP(A70,Database!A:L,MATCH($A$1,Database!$A$1:$L$1,),)</f>
        <v>3628.306</v>
      </c>
      <c r="C70" s="37">
        <f t="shared" si="1"/>
        <v>1.0915743322612033E-2</v>
      </c>
      <c r="D70" s="36">
        <f t="shared" si="2"/>
        <v>3.5978663152021979E-2</v>
      </c>
      <c r="E70" s="36">
        <f t="shared" ref="E70:E133" si="3">((1+C70)^4)-1</f>
        <v>4.4383110795709113E-2</v>
      </c>
    </row>
    <row r="71" spans="1:5" x14ac:dyDescent="0.35">
      <c r="A71" s="35">
        <v>23102</v>
      </c>
      <c r="B71" s="63">
        <f>VLOOKUP(A71,Database!A:L,MATCH($A$1,Database!$A$1:$L$1,),)</f>
        <v>3669.02</v>
      </c>
      <c r="C71" s="37">
        <f t="shared" ref="C71:C134" si="4">(B71-B70)/B70</f>
        <v>1.1221214528212323E-2</v>
      </c>
      <c r="D71" s="36">
        <f t="shared" si="2"/>
        <v>3.8221569253868229E-2</v>
      </c>
      <c r="E71" s="36">
        <f t="shared" si="3"/>
        <v>4.5646019606861099E-2</v>
      </c>
    </row>
    <row r="72" spans="1:5" x14ac:dyDescent="0.35">
      <c r="A72" s="35">
        <v>23193</v>
      </c>
      <c r="B72" s="63">
        <f>VLOOKUP(A72,Database!A:L,MATCH($A$1,Database!$A$1:$L$1,),)</f>
        <v>3749.681</v>
      </c>
      <c r="C72" s="37">
        <f t="shared" si="4"/>
        <v>2.1984344593379175E-2</v>
      </c>
      <c r="D72" s="36">
        <f t="shared" si="2"/>
        <v>4.8169293462612943E-2</v>
      </c>
      <c r="E72" s="36">
        <f t="shared" si="3"/>
        <v>9.0879981544722988E-2</v>
      </c>
    </row>
    <row r="73" spans="1:5" x14ac:dyDescent="0.35">
      <c r="A73" s="35">
        <v>23285</v>
      </c>
      <c r="B73" s="63">
        <f>VLOOKUP(A73,Database!A:L,MATCH($A$1,Database!$A$1:$L$1,),)</f>
        <v>3774.2640000000001</v>
      </c>
      <c r="C73" s="37">
        <f t="shared" si="4"/>
        <v>6.5560243658060735E-3</v>
      </c>
      <c r="D73" s="36">
        <f t="shared" si="2"/>
        <v>5.158244565253732E-2</v>
      </c>
      <c r="E73" s="36">
        <f t="shared" si="3"/>
        <v>2.6483115193417506E-2</v>
      </c>
    </row>
    <row r="74" spans="1:5" x14ac:dyDescent="0.35">
      <c r="A74" s="35">
        <v>23377</v>
      </c>
      <c r="B74" s="63">
        <f>VLOOKUP(A74,Database!A:L,MATCH($A$1,Database!$A$1:$L$1,),)</f>
        <v>3853.835</v>
      </c>
      <c r="C74" s="37">
        <f t="shared" si="4"/>
        <v>2.10825209895227E-2</v>
      </c>
      <c r="D74" s="36">
        <f t="shared" ref="D74:D137" si="5">(B74-B70)/B70</f>
        <v>6.215820826578574E-2</v>
      </c>
      <c r="E74" s="36">
        <f t="shared" si="3"/>
        <v>8.7034600081077995E-2</v>
      </c>
    </row>
    <row r="75" spans="1:5" x14ac:dyDescent="0.35">
      <c r="A75" s="35">
        <v>23468</v>
      </c>
      <c r="B75" s="63">
        <f>VLOOKUP(A75,Database!A:L,MATCH($A$1,Database!$A$1:$L$1,),)</f>
        <v>3895.7930000000001</v>
      </c>
      <c r="C75" s="37">
        <f t="shared" si="4"/>
        <v>1.0887336899478075E-2</v>
      </c>
      <c r="D75" s="36">
        <f t="shared" si="5"/>
        <v>6.1807512632801168E-2</v>
      </c>
      <c r="E75" s="36">
        <f t="shared" si="3"/>
        <v>4.426572835975362E-2</v>
      </c>
    </row>
    <row r="76" spans="1:5" x14ac:dyDescent="0.35">
      <c r="A76" s="35">
        <v>23559</v>
      </c>
      <c r="B76" s="63">
        <f>VLOOKUP(A76,Database!A:L,MATCH($A$1,Database!$A$1:$L$1,),)</f>
        <v>3956.6570000000002</v>
      </c>
      <c r="C76" s="37">
        <f t="shared" si="4"/>
        <v>1.5623006663855094E-2</v>
      </c>
      <c r="D76" s="36">
        <f t="shared" si="5"/>
        <v>5.5198295535006874E-2</v>
      </c>
      <c r="E76" s="36">
        <f t="shared" si="3"/>
        <v>6.3971809202924002E-2</v>
      </c>
    </row>
    <row r="77" spans="1:5" x14ac:dyDescent="0.35">
      <c r="A77" s="35">
        <v>23651</v>
      </c>
      <c r="B77" s="63">
        <f>VLOOKUP(A77,Database!A:L,MATCH($A$1,Database!$A$1:$L$1,),)</f>
        <v>3968.8780000000002</v>
      </c>
      <c r="C77" s="37">
        <f t="shared" si="4"/>
        <v>3.0887185823790142E-3</v>
      </c>
      <c r="D77" s="36">
        <f t="shared" si="5"/>
        <v>5.1563430645021127E-2</v>
      </c>
      <c r="E77" s="36">
        <f t="shared" si="3"/>
        <v>1.2412233383173099E-2</v>
      </c>
    </row>
    <row r="78" spans="1:5" x14ac:dyDescent="0.35">
      <c r="A78" s="35">
        <v>23743</v>
      </c>
      <c r="B78" s="63">
        <f>VLOOKUP(A78,Database!A:L,MATCH($A$1,Database!$A$1:$L$1,),)</f>
        <v>4064.915</v>
      </c>
      <c r="C78" s="37">
        <f t="shared" si="4"/>
        <v>2.4197518794984326E-2</v>
      </c>
      <c r="D78" s="36">
        <f t="shared" si="5"/>
        <v>5.4771416005096205E-2</v>
      </c>
      <c r="E78" s="36">
        <f t="shared" si="3"/>
        <v>0.10036021002518369</v>
      </c>
    </row>
    <row r="79" spans="1:5" x14ac:dyDescent="0.35">
      <c r="A79" s="35">
        <v>23833</v>
      </c>
      <c r="B79" s="63">
        <f>VLOOKUP(A79,Database!A:L,MATCH($A$1,Database!$A$1:$L$1,),)</f>
        <v>4116.2669999999998</v>
      </c>
      <c r="C79" s="37">
        <f t="shared" si="4"/>
        <v>1.2632982485488593E-2</v>
      </c>
      <c r="D79" s="36">
        <f t="shared" si="5"/>
        <v>5.6592842586862209E-2</v>
      </c>
      <c r="E79" s="36">
        <f t="shared" si="3"/>
        <v>5.1497573394729601E-2</v>
      </c>
    </row>
    <row r="80" spans="1:5" x14ac:dyDescent="0.35">
      <c r="A80" s="35">
        <v>23924</v>
      </c>
      <c r="B80" s="63">
        <f>VLOOKUP(A80,Database!A:L,MATCH($A$1,Database!$A$1:$L$1,),)</f>
        <v>4207.7820000000002</v>
      </c>
      <c r="C80" s="37">
        <f t="shared" si="4"/>
        <v>2.2232522817397495E-2</v>
      </c>
      <c r="D80" s="36">
        <f t="shared" si="5"/>
        <v>6.3468984043853177E-2</v>
      </c>
      <c r="E80" s="36">
        <f t="shared" si="3"/>
        <v>9.1940002828739154E-2</v>
      </c>
    </row>
    <row r="81" spans="1:5" x14ac:dyDescent="0.35">
      <c r="A81" s="35">
        <v>24016</v>
      </c>
      <c r="B81" s="63">
        <f>VLOOKUP(A81,Database!A:L,MATCH($A$1,Database!$A$1:$L$1,),)</f>
        <v>4304.7309999999998</v>
      </c>
      <c r="C81" s="37">
        <f t="shared" si="4"/>
        <v>2.3040404659747014E-2</v>
      </c>
      <c r="D81" s="36">
        <f t="shared" si="5"/>
        <v>8.4621648738005956E-2</v>
      </c>
      <c r="E81" s="36">
        <f t="shared" si="3"/>
        <v>9.5395986872523153E-2</v>
      </c>
    </row>
    <row r="82" spans="1:5" x14ac:dyDescent="0.35">
      <c r="A82" s="35">
        <v>24108</v>
      </c>
      <c r="B82" s="63">
        <f>VLOOKUP(A82,Database!A:L,MATCH($A$1,Database!$A$1:$L$1,),)</f>
        <v>4409.518</v>
      </c>
      <c r="C82" s="37">
        <f t="shared" si="4"/>
        <v>2.4342287590095702E-2</v>
      </c>
      <c r="D82" s="36">
        <f t="shared" si="5"/>
        <v>8.477495839396397E-2</v>
      </c>
      <c r="E82" s="36">
        <f t="shared" si="3"/>
        <v>0.10098247905754398</v>
      </c>
    </row>
    <row r="83" spans="1:5" x14ac:dyDescent="0.35">
      <c r="A83" s="35">
        <v>24198</v>
      </c>
      <c r="B83" s="63">
        <f>VLOOKUP(A83,Database!A:L,MATCH($A$1,Database!$A$1:$L$1,),)</f>
        <v>4424.5810000000001</v>
      </c>
      <c r="C83" s="37">
        <f t="shared" si="4"/>
        <v>3.4160196193779233E-3</v>
      </c>
      <c r="D83" s="36">
        <f t="shared" si="5"/>
        <v>7.490136086896218E-2</v>
      </c>
      <c r="E83" s="36">
        <f t="shared" si="3"/>
        <v>1.3734253202650315E-2</v>
      </c>
    </row>
    <row r="84" spans="1:5" x14ac:dyDescent="0.35">
      <c r="A84" s="35">
        <v>24289</v>
      </c>
      <c r="B84" s="63">
        <f>VLOOKUP(A84,Database!A:L,MATCH($A$1,Database!$A$1:$L$1,),)</f>
        <v>4462.0529999999999</v>
      </c>
      <c r="C84" s="37">
        <f t="shared" si="4"/>
        <v>8.4690505157436948E-3</v>
      </c>
      <c r="D84" s="36">
        <f t="shared" si="5"/>
        <v>6.0428748447519318E-2</v>
      </c>
      <c r="E84" s="36">
        <f t="shared" si="3"/>
        <v>3.4308985871634556E-2</v>
      </c>
    </row>
    <row r="85" spans="1:5" x14ac:dyDescent="0.35">
      <c r="A85" s="35">
        <v>24381</v>
      </c>
      <c r="B85" s="63">
        <f>VLOOKUP(A85,Database!A:L,MATCH($A$1,Database!$A$1:$L$1,),)</f>
        <v>4498.66</v>
      </c>
      <c r="C85" s="37">
        <f t="shared" si="4"/>
        <v>8.2040710856639242E-3</v>
      </c>
      <c r="D85" s="36">
        <f t="shared" si="5"/>
        <v>4.505020174315192E-2</v>
      </c>
      <c r="E85" s="36">
        <f t="shared" si="3"/>
        <v>3.3222338325639145E-2</v>
      </c>
    </row>
    <row r="86" spans="1:5" x14ac:dyDescent="0.35">
      <c r="A86" s="35">
        <v>24473</v>
      </c>
      <c r="B86" s="63">
        <f>VLOOKUP(A86,Database!A:L,MATCH($A$1,Database!$A$1:$L$1,),)</f>
        <v>4538.4979999999996</v>
      </c>
      <c r="C86" s="37">
        <f t="shared" si="4"/>
        <v>8.8555258677027685E-3</v>
      </c>
      <c r="D86" s="36">
        <f t="shared" si="5"/>
        <v>2.9250362511276645E-2</v>
      </c>
      <c r="E86" s="36">
        <f t="shared" si="3"/>
        <v>3.5895409464262507E-2</v>
      </c>
    </row>
    <row r="87" spans="1:5" x14ac:dyDescent="0.35">
      <c r="A87" s="35">
        <v>24563</v>
      </c>
      <c r="B87" s="63">
        <f>VLOOKUP(A87,Database!A:L,MATCH($A$1,Database!$A$1:$L$1,),)</f>
        <v>4541.28</v>
      </c>
      <c r="C87" s="37">
        <f t="shared" si="4"/>
        <v>6.1297812624356185E-4</v>
      </c>
      <c r="D87" s="36">
        <f t="shared" si="5"/>
        <v>2.637515281107965E-2</v>
      </c>
      <c r="E87" s="36">
        <f t="shared" si="3"/>
        <v>2.4541678795018118E-3</v>
      </c>
    </row>
    <row r="88" spans="1:5" x14ac:dyDescent="0.35">
      <c r="A88" s="35">
        <v>24654</v>
      </c>
      <c r="B88" s="63">
        <f>VLOOKUP(A88,Database!A:L,MATCH($A$1,Database!$A$1:$L$1,),)</f>
        <v>4584.2460000000001</v>
      </c>
      <c r="C88" s="37">
        <f t="shared" si="4"/>
        <v>9.4612091745059444E-3</v>
      </c>
      <c r="D88" s="36">
        <f t="shared" si="5"/>
        <v>2.7384927969255457E-2</v>
      </c>
      <c r="E88" s="36">
        <f t="shared" si="3"/>
        <v>3.8385319245969551E-2</v>
      </c>
    </row>
    <row r="89" spans="1:5" x14ac:dyDescent="0.35">
      <c r="A89" s="35">
        <v>24746</v>
      </c>
      <c r="B89" s="63">
        <f>VLOOKUP(A89,Database!A:L,MATCH($A$1,Database!$A$1:$L$1,),)</f>
        <v>4618.8119999999999</v>
      </c>
      <c r="C89" s="37">
        <f t="shared" si="4"/>
        <v>7.5401712735310893E-3</v>
      </c>
      <c r="D89" s="36">
        <f t="shared" si="5"/>
        <v>2.6708397611733284E-2</v>
      </c>
      <c r="E89" s="36">
        <f t="shared" si="3"/>
        <v>3.0503528184631756E-2</v>
      </c>
    </row>
    <row r="90" spans="1:5" x14ac:dyDescent="0.35">
      <c r="A90" s="35">
        <v>24838</v>
      </c>
      <c r="B90" s="63">
        <f>VLOOKUP(A90,Database!A:L,MATCH($A$1,Database!$A$1:$L$1,),)</f>
        <v>4713.0129999999999</v>
      </c>
      <c r="C90" s="37">
        <f t="shared" si="4"/>
        <v>2.0395071286729148E-2</v>
      </c>
      <c r="D90" s="36">
        <f t="shared" si="5"/>
        <v>3.8452148706466398E-2</v>
      </c>
      <c r="E90" s="36">
        <f t="shared" si="3"/>
        <v>8.4110145813841353E-2</v>
      </c>
    </row>
    <row r="91" spans="1:5" x14ac:dyDescent="0.35">
      <c r="A91" s="35">
        <v>24929</v>
      </c>
      <c r="B91" s="63">
        <f>VLOOKUP(A91,Database!A:L,MATCH($A$1,Database!$A$1:$L$1,),)</f>
        <v>4791.7579999999998</v>
      </c>
      <c r="C91" s="37">
        <f t="shared" si="4"/>
        <v>1.6707995500967191E-2</v>
      </c>
      <c r="D91" s="36">
        <f t="shared" si="5"/>
        <v>5.5155815100588396E-2</v>
      </c>
      <c r="E91" s="36">
        <f t="shared" si="3"/>
        <v>6.8525659237721692E-2</v>
      </c>
    </row>
    <row r="92" spans="1:5" x14ac:dyDescent="0.35">
      <c r="A92" s="35">
        <v>25020</v>
      </c>
      <c r="B92" s="63">
        <f>VLOOKUP(A92,Database!A:L,MATCH($A$1,Database!$A$1:$L$1,),)</f>
        <v>4828.8919999999998</v>
      </c>
      <c r="C92" s="37">
        <f t="shared" si="4"/>
        <v>7.7495566345378913E-3</v>
      </c>
      <c r="D92" s="36">
        <f t="shared" si="5"/>
        <v>5.3366682329002352E-2</v>
      </c>
      <c r="E92" s="36">
        <f t="shared" si="3"/>
        <v>3.1360425530983838E-2</v>
      </c>
    </row>
    <row r="93" spans="1:5" x14ac:dyDescent="0.35">
      <c r="A93" s="35">
        <v>25112</v>
      </c>
      <c r="B93" s="63">
        <f>VLOOKUP(A93,Database!A:L,MATCH($A$1,Database!$A$1:$L$1,),)</f>
        <v>4847.8850000000002</v>
      </c>
      <c r="C93" s="37">
        <f t="shared" si="4"/>
        <v>3.9332004111917174E-3</v>
      </c>
      <c r="D93" s="36">
        <f t="shared" si="5"/>
        <v>4.9595653600969326E-2</v>
      </c>
      <c r="E93" s="36">
        <f t="shared" si="3"/>
        <v>1.5825865664408578E-2</v>
      </c>
    </row>
    <row r="94" spans="1:5" x14ac:dyDescent="0.35">
      <c r="A94" s="35">
        <v>25204</v>
      </c>
      <c r="B94" s="63">
        <f>VLOOKUP(A94,Database!A:L,MATCH($A$1,Database!$A$1:$L$1,),)</f>
        <v>4923.76</v>
      </c>
      <c r="C94" s="37">
        <f t="shared" si="4"/>
        <v>1.5651155091343957E-2</v>
      </c>
      <c r="D94" s="36">
        <f t="shared" si="5"/>
        <v>4.4715981050763132E-2</v>
      </c>
      <c r="E94" s="36">
        <f t="shared" si="3"/>
        <v>6.4089767847923307E-2</v>
      </c>
    </row>
    <row r="95" spans="1:5" x14ac:dyDescent="0.35">
      <c r="A95" s="35">
        <v>25294</v>
      </c>
      <c r="B95" s="63">
        <f>VLOOKUP(A95,Database!A:L,MATCH($A$1,Database!$A$1:$L$1,),)</f>
        <v>4938.7280000000001</v>
      </c>
      <c r="C95" s="37">
        <f t="shared" si="4"/>
        <v>3.039953206492568E-3</v>
      </c>
      <c r="D95" s="36">
        <f t="shared" si="5"/>
        <v>3.067141537615219E-2</v>
      </c>
      <c r="E95" s="36">
        <f t="shared" si="3"/>
        <v>1.2215373177025368E-2</v>
      </c>
    </row>
    <row r="96" spans="1:5" x14ac:dyDescent="0.35">
      <c r="A96" s="35">
        <v>25385</v>
      </c>
      <c r="B96" s="63">
        <f>VLOOKUP(A96,Database!A:L,MATCH($A$1,Database!$A$1:$L$1,),)</f>
        <v>4971.3490000000002</v>
      </c>
      <c r="C96" s="37">
        <f t="shared" si="4"/>
        <v>6.6051420527715021E-3</v>
      </c>
      <c r="D96" s="36">
        <f t="shared" si="5"/>
        <v>2.9500970408946885E-2</v>
      </c>
      <c r="E96" s="36">
        <f t="shared" si="3"/>
        <v>2.6683490197652038E-2</v>
      </c>
    </row>
    <row r="97" spans="1:5" x14ac:dyDescent="0.35">
      <c r="A97" s="35">
        <v>25477</v>
      </c>
      <c r="B97" s="63">
        <f>VLOOKUP(A97,Database!A:L,MATCH($A$1,Database!$A$1:$L$1,),)</f>
        <v>4947.1040000000003</v>
      </c>
      <c r="C97" s="37">
        <f t="shared" si="4"/>
        <v>-4.8769458752543609E-3</v>
      </c>
      <c r="D97" s="36">
        <f t="shared" si="5"/>
        <v>2.0466450833714091E-2</v>
      </c>
      <c r="E97" s="36">
        <f t="shared" si="3"/>
        <v>-1.9365539313737523E-2</v>
      </c>
    </row>
    <row r="98" spans="1:5" x14ac:dyDescent="0.35">
      <c r="A98" s="35">
        <v>25569</v>
      </c>
      <c r="B98" s="63">
        <f>VLOOKUP(A98,Database!A:L,MATCH($A$1,Database!$A$1:$L$1,),)</f>
        <v>4939.759</v>
      </c>
      <c r="C98" s="37">
        <f t="shared" si="4"/>
        <v>-1.4847070124259069E-3</v>
      </c>
      <c r="D98" s="36">
        <f t="shared" si="5"/>
        <v>3.2493460282385406E-3</v>
      </c>
      <c r="E98" s="36">
        <f t="shared" si="3"/>
        <v>-5.9256150066526736E-3</v>
      </c>
    </row>
    <row r="99" spans="1:5" x14ac:dyDescent="0.35">
      <c r="A99" s="35">
        <v>25659</v>
      </c>
      <c r="B99" s="63">
        <f>VLOOKUP(A99,Database!A:L,MATCH($A$1,Database!$A$1:$L$1,),)</f>
        <v>4946.7700000000004</v>
      </c>
      <c r="C99" s="37">
        <f t="shared" si="4"/>
        <v>1.4193000103852075E-3</v>
      </c>
      <c r="D99" s="36">
        <f t="shared" si="5"/>
        <v>1.6283545074764942E-3</v>
      </c>
      <c r="E99" s="36">
        <f t="shared" si="3"/>
        <v>5.6892979569385105E-3</v>
      </c>
    </row>
    <row r="100" spans="1:5" x14ac:dyDescent="0.35">
      <c r="A100" s="35">
        <v>25750</v>
      </c>
      <c r="B100" s="63">
        <f>VLOOKUP(A100,Database!A:L,MATCH($A$1,Database!$A$1:$L$1,),)</f>
        <v>4992.357</v>
      </c>
      <c r="C100" s="37">
        <f t="shared" si="4"/>
        <v>9.2155083013763586E-3</v>
      </c>
      <c r="D100" s="36">
        <f t="shared" si="5"/>
        <v>4.2258147637592551E-3</v>
      </c>
      <c r="E100" s="36">
        <f t="shared" si="3"/>
        <v>3.7374724507416301E-2</v>
      </c>
    </row>
    <row r="101" spans="1:5" x14ac:dyDescent="0.35">
      <c r="A101" s="35">
        <v>25842</v>
      </c>
      <c r="B101" s="63">
        <f>VLOOKUP(A101,Database!A:L,MATCH($A$1,Database!$A$1:$L$1,),)</f>
        <v>4938.857</v>
      </c>
      <c r="C101" s="37">
        <f t="shared" si="4"/>
        <v>-1.0716381060088452E-2</v>
      </c>
      <c r="D101" s="36">
        <f t="shared" si="5"/>
        <v>-1.6670359062595608E-3</v>
      </c>
      <c r="E101" s="36">
        <f t="shared" si="3"/>
        <v>-4.2181388825872079E-2</v>
      </c>
    </row>
    <row r="102" spans="1:5" x14ac:dyDescent="0.35">
      <c r="A102" s="35">
        <v>25934</v>
      </c>
      <c r="B102" s="63">
        <f>VLOOKUP(A102,Database!A:L,MATCH($A$1,Database!$A$1:$L$1,),)</f>
        <v>5072.9960000000001</v>
      </c>
      <c r="C102" s="37">
        <f t="shared" si="4"/>
        <v>2.7159927894247621E-2</v>
      </c>
      <c r="D102" s="36">
        <f t="shared" si="5"/>
        <v>2.6972368490041736E-2</v>
      </c>
      <c r="E102" s="36">
        <f t="shared" si="3"/>
        <v>0.11314636517358001</v>
      </c>
    </row>
    <row r="103" spans="1:5" x14ac:dyDescent="0.35">
      <c r="A103" s="35">
        <v>26024</v>
      </c>
      <c r="B103" s="63">
        <f>VLOOKUP(A103,Database!A:L,MATCH($A$1,Database!$A$1:$L$1,),)</f>
        <v>5100.4470000000001</v>
      </c>
      <c r="C103" s="37">
        <f t="shared" si="4"/>
        <v>5.4112007973197733E-3</v>
      </c>
      <c r="D103" s="36">
        <f t="shared" si="5"/>
        <v>3.106613002019493E-2</v>
      </c>
      <c r="E103" s="36">
        <f t="shared" si="3"/>
        <v>2.1821124394593161E-2</v>
      </c>
    </row>
    <row r="104" spans="1:5" x14ac:dyDescent="0.35">
      <c r="A104" s="35">
        <v>26115</v>
      </c>
      <c r="B104" s="63">
        <f>VLOOKUP(A104,Database!A:L,MATCH($A$1,Database!$A$1:$L$1,),)</f>
        <v>5142.4219999999996</v>
      </c>
      <c r="C104" s="37">
        <f t="shared" si="4"/>
        <v>8.2296708504175139E-3</v>
      </c>
      <c r="D104" s="36">
        <f t="shared" si="5"/>
        <v>3.0058948108077927E-2</v>
      </c>
      <c r="E104" s="36">
        <f t="shared" si="3"/>
        <v>3.3327282382066725E-2</v>
      </c>
    </row>
    <row r="105" spans="1:5" x14ac:dyDescent="0.35">
      <c r="A105" s="35">
        <v>26207</v>
      </c>
      <c r="B105" s="63">
        <f>VLOOKUP(A105,Database!A:L,MATCH($A$1,Database!$A$1:$L$1,),)</f>
        <v>5154.5469999999996</v>
      </c>
      <c r="C105" s="37">
        <f t="shared" si="4"/>
        <v>2.3578383882147365E-3</v>
      </c>
      <c r="D105" s="36">
        <f t="shared" si="5"/>
        <v>4.3672048006249138E-2</v>
      </c>
      <c r="E105" s="36">
        <f t="shared" si="3"/>
        <v>9.4647624276400499E-3</v>
      </c>
    </row>
    <row r="106" spans="1:5" x14ac:dyDescent="0.35">
      <c r="A106" s="35">
        <v>26299</v>
      </c>
      <c r="B106" s="63">
        <f>VLOOKUP(A106,Database!A:L,MATCH($A$1,Database!$A$1:$L$1,),)</f>
        <v>5249.3370000000004</v>
      </c>
      <c r="C106" s="37">
        <f t="shared" si="4"/>
        <v>1.8389588842627855E-2</v>
      </c>
      <c r="D106" s="36">
        <f t="shared" si="5"/>
        <v>3.4760721277919467E-2</v>
      </c>
      <c r="E106" s="36">
        <f t="shared" si="3"/>
        <v>7.5612407343295773E-2</v>
      </c>
    </row>
    <row r="107" spans="1:5" x14ac:dyDescent="0.35">
      <c r="A107" s="35">
        <v>26390</v>
      </c>
      <c r="B107" s="63">
        <f>VLOOKUP(A107,Database!A:L,MATCH($A$1,Database!$A$1:$L$1,),)</f>
        <v>5368.4849999999997</v>
      </c>
      <c r="C107" s="37">
        <f t="shared" si="4"/>
        <v>2.2697723541087039E-2</v>
      </c>
      <c r="D107" s="36">
        <f t="shared" si="5"/>
        <v>5.2551864571869791E-2</v>
      </c>
      <c r="E107" s="36">
        <f t="shared" si="3"/>
        <v>9.3929053762295656E-2</v>
      </c>
    </row>
    <row r="108" spans="1:5" x14ac:dyDescent="0.35">
      <c r="A108" s="35">
        <v>26481</v>
      </c>
      <c r="B108" s="63">
        <f>VLOOKUP(A108,Database!A:L,MATCH($A$1,Database!$A$1:$L$1,),)</f>
        <v>5419.1840000000002</v>
      </c>
      <c r="C108" s="37">
        <f t="shared" si="4"/>
        <v>9.4438188800006935E-3</v>
      </c>
      <c r="D108" s="36">
        <f t="shared" si="5"/>
        <v>5.3819387051471206E-2</v>
      </c>
      <c r="E108" s="36">
        <f t="shared" si="3"/>
        <v>3.8313766779282554E-2</v>
      </c>
    </row>
    <row r="109" spans="1:5" x14ac:dyDescent="0.35">
      <c r="A109" s="35">
        <v>26573</v>
      </c>
      <c r="B109" s="63">
        <f>VLOOKUP(A109,Database!A:L,MATCH($A$1,Database!$A$1:$L$1,),)</f>
        <v>5509.9260000000004</v>
      </c>
      <c r="C109" s="37">
        <f t="shared" si="4"/>
        <v>1.6744587376992585E-2</v>
      </c>
      <c r="D109" s="36">
        <f t="shared" si="5"/>
        <v>6.8944758870178285E-2</v>
      </c>
      <c r="E109" s="36">
        <f t="shared" si="3"/>
        <v>6.8679494830585774E-2</v>
      </c>
    </row>
    <row r="110" spans="1:5" x14ac:dyDescent="0.35">
      <c r="A110" s="35">
        <v>26665</v>
      </c>
      <c r="B110" s="63">
        <f>VLOOKUP(A110,Database!A:L,MATCH($A$1,Database!$A$1:$L$1,),)</f>
        <v>5646.2860000000001</v>
      </c>
      <c r="C110" s="37">
        <f t="shared" si="4"/>
        <v>2.4748063767099534E-2</v>
      </c>
      <c r="D110" s="36">
        <f t="shared" si="5"/>
        <v>7.5618882917976041E-2</v>
      </c>
      <c r="E110" s="36">
        <f t="shared" si="3"/>
        <v>0.10272805960098053</v>
      </c>
    </row>
    <row r="111" spans="1:5" x14ac:dyDescent="0.35">
      <c r="A111" s="35">
        <v>26755</v>
      </c>
      <c r="B111" s="63">
        <f>VLOOKUP(A111,Database!A:L,MATCH($A$1,Database!$A$1:$L$1,),)</f>
        <v>5707.7550000000001</v>
      </c>
      <c r="C111" s="37">
        <f t="shared" si="4"/>
        <v>1.0886625296699468E-2</v>
      </c>
      <c r="D111" s="36">
        <f t="shared" si="5"/>
        <v>6.3196600158145266E-2</v>
      </c>
      <c r="E111" s="36">
        <f t="shared" si="3"/>
        <v>4.4262787966369732E-2</v>
      </c>
    </row>
    <row r="112" spans="1:5" x14ac:dyDescent="0.35">
      <c r="A112" s="35">
        <v>26846</v>
      </c>
      <c r="B112" s="63">
        <f>VLOOKUP(A112,Database!A:L,MATCH($A$1,Database!$A$1:$L$1,),)</f>
        <v>5677.7380000000003</v>
      </c>
      <c r="C112" s="37">
        <f t="shared" si="4"/>
        <v>-5.2589853628965894E-3</v>
      </c>
      <c r="D112" s="36">
        <f t="shared" si="5"/>
        <v>4.7710873076094125E-2</v>
      </c>
      <c r="E112" s="36">
        <f t="shared" si="3"/>
        <v>-2.087058091389582E-2</v>
      </c>
    </row>
    <row r="113" spans="1:5" x14ac:dyDescent="0.35">
      <c r="A113" s="35">
        <v>26938</v>
      </c>
      <c r="B113" s="63">
        <f>VLOOKUP(A113,Database!A:L,MATCH($A$1,Database!$A$1:$L$1,),)</f>
        <v>5731.6319999999996</v>
      </c>
      <c r="C113" s="37">
        <f t="shared" si="4"/>
        <v>9.4921604343136869E-3</v>
      </c>
      <c r="D113" s="36">
        <f t="shared" si="5"/>
        <v>4.0237563989062503E-2</v>
      </c>
      <c r="E113" s="36">
        <f t="shared" si="3"/>
        <v>3.8512677530483819E-2</v>
      </c>
    </row>
    <row r="114" spans="1:5" x14ac:dyDescent="0.35">
      <c r="A114" s="35">
        <v>27030</v>
      </c>
      <c r="B114" s="63">
        <f>VLOOKUP(A114,Database!A:L,MATCH($A$1,Database!$A$1:$L$1,),)</f>
        <v>5682.3530000000001</v>
      </c>
      <c r="C114" s="37">
        <f t="shared" si="4"/>
        <v>-8.5977257437322464E-3</v>
      </c>
      <c r="D114" s="36">
        <f t="shared" si="5"/>
        <v>6.3877387719998612E-3</v>
      </c>
      <c r="E114" s="36">
        <f t="shared" si="3"/>
        <v>-3.3949914388930691E-2</v>
      </c>
    </row>
    <row r="115" spans="1:5" x14ac:dyDescent="0.35">
      <c r="A115" s="35">
        <v>27120</v>
      </c>
      <c r="B115" s="63">
        <f>VLOOKUP(A115,Database!A:L,MATCH($A$1,Database!$A$1:$L$1,),)</f>
        <v>5695.8590000000004</v>
      </c>
      <c r="C115" s="37">
        <f t="shared" si="4"/>
        <v>2.3768322735318119E-3</v>
      </c>
      <c r="D115" s="36">
        <f t="shared" si="5"/>
        <v>-2.0841819594568673E-3</v>
      </c>
      <c r="E115" s="36">
        <f t="shared" si="3"/>
        <v>9.5412788260362813E-3</v>
      </c>
    </row>
    <row r="116" spans="1:5" x14ac:dyDescent="0.35">
      <c r="A116" s="35">
        <v>27211</v>
      </c>
      <c r="B116" s="63">
        <f>VLOOKUP(A116,Database!A:L,MATCH($A$1,Database!$A$1:$L$1,),)</f>
        <v>5642.0249999999996</v>
      </c>
      <c r="C116" s="37">
        <f t="shared" si="4"/>
        <v>-9.4514277828859072E-3</v>
      </c>
      <c r="D116" s="36">
        <f t="shared" si="5"/>
        <v>-6.2900049280189829E-3</v>
      </c>
      <c r="E116" s="36">
        <f t="shared" si="3"/>
        <v>-3.7273103393761664E-2</v>
      </c>
    </row>
    <row r="117" spans="1:5" x14ac:dyDescent="0.35">
      <c r="A117" s="35">
        <v>27303</v>
      </c>
      <c r="B117" s="63">
        <f>VLOOKUP(A117,Database!A:L,MATCH($A$1,Database!$A$1:$L$1,),)</f>
        <v>5620.1260000000002</v>
      </c>
      <c r="C117" s="37">
        <f t="shared" si="4"/>
        <v>-3.8814078278631226E-3</v>
      </c>
      <c r="D117" s="36">
        <f t="shared" si="5"/>
        <v>-1.9454493938201093E-2</v>
      </c>
      <c r="E117" s="36">
        <f t="shared" si="3"/>
        <v>-1.5435473022839652E-2</v>
      </c>
    </row>
    <row r="118" spans="1:5" x14ac:dyDescent="0.35">
      <c r="A118" s="35">
        <v>27395</v>
      </c>
      <c r="B118" s="63">
        <f>VLOOKUP(A118,Database!A:L,MATCH($A$1,Database!$A$1:$L$1,),)</f>
        <v>5551.7129999999997</v>
      </c>
      <c r="C118" s="37">
        <f t="shared" si="4"/>
        <v>-1.217285875797099E-2</v>
      </c>
      <c r="D118" s="36">
        <f t="shared" si="5"/>
        <v>-2.2990475952479602E-2</v>
      </c>
      <c r="E118" s="36">
        <f t="shared" si="3"/>
        <v>-4.7809557156305527E-2</v>
      </c>
    </row>
    <row r="119" spans="1:5" x14ac:dyDescent="0.35">
      <c r="A119" s="35">
        <v>27485</v>
      </c>
      <c r="B119" s="63">
        <f>VLOOKUP(A119,Database!A:L,MATCH($A$1,Database!$A$1:$L$1,),)</f>
        <v>5591.3819999999996</v>
      </c>
      <c r="C119" s="37">
        <f t="shared" si="4"/>
        <v>7.1453621611923873E-3</v>
      </c>
      <c r="D119" s="36">
        <f t="shared" si="5"/>
        <v>-1.834262400105072E-2</v>
      </c>
      <c r="E119" s="36">
        <f t="shared" si="3"/>
        <v>2.888924771416268E-2</v>
      </c>
    </row>
    <row r="120" spans="1:5" x14ac:dyDescent="0.35">
      <c r="A120" s="35">
        <v>27576</v>
      </c>
      <c r="B120" s="63">
        <f>VLOOKUP(A120,Database!A:L,MATCH($A$1,Database!$A$1:$L$1,),)</f>
        <v>5687.0870000000004</v>
      </c>
      <c r="C120" s="37">
        <f t="shared" si="4"/>
        <v>1.7116519672596298E-2</v>
      </c>
      <c r="D120" s="36">
        <f t="shared" si="5"/>
        <v>7.9868486935100094E-3</v>
      </c>
      <c r="E120" s="36">
        <f t="shared" si="3"/>
        <v>7.0244074865320139E-2</v>
      </c>
    </row>
    <row r="121" spans="1:5" x14ac:dyDescent="0.35">
      <c r="A121" s="35">
        <v>27668</v>
      </c>
      <c r="B121" s="63">
        <f>VLOOKUP(A121,Database!A:L,MATCH($A$1,Database!$A$1:$L$1,),)</f>
        <v>5763.665</v>
      </c>
      <c r="C121" s="37">
        <f t="shared" si="4"/>
        <v>1.3465241519955561E-2</v>
      </c>
      <c r="D121" s="36">
        <f t="shared" si="5"/>
        <v>2.5540174722061347E-2</v>
      </c>
      <c r="E121" s="36">
        <f t="shared" si="3"/>
        <v>5.4958641008029607E-2</v>
      </c>
    </row>
    <row r="122" spans="1:5" x14ac:dyDescent="0.35">
      <c r="A122" s="35">
        <v>27760</v>
      </c>
      <c r="B122" s="63">
        <f>VLOOKUP(A122,Database!A:L,MATCH($A$1,Database!$A$1:$L$1,),)</f>
        <v>5893.2759999999998</v>
      </c>
      <c r="C122" s="37">
        <f t="shared" si="4"/>
        <v>2.2487601205135946E-2</v>
      </c>
      <c r="D122" s="36">
        <f t="shared" si="5"/>
        <v>6.1523893616258644E-2</v>
      </c>
      <c r="E122" s="36">
        <f t="shared" si="3"/>
        <v>9.3030301011741257E-2</v>
      </c>
    </row>
    <row r="123" spans="1:5" x14ac:dyDescent="0.35">
      <c r="A123" s="35">
        <v>27851</v>
      </c>
      <c r="B123" s="63">
        <f>VLOOKUP(A123,Database!A:L,MATCH($A$1,Database!$A$1:$L$1,),)</f>
        <v>5936.5150000000003</v>
      </c>
      <c r="C123" s="37">
        <f t="shared" si="4"/>
        <v>7.3370057672507601E-3</v>
      </c>
      <c r="D123" s="36">
        <f t="shared" si="5"/>
        <v>6.1725884584526818E-2</v>
      </c>
      <c r="E123" s="36">
        <f t="shared" si="3"/>
        <v>2.9672595741234931E-2</v>
      </c>
    </row>
    <row r="124" spans="1:5" x14ac:dyDescent="0.35">
      <c r="A124" s="35">
        <v>27942</v>
      </c>
      <c r="B124" s="63">
        <f>VLOOKUP(A124,Database!A:L,MATCH($A$1,Database!$A$1:$L$1,),)</f>
        <v>5969.0889999999999</v>
      </c>
      <c r="C124" s="37">
        <f t="shared" si="4"/>
        <v>5.4870576424046113E-3</v>
      </c>
      <c r="D124" s="36">
        <f t="shared" si="5"/>
        <v>4.958636996409576E-2</v>
      </c>
      <c r="E124" s="36">
        <f t="shared" si="3"/>
        <v>2.2129539098495465E-2</v>
      </c>
    </row>
    <row r="125" spans="1:5" x14ac:dyDescent="0.35">
      <c r="A125" s="35">
        <v>28034</v>
      </c>
      <c r="B125" s="63">
        <f>VLOOKUP(A125,Database!A:L,MATCH($A$1,Database!$A$1:$L$1,),)</f>
        <v>6012.3559999999998</v>
      </c>
      <c r="C125" s="37">
        <f t="shared" si="4"/>
        <v>7.2485097809732481E-3</v>
      </c>
      <c r="D125" s="36">
        <f t="shared" si="5"/>
        <v>4.314806637790361E-2</v>
      </c>
      <c r="E125" s="36">
        <f t="shared" si="3"/>
        <v>2.9310810621445693E-2</v>
      </c>
    </row>
    <row r="126" spans="1:5" x14ac:dyDescent="0.35">
      <c r="A126" s="35">
        <v>28126</v>
      </c>
      <c r="B126" s="63">
        <f>VLOOKUP(A126,Database!A:L,MATCH($A$1,Database!$A$1:$L$1,),)</f>
        <v>6083.3909999999996</v>
      </c>
      <c r="C126" s="37">
        <f t="shared" si="4"/>
        <v>1.1814835981102891E-2</v>
      </c>
      <c r="D126" s="36">
        <f t="shared" si="5"/>
        <v>3.225964641737461E-2</v>
      </c>
      <c r="E126" s="36">
        <f t="shared" si="3"/>
        <v>4.8103502453764158E-2</v>
      </c>
    </row>
    <row r="127" spans="1:5" x14ac:dyDescent="0.35">
      <c r="A127" s="35">
        <v>28216</v>
      </c>
      <c r="B127" s="63">
        <f>VLOOKUP(A127,Database!A:L,MATCH($A$1,Database!$A$1:$L$1,),)</f>
        <v>6201.6589999999997</v>
      </c>
      <c r="C127" s="37">
        <f t="shared" si="4"/>
        <v>1.9441130777226062E-2</v>
      </c>
      <c r="D127" s="36">
        <f t="shared" si="5"/>
        <v>4.4663240975555407E-2</v>
      </c>
      <c r="E127" s="36">
        <f t="shared" si="3"/>
        <v>8.0061803046076463E-2</v>
      </c>
    </row>
    <row r="128" spans="1:5" x14ac:dyDescent="0.35">
      <c r="A128" s="35">
        <v>28307</v>
      </c>
      <c r="B128" s="63">
        <f>VLOOKUP(A128,Database!A:L,MATCH($A$1,Database!$A$1:$L$1,),)</f>
        <v>6313.5590000000002</v>
      </c>
      <c r="C128" s="37">
        <f t="shared" si="4"/>
        <v>1.8043558989618836E-2</v>
      </c>
      <c r="D128" s="36">
        <f t="shared" si="5"/>
        <v>5.7708973680908472E-2</v>
      </c>
      <c r="E128" s="36">
        <f t="shared" si="3"/>
        <v>7.4151259847902606E-2</v>
      </c>
    </row>
    <row r="129" spans="1:5" x14ac:dyDescent="0.35">
      <c r="A129" s="35">
        <v>28399</v>
      </c>
      <c r="B129" s="63">
        <f>VLOOKUP(A129,Database!A:L,MATCH($A$1,Database!$A$1:$L$1,),)</f>
        <v>6313.6970000000001</v>
      </c>
      <c r="C129" s="37">
        <f t="shared" si="4"/>
        <v>2.185771923568307E-5</v>
      </c>
      <c r="D129" s="36">
        <f t="shared" si="5"/>
        <v>5.0120285625136027E-2</v>
      </c>
      <c r="E129" s="36">
        <f t="shared" si="3"/>
        <v>8.7433743543696707E-5</v>
      </c>
    </row>
    <row r="130" spans="1:5" x14ac:dyDescent="0.35">
      <c r="A130" s="35">
        <v>28491</v>
      </c>
      <c r="B130" s="63">
        <f>VLOOKUP(A130,Database!A:L,MATCH($A$1,Database!$A$1:$L$1,),)</f>
        <v>6333.848</v>
      </c>
      <c r="C130" s="37">
        <f t="shared" si="4"/>
        <v>3.1916324144158075E-3</v>
      </c>
      <c r="D130" s="36">
        <f t="shared" si="5"/>
        <v>4.1170623423679387E-2</v>
      </c>
      <c r="E130" s="36">
        <f t="shared" si="3"/>
        <v>1.2827778912718468E-2</v>
      </c>
    </row>
    <row r="131" spans="1:5" x14ac:dyDescent="0.35">
      <c r="A131" s="35">
        <v>28581</v>
      </c>
      <c r="B131" s="63">
        <f>VLOOKUP(A131,Database!A:L,MATCH($A$1,Database!$A$1:$L$1,),)</f>
        <v>6578.6049999999996</v>
      </c>
      <c r="C131" s="37">
        <f t="shared" si="4"/>
        <v>3.8642701877278966E-2</v>
      </c>
      <c r="D131" s="36">
        <f t="shared" si="5"/>
        <v>6.078147798838987E-2</v>
      </c>
      <c r="E131" s="36">
        <f t="shared" si="3"/>
        <v>0.16376340193805028</v>
      </c>
    </row>
    <row r="132" spans="1:5" x14ac:dyDescent="0.35">
      <c r="A132" s="35">
        <v>28672</v>
      </c>
      <c r="B132" s="63">
        <f>VLOOKUP(A132,Database!A:L,MATCH($A$1,Database!$A$1:$L$1,),)</f>
        <v>6644.7539999999999</v>
      </c>
      <c r="C132" s="37">
        <f t="shared" si="4"/>
        <v>1.0055171271113002E-2</v>
      </c>
      <c r="D132" s="36">
        <f t="shared" si="5"/>
        <v>5.2457734219320623E-2</v>
      </c>
      <c r="E132" s="36">
        <f t="shared" si="3"/>
        <v>4.083140069418012E-2</v>
      </c>
    </row>
    <row r="133" spans="1:5" x14ac:dyDescent="0.35">
      <c r="A133" s="35">
        <v>28764</v>
      </c>
      <c r="B133" s="63">
        <f>VLOOKUP(A133,Database!A:L,MATCH($A$1,Database!$A$1:$L$1,),)</f>
        <v>6734.0690000000004</v>
      </c>
      <c r="C133" s="37">
        <f t="shared" si="4"/>
        <v>1.344143063836532E-2</v>
      </c>
      <c r="D133" s="36">
        <f t="shared" si="5"/>
        <v>6.6580958826500586E-2</v>
      </c>
      <c r="E133" s="36">
        <f t="shared" si="3"/>
        <v>5.4859501505211794E-2</v>
      </c>
    </row>
    <row r="134" spans="1:5" x14ac:dyDescent="0.35">
      <c r="A134" s="35">
        <v>28856</v>
      </c>
      <c r="B134" s="63">
        <f>VLOOKUP(A134,Database!A:L,MATCH($A$1,Database!$A$1:$L$1,),)</f>
        <v>6746.1760000000004</v>
      </c>
      <c r="C134" s="37">
        <f t="shared" si="4"/>
        <v>1.797872875968448E-3</v>
      </c>
      <c r="D134" s="36">
        <f t="shared" si="5"/>
        <v>6.509913089167918E-2</v>
      </c>
      <c r="E134" s="36">
        <f t="shared" ref="E134:E197" si="6">((1+C134)^4)-1</f>
        <v>7.2109088409857414E-3</v>
      </c>
    </row>
    <row r="135" spans="1:5" x14ac:dyDescent="0.35">
      <c r="A135" s="35">
        <v>28946</v>
      </c>
      <c r="B135" s="63">
        <f>VLOOKUP(A135,Database!A:L,MATCH($A$1,Database!$A$1:$L$1,),)</f>
        <v>6753.3890000000001</v>
      </c>
      <c r="C135" s="37">
        <f t="shared" ref="C135:C198" si="7">(B135-B134)/B134</f>
        <v>1.0691983132369712E-3</v>
      </c>
      <c r="D135" s="36">
        <f t="shared" si="5"/>
        <v>2.6568550627374735E-2</v>
      </c>
      <c r="E135" s="36">
        <f t="shared" si="6"/>
        <v>4.2836572536188999E-3</v>
      </c>
    </row>
    <row r="136" spans="1:5" x14ac:dyDescent="0.35">
      <c r="A136" s="35">
        <v>29037</v>
      </c>
      <c r="B136" s="63">
        <f>VLOOKUP(A136,Database!A:L,MATCH($A$1,Database!$A$1:$L$1,),)</f>
        <v>6803.558</v>
      </c>
      <c r="C136" s="37">
        <f t="shared" si="7"/>
        <v>7.4287146794002048E-3</v>
      </c>
      <c r="D136" s="36">
        <f t="shared" si="5"/>
        <v>2.3899154129708954E-2</v>
      </c>
      <c r="E136" s="36">
        <f t="shared" si="6"/>
        <v>3.0047616412103961E-2</v>
      </c>
    </row>
    <row r="137" spans="1:5" x14ac:dyDescent="0.35">
      <c r="A137" s="35">
        <v>29129</v>
      </c>
      <c r="B137" s="63">
        <f>VLOOKUP(A137,Database!A:L,MATCH($A$1,Database!$A$1:$L$1,),)</f>
        <v>6820.5720000000001</v>
      </c>
      <c r="C137" s="37">
        <f t="shared" si="7"/>
        <v>2.5007503426883585E-3</v>
      </c>
      <c r="D137" s="36">
        <f t="shared" si="5"/>
        <v>1.2845576723374783E-2</v>
      </c>
      <c r="E137" s="36">
        <f t="shared" si="6"/>
        <v>1.0040586479814317E-2</v>
      </c>
    </row>
    <row r="138" spans="1:5" x14ac:dyDescent="0.35">
      <c r="A138" s="35">
        <v>29221</v>
      </c>
      <c r="B138" s="63">
        <f>VLOOKUP(A138,Database!A:L,MATCH($A$1,Database!$A$1:$L$1,),)</f>
        <v>6842.0240000000003</v>
      </c>
      <c r="C138" s="37">
        <f t="shared" si="7"/>
        <v>3.1451907552622017E-3</v>
      </c>
      <c r="D138" s="36">
        <f t="shared" ref="D138:D201" si="8">(B138-B134)/B134</f>
        <v>1.4207752658691376E-2</v>
      </c>
      <c r="E138" s="36">
        <f t="shared" si="6"/>
        <v>1.2640240919963963E-2</v>
      </c>
    </row>
    <row r="139" spans="1:5" x14ac:dyDescent="0.35">
      <c r="A139" s="35">
        <v>29312</v>
      </c>
      <c r="B139" s="63">
        <f>VLOOKUP(A139,Database!A:L,MATCH($A$1,Database!$A$1:$L$1,),)</f>
        <v>6701.0460000000003</v>
      </c>
      <c r="C139" s="37">
        <f t="shared" si="7"/>
        <v>-2.0604721643770915E-2</v>
      </c>
      <c r="D139" s="36">
        <f t="shared" si="8"/>
        <v>-7.7506271295789192E-3</v>
      </c>
      <c r="E139" s="36">
        <f t="shared" si="6"/>
        <v>-7.9906370318043152E-2</v>
      </c>
    </row>
    <row r="140" spans="1:5" x14ac:dyDescent="0.35">
      <c r="A140" s="35">
        <v>29403</v>
      </c>
      <c r="B140" s="63">
        <f>VLOOKUP(A140,Database!A:L,MATCH($A$1,Database!$A$1:$L$1,),)</f>
        <v>6693.0820000000003</v>
      </c>
      <c r="C140" s="37">
        <f t="shared" si="7"/>
        <v>-1.1884711730079068E-3</v>
      </c>
      <c r="D140" s="36">
        <f t="shared" si="8"/>
        <v>-1.6237974306972859E-2</v>
      </c>
      <c r="E140" s="36">
        <f t="shared" si="6"/>
        <v>-4.745416622351839E-3</v>
      </c>
    </row>
    <row r="141" spans="1:5" x14ac:dyDescent="0.35">
      <c r="A141" s="35">
        <v>29495</v>
      </c>
      <c r="B141" s="63">
        <f>VLOOKUP(A141,Database!A:L,MATCH($A$1,Database!$A$1:$L$1,),)</f>
        <v>6817.9030000000002</v>
      </c>
      <c r="C141" s="37">
        <f t="shared" si="7"/>
        <v>1.8649256052742206E-2</v>
      </c>
      <c r="D141" s="36">
        <f t="shared" si="8"/>
        <v>-3.9131615354252825E-4</v>
      </c>
      <c r="E141" s="36">
        <f t="shared" si="6"/>
        <v>7.6709858133567455E-2</v>
      </c>
    </row>
    <row r="142" spans="1:5" x14ac:dyDescent="0.35">
      <c r="A142" s="35">
        <v>29587</v>
      </c>
      <c r="B142" s="63">
        <f>VLOOKUP(A142,Database!A:L,MATCH($A$1,Database!$A$1:$L$1,),)</f>
        <v>6951.4949999999999</v>
      </c>
      <c r="C142" s="37">
        <f t="shared" si="7"/>
        <v>1.9594294609354173E-2</v>
      </c>
      <c r="D142" s="36">
        <f t="shared" si="8"/>
        <v>1.5999797720674402E-2</v>
      </c>
      <c r="E142" s="36">
        <f t="shared" si="6"/>
        <v>8.0711035982251156E-2</v>
      </c>
    </row>
    <row r="143" spans="1:5" x14ac:dyDescent="0.35">
      <c r="A143" s="35">
        <v>29677</v>
      </c>
      <c r="B143" s="63">
        <f>VLOOKUP(A143,Database!A:L,MATCH($A$1,Database!$A$1:$L$1,),)</f>
        <v>6899.98</v>
      </c>
      <c r="C143" s="37">
        <f t="shared" si="7"/>
        <v>-7.4106361293506404E-3</v>
      </c>
      <c r="D143" s="36">
        <f t="shared" si="8"/>
        <v>2.9687007073223984E-2</v>
      </c>
      <c r="E143" s="36">
        <f t="shared" si="6"/>
        <v>-2.9314664229681875E-2</v>
      </c>
    </row>
    <row r="144" spans="1:5" x14ac:dyDescent="0.35">
      <c r="A144" s="35">
        <v>29768</v>
      </c>
      <c r="B144" s="63">
        <f>VLOOKUP(A144,Database!A:L,MATCH($A$1,Database!$A$1:$L$1,),)</f>
        <v>6982.6090000000004</v>
      </c>
      <c r="C144" s="37">
        <f t="shared" si="7"/>
        <v>1.1975252102180126E-2</v>
      </c>
      <c r="D144" s="36">
        <f t="shared" si="8"/>
        <v>4.3257650212562768E-2</v>
      </c>
      <c r="E144" s="36">
        <f t="shared" si="6"/>
        <v>4.8768338275421819E-2</v>
      </c>
    </row>
    <row r="145" spans="1:5" x14ac:dyDescent="0.35">
      <c r="A145" s="35">
        <v>29860</v>
      </c>
      <c r="B145" s="63">
        <f>VLOOKUP(A145,Database!A:L,MATCH($A$1,Database!$A$1:$L$1,),)</f>
        <v>6906.5290000000005</v>
      </c>
      <c r="C145" s="37">
        <f t="shared" si="7"/>
        <v>-1.0895640870053002E-2</v>
      </c>
      <c r="D145" s="36">
        <f t="shared" si="8"/>
        <v>1.2999011572913284E-2</v>
      </c>
      <c r="E145" s="36">
        <f t="shared" si="6"/>
        <v>-4.2875433350734515E-2</v>
      </c>
    </row>
    <row r="146" spans="1:5" x14ac:dyDescent="0.35">
      <c r="A146" s="35">
        <v>29952</v>
      </c>
      <c r="B146" s="63">
        <f>VLOOKUP(A146,Database!A:L,MATCH($A$1,Database!$A$1:$L$1,),)</f>
        <v>6799.2330000000002</v>
      </c>
      <c r="C146" s="37">
        <f t="shared" si="7"/>
        <v>-1.5535444794338845E-2</v>
      </c>
      <c r="D146" s="36">
        <f t="shared" si="8"/>
        <v>-2.1903489824850585E-2</v>
      </c>
      <c r="E146" s="36">
        <f t="shared" si="6"/>
        <v>-6.0708618578961815E-2</v>
      </c>
    </row>
    <row r="147" spans="1:5" x14ac:dyDescent="0.35">
      <c r="A147" s="35">
        <v>30042</v>
      </c>
      <c r="B147" s="63">
        <f>VLOOKUP(A147,Database!A:L,MATCH($A$1,Database!$A$1:$L$1,),)</f>
        <v>6830.2510000000002</v>
      </c>
      <c r="C147" s="37">
        <f t="shared" si="7"/>
        <v>4.5619851533253864E-3</v>
      </c>
      <c r="D147" s="36">
        <f t="shared" si="8"/>
        <v>-1.0105681465743286E-2</v>
      </c>
      <c r="E147" s="36">
        <f t="shared" si="6"/>
        <v>1.8373191068485228E-2</v>
      </c>
    </row>
    <row r="148" spans="1:5" x14ac:dyDescent="0.35">
      <c r="A148" s="35">
        <v>30133</v>
      </c>
      <c r="B148" s="63">
        <f>VLOOKUP(A148,Database!A:L,MATCH($A$1,Database!$A$1:$L$1,),)</f>
        <v>6804.1390000000001</v>
      </c>
      <c r="C148" s="37">
        <f t="shared" si="7"/>
        <v>-3.82299274214082E-3</v>
      </c>
      <c r="D148" s="36">
        <f t="shared" si="8"/>
        <v>-2.5559214328054206E-2</v>
      </c>
      <c r="E148" s="36">
        <f t="shared" si="6"/>
        <v>-1.5204502610256521E-2</v>
      </c>
    </row>
    <row r="149" spans="1:5" x14ac:dyDescent="0.35">
      <c r="A149" s="35">
        <v>30225</v>
      </c>
      <c r="B149" s="63">
        <f>VLOOKUP(A149,Database!A:L,MATCH($A$1,Database!$A$1:$L$1,),)</f>
        <v>6806.857</v>
      </c>
      <c r="C149" s="37">
        <f t="shared" si="7"/>
        <v>3.9946273878294476E-4</v>
      </c>
      <c r="D149" s="36">
        <f t="shared" si="8"/>
        <v>-1.4431561787404422E-2</v>
      </c>
      <c r="E149" s="36">
        <f t="shared" si="6"/>
        <v>1.5988086330049889E-3</v>
      </c>
    </row>
    <row r="150" spans="1:5" x14ac:dyDescent="0.35">
      <c r="A150" s="35">
        <v>30317</v>
      </c>
      <c r="B150" s="63">
        <f>VLOOKUP(A150,Database!A:L,MATCH($A$1,Database!$A$1:$L$1,),)</f>
        <v>6896.5609999999997</v>
      </c>
      <c r="C150" s="37">
        <f t="shared" si="7"/>
        <v>1.3178475763483752E-2</v>
      </c>
      <c r="D150" s="36">
        <f t="shared" si="8"/>
        <v>1.4314555774158574E-2</v>
      </c>
      <c r="E150" s="36">
        <f t="shared" si="6"/>
        <v>5.3765121497418855E-2</v>
      </c>
    </row>
    <row r="151" spans="1:5" x14ac:dyDescent="0.35">
      <c r="A151" s="35">
        <v>30407</v>
      </c>
      <c r="B151" s="63">
        <f>VLOOKUP(A151,Database!A:L,MATCH($A$1,Database!$A$1:$L$1,),)</f>
        <v>7053.5</v>
      </c>
      <c r="C151" s="37">
        <f t="shared" si="7"/>
        <v>2.2756124393012736E-2</v>
      </c>
      <c r="D151" s="36">
        <f t="shared" si="8"/>
        <v>3.2685328840770245E-2</v>
      </c>
      <c r="E151" s="36">
        <f t="shared" si="6"/>
        <v>9.4178949150713009E-2</v>
      </c>
    </row>
    <row r="152" spans="1:5" x14ac:dyDescent="0.35">
      <c r="A152" s="35">
        <v>30498</v>
      </c>
      <c r="B152" s="63">
        <f>VLOOKUP(A152,Database!A:L,MATCH($A$1,Database!$A$1:$L$1,),)</f>
        <v>7194.5039999999999</v>
      </c>
      <c r="C152" s="37">
        <f t="shared" si="7"/>
        <v>1.9990642943219665E-2</v>
      </c>
      <c r="D152" s="36">
        <f t="shared" si="8"/>
        <v>5.7371696845111453E-2</v>
      </c>
      <c r="E152" s="36">
        <f t="shared" si="6"/>
        <v>8.239244141250035E-2</v>
      </c>
    </row>
    <row r="153" spans="1:5" x14ac:dyDescent="0.35">
      <c r="A153" s="35">
        <v>30590</v>
      </c>
      <c r="B153" s="63">
        <f>VLOOKUP(A153,Database!A:L,MATCH($A$1,Database!$A$1:$L$1,),)</f>
        <v>7344.5969999999998</v>
      </c>
      <c r="C153" s="37">
        <f t="shared" si="7"/>
        <v>2.0862174793425628E-2</v>
      </c>
      <c r="D153" s="36">
        <f t="shared" si="8"/>
        <v>7.8999749811109563E-2</v>
      </c>
      <c r="E153" s="36">
        <f t="shared" si="6"/>
        <v>8.609659002729031E-2</v>
      </c>
    </row>
    <row r="154" spans="1:5" x14ac:dyDescent="0.35">
      <c r="A154" s="35">
        <v>30682</v>
      </c>
      <c r="B154" s="63">
        <f>VLOOKUP(A154,Database!A:L,MATCH($A$1,Database!$A$1:$L$1,),)</f>
        <v>7488.1670000000004</v>
      </c>
      <c r="C154" s="37">
        <f t="shared" si="7"/>
        <v>1.9547702889620849E-2</v>
      </c>
      <c r="D154" s="36">
        <f t="shared" si="8"/>
        <v>8.5782754622195131E-2</v>
      </c>
      <c r="E154" s="36">
        <f t="shared" si="6"/>
        <v>8.0513511399357363E-2</v>
      </c>
    </row>
    <row r="155" spans="1:5" x14ac:dyDescent="0.35">
      <c r="A155" s="35">
        <v>30773</v>
      </c>
      <c r="B155" s="63">
        <f>VLOOKUP(A155,Database!A:L,MATCH($A$1,Database!$A$1:$L$1,),)</f>
        <v>7617.5469999999996</v>
      </c>
      <c r="C155" s="37">
        <f t="shared" si="7"/>
        <v>1.7277926627437556E-2</v>
      </c>
      <c r="D155" s="36">
        <f t="shared" si="8"/>
        <v>7.9966966754093649E-2</v>
      </c>
      <c r="E155" s="36">
        <f t="shared" si="6"/>
        <v>7.0923587812259603E-2</v>
      </c>
    </row>
    <row r="156" spans="1:5" x14ac:dyDescent="0.35">
      <c r="A156" s="35">
        <v>30864</v>
      </c>
      <c r="B156" s="63">
        <f>VLOOKUP(A156,Database!A:L,MATCH($A$1,Database!$A$1:$L$1,),)</f>
        <v>7690.9849999999997</v>
      </c>
      <c r="C156" s="37">
        <f t="shared" si="7"/>
        <v>9.64063628357004E-3</v>
      </c>
      <c r="D156" s="36">
        <f t="shared" si="8"/>
        <v>6.9008370834181168E-2</v>
      </c>
      <c r="E156" s="36">
        <f t="shared" si="6"/>
        <v>3.9123789055161673E-2</v>
      </c>
    </row>
    <row r="157" spans="1:5" x14ac:dyDescent="0.35">
      <c r="A157" s="35">
        <v>30956</v>
      </c>
      <c r="B157" s="63">
        <f>VLOOKUP(A157,Database!A:L,MATCH($A$1,Database!$A$1:$L$1,),)</f>
        <v>7754.1170000000002</v>
      </c>
      <c r="C157" s="37">
        <f t="shared" si="7"/>
        <v>8.208571463863279E-3</v>
      </c>
      <c r="D157" s="36">
        <f t="shared" si="8"/>
        <v>5.5757994618356926E-2</v>
      </c>
      <c r="E157" s="36">
        <f t="shared" si="6"/>
        <v>3.3240786663843558E-2</v>
      </c>
    </row>
    <row r="158" spans="1:5" x14ac:dyDescent="0.35">
      <c r="A158" s="35">
        <v>31048</v>
      </c>
      <c r="B158" s="63">
        <f>VLOOKUP(A158,Database!A:L,MATCH($A$1,Database!$A$1:$L$1,),)</f>
        <v>7829.26</v>
      </c>
      <c r="C158" s="37">
        <f t="shared" si="7"/>
        <v>9.6907230055981904E-3</v>
      </c>
      <c r="D158" s="36">
        <f t="shared" si="8"/>
        <v>4.5550933893434779E-2</v>
      </c>
      <c r="E158" s="36">
        <f t="shared" si="6"/>
        <v>3.9330001743275167E-2</v>
      </c>
    </row>
    <row r="159" spans="1:5" x14ac:dyDescent="0.35">
      <c r="A159" s="35">
        <v>31138</v>
      </c>
      <c r="B159" s="63">
        <f>VLOOKUP(A159,Database!A:L,MATCH($A$1,Database!$A$1:$L$1,),)</f>
        <v>7898.1940000000004</v>
      </c>
      <c r="C159" s="37">
        <f t="shared" si="7"/>
        <v>8.8046635314193416E-3</v>
      </c>
      <c r="D159" s="36">
        <f t="shared" si="8"/>
        <v>3.6842175046639142E-2</v>
      </c>
      <c r="E159" s="36">
        <f t="shared" si="6"/>
        <v>3.5686522958785938E-2</v>
      </c>
    </row>
    <row r="160" spans="1:5" x14ac:dyDescent="0.35">
      <c r="A160" s="35">
        <v>31229</v>
      </c>
      <c r="B160" s="63">
        <f>VLOOKUP(A160,Database!A:L,MATCH($A$1,Database!$A$1:$L$1,),)</f>
        <v>8018.8090000000002</v>
      </c>
      <c r="C160" s="37">
        <f t="shared" si="7"/>
        <v>1.527121263417938E-2</v>
      </c>
      <c r="D160" s="36">
        <f t="shared" si="8"/>
        <v>4.2624449274052741E-2</v>
      </c>
      <c r="E160" s="36">
        <f t="shared" si="6"/>
        <v>6.2498410129544268E-2</v>
      </c>
    </row>
    <row r="161" spans="1:5" x14ac:dyDescent="0.35">
      <c r="A161" s="35">
        <v>31321</v>
      </c>
      <c r="B161" s="63">
        <f>VLOOKUP(A161,Database!A:L,MATCH($A$1,Database!$A$1:$L$1,),)</f>
        <v>8078.415</v>
      </c>
      <c r="C161" s="37">
        <f t="shared" si="7"/>
        <v>7.4332734449716617E-3</v>
      </c>
      <c r="D161" s="36">
        <f t="shared" si="8"/>
        <v>4.1822685935742232E-2</v>
      </c>
      <c r="E161" s="36">
        <f t="shared" si="6"/>
        <v>3.0066261016593598E-2</v>
      </c>
    </row>
    <row r="162" spans="1:5" x14ac:dyDescent="0.35">
      <c r="A162" s="35">
        <v>31413</v>
      </c>
      <c r="B162" s="63">
        <f>VLOOKUP(A162,Database!A:L,MATCH($A$1,Database!$A$1:$L$1,),)</f>
        <v>8153.8289999999997</v>
      </c>
      <c r="C162" s="37">
        <f t="shared" si="7"/>
        <v>9.3352470750759607E-3</v>
      </c>
      <c r="D162" s="36">
        <f t="shared" si="8"/>
        <v>4.1455897492227806E-2</v>
      </c>
      <c r="E162" s="36">
        <f t="shared" si="6"/>
        <v>3.7867131071648075E-2</v>
      </c>
    </row>
    <row r="163" spans="1:5" x14ac:dyDescent="0.35">
      <c r="A163" s="35">
        <v>31503</v>
      </c>
      <c r="B163" s="63">
        <f>VLOOKUP(A163,Database!A:L,MATCH($A$1,Database!$A$1:$L$1,),)</f>
        <v>8190.5519999999997</v>
      </c>
      <c r="C163" s="37">
        <f t="shared" si="7"/>
        <v>4.5037736258633776E-3</v>
      </c>
      <c r="D163" s="36">
        <f t="shared" si="8"/>
        <v>3.7015803866048268E-2</v>
      </c>
      <c r="E163" s="36">
        <f t="shared" si="6"/>
        <v>1.813716419389122E-2</v>
      </c>
    </row>
    <row r="164" spans="1:5" x14ac:dyDescent="0.35">
      <c r="A164" s="35">
        <v>31594</v>
      </c>
      <c r="B164" s="63">
        <f>VLOOKUP(A164,Database!A:L,MATCH($A$1,Database!$A$1:$L$1,),)</f>
        <v>8268.9349999999995</v>
      </c>
      <c r="C164" s="37">
        <f t="shared" si="7"/>
        <v>9.5699288643793252E-3</v>
      </c>
      <c r="D164" s="36">
        <f t="shared" si="8"/>
        <v>3.1192412738599871E-2</v>
      </c>
      <c r="E164" s="36">
        <f t="shared" si="6"/>
        <v>3.8832730867671028E-2</v>
      </c>
    </row>
    <row r="165" spans="1:5" x14ac:dyDescent="0.35">
      <c r="A165" s="35">
        <v>31686</v>
      </c>
      <c r="B165" s="63">
        <f>VLOOKUP(A165,Database!A:L,MATCH($A$1,Database!$A$1:$L$1,),)</f>
        <v>8313.3379999999997</v>
      </c>
      <c r="C165" s="37">
        <f t="shared" si="7"/>
        <v>5.3698571823336677E-3</v>
      </c>
      <c r="D165" s="36">
        <f t="shared" si="8"/>
        <v>2.9080333208927715E-2</v>
      </c>
      <c r="E165" s="36">
        <f t="shared" si="6"/>
        <v>2.1653061124957462E-2</v>
      </c>
    </row>
    <row r="166" spans="1:5" x14ac:dyDescent="0.35">
      <c r="A166" s="35">
        <v>31778</v>
      </c>
      <c r="B166" s="63">
        <f>VLOOKUP(A166,Database!A:L,MATCH($A$1,Database!$A$1:$L$1,),)</f>
        <v>8375.2739999999994</v>
      </c>
      <c r="C166" s="37">
        <f t="shared" si="7"/>
        <v>7.4501962990076546E-3</v>
      </c>
      <c r="D166" s="36">
        <f t="shared" si="8"/>
        <v>2.7158406191741293E-2</v>
      </c>
      <c r="E166" s="36">
        <f t="shared" si="6"/>
        <v>3.0135474931490158E-2</v>
      </c>
    </row>
    <row r="167" spans="1:5" x14ac:dyDescent="0.35">
      <c r="A167" s="35">
        <v>31868</v>
      </c>
      <c r="B167" s="63">
        <f>VLOOKUP(A167,Database!A:L,MATCH($A$1,Database!$A$1:$L$1,),)</f>
        <v>8465.6299999999992</v>
      </c>
      <c r="C167" s="37">
        <f t="shared" si="7"/>
        <v>1.0788423160842234E-2</v>
      </c>
      <c r="D167" s="36">
        <f t="shared" si="8"/>
        <v>3.3584793796559688E-2</v>
      </c>
      <c r="E167" s="36">
        <f t="shared" si="6"/>
        <v>4.385706929729527E-2</v>
      </c>
    </row>
    <row r="168" spans="1:5" x14ac:dyDescent="0.35">
      <c r="A168" s="35">
        <v>31959</v>
      </c>
      <c r="B168" s="63">
        <f>VLOOKUP(A168,Database!A:L,MATCH($A$1,Database!$A$1:$L$1,),)</f>
        <v>8539.0750000000007</v>
      </c>
      <c r="C168" s="37">
        <f t="shared" si="7"/>
        <v>8.6756685562682911E-3</v>
      </c>
      <c r="D168" s="36">
        <f t="shared" si="8"/>
        <v>3.2669261519167977E-2</v>
      </c>
      <c r="E168" s="36">
        <f t="shared" si="6"/>
        <v>3.5156895213603434E-2</v>
      </c>
    </row>
    <row r="169" spans="1:5" x14ac:dyDescent="0.35">
      <c r="A169" s="35">
        <v>32051</v>
      </c>
      <c r="B169" s="63">
        <f>VLOOKUP(A169,Database!A:L,MATCH($A$1,Database!$A$1:$L$1,),)</f>
        <v>8685.6939999999995</v>
      </c>
      <c r="C169" s="37">
        <f t="shared" si="7"/>
        <v>1.7170360958300372E-2</v>
      </c>
      <c r="D169" s="36">
        <f t="shared" si="8"/>
        <v>4.4790191376797114E-2</v>
      </c>
      <c r="E169" s="36">
        <f t="shared" si="6"/>
        <v>7.0470707277670686E-2</v>
      </c>
    </row>
    <row r="170" spans="1:5" x14ac:dyDescent="0.35">
      <c r="A170" s="35">
        <v>32143</v>
      </c>
      <c r="B170" s="63">
        <f>VLOOKUP(A170,Database!A:L,MATCH($A$1,Database!$A$1:$L$1,),)</f>
        <v>8730.5689999999995</v>
      </c>
      <c r="C170" s="37">
        <f t="shared" si="7"/>
        <v>5.1665416718571942E-3</v>
      </c>
      <c r="D170" s="36">
        <f t="shared" si="8"/>
        <v>4.2421895689621632E-2</v>
      </c>
      <c r="E170" s="36">
        <f t="shared" si="6"/>
        <v>2.0826877962181189E-2</v>
      </c>
    </row>
    <row r="171" spans="1:5" x14ac:dyDescent="0.35">
      <c r="A171" s="35">
        <v>32234</v>
      </c>
      <c r="B171" s="63">
        <f>VLOOKUP(A171,Database!A:L,MATCH($A$1,Database!$A$1:$L$1,),)</f>
        <v>8845.2800000000007</v>
      </c>
      <c r="C171" s="37">
        <f t="shared" si="7"/>
        <v>1.3139006174740862E-2</v>
      </c>
      <c r="D171" s="36">
        <f t="shared" si="8"/>
        <v>4.48460421728804E-2</v>
      </c>
      <c r="E171" s="36">
        <f t="shared" si="6"/>
        <v>5.3600928330452824E-2</v>
      </c>
    </row>
    <row r="172" spans="1:5" x14ac:dyDescent="0.35">
      <c r="A172" s="35">
        <v>32325</v>
      </c>
      <c r="B172" s="63">
        <f>VLOOKUP(A172,Database!A:L,MATCH($A$1,Database!$A$1:$L$1,),)</f>
        <v>8897.107</v>
      </c>
      <c r="C172" s="37">
        <f t="shared" si="7"/>
        <v>5.859283143099971E-3</v>
      </c>
      <c r="D172" s="36">
        <f t="shared" si="8"/>
        <v>4.192866323342976E-2</v>
      </c>
      <c r="E172" s="36">
        <f t="shared" si="6"/>
        <v>2.3643925569598156E-2</v>
      </c>
    </row>
    <row r="173" spans="1:5" x14ac:dyDescent="0.35">
      <c r="A173" s="35">
        <v>32417</v>
      </c>
      <c r="B173" s="63">
        <f>VLOOKUP(A173,Database!A:L,MATCH($A$1,Database!$A$1:$L$1,),)</f>
        <v>9015.6610000000001</v>
      </c>
      <c r="C173" s="37">
        <f t="shared" si="7"/>
        <v>1.3325005532697323E-2</v>
      </c>
      <c r="D173" s="36">
        <f t="shared" si="8"/>
        <v>3.7989710436494836E-2</v>
      </c>
      <c r="E173" s="36">
        <f t="shared" si="6"/>
        <v>5.4374852018120423E-2</v>
      </c>
    </row>
    <row r="174" spans="1:5" x14ac:dyDescent="0.35">
      <c r="A174" s="35">
        <v>32509</v>
      </c>
      <c r="B174" s="63">
        <f>VLOOKUP(A174,Database!A:L,MATCH($A$1,Database!$A$1:$L$1,),)</f>
        <v>9107.3140000000003</v>
      </c>
      <c r="C174" s="37">
        <f t="shared" si="7"/>
        <v>1.0165976737590315E-2</v>
      </c>
      <c r="D174" s="36">
        <f t="shared" si="8"/>
        <v>4.3152399345334859E-2</v>
      </c>
      <c r="E174" s="36">
        <f t="shared" si="6"/>
        <v>4.1288202625324066E-2</v>
      </c>
    </row>
    <row r="175" spans="1:5" x14ac:dyDescent="0.35">
      <c r="A175" s="35">
        <v>32599</v>
      </c>
      <c r="B175" s="63">
        <f>VLOOKUP(A175,Database!A:L,MATCH($A$1,Database!$A$1:$L$1,),)</f>
        <v>9176.8269999999993</v>
      </c>
      <c r="C175" s="37">
        <f t="shared" si="7"/>
        <v>7.6326565659204249E-3</v>
      </c>
      <c r="D175" s="36">
        <f t="shared" si="8"/>
        <v>3.7482928748439691E-2</v>
      </c>
      <c r="E175" s="36">
        <f t="shared" si="6"/>
        <v>3.0881952971449911E-2</v>
      </c>
    </row>
    <row r="176" spans="1:5" x14ac:dyDescent="0.35">
      <c r="A176" s="35">
        <v>32690</v>
      </c>
      <c r="B176" s="63">
        <f>VLOOKUP(A176,Database!A:L,MATCH($A$1,Database!$A$1:$L$1,),)</f>
        <v>9244.8160000000007</v>
      </c>
      <c r="C176" s="37">
        <f t="shared" si="7"/>
        <v>7.4087699375831543E-3</v>
      </c>
      <c r="D176" s="36">
        <f t="shared" si="8"/>
        <v>3.9081130529283366E-2</v>
      </c>
      <c r="E176" s="36">
        <f t="shared" si="6"/>
        <v>2.9966048660892586E-2</v>
      </c>
    </row>
    <row r="177" spans="1:5" x14ac:dyDescent="0.35">
      <c r="A177" s="35">
        <v>32782</v>
      </c>
      <c r="B177" s="63">
        <f>VLOOKUP(A177,Database!A:L,MATCH($A$1,Database!$A$1:$L$1,),)</f>
        <v>9263.0329999999994</v>
      </c>
      <c r="C177" s="37">
        <f t="shared" si="7"/>
        <v>1.9705097429736549E-3</v>
      </c>
      <c r="D177" s="36">
        <f t="shared" si="8"/>
        <v>2.7438032552466136E-2</v>
      </c>
      <c r="E177" s="36">
        <f t="shared" si="6"/>
        <v>7.9053670440916157E-3</v>
      </c>
    </row>
    <row r="178" spans="1:5" x14ac:dyDescent="0.35">
      <c r="A178" s="35">
        <v>32874</v>
      </c>
      <c r="B178" s="63">
        <f>VLOOKUP(A178,Database!A:L,MATCH($A$1,Database!$A$1:$L$1,),)</f>
        <v>9364.259</v>
      </c>
      <c r="C178" s="37">
        <f t="shared" si="7"/>
        <v>1.0927954159291084E-2</v>
      </c>
      <c r="D178" s="36">
        <f t="shared" si="8"/>
        <v>2.8213038443606942E-2</v>
      </c>
      <c r="E178" s="36">
        <f t="shared" si="6"/>
        <v>4.4433572064092486E-2</v>
      </c>
    </row>
    <row r="179" spans="1:5" x14ac:dyDescent="0.35">
      <c r="A179" s="35">
        <v>32964</v>
      </c>
      <c r="B179" s="63">
        <f>VLOOKUP(A179,Database!A:L,MATCH($A$1,Database!$A$1:$L$1,),)</f>
        <v>9398.2430000000004</v>
      </c>
      <c r="C179" s="37">
        <f t="shared" si="7"/>
        <v>3.6291179045774341E-3</v>
      </c>
      <c r="D179" s="36">
        <f t="shared" si="8"/>
        <v>2.412772955183759E-2</v>
      </c>
      <c r="E179" s="36">
        <f t="shared" si="6"/>
        <v>1.4595685961506843E-2</v>
      </c>
    </row>
    <row r="180" spans="1:5" x14ac:dyDescent="0.35">
      <c r="A180" s="35">
        <v>33055</v>
      </c>
      <c r="B180" s="63">
        <f>VLOOKUP(A180,Database!A:L,MATCH($A$1,Database!$A$1:$L$1,),)</f>
        <v>9404.4940000000006</v>
      </c>
      <c r="C180" s="37">
        <f t="shared" si="7"/>
        <v>6.6512432164184338E-4</v>
      </c>
      <c r="D180" s="36">
        <f t="shared" si="8"/>
        <v>1.7272166368697859E-2</v>
      </c>
      <c r="E180" s="36">
        <f t="shared" si="6"/>
        <v>2.6631528059206655E-3</v>
      </c>
    </row>
    <row r="181" spans="1:5" x14ac:dyDescent="0.35">
      <c r="A181" s="35">
        <v>33147</v>
      </c>
      <c r="B181" s="63">
        <f>VLOOKUP(A181,Database!A:L,MATCH($A$1,Database!$A$1:$L$1,),)</f>
        <v>9318.8760000000002</v>
      </c>
      <c r="C181" s="37">
        <f t="shared" si="7"/>
        <v>-9.1039454116298435E-3</v>
      </c>
      <c r="D181" s="36">
        <f t="shared" si="8"/>
        <v>6.0285869649822858E-3</v>
      </c>
      <c r="E181" s="36">
        <f t="shared" si="6"/>
        <v>-3.5921502051109777E-2</v>
      </c>
    </row>
    <row r="182" spans="1:5" x14ac:dyDescent="0.35">
      <c r="A182" s="35">
        <v>33239</v>
      </c>
      <c r="B182" s="63">
        <f>VLOOKUP(A182,Database!A:L,MATCH($A$1,Database!$A$1:$L$1,),)</f>
        <v>9275.2759999999998</v>
      </c>
      <c r="C182" s="37">
        <f t="shared" si="7"/>
        <v>-4.6786758403052431E-3</v>
      </c>
      <c r="D182" s="36">
        <f t="shared" si="8"/>
        <v>-9.5024069710160919E-3</v>
      </c>
      <c r="E182" s="36">
        <f t="shared" si="6"/>
        <v>-1.8583772501335694E-2</v>
      </c>
    </row>
    <row r="183" spans="1:5" x14ac:dyDescent="0.35">
      <c r="A183" s="35">
        <v>33329</v>
      </c>
      <c r="B183" s="63">
        <f>VLOOKUP(A183,Database!A:L,MATCH($A$1,Database!$A$1:$L$1,),)</f>
        <v>9347.5969999999998</v>
      </c>
      <c r="C183" s="37">
        <f t="shared" si="7"/>
        <v>7.7971803750098555E-3</v>
      </c>
      <c r="D183" s="36">
        <f t="shared" si="8"/>
        <v>-5.3888796022831757E-3</v>
      </c>
      <c r="E183" s="36">
        <f t="shared" si="6"/>
        <v>3.1555397477190494E-2</v>
      </c>
    </row>
    <row r="184" spans="1:5" x14ac:dyDescent="0.35">
      <c r="A184" s="35">
        <v>33420</v>
      </c>
      <c r="B184" s="63">
        <f>VLOOKUP(A184,Database!A:L,MATCH($A$1,Database!$A$1:$L$1,),)</f>
        <v>9394.8340000000007</v>
      </c>
      <c r="C184" s="37">
        <f t="shared" si="7"/>
        <v>5.0533843082881079E-3</v>
      </c>
      <c r="D184" s="36">
        <f t="shared" si="8"/>
        <v>-1.0271685005062317E-3</v>
      </c>
      <c r="E184" s="36">
        <f t="shared" si="6"/>
        <v>2.0367274229972754E-2</v>
      </c>
    </row>
    <row r="185" spans="1:5" x14ac:dyDescent="0.35">
      <c r="A185" s="35">
        <v>33512</v>
      </c>
      <c r="B185" s="63">
        <f>VLOOKUP(A185,Database!A:L,MATCH($A$1,Database!$A$1:$L$1,),)</f>
        <v>9427.5810000000001</v>
      </c>
      <c r="C185" s="37">
        <f t="shared" si="7"/>
        <v>3.4856390224669628E-3</v>
      </c>
      <c r="D185" s="36">
        <f t="shared" si="8"/>
        <v>1.1665033422485708E-2</v>
      </c>
      <c r="E185" s="36">
        <f t="shared" si="6"/>
        <v>1.4015623711438607E-2</v>
      </c>
    </row>
    <row r="186" spans="1:5" x14ac:dyDescent="0.35">
      <c r="A186" s="35">
        <v>33604</v>
      </c>
      <c r="B186" s="63">
        <f>VLOOKUP(A186,Database!A:L,MATCH($A$1,Database!$A$1:$L$1,),)</f>
        <v>9540.4439999999995</v>
      </c>
      <c r="C186" s="37">
        <f t="shared" si="7"/>
        <v>1.19715757414335E-2</v>
      </c>
      <c r="D186" s="36">
        <f t="shared" si="8"/>
        <v>2.8588691053506081E-2</v>
      </c>
      <c r="E186" s="36">
        <f t="shared" si="6"/>
        <v>4.8753098259492589E-2</v>
      </c>
    </row>
    <row r="187" spans="1:5" x14ac:dyDescent="0.35">
      <c r="A187" s="35">
        <v>33695</v>
      </c>
      <c r="B187" s="63">
        <f>VLOOKUP(A187,Database!A:L,MATCH($A$1,Database!$A$1:$L$1,),)</f>
        <v>9643.893</v>
      </c>
      <c r="C187" s="37">
        <f t="shared" si="7"/>
        <v>1.0843206039467401E-2</v>
      </c>
      <c r="D187" s="36">
        <f t="shared" si="8"/>
        <v>3.1697558206670688E-2</v>
      </c>
      <c r="E187" s="36">
        <f t="shared" si="6"/>
        <v>4.4083388249948507E-2</v>
      </c>
    </row>
    <row r="188" spans="1:5" x14ac:dyDescent="0.35">
      <c r="A188" s="35">
        <v>33786</v>
      </c>
      <c r="B188" s="63">
        <f>VLOOKUP(A188,Database!A:L,MATCH($A$1,Database!$A$1:$L$1,),)</f>
        <v>9739.1849999999995</v>
      </c>
      <c r="C188" s="37">
        <f t="shared" si="7"/>
        <v>9.8810718866332772E-3</v>
      </c>
      <c r="D188" s="36">
        <f t="shared" si="8"/>
        <v>3.6653228785096012E-2</v>
      </c>
      <c r="E188" s="36">
        <f t="shared" si="6"/>
        <v>4.0113969545816364E-2</v>
      </c>
    </row>
    <row r="189" spans="1:5" x14ac:dyDescent="0.35">
      <c r="A189" s="35">
        <v>33878</v>
      </c>
      <c r="B189" s="63">
        <f>VLOOKUP(A189,Database!A:L,MATCH($A$1,Database!$A$1:$L$1,),)</f>
        <v>9840.7530000000006</v>
      </c>
      <c r="C189" s="37">
        <f t="shared" si="7"/>
        <v>1.042879871365018E-2</v>
      </c>
      <c r="D189" s="36">
        <f t="shared" si="8"/>
        <v>4.3825876436383887E-2</v>
      </c>
      <c r="E189" s="36">
        <f t="shared" si="6"/>
        <v>4.2372302676990214E-2</v>
      </c>
    </row>
    <row r="190" spans="1:5" x14ac:dyDescent="0.35">
      <c r="A190" s="35">
        <v>33970</v>
      </c>
      <c r="B190" s="63">
        <f>VLOOKUP(A190,Database!A:L,MATCH($A$1,Database!$A$1:$L$1,),)</f>
        <v>9857.1849999999995</v>
      </c>
      <c r="C190" s="37">
        <f t="shared" si="7"/>
        <v>1.6697909194549319E-3</v>
      </c>
      <c r="D190" s="36">
        <f t="shared" si="8"/>
        <v>3.319981753469755E-2</v>
      </c>
      <c r="E190" s="36">
        <f t="shared" si="6"/>
        <v>6.6959115187374962E-3</v>
      </c>
    </row>
    <row r="191" spans="1:5" x14ac:dyDescent="0.35">
      <c r="A191" s="35">
        <v>34060</v>
      </c>
      <c r="B191" s="63">
        <f>VLOOKUP(A191,Database!A:L,MATCH($A$1,Database!$A$1:$L$1,),)</f>
        <v>9914.5650000000005</v>
      </c>
      <c r="C191" s="37">
        <f t="shared" si="7"/>
        <v>5.8211345328307244E-3</v>
      </c>
      <c r="D191" s="36">
        <f t="shared" si="8"/>
        <v>2.806667390440774E-2</v>
      </c>
      <c r="E191" s="36">
        <f t="shared" si="6"/>
        <v>2.3488641933767207E-2</v>
      </c>
    </row>
    <row r="192" spans="1:5" x14ac:dyDescent="0.35">
      <c r="A192" s="35">
        <v>34151</v>
      </c>
      <c r="B192" s="63">
        <f>VLOOKUP(A192,Database!A:L,MATCH($A$1,Database!$A$1:$L$1,),)</f>
        <v>9961.8729999999996</v>
      </c>
      <c r="C192" s="37">
        <f t="shared" si="7"/>
        <v>4.771565873036193E-3</v>
      </c>
      <c r="D192" s="36">
        <f t="shared" si="8"/>
        <v>2.2865157608157164E-2</v>
      </c>
      <c r="E192" s="36">
        <f t="shared" si="6"/>
        <v>1.9223305608814023E-2</v>
      </c>
    </row>
    <row r="193" spans="1:5" x14ac:dyDescent="0.35">
      <c r="A193" s="35">
        <v>34243</v>
      </c>
      <c r="B193" s="63">
        <f>VLOOKUP(A193,Database!A:L,MATCH($A$1,Database!$A$1:$L$1,),)</f>
        <v>10097.361999999999</v>
      </c>
      <c r="C193" s="37">
        <f t="shared" si="7"/>
        <v>1.3600755600879432E-2</v>
      </c>
      <c r="D193" s="36">
        <f t="shared" si="8"/>
        <v>2.6076154944646872E-2</v>
      </c>
      <c r="E193" s="36">
        <f t="shared" si="6"/>
        <v>5.5523003439976293E-2</v>
      </c>
    </row>
    <row r="194" spans="1:5" x14ac:dyDescent="0.35">
      <c r="A194" s="35">
        <v>34335</v>
      </c>
      <c r="B194" s="63">
        <f>VLOOKUP(A194,Database!A:L,MATCH($A$1,Database!$A$1:$L$1,),)</f>
        <v>10195.338</v>
      </c>
      <c r="C194" s="37">
        <f t="shared" si="7"/>
        <v>9.7031284012597131E-3</v>
      </c>
      <c r="D194" s="36">
        <f t="shared" si="8"/>
        <v>3.4305230144305934E-2</v>
      </c>
      <c r="E194" s="36">
        <f t="shared" si="6"/>
        <v>3.9381080899375531E-2</v>
      </c>
    </row>
    <row r="195" spans="1:5" x14ac:dyDescent="0.35">
      <c r="A195" s="35">
        <v>34425</v>
      </c>
      <c r="B195" s="63">
        <f>VLOOKUP(A195,Database!A:L,MATCH($A$1,Database!$A$1:$L$1,),)</f>
        <v>10333.495000000001</v>
      </c>
      <c r="C195" s="37">
        <f t="shared" si="7"/>
        <v>1.3550997524554955E-2</v>
      </c>
      <c r="D195" s="36">
        <f t="shared" si="8"/>
        <v>4.2253997023570904E-2</v>
      </c>
      <c r="E195" s="36">
        <f t="shared" si="6"/>
        <v>5.5315754474926315E-2</v>
      </c>
    </row>
    <row r="196" spans="1:5" x14ac:dyDescent="0.35">
      <c r="A196" s="35">
        <v>34516</v>
      </c>
      <c r="B196" s="63">
        <f>VLOOKUP(A196,Database!A:L,MATCH($A$1,Database!$A$1:$L$1,),)</f>
        <v>10393.897999999999</v>
      </c>
      <c r="C196" s="37">
        <f t="shared" si="7"/>
        <v>5.8453601613005493E-3</v>
      </c>
      <c r="D196" s="36">
        <f t="shared" si="8"/>
        <v>4.3367848596343246E-2</v>
      </c>
      <c r="E196" s="36">
        <f t="shared" si="6"/>
        <v>2.3587250127730108E-2</v>
      </c>
    </row>
    <row r="197" spans="1:5" x14ac:dyDescent="0.35">
      <c r="A197" s="35">
        <v>34608</v>
      </c>
      <c r="B197" s="63">
        <f>VLOOKUP(A197,Database!A:L,MATCH($A$1,Database!$A$1:$L$1,),)</f>
        <v>10512.962</v>
      </c>
      <c r="C197" s="37">
        <f t="shared" si="7"/>
        <v>1.1455182646587479E-2</v>
      </c>
      <c r="D197" s="36">
        <f t="shared" si="8"/>
        <v>4.1159265162524668E-2</v>
      </c>
      <c r="E197" s="36">
        <f t="shared" si="6"/>
        <v>4.6614087713841679E-2</v>
      </c>
    </row>
    <row r="198" spans="1:5" x14ac:dyDescent="0.35">
      <c r="A198" s="35">
        <v>34700</v>
      </c>
      <c r="B198" s="63">
        <f>VLOOKUP(A198,Database!A:L,MATCH($A$1,Database!$A$1:$L$1,),)</f>
        <v>10550.251</v>
      </c>
      <c r="C198" s="37">
        <f t="shared" si="7"/>
        <v>3.5469547022048279E-3</v>
      </c>
      <c r="D198" s="36">
        <f t="shared" si="8"/>
        <v>3.4811302970043805E-2</v>
      </c>
      <c r="E198" s="36">
        <f t="shared" ref="E198:E261" si="9">((1+C198)^4)-1</f>
        <v>1.4263482788409609E-2</v>
      </c>
    </row>
    <row r="199" spans="1:5" x14ac:dyDescent="0.35">
      <c r="A199" s="35">
        <v>34790</v>
      </c>
      <c r="B199" s="63">
        <f>VLOOKUP(A199,Database!A:L,MATCH($A$1,Database!$A$1:$L$1,),)</f>
        <v>10581.723</v>
      </c>
      <c r="C199" s="37">
        <f t="shared" ref="C199:C262" si="10">(B199-B198)/B198</f>
        <v>2.9830569907767835E-3</v>
      </c>
      <c r="D199" s="36">
        <f t="shared" si="8"/>
        <v>2.4021688692934882E-2</v>
      </c>
      <c r="E199" s="36">
        <f t="shared" si="9"/>
        <v>1.1985725996823904E-2</v>
      </c>
    </row>
    <row r="200" spans="1:5" x14ac:dyDescent="0.35">
      <c r="A200" s="35">
        <v>34881</v>
      </c>
      <c r="B200" s="63">
        <f>VLOOKUP(A200,Database!A:L,MATCH($A$1,Database!$A$1:$L$1,),)</f>
        <v>10671.737999999999</v>
      </c>
      <c r="C200" s="37">
        <f t="shared" si="10"/>
        <v>8.5066486809378221E-3</v>
      </c>
      <c r="D200" s="36">
        <f t="shared" si="8"/>
        <v>2.6731068555800735E-2</v>
      </c>
      <c r="E200" s="36">
        <f t="shared" si="9"/>
        <v>3.4463240659767136E-2</v>
      </c>
    </row>
    <row r="201" spans="1:5" x14ac:dyDescent="0.35">
      <c r="A201" s="35">
        <v>34973</v>
      </c>
      <c r="B201" s="63">
        <f>VLOOKUP(A201,Database!A:L,MATCH($A$1,Database!$A$1:$L$1,),)</f>
        <v>10744.203</v>
      </c>
      <c r="C201" s="37">
        <f t="shared" si="10"/>
        <v>6.7903653556712273E-3</v>
      </c>
      <c r="D201" s="36">
        <f t="shared" si="8"/>
        <v>2.1995799090684432E-2</v>
      </c>
      <c r="E201" s="36">
        <f t="shared" si="9"/>
        <v>2.7439370308210531E-2</v>
      </c>
    </row>
    <row r="202" spans="1:5" x14ac:dyDescent="0.35">
      <c r="A202" s="35">
        <v>35065</v>
      </c>
      <c r="B202" s="63">
        <f>VLOOKUP(A202,Database!A:L,MATCH($A$1,Database!$A$1:$L$1,),)</f>
        <v>10824.674000000001</v>
      </c>
      <c r="C202" s="37">
        <f t="shared" si="10"/>
        <v>7.4897132900412786E-3</v>
      </c>
      <c r="D202" s="36">
        <f t="shared" ref="D202:D265" si="11">(B202-B198)/B198</f>
        <v>2.6011039926917442E-2</v>
      </c>
      <c r="E202" s="36">
        <f t="shared" si="9"/>
        <v>3.0297111703896595E-2</v>
      </c>
    </row>
    <row r="203" spans="1:5" x14ac:dyDescent="0.35">
      <c r="A203" s="35">
        <v>35156</v>
      </c>
      <c r="B203" s="63">
        <f>VLOOKUP(A203,Database!A:L,MATCH($A$1,Database!$A$1:$L$1,),)</f>
        <v>11005.217000000001</v>
      </c>
      <c r="C203" s="37">
        <f t="shared" si="10"/>
        <v>1.6678839473595199E-2</v>
      </c>
      <c r="D203" s="36">
        <f t="shared" si="11"/>
        <v>4.0021270638061553E-2</v>
      </c>
      <c r="E203" s="36">
        <f t="shared" si="9"/>
        <v>6.8403096521844509E-2</v>
      </c>
    </row>
    <row r="204" spans="1:5" x14ac:dyDescent="0.35">
      <c r="A204" s="35">
        <v>35247</v>
      </c>
      <c r="B204" s="63">
        <f>VLOOKUP(A204,Database!A:L,MATCH($A$1,Database!$A$1:$L$1,),)</f>
        <v>11103.934999999999</v>
      </c>
      <c r="C204" s="37">
        <f t="shared" si="10"/>
        <v>8.970109358134323E-3</v>
      </c>
      <c r="D204" s="36">
        <f t="shared" si="11"/>
        <v>4.0499213904989062E-2</v>
      </c>
      <c r="E204" s="36">
        <f t="shared" si="9"/>
        <v>3.6366108120872376E-2</v>
      </c>
    </row>
    <row r="205" spans="1:5" x14ac:dyDescent="0.35">
      <c r="A205" s="35">
        <v>35339</v>
      </c>
      <c r="B205" s="63">
        <f>VLOOKUP(A205,Database!A:L,MATCH($A$1,Database!$A$1:$L$1,),)</f>
        <v>11219.237999999999</v>
      </c>
      <c r="C205" s="37">
        <f t="shared" si="10"/>
        <v>1.0383976491216843E-2</v>
      </c>
      <c r="D205" s="36">
        <f t="shared" si="11"/>
        <v>4.4213144520817399E-2</v>
      </c>
      <c r="E205" s="36">
        <f t="shared" si="9"/>
        <v>4.2187358088936699E-2</v>
      </c>
    </row>
    <row r="206" spans="1:5" x14ac:dyDescent="0.35">
      <c r="A206" s="35">
        <v>35431</v>
      </c>
      <c r="B206" s="63">
        <f>VLOOKUP(A206,Database!A:L,MATCH($A$1,Database!$A$1:$L$1,),)</f>
        <v>11291.665000000001</v>
      </c>
      <c r="C206" s="37">
        <f t="shared" si="10"/>
        <v>6.4556077694404475E-3</v>
      </c>
      <c r="D206" s="36">
        <f t="shared" si="11"/>
        <v>4.314134541141839E-2</v>
      </c>
      <c r="E206" s="36">
        <f t="shared" si="9"/>
        <v>2.6073558191095358E-2</v>
      </c>
    </row>
    <row r="207" spans="1:5" x14ac:dyDescent="0.35">
      <c r="A207" s="35">
        <v>35521</v>
      </c>
      <c r="B207" s="63">
        <f>VLOOKUP(A207,Database!A:L,MATCH($A$1,Database!$A$1:$L$1,),)</f>
        <v>11479.33</v>
      </c>
      <c r="C207" s="37">
        <f t="shared" si="10"/>
        <v>1.6619781050890108E-2</v>
      </c>
      <c r="D207" s="36">
        <f t="shared" si="11"/>
        <v>4.3080749793484252E-2</v>
      </c>
      <c r="E207" s="36">
        <f t="shared" si="9"/>
        <v>6.8154865904908712E-2</v>
      </c>
    </row>
    <row r="208" spans="1:5" x14ac:dyDescent="0.35">
      <c r="A208" s="35">
        <v>35612</v>
      </c>
      <c r="B208" s="63">
        <f>VLOOKUP(A208,Database!A:L,MATCH($A$1,Database!$A$1:$L$1,),)</f>
        <v>11622.911</v>
      </c>
      <c r="C208" s="37">
        <f t="shared" si="10"/>
        <v>1.2507785733139489E-2</v>
      </c>
      <c r="D208" s="36">
        <f t="shared" si="11"/>
        <v>4.6738025753933231E-2</v>
      </c>
      <c r="E208" s="36">
        <f t="shared" si="9"/>
        <v>5.0977662738524332E-2</v>
      </c>
    </row>
    <row r="209" spans="1:5" x14ac:dyDescent="0.35">
      <c r="A209" s="35">
        <v>35704</v>
      </c>
      <c r="B209" s="63">
        <f>VLOOKUP(A209,Database!A:L,MATCH($A$1,Database!$A$1:$L$1,),)</f>
        <v>11722.722</v>
      </c>
      <c r="C209" s="37">
        <f t="shared" si="10"/>
        <v>8.5874356260664548E-3</v>
      </c>
      <c r="D209" s="36">
        <f t="shared" si="11"/>
        <v>4.4876844577145115E-2</v>
      </c>
      <c r="E209" s="36">
        <f t="shared" si="9"/>
        <v>3.4794745335392063E-2</v>
      </c>
    </row>
    <row r="210" spans="1:5" x14ac:dyDescent="0.35">
      <c r="A210" s="35">
        <v>35796</v>
      </c>
      <c r="B210" s="63">
        <f>VLOOKUP(A210,Database!A:L,MATCH($A$1,Database!$A$1:$L$1,),)</f>
        <v>11839.876</v>
      </c>
      <c r="C210" s="37">
        <f t="shared" si="10"/>
        <v>9.9937540103740806E-3</v>
      </c>
      <c r="D210" s="36">
        <f t="shared" si="11"/>
        <v>4.8550058826576883E-2</v>
      </c>
      <c r="E210" s="36">
        <f t="shared" si="9"/>
        <v>4.0578269241347664E-2</v>
      </c>
    </row>
    <row r="211" spans="1:5" x14ac:dyDescent="0.35">
      <c r="A211" s="35">
        <v>35886</v>
      </c>
      <c r="B211" s="63">
        <f>VLOOKUP(A211,Database!A:L,MATCH($A$1,Database!$A$1:$L$1,),)</f>
        <v>11949.492</v>
      </c>
      <c r="C211" s="37">
        <f t="shared" si="10"/>
        <v>9.2582050690395729E-3</v>
      </c>
      <c r="D211" s="36">
        <f t="shared" si="11"/>
        <v>4.0957268412006649E-2</v>
      </c>
      <c r="E211" s="36">
        <f t="shared" si="9"/>
        <v>3.7550288034241763E-2</v>
      </c>
    </row>
    <row r="212" spans="1:5" x14ac:dyDescent="0.35">
      <c r="A212" s="35">
        <v>35977</v>
      </c>
      <c r="B212" s="63">
        <f>VLOOKUP(A212,Database!A:L,MATCH($A$1,Database!$A$1:$L$1,),)</f>
        <v>12099.191000000001</v>
      </c>
      <c r="C212" s="37">
        <f t="shared" si="10"/>
        <v>1.2527645526688542E-2</v>
      </c>
      <c r="D212" s="36">
        <f t="shared" si="11"/>
        <v>4.0977686226798142E-2</v>
      </c>
      <c r="E212" s="36">
        <f t="shared" si="9"/>
        <v>5.1060122602257119E-2</v>
      </c>
    </row>
    <row r="213" spans="1:5" x14ac:dyDescent="0.35">
      <c r="A213" s="35">
        <v>36069</v>
      </c>
      <c r="B213" s="63">
        <f>VLOOKUP(A213,Database!A:L,MATCH($A$1,Database!$A$1:$L$1,),)</f>
        <v>12294.736999999999</v>
      </c>
      <c r="C213" s="37">
        <f t="shared" si="10"/>
        <v>1.6161907023370278E-2</v>
      </c>
      <c r="D213" s="36">
        <f t="shared" si="11"/>
        <v>4.8795407755980173E-2</v>
      </c>
      <c r="E213" s="36">
        <f t="shared" si="9"/>
        <v>6.6231826182913567E-2</v>
      </c>
    </row>
    <row r="214" spans="1:5" x14ac:dyDescent="0.35">
      <c r="A214" s="35">
        <v>36161</v>
      </c>
      <c r="B214" s="63">
        <f>VLOOKUP(A214,Database!A:L,MATCH($A$1,Database!$A$1:$L$1,),)</f>
        <v>12410.778</v>
      </c>
      <c r="C214" s="37">
        <f t="shared" si="10"/>
        <v>9.438266145912767E-3</v>
      </c>
      <c r="D214" s="36">
        <f t="shared" si="11"/>
        <v>4.8218579316202298E-2</v>
      </c>
      <c r="E214" s="36">
        <f t="shared" si="9"/>
        <v>3.8290920801855144E-2</v>
      </c>
    </row>
    <row r="215" spans="1:5" x14ac:dyDescent="0.35">
      <c r="A215" s="35">
        <v>36251</v>
      </c>
      <c r="B215" s="63">
        <f>VLOOKUP(A215,Database!A:L,MATCH($A$1,Database!$A$1:$L$1,),)</f>
        <v>12514.407999999999</v>
      </c>
      <c r="C215" s="37">
        <f t="shared" si="10"/>
        <v>8.3500002981279006E-3</v>
      </c>
      <c r="D215" s="36">
        <f t="shared" si="11"/>
        <v>4.7275315134735374E-2</v>
      </c>
      <c r="E215" s="36">
        <f t="shared" si="9"/>
        <v>3.3820669815361137E-2</v>
      </c>
    </row>
    <row r="216" spans="1:5" x14ac:dyDescent="0.35">
      <c r="A216" s="35">
        <v>36342</v>
      </c>
      <c r="B216" s="63">
        <f>VLOOKUP(A216,Database!A:L,MATCH($A$1,Database!$A$1:$L$1,),)</f>
        <v>12679.977000000001</v>
      </c>
      <c r="C216" s="37">
        <f t="shared" si="10"/>
        <v>1.3230270261286137E-2</v>
      </c>
      <c r="D216" s="36">
        <f t="shared" si="11"/>
        <v>4.8002052368625307E-2</v>
      </c>
      <c r="E216" s="36">
        <f t="shared" si="9"/>
        <v>5.3980615300018853E-2</v>
      </c>
    </row>
    <row r="217" spans="1:5" x14ac:dyDescent="0.35">
      <c r="A217" s="35">
        <v>36434</v>
      </c>
      <c r="B217" s="63">
        <f>VLOOKUP(A217,Database!A:L,MATCH($A$1,Database!$A$1:$L$1,),)</f>
        <v>12888.281000000001</v>
      </c>
      <c r="C217" s="37">
        <f t="shared" si="10"/>
        <v>1.6427790050407825E-2</v>
      </c>
      <c r="D217" s="36">
        <f t="shared" si="11"/>
        <v>4.827626650330151E-2</v>
      </c>
      <c r="E217" s="36">
        <f t="shared" si="9"/>
        <v>6.734820036933864E-2</v>
      </c>
    </row>
    <row r="218" spans="1:5" x14ac:dyDescent="0.35">
      <c r="A218" s="35">
        <v>36526</v>
      </c>
      <c r="B218" s="63">
        <f>VLOOKUP(A218,Database!A:L,MATCH($A$1,Database!$A$1:$L$1,),)</f>
        <v>12935.252</v>
      </c>
      <c r="C218" s="37">
        <f t="shared" si="10"/>
        <v>3.6444736113372717E-3</v>
      </c>
      <c r="D218" s="36">
        <f t="shared" si="11"/>
        <v>4.225955858689924E-2</v>
      </c>
      <c r="E218" s="36">
        <f t="shared" si="9"/>
        <v>1.4657781375521095E-2</v>
      </c>
    </row>
    <row r="219" spans="1:5" x14ac:dyDescent="0.35">
      <c r="A219" s="35">
        <v>36617</v>
      </c>
      <c r="B219" s="63">
        <f>VLOOKUP(A219,Database!A:L,MATCH($A$1,Database!$A$1:$L$1,),)</f>
        <v>13170.749</v>
      </c>
      <c r="C219" s="37">
        <f t="shared" si="10"/>
        <v>1.820583008355766E-2</v>
      </c>
      <c r="D219" s="36">
        <f t="shared" si="11"/>
        <v>5.2446827688533121E-2</v>
      </c>
      <c r="E219" s="36">
        <f t="shared" si="9"/>
        <v>7.4836281142319105E-2</v>
      </c>
    </row>
    <row r="220" spans="1:5" x14ac:dyDescent="0.35">
      <c r="A220" s="35">
        <v>36708</v>
      </c>
      <c r="B220" s="63">
        <f>VLOOKUP(A220,Database!A:L,MATCH($A$1,Database!$A$1:$L$1,),)</f>
        <v>13183.89</v>
      </c>
      <c r="C220" s="37">
        <f t="shared" si="10"/>
        <v>9.9774128259521319E-4</v>
      </c>
      <c r="D220" s="36">
        <f t="shared" si="11"/>
        <v>3.9740844955791214E-2</v>
      </c>
      <c r="E220" s="36">
        <f t="shared" si="9"/>
        <v>3.9969420303302972E-3</v>
      </c>
    </row>
    <row r="221" spans="1:5" x14ac:dyDescent="0.35">
      <c r="A221" s="35">
        <v>36800</v>
      </c>
      <c r="B221" s="63">
        <f>VLOOKUP(A221,Database!A:L,MATCH($A$1,Database!$A$1:$L$1,),)</f>
        <v>13262.25</v>
      </c>
      <c r="C221" s="37">
        <f t="shared" si="10"/>
        <v>5.9436175514207554E-3</v>
      </c>
      <c r="D221" s="36">
        <f t="shared" si="11"/>
        <v>2.9016204721172601E-2</v>
      </c>
      <c r="E221" s="36">
        <f t="shared" si="9"/>
        <v>2.3987270862187993E-2</v>
      </c>
    </row>
    <row r="222" spans="1:5" x14ac:dyDescent="0.35">
      <c r="A222" s="35">
        <v>36892</v>
      </c>
      <c r="B222" s="63">
        <f>VLOOKUP(A222,Database!A:L,MATCH($A$1,Database!$A$1:$L$1,),)</f>
        <v>13219.251</v>
      </c>
      <c r="C222" s="37">
        <f t="shared" si="10"/>
        <v>-3.2422100322343338E-3</v>
      </c>
      <c r="D222" s="36">
        <f t="shared" si="11"/>
        <v>2.1955428467879852E-2</v>
      </c>
      <c r="E222" s="36">
        <f t="shared" si="9"/>
        <v>-1.2905904790564526E-2</v>
      </c>
    </row>
    <row r="223" spans="1:5" x14ac:dyDescent="0.35">
      <c r="A223" s="35">
        <v>36982</v>
      </c>
      <c r="B223" s="63">
        <f>VLOOKUP(A223,Database!A:L,MATCH($A$1,Database!$A$1:$L$1,),)</f>
        <v>13301.394</v>
      </c>
      <c r="C223" s="37">
        <f t="shared" si="10"/>
        <v>6.2138921486550201E-3</v>
      </c>
      <c r="D223" s="36">
        <f t="shared" si="11"/>
        <v>9.9193295688802842E-3</v>
      </c>
      <c r="E223" s="36">
        <f t="shared" si="9"/>
        <v>2.5088204553891824E-2</v>
      </c>
    </row>
    <row r="224" spans="1:5" x14ac:dyDescent="0.35">
      <c r="A224" s="35">
        <v>37073</v>
      </c>
      <c r="B224" s="63">
        <f>VLOOKUP(A224,Database!A:L,MATCH($A$1,Database!$A$1:$L$1,),)</f>
        <v>13248.142</v>
      </c>
      <c r="C224" s="37">
        <f t="shared" si="10"/>
        <v>-4.0034901605050122E-3</v>
      </c>
      <c r="D224" s="36">
        <f t="shared" si="11"/>
        <v>4.8735236716932872E-3</v>
      </c>
      <c r="E224" s="36">
        <f t="shared" si="9"/>
        <v>-1.5918049455029726E-2</v>
      </c>
    </row>
    <row r="225" spans="1:5" x14ac:dyDescent="0.35">
      <c r="A225" s="35">
        <v>37165</v>
      </c>
      <c r="B225" s="63">
        <f>VLOOKUP(A225,Database!A:L,MATCH($A$1,Database!$A$1:$L$1,),)</f>
        <v>13284.880999999999</v>
      </c>
      <c r="C225" s="37">
        <f t="shared" si="10"/>
        <v>2.7731435849645616E-3</v>
      </c>
      <c r="D225" s="36">
        <f t="shared" si="11"/>
        <v>1.7064223642292524E-3</v>
      </c>
      <c r="E225" s="36">
        <f t="shared" si="9"/>
        <v>1.1138801656561448E-2</v>
      </c>
    </row>
    <row r="226" spans="1:5" x14ac:dyDescent="0.35">
      <c r="A226" s="35">
        <v>37257</v>
      </c>
      <c r="B226" s="63">
        <f>VLOOKUP(A226,Database!A:L,MATCH($A$1,Database!$A$1:$L$1,),)</f>
        <v>13394.91</v>
      </c>
      <c r="C226" s="37">
        <f t="shared" si="10"/>
        <v>8.2822721558439595E-3</v>
      </c>
      <c r="D226" s="36">
        <f t="shared" si="11"/>
        <v>1.3288120484284597E-2</v>
      </c>
      <c r="E226" s="36">
        <f t="shared" si="9"/>
        <v>3.354294204519781E-2</v>
      </c>
    </row>
    <row r="227" spans="1:5" x14ac:dyDescent="0.35">
      <c r="A227" s="35">
        <v>37347</v>
      </c>
      <c r="B227" s="63">
        <f>VLOOKUP(A227,Database!A:L,MATCH($A$1,Database!$A$1:$L$1,),)</f>
        <v>13477.356</v>
      </c>
      <c r="C227" s="37">
        <f t="shared" si="10"/>
        <v>6.1550245578357683E-3</v>
      </c>
      <c r="D227" s="36">
        <f t="shared" si="11"/>
        <v>1.322883902243626E-2</v>
      </c>
      <c r="E227" s="36">
        <f t="shared" si="9"/>
        <v>2.4848338346270316E-2</v>
      </c>
    </row>
    <row r="228" spans="1:5" x14ac:dyDescent="0.35">
      <c r="A228" s="35">
        <v>37438</v>
      </c>
      <c r="B228" s="63">
        <f>VLOOKUP(A228,Database!A:L,MATCH($A$1,Database!$A$1:$L$1,),)</f>
        <v>13531.741</v>
      </c>
      <c r="C228" s="37">
        <f t="shared" si="10"/>
        <v>4.0352870399802615E-3</v>
      </c>
      <c r="D228" s="36">
        <f t="shared" si="11"/>
        <v>2.1406699897993254E-2</v>
      </c>
      <c r="E228" s="36">
        <f t="shared" si="9"/>
        <v>1.6239112509100595E-2</v>
      </c>
    </row>
    <row r="229" spans="1:5" x14ac:dyDescent="0.35">
      <c r="A229" s="35">
        <v>37530</v>
      </c>
      <c r="B229" s="63">
        <f>VLOOKUP(A229,Database!A:L,MATCH($A$1,Database!$A$1:$L$1,),)</f>
        <v>13549.421</v>
      </c>
      <c r="C229" s="37">
        <f t="shared" si="10"/>
        <v>1.3065576705909676E-3</v>
      </c>
      <c r="D229" s="36">
        <f t="shared" si="11"/>
        <v>1.9912861846485556E-2</v>
      </c>
      <c r="E229" s="36">
        <f t="shared" si="9"/>
        <v>5.2364821646193604E-3</v>
      </c>
    </row>
    <row r="230" spans="1:5" x14ac:dyDescent="0.35">
      <c r="A230" s="35">
        <v>37622</v>
      </c>
      <c r="B230" s="63">
        <f>VLOOKUP(A230,Database!A:L,MATCH($A$1,Database!$A$1:$L$1,),)</f>
        <v>13619.433999999999</v>
      </c>
      <c r="C230" s="37">
        <f t="shared" si="10"/>
        <v>5.1672318691698346E-3</v>
      </c>
      <c r="D230" s="36">
        <f t="shared" si="11"/>
        <v>1.676188940425874E-2</v>
      </c>
      <c r="E230" s="36">
        <f t="shared" si="9"/>
        <v>2.0829681766981079E-2</v>
      </c>
    </row>
    <row r="231" spans="1:5" x14ac:dyDescent="0.35">
      <c r="A231" s="35">
        <v>37712</v>
      </c>
      <c r="B231" s="63">
        <f>VLOOKUP(A231,Database!A:L,MATCH($A$1,Database!$A$1:$L$1,),)</f>
        <v>13741.107</v>
      </c>
      <c r="C231" s="37">
        <f t="shared" si="10"/>
        <v>8.9337780116266717E-3</v>
      </c>
      <c r="D231" s="36">
        <f t="shared" si="11"/>
        <v>1.9569936417795909E-2</v>
      </c>
      <c r="E231" s="36">
        <f t="shared" si="9"/>
        <v>3.621684485857446E-2</v>
      </c>
    </row>
    <row r="232" spans="1:5" x14ac:dyDescent="0.35">
      <c r="A232" s="35">
        <v>37803</v>
      </c>
      <c r="B232" s="63">
        <f>VLOOKUP(A232,Database!A:L,MATCH($A$1,Database!$A$1:$L$1,),)</f>
        <v>13970.156999999999</v>
      </c>
      <c r="C232" s="37">
        <f t="shared" si="10"/>
        <v>1.6668962697110157E-2</v>
      </c>
      <c r="D232" s="36">
        <f t="shared" si="11"/>
        <v>3.2399083015260143E-2</v>
      </c>
      <c r="E232" s="36">
        <f t="shared" si="9"/>
        <v>6.8361580068855732E-2</v>
      </c>
    </row>
    <row r="233" spans="1:5" x14ac:dyDescent="0.35">
      <c r="A233" s="35">
        <v>37895</v>
      </c>
      <c r="B233" s="63">
        <f>VLOOKUP(A233,Database!A:L,MATCH($A$1,Database!$A$1:$L$1,),)</f>
        <v>14131.379000000001</v>
      </c>
      <c r="C233" s="37">
        <f t="shared" si="10"/>
        <v>1.1540457276178183E-2</v>
      </c>
      <c r="D233" s="36">
        <f t="shared" si="11"/>
        <v>4.2950765202439317E-2</v>
      </c>
      <c r="E233" s="36">
        <f t="shared" si="9"/>
        <v>4.6967087698897902E-2</v>
      </c>
    </row>
    <row r="234" spans="1:5" x14ac:dyDescent="0.35">
      <c r="A234" s="35">
        <v>37987</v>
      </c>
      <c r="B234" s="63">
        <f>VLOOKUP(A234,Database!A:L,MATCH($A$1,Database!$A$1:$L$1,),)</f>
        <v>14212.34</v>
      </c>
      <c r="C234" s="37">
        <f t="shared" si="10"/>
        <v>5.7291648606975533E-3</v>
      </c>
      <c r="D234" s="36">
        <f t="shared" si="11"/>
        <v>4.3533820862159241E-2</v>
      </c>
      <c r="E234" s="36">
        <f t="shared" si="9"/>
        <v>2.3114352701243401E-2</v>
      </c>
    </row>
    <row r="235" spans="1:5" x14ac:dyDescent="0.35">
      <c r="A235" s="35">
        <v>38078</v>
      </c>
      <c r="B235" s="63">
        <f>VLOOKUP(A235,Database!A:L,MATCH($A$1,Database!$A$1:$L$1,),)</f>
        <v>14323.017</v>
      </c>
      <c r="C235" s="37">
        <f t="shared" si="10"/>
        <v>7.7873875800888301E-3</v>
      </c>
      <c r="D235" s="36">
        <f t="shared" si="11"/>
        <v>4.2348116494544424E-2</v>
      </c>
      <c r="E235" s="36">
        <f t="shared" si="9"/>
        <v>3.1515303444719089E-2</v>
      </c>
    </row>
    <row r="236" spans="1:5" x14ac:dyDescent="0.35">
      <c r="A236" s="35">
        <v>38169</v>
      </c>
      <c r="B236" s="63">
        <f>VLOOKUP(A236,Database!A:L,MATCH($A$1,Database!$A$1:$L$1,),)</f>
        <v>14457.832</v>
      </c>
      <c r="C236" s="37">
        <f t="shared" si="10"/>
        <v>9.4124722465944513E-3</v>
      </c>
      <c r="D236" s="36">
        <f t="shared" si="11"/>
        <v>3.4908340686507756E-2</v>
      </c>
      <c r="E236" s="36">
        <f t="shared" si="9"/>
        <v>3.8184800216271686E-2</v>
      </c>
    </row>
    <row r="237" spans="1:5" x14ac:dyDescent="0.35">
      <c r="A237" s="35">
        <v>38261</v>
      </c>
      <c r="B237" s="63">
        <f>VLOOKUP(A237,Database!A:L,MATCH($A$1,Database!$A$1:$L$1,),)</f>
        <v>14605.594999999999</v>
      </c>
      <c r="C237" s="37">
        <f t="shared" si="10"/>
        <v>1.0220273689720493E-2</v>
      </c>
      <c r="D237" s="36">
        <f t="shared" si="11"/>
        <v>3.3557659164048924E-2</v>
      </c>
      <c r="E237" s="36">
        <f t="shared" si="9"/>
        <v>4.1512099828914462E-2</v>
      </c>
    </row>
    <row r="238" spans="1:5" x14ac:dyDescent="0.35">
      <c r="A238" s="35">
        <v>38353</v>
      </c>
      <c r="B238" s="63">
        <f>VLOOKUP(A238,Database!A:L,MATCH($A$1,Database!$A$1:$L$1,),)</f>
        <v>14767.846</v>
      </c>
      <c r="C238" s="37">
        <f t="shared" si="10"/>
        <v>1.1108825076965383E-2</v>
      </c>
      <c r="D238" s="36">
        <f t="shared" si="11"/>
        <v>3.9086174408999461E-2</v>
      </c>
      <c r="E238" s="36">
        <f t="shared" si="9"/>
        <v>4.5181235086874105E-2</v>
      </c>
    </row>
    <row r="239" spans="1:5" x14ac:dyDescent="0.35">
      <c r="A239" s="35">
        <v>38443</v>
      </c>
      <c r="B239" s="63">
        <f>VLOOKUP(A239,Database!A:L,MATCH($A$1,Database!$A$1:$L$1,),)</f>
        <v>14839.707</v>
      </c>
      <c r="C239" s="37">
        <f t="shared" si="10"/>
        <v>4.8660447840531912E-3</v>
      </c>
      <c r="D239" s="36">
        <f t="shared" si="11"/>
        <v>3.6074103661260785E-2</v>
      </c>
      <c r="E239" s="36">
        <f t="shared" si="9"/>
        <v>1.9606710928381732E-2</v>
      </c>
    </row>
    <row r="240" spans="1:5" x14ac:dyDescent="0.35">
      <c r="A240" s="35">
        <v>38534</v>
      </c>
      <c r="B240" s="63">
        <f>VLOOKUP(A240,Database!A:L,MATCH($A$1,Database!$A$1:$L$1,),)</f>
        <v>14956.290999999999</v>
      </c>
      <c r="C240" s="37">
        <f t="shared" si="10"/>
        <v>7.8562198027224469E-3</v>
      </c>
      <c r="D240" s="36">
        <f t="shared" si="11"/>
        <v>3.4476745891085119E-2</v>
      </c>
      <c r="E240" s="36">
        <f t="shared" si="9"/>
        <v>3.1797143707307018E-2</v>
      </c>
    </row>
    <row r="241" spans="1:5" x14ac:dyDescent="0.35">
      <c r="A241" s="35">
        <v>38626</v>
      </c>
      <c r="B241" s="63">
        <f>VLOOKUP(A241,Database!A:L,MATCH($A$1,Database!$A$1:$L$1,),)</f>
        <v>15041.232</v>
      </c>
      <c r="C241" s="37">
        <f t="shared" si="10"/>
        <v>5.6792823835803089E-3</v>
      </c>
      <c r="D241" s="36">
        <f t="shared" si="11"/>
        <v>2.9826720513611439E-2</v>
      </c>
      <c r="E241" s="36">
        <f t="shared" si="9"/>
        <v>2.2911388788950937E-2</v>
      </c>
    </row>
    <row r="242" spans="1:5" x14ac:dyDescent="0.35">
      <c r="A242" s="35">
        <v>38718</v>
      </c>
      <c r="B242" s="63">
        <f>VLOOKUP(A242,Database!A:L,MATCH($A$1,Database!$A$1:$L$1,),)</f>
        <v>15244.088</v>
      </c>
      <c r="C242" s="37">
        <f t="shared" si="10"/>
        <v>1.3486661199029425E-2</v>
      </c>
      <c r="D242" s="36">
        <f t="shared" si="11"/>
        <v>3.2248575723230061E-2</v>
      </c>
      <c r="E242" s="36">
        <f t="shared" si="9"/>
        <v>5.5047830418741617E-2</v>
      </c>
    </row>
    <row r="243" spans="1:5" x14ac:dyDescent="0.35">
      <c r="A243" s="35">
        <v>38808</v>
      </c>
      <c r="B243" s="63">
        <f>VLOOKUP(A243,Database!A:L,MATCH($A$1,Database!$A$1:$L$1,),)</f>
        <v>15281.525</v>
      </c>
      <c r="C243" s="37">
        <f t="shared" si="10"/>
        <v>2.4558373055836398E-3</v>
      </c>
      <c r="D243" s="36">
        <f t="shared" si="11"/>
        <v>2.977269025594638E-2</v>
      </c>
      <c r="E243" s="36">
        <f t="shared" si="9"/>
        <v>9.8595953259017488E-3</v>
      </c>
    </row>
    <row r="244" spans="1:5" x14ac:dyDescent="0.35">
      <c r="A244" s="35">
        <v>38899</v>
      </c>
      <c r="B244" s="63">
        <f>VLOOKUP(A244,Database!A:L,MATCH($A$1,Database!$A$1:$L$1,),)</f>
        <v>15304.517</v>
      </c>
      <c r="C244" s="37">
        <f t="shared" si="10"/>
        <v>1.5045618810949947E-3</v>
      </c>
      <c r="D244" s="36">
        <f t="shared" si="11"/>
        <v>2.3282911518637914E-2</v>
      </c>
      <c r="E244" s="36">
        <f t="shared" si="9"/>
        <v>6.0318433917740943E-3</v>
      </c>
    </row>
    <row r="245" spans="1:5" x14ac:dyDescent="0.35">
      <c r="A245" s="35">
        <v>38991</v>
      </c>
      <c r="B245" s="63">
        <f>VLOOKUP(A245,Database!A:L,MATCH($A$1,Database!$A$1:$L$1,),)</f>
        <v>15433.643</v>
      </c>
      <c r="C245" s="37">
        <f t="shared" si="10"/>
        <v>8.4371169635735783E-3</v>
      </c>
      <c r="D245" s="36">
        <f t="shared" si="11"/>
        <v>2.6089019835609215E-2</v>
      </c>
      <c r="E245" s="36">
        <f t="shared" si="9"/>
        <v>3.417798496028146E-2</v>
      </c>
    </row>
    <row r="246" spans="1:5" x14ac:dyDescent="0.35">
      <c r="A246" s="35">
        <v>39083</v>
      </c>
      <c r="B246" s="63">
        <f>VLOOKUP(A246,Database!A:L,MATCH($A$1,Database!$A$1:$L$1,),)</f>
        <v>15478.956</v>
      </c>
      <c r="C246" s="37">
        <f t="shared" si="10"/>
        <v>2.9359886061897443E-3</v>
      </c>
      <c r="D246" s="36">
        <f t="shared" si="11"/>
        <v>1.5407153251804922E-2</v>
      </c>
      <c r="E246" s="36">
        <f t="shared" si="9"/>
        <v>1.1795775906866535E-2</v>
      </c>
    </row>
    <row r="247" spans="1:5" x14ac:dyDescent="0.35">
      <c r="A247" s="35">
        <v>39173</v>
      </c>
      <c r="B247" s="63">
        <f>VLOOKUP(A247,Database!A:L,MATCH($A$1,Database!$A$1:$L$1,),)</f>
        <v>15577.779</v>
      </c>
      <c r="C247" s="37">
        <f t="shared" si="10"/>
        <v>6.3843453008071297E-3</v>
      </c>
      <c r="D247" s="36">
        <f t="shared" si="11"/>
        <v>1.9386415949978867E-2</v>
      </c>
      <c r="E247" s="36">
        <f t="shared" si="9"/>
        <v>2.5782982954323241E-2</v>
      </c>
    </row>
    <row r="248" spans="1:5" x14ac:dyDescent="0.35">
      <c r="A248" s="35">
        <v>39264</v>
      </c>
      <c r="B248" s="63">
        <f>VLOOKUP(A248,Database!A:L,MATCH($A$1,Database!$A$1:$L$1,),)</f>
        <v>15671.605</v>
      </c>
      <c r="C248" s="37">
        <f t="shared" si="10"/>
        <v>6.0230665745096982E-3</v>
      </c>
      <c r="D248" s="36">
        <f t="shared" si="11"/>
        <v>2.3985598500102928E-2</v>
      </c>
      <c r="E248" s="36">
        <f t="shared" si="9"/>
        <v>2.4310805602967944E-2</v>
      </c>
    </row>
    <row r="249" spans="1:5" x14ac:dyDescent="0.35">
      <c r="A249" s="35">
        <v>39356</v>
      </c>
      <c r="B249" s="63">
        <f>VLOOKUP(A249,Database!A:L,MATCH($A$1,Database!$A$1:$L$1,),)</f>
        <v>15767.146000000001</v>
      </c>
      <c r="C249" s="37">
        <f t="shared" si="10"/>
        <v>6.0964400264045121E-3</v>
      </c>
      <c r="D249" s="36">
        <f t="shared" si="11"/>
        <v>2.1608832081965394E-2</v>
      </c>
      <c r="E249" s="36">
        <f t="shared" si="9"/>
        <v>2.4609667308274075E-2</v>
      </c>
    </row>
    <row r="250" spans="1:5" x14ac:dyDescent="0.35">
      <c r="A250" s="35">
        <v>39448</v>
      </c>
      <c r="B250" s="63">
        <f>VLOOKUP(A250,Database!A:L,MATCH($A$1,Database!$A$1:$L$1,),)</f>
        <v>15702.906000000001</v>
      </c>
      <c r="C250" s="37">
        <f t="shared" si="10"/>
        <v>-4.0742947392000926E-3</v>
      </c>
      <c r="D250" s="36">
        <f t="shared" si="11"/>
        <v>1.4468030014427376E-2</v>
      </c>
      <c r="E250" s="36">
        <f t="shared" si="9"/>
        <v>-1.6197849946689269E-2</v>
      </c>
    </row>
    <row r="251" spans="1:5" x14ac:dyDescent="0.35">
      <c r="A251" s="35">
        <v>39539</v>
      </c>
      <c r="B251" s="63">
        <f>VLOOKUP(A251,Database!A:L,MATCH($A$1,Database!$A$1:$L$1,),)</f>
        <v>15792.772999999999</v>
      </c>
      <c r="C251" s="37">
        <f t="shared" si="10"/>
        <v>5.7229534456869555E-3</v>
      </c>
      <c r="D251" s="36">
        <f t="shared" si="11"/>
        <v>1.3801325593333861E-2</v>
      </c>
      <c r="E251" s="36">
        <f t="shared" si="9"/>
        <v>2.3089077789477663E-2</v>
      </c>
    </row>
    <row r="252" spans="1:5" x14ac:dyDescent="0.35">
      <c r="A252" s="35">
        <v>39630</v>
      </c>
      <c r="B252" s="63">
        <f>VLOOKUP(A252,Database!A:L,MATCH($A$1,Database!$A$1:$L$1,),)</f>
        <v>15709.562</v>
      </c>
      <c r="C252" s="37">
        <f t="shared" si="10"/>
        <v>-5.2689290221545849E-3</v>
      </c>
      <c r="D252" s="36">
        <f t="shared" si="11"/>
        <v>2.4220237812272792E-3</v>
      </c>
      <c r="E252" s="36">
        <f t="shared" si="9"/>
        <v>-2.0909730735542698E-2</v>
      </c>
    </row>
    <row r="253" spans="1:5" x14ac:dyDescent="0.35">
      <c r="A253" s="35">
        <v>39722</v>
      </c>
      <c r="B253" s="63">
        <f>VLOOKUP(A253,Database!A:L,MATCH($A$1,Database!$A$1:$L$1,),)</f>
        <v>15366.607</v>
      </c>
      <c r="C253" s="37">
        <f t="shared" si="10"/>
        <v>-2.1830971480936257E-2</v>
      </c>
      <c r="D253" s="36">
        <f t="shared" si="11"/>
        <v>-2.5403392598762051E-2</v>
      </c>
      <c r="E253" s="36">
        <f t="shared" si="9"/>
        <v>-8.4505728695347337E-2</v>
      </c>
    </row>
    <row r="254" spans="1:5" x14ac:dyDescent="0.35">
      <c r="A254" s="35">
        <v>39814</v>
      </c>
      <c r="B254" s="63">
        <f>VLOOKUP(A254,Database!A:L,MATCH($A$1,Database!$A$1:$L$1,),)</f>
        <v>15187.475</v>
      </c>
      <c r="C254" s="37">
        <f t="shared" si="10"/>
        <v>-1.1657225306796718E-2</v>
      </c>
      <c r="D254" s="36">
        <f t="shared" si="11"/>
        <v>-3.2823924437935276E-2</v>
      </c>
      <c r="E254" s="36">
        <f t="shared" si="9"/>
        <v>-4.5819873793169319E-2</v>
      </c>
    </row>
    <row r="255" spans="1:5" x14ac:dyDescent="0.35">
      <c r="A255" s="35">
        <v>39904</v>
      </c>
      <c r="B255" s="63">
        <f>VLOOKUP(A255,Database!A:L,MATCH($A$1,Database!$A$1:$L$1,),)</f>
        <v>15161.772000000001</v>
      </c>
      <c r="C255" s="37">
        <f t="shared" si="10"/>
        <v>-1.6923813866359958E-3</v>
      </c>
      <c r="D255" s="36">
        <f t="shared" si="11"/>
        <v>-3.995504779306322E-2</v>
      </c>
      <c r="E255" s="36">
        <f t="shared" si="9"/>
        <v>-6.7523599987623362E-3</v>
      </c>
    </row>
    <row r="256" spans="1:5" x14ac:dyDescent="0.35">
      <c r="A256" s="35">
        <v>39995</v>
      </c>
      <c r="B256" s="63">
        <f>VLOOKUP(A256,Database!A:L,MATCH($A$1,Database!$A$1:$L$1,),)</f>
        <v>15216.647000000001</v>
      </c>
      <c r="C256" s="37">
        <f t="shared" si="10"/>
        <v>3.6192999076888901E-3</v>
      </c>
      <c r="D256" s="36">
        <f t="shared" si="11"/>
        <v>-3.1376750032878008E-2</v>
      </c>
      <c r="E256" s="36">
        <f t="shared" si="9"/>
        <v>1.4555985434920649E-2</v>
      </c>
    </row>
    <row r="257" spans="1:5" x14ac:dyDescent="0.35">
      <c r="A257" s="35">
        <v>40087</v>
      </c>
      <c r="B257" s="63">
        <f>VLOOKUP(A257,Database!A:L,MATCH($A$1,Database!$A$1:$L$1,),)</f>
        <v>15379.155000000001</v>
      </c>
      <c r="C257" s="37">
        <f t="shared" si="10"/>
        <v>1.0679619498303391E-2</v>
      </c>
      <c r="D257" s="36">
        <f t="shared" si="11"/>
        <v>8.1657583876523191E-4</v>
      </c>
      <c r="E257" s="36">
        <f t="shared" si="9"/>
        <v>4.34076888622974E-2</v>
      </c>
    </row>
    <row r="258" spans="1:5" x14ac:dyDescent="0.35">
      <c r="A258" s="35">
        <v>40179</v>
      </c>
      <c r="B258" s="63">
        <f>VLOOKUP(A258,Database!A:L,MATCH($A$1,Database!$A$1:$L$1,),)</f>
        <v>15456.058999999999</v>
      </c>
      <c r="C258" s="37">
        <f t="shared" si="10"/>
        <v>5.0005348148190604E-3</v>
      </c>
      <c r="D258" s="36">
        <f t="shared" si="11"/>
        <v>1.7684572320283583E-2</v>
      </c>
      <c r="E258" s="36">
        <f t="shared" si="9"/>
        <v>2.015267213561045E-2</v>
      </c>
    </row>
    <row r="259" spans="1:5" x14ac:dyDescent="0.35">
      <c r="A259" s="35">
        <v>40269</v>
      </c>
      <c r="B259" s="63">
        <f>VLOOKUP(A259,Database!A:L,MATCH($A$1,Database!$A$1:$L$1,),)</f>
        <v>15605.628000000001</v>
      </c>
      <c r="C259" s="37">
        <f t="shared" si="10"/>
        <v>9.6770463932624312E-3</v>
      </c>
      <c r="D259" s="36">
        <f t="shared" si="11"/>
        <v>2.9274678447875336E-2</v>
      </c>
      <c r="E259" s="36">
        <f t="shared" si="9"/>
        <v>3.9273690540683415E-2</v>
      </c>
    </row>
    <row r="260" spans="1:5" x14ac:dyDescent="0.35">
      <c r="A260" s="35">
        <v>40360</v>
      </c>
      <c r="B260" s="63">
        <f>VLOOKUP(A260,Database!A:L,MATCH($A$1,Database!$A$1:$L$1,),)</f>
        <v>15726.281999999999</v>
      </c>
      <c r="C260" s="37">
        <f t="shared" si="10"/>
        <v>7.7314415030268965E-3</v>
      </c>
      <c r="D260" s="36">
        <f t="shared" si="11"/>
        <v>3.3491938138539873E-2</v>
      </c>
      <c r="E260" s="36">
        <f t="shared" si="9"/>
        <v>3.128626930493783E-2</v>
      </c>
    </row>
    <row r="261" spans="1:5" x14ac:dyDescent="0.35">
      <c r="A261" s="35">
        <v>40452</v>
      </c>
      <c r="B261" s="63">
        <f>VLOOKUP(A261,Database!A:L,MATCH($A$1,Database!$A$1:$L$1,),)</f>
        <v>15807.995000000001</v>
      </c>
      <c r="C261" s="37">
        <f t="shared" si="10"/>
        <v>5.1959515923726638E-3</v>
      </c>
      <c r="D261" s="36">
        <f t="shared" si="11"/>
        <v>2.7884496905064039E-2</v>
      </c>
      <c r="E261" s="36">
        <f t="shared" si="9"/>
        <v>2.0946355695475205E-2</v>
      </c>
    </row>
    <row r="262" spans="1:5" x14ac:dyDescent="0.35">
      <c r="A262" s="35">
        <v>40544</v>
      </c>
      <c r="B262" s="63">
        <f>VLOOKUP(A262,Database!A:L,MATCH($A$1,Database!$A$1:$L$1,),)</f>
        <v>15769.911</v>
      </c>
      <c r="C262" s="37">
        <f t="shared" si="10"/>
        <v>-2.4091606810351814E-3</v>
      </c>
      <c r="D262" s="36">
        <f t="shared" si="11"/>
        <v>2.0306081906131489E-2</v>
      </c>
      <c r="E262" s="36">
        <f t="shared" ref="E262:E309" si="12">((1+C262)^4)-1</f>
        <v>-9.6018742909375066E-3</v>
      </c>
    </row>
    <row r="263" spans="1:5" x14ac:dyDescent="0.35">
      <c r="A263" s="35">
        <v>40634</v>
      </c>
      <c r="B263" s="63">
        <f>VLOOKUP(A263,Database!A:L,MATCH($A$1,Database!$A$1:$L$1,),)</f>
        <v>15876.839</v>
      </c>
      <c r="C263" s="37">
        <f t="shared" ref="C263:C326" si="13">(B263-B262)/B262</f>
        <v>6.7805075120588752E-3</v>
      </c>
      <c r="D263" s="36">
        <f t="shared" si="11"/>
        <v>1.7379050686072955E-2</v>
      </c>
      <c r="E263" s="36">
        <f t="shared" si="12"/>
        <v>2.7399130797671756E-2</v>
      </c>
    </row>
    <row r="264" spans="1:5" x14ac:dyDescent="0.35">
      <c r="A264" s="35">
        <v>40725</v>
      </c>
      <c r="B264" s="63">
        <f>VLOOKUP(A264,Database!A:L,MATCH($A$1,Database!$A$1:$L$1,),)</f>
        <v>15870.683999999999</v>
      </c>
      <c r="C264" s="37">
        <f t="shared" si="13"/>
        <v>-3.8767162657507928E-4</v>
      </c>
      <c r="D264" s="36">
        <f t="shared" si="11"/>
        <v>9.1822084838616043E-3</v>
      </c>
      <c r="E264" s="36">
        <f t="shared" si="12"/>
        <v>-1.5497850035889327E-3</v>
      </c>
    </row>
    <row r="265" spans="1:5" x14ac:dyDescent="0.35">
      <c r="A265" s="35">
        <v>40817</v>
      </c>
      <c r="B265" s="63">
        <f>VLOOKUP(A265,Database!A:L,MATCH($A$1,Database!$A$1:$L$1,),)</f>
        <v>16048.701999999999</v>
      </c>
      <c r="C265" s="37">
        <f t="shared" si="13"/>
        <v>1.1216781834985817E-2</v>
      </c>
      <c r="D265" s="36">
        <f t="shared" si="11"/>
        <v>1.5226915241306599E-2</v>
      </c>
      <c r="E265" s="36">
        <f t="shared" si="12"/>
        <v>4.5627685349290514E-2</v>
      </c>
    </row>
    <row r="266" spans="1:5" x14ac:dyDescent="0.35">
      <c r="A266" s="35">
        <v>40909</v>
      </c>
      <c r="B266" s="63">
        <f>VLOOKUP(A266,Database!A:L,MATCH($A$1,Database!$A$1:$L$1,),)</f>
        <v>16179.968000000001</v>
      </c>
      <c r="C266" s="37">
        <f t="shared" si="13"/>
        <v>8.1792284509988062E-3</v>
      </c>
      <c r="D266" s="36">
        <f t="shared" ref="D266:D329" si="14">(B266-B262)/B262</f>
        <v>2.6002492975388428E-2</v>
      </c>
      <c r="E266" s="36">
        <f t="shared" si="12"/>
        <v>3.3120505702168845E-2</v>
      </c>
    </row>
    <row r="267" spans="1:5" x14ac:dyDescent="0.35">
      <c r="A267" s="35">
        <v>41000</v>
      </c>
      <c r="B267" s="63">
        <f>VLOOKUP(A267,Database!A:L,MATCH($A$1,Database!$A$1:$L$1,),)</f>
        <v>16253.726000000001</v>
      </c>
      <c r="C267" s="37">
        <f t="shared" si="13"/>
        <v>4.5585998686771077E-3</v>
      </c>
      <c r="D267" s="36">
        <f t="shared" si="14"/>
        <v>2.3738163497154605E-2</v>
      </c>
      <c r="E267" s="36">
        <f t="shared" si="12"/>
        <v>1.835946382913356E-2</v>
      </c>
    </row>
    <row r="268" spans="1:5" x14ac:dyDescent="0.35">
      <c r="A268" s="35">
        <v>41091</v>
      </c>
      <c r="B268" s="63">
        <f>VLOOKUP(A268,Database!A:L,MATCH($A$1,Database!$A$1:$L$1,),)</f>
        <v>16282.151</v>
      </c>
      <c r="C268" s="37">
        <f t="shared" si="13"/>
        <v>1.7488297760156208E-3</v>
      </c>
      <c r="D268" s="36">
        <f t="shared" si="14"/>
        <v>2.5926229770563171E-2</v>
      </c>
      <c r="E268" s="36">
        <f t="shared" si="12"/>
        <v>7.0136909414517667E-3</v>
      </c>
    </row>
    <row r="269" spans="1:5" x14ac:dyDescent="0.35">
      <c r="A269" s="35">
        <v>41183</v>
      </c>
      <c r="B269" s="63">
        <f>VLOOKUP(A269,Database!A:L,MATCH($A$1,Database!$A$1:$L$1,),)</f>
        <v>16300.035</v>
      </c>
      <c r="C269" s="37">
        <f t="shared" si="13"/>
        <v>1.0983806746418219E-3</v>
      </c>
      <c r="D269" s="36">
        <f t="shared" si="14"/>
        <v>1.56606434588916E-2</v>
      </c>
      <c r="E269" s="36">
        <f t="shared" si="12"/>
        <v>4.4007666411836066E-3</v>
      </c>
    </row>
    <row r="270" spans="1:5" x14ac:dyDescent="0.35">
      <c r="A270" s="35">
        <v>41275</v>
      </c>
      <c r="B270" s="63">
        <f>VLOOKUP(A270,Database!A:L,MATCH($A$1,Database!$A$1:$L$1,),)</f>
        <v>16441.485000000001</v>
      </c>
      <c r="C270" s="37">
        <f t="shared" si="13"/>
        <v>8.6778954769115967E-3</v>
      </c>
      <c r="D270" s="36">
        <f t="shared" si="14"/>
        <v>1.6163010952802863E-2</v>
      </c>
      <c r="E270" s="36">
        <f t="shared" si="12"/>
        <v>3.5166036783940813E-2</v>
      </c>
    </row>
    <row r="271" spans="1:5" x14ac:dyDescent="0.35">
      <c r="A271" s="35">
        <v>41365</v>
      </c>
      <c r="B271" s="63">
        <f>VLOOKUP(A271,Database!A:L,MATCH($A$1,Database!$A$1:$L$1,),)</f>
        <v>16464.401999999998</v>
      </c>
      <c r="C271" s="37">
        <f t="shared" si="13"/>
        <v>1.393852197657185E-3</v>
      </c>
      <c r="D271" s="36">
        <f t="shared" si="14"/>
        <v>1.2961704903847749E-2</v>
      </c>
      <c r="E271" s="36">
        <f t="shared" si="12"/>
        <v>5.5870765701340197E-3</v>
      </c>
    </row>
    <row r="272" spans="1:5" x14ac:dyDescent="0.35">
      <c r="A272" s="35">
        <v>41456</v>
      </c>
      <c r="B272" s="63">
        <f>VLOOKUP(A272,Database!A:L,MATCH($A$1,Database!$A$1:$L$1,),)</f>
        <v>16594.742999999999</v>
      </c>
      <c r="C272" s="37">
        <f t="shared" si="13"/>
        <v>7.9165341079500094E-3</v>
      </c>
      <c r="D272" s="36">
        <f t="shared" si="14"/>
        <v>1.919844620038217E-2</v>
      </c>
      <c r="E272" s="36">
        <f t="shared" si="12"/>
        <v>3.2044153997870195E-2</v>
      </c>
    </row>
    <row r="273" spans="1:5" x14ac:dyDescent="0.35">
      <c r="A273" s="35">
        <v>41548</v>
      </c>
      <c r="B273" s="63">
        <f>VLOOKUP(A273,Database!A:L,MATCH($A$1,Database!$A$1:$L$1,),)</f>
        <v>16712.759999999998</v>
      </c>
      <c r="C273" s="37">
        <f t="shared" si="13"/>
        <v>7.1117100156356649E-3</v>
      </c>
      <c r="D273" s="36">
        <f t="shared" si="14"/>
        <v>2.5320497778072167E-2</v>
      </c>
      <c r="E273" s="36">
        <f t="shared" si="12"/>
        <v>2.8751739875908289E-2</v>
      </c>
    </row>
    <row r="274" spans="1:5" x14ac:dyDescent="0.35">
      <c r="A274" s="35">
        <v>41640</v>
      </c>
      <c r="B274" s="63">
        <f>VLOOKUP(A274,Database!A:L,MATCH($A$1,Database!$A$1:$L$1,),)</f>
        <v>16654.246999999999</v>
      </c>
      <c r="C274" s="37">
        <f t="shared" si="13"/>
        <v>-3.5010973651269459E-3</v>
      </c>
      <c r="D274" s="36">
        <f t="shared" si="14"/>
        <v>1.294055859309538E-2</v>
      </c>
      <c r="E274" s="36">
        <f t="shared" si="12"/>
        <v>-1.3931014875059544E-2</v>
      </c>
    </row>
    <row r="275" spans="1:5" x14ac:dyDescent="0.35">
      <c r="A275" s="35">
        <v>41730</v>
      </c>
      <c r="B275" s="63">
        <f>VLOOKUP(A275,Database!A:L,MATCH($A$1,Database!$A$1:$L$1,),)</f>
        <v>16868.109</v>
      </c>
      <c r="C275" s="37">
        <f t="shared" si="13"/>
        <v>1.2841289071790577E-2</v>
      </c>
      <c r="D275" s="36">
        <f t="shared" si="14"/>
        <v>2.4519991676588204E-2</v>
      </c>
      <c r="E275" s="36">
        <f t="shared" si="12"/>
        <v>5.2363045756652404E-2</v>
      </c>
    </row>
    <row r="276" spans="1:5" x14ac:dyDescent="0.35">
      <c r="A276" s="35">
        <v>41821</v>
      </c>
      <c r="B276" s="63">
        <f>VLOOKUP(A276,Database!A:L,MATCH($A$1,Database!$A$1:$L$1,),)</f>
        <v>17064.616000000002</v>
      </c>
      <c r="C276" s="37">
        <f t="shared" si="13"/>
        <v>1.1649616444854691E-2</v>
      </c>
      <c r="D276" s="36">
        <f t="shared" si="14"/>
        <v>2.831456925846958E-2</v>
      </c>
      <c r="E276" s="36">
        <f t="shared" si="12"/>
        <v>4.7419089621299371E-2</v>
      </c>
    </row>
    <row r="277" spans="1:5" x14ac:dyDescent="0.35">
      <c r="A277" s="35">
        <v>41913</v>
      </c>
      <c r="B277" s="63">
        <f>VLOOKUP(A277,Database!A:L,MATCH($A$1,Database!$A$1:$L$1,),)</f>
        <v>17141.235000000001</v>
      </c>
      <c r="C277" s="37">
        <f t="shared" si="13"/>
        <v>4.4899340248851054E-3</v>
      </c>
      <c r="D277" s="36">
        <f t="shared" si="14"/>
        <v>2.5637596662669855E-2</v>
      </c>
      <c r="E277" s="36">
        <f t="shared" si="12"/>
        <v>1.808105561066875E-2</v>
      </c>
    </row>
    <row r="278" spans="1:5" x14ac:dyDescent="0.35">
      <c r="A278" s="35">
        <v>42005</v>
      </c>
      <c r="B278" s="63">
        <f>VLOOKUP(A278,Database!A:L,MATCH($A$1,Database!$A$1:$L$1,),)</f>
        <v>17280.647000000001</v>
      </c>
      <c r="C278" s="37">
        <f t="shared" si="13"/>
        <v>8.1331362646857273E-3</v>
      </c>
      <c r="D278" s="36">
        <f t="shared" si="14"/>
        <v>3.7612027730824546E-2</v>
      </c>
      <c r="E278" s="36">
        <f t="shared" si="12"/>
        <v>3.2931588827004088E-2</v>
      </c>
    </row>
    <row r="279" spans="1:5" x14ac:dyDescent="0.35">
      <c r="A279" s="35">
        <v>42095</v>
      </c>
      <c r="B279" s="63">
        <f>VLOOKUP(A279,Database!A:L,MATCH($A$1,Database!$A$1:$L$1,),)</f>
        <v>17380.875</v>
      </c>
      <c r="C279" s="37">
        <f t="shared" si="13"/>
        <v>5.800014316593537E-3</v>
      </c>
      <c r="D279" s="36">
        <f t="shared" si="14"/>
        <v>3.0398546748778989E-2</v>
      </c>
      <c r="E279" s="36">
        <f t="shared" si="12"/>
        <v>2.3402679848250285E-2</v>
      </c>
    </row>
    <row r="280" spans="1:5" x14ac:dyDescent="0.35">
      <c r="A280" s="35">
        <v>42186</v>
      </c>
      <c r="B280" s="63">
        <f>VLOOKUP(A280,Database!A:L,MATCH($A$1,Database!$A$1:$L$1,),)</f>
        <v>17437.080000000002</v>
      </c>
      <c r="C280" s="37">
        <f t="shared" si="13"/>
        <v>3.233726725495796E-3</v>
      </c>
      <c r="D280" s="36">
        <f t="shared" si="14"/>
        <v>2.1826685112633058E-2</v>
      </c>
      <c r="E280" s="36">
        <f t="shared" si="12"/>
        <v>1.2997784202716023E-2</v>
      </c>
    </row>
    <row r="281" spans="1:5" x14ac:dyDescent="0.35">
      <c r="A281" s="35">
        <v>42278</v>
      </c>
      <c r="B281" s="63">
        <f>VLOOKUP(A281,Database!A:L,MATCH($A$1,Database!$A$1:$L$1,),)</f>
        <v>17462.579000000002</v>
      </c>
      <c r="C281" s="37">
        <f t="shared" si="13"/>
        <v>1.4623434657637514E-3</v>
      </c>
      <c r="D281" s="36">
        <f t="shared" si="14"/>
        <v>1.8746840586457217E-2</v>
      </c>
      <c r="E281" s="36">
        <f t="shared" si="12"/>
        <v>5.8622170666831064E-3</v>
      </c>
    </row>
    <row r="282" spans="1:5" x14ac:dyDescent="0.35">
      <c r="A282" s="35">
        <v>42370</v>
      </c>
      <c r="B282" s="63">
        <f>VLOOKUP(A282,Database!A:L,MATCH($A$1,Database!$A$1:$L$1,),)</f>
        <v>17565.465</v>
      </c>
      <c r="C282" s="37">
        <f t="shared" si="13"/>
        <v>5.8917986856350715E-3</v>
      </c>
      <c r="D282" s="36">
        <f t="shared" si="14"/>
        <v>1.6481906030485969E-2</v>
      </c>
      <c r="E282" s="36">
        <f t="shared" si="12"/>
        <v>2.377629379297197E-2</v>
      </c>
    </row>
    <row r="283" spans="1:5" x14ac:dyDescent="0.35">
      <c r="A283" s="35">
        <v>42461</v>
      </c>
      <c r="B283" s="63">
        <f>VLOOKUP(A283,Database!A:L,MATCH($A$1,Database!$A$1:$L$1,),)</f>
        <v>17618.580999999998</v>
      </c>
      <c r="C283" s="37">
        <f t="shared" si="13"/>
        <v>3.0238880667262818E-3</v>
      </c>
      <c r="D283" s="36">
        <f t="shared" si="14"/>
        <v>1.367629650405968E-2</v>
      </c>
      <c r="E283" s="36">
        <f t="shared" si="12"/>
        <v>1.2150526345265922E-2</v>
      </c>
    </row>
    <row r="284" spans="1:5" x14ac:dyDescent="0.35">
      <c r="A284" s="35">
        <v>42552</v>
      </c>
      <c r="B284" s="63">
        <f>VLOOKUP(A284,Database!A:L,MATCH($A$1,Database!$A$1:$L$1,),)</f>
        <v>17724.489000000001</v>
      </c>
      <c r="C284" s="37">
        <f t="shared" si="13"/>
        <v>6.0111537926921072E-3</v>
      </c>
      <c r="D284" s="36">
        <f t="shared" si="14"/>
        <v>1.6482633560206159E-2</v>
      </c>
      <c r="E284" s="36">
        <f t="shared" si="12"/>
        <v>2.4262289123349712E-2</v>
      </c>
    </row>
    <row r="285" spans="1:5" x14ac:dyDescent="0.35">
      <c r="A285" s="35">
        <v>42644</v>
      </c>
      <c r="B285" s="63">
        <f>VLOOKUP(A285,Database!A:L,MATCH($A$1,Database!$A$1:$L$1,),)</f>
        <v>17812.560000000001</v>
      </c>
      <c r="C285" s="37">
        <f t="shared" si="13"/>
        <v>4.9688879606063626E-3</v>
      </c>
      <c r="D285" s="36">
        <f t="shared" si="14"/>
        <v>2.0041770462427097E-2</v>
      </c>
      <c r="E285" s="36">
        <f t="shared" si="12"/>
        <v>2.0024182261750179E-2</v>
      </c>
    </row>
    <row r="286" spans="1:5" x14ac:dyDescent="0.35">
      <c r="A286" s="35">
        <v>42736</v>
      </c>
      <c r="B286" s="63">
        <f>VLOOKUP(A286,Database!A:L,MATCH($A$1,Database!$A$1:$L$1,),)</f>
        <v>17889.094000000001</v>
      </c>
      <c r="C286" s="37">
        <f t="shared" si="13"/>
        <v>4.2966311411722765E-3</v>
      </c>
      <c r="D286" s="36">
        <f t="shared" si="14"/>
        <v>1.8424163550466829E-2</v>
      </c>
      <c r="E286" s="36">
        <f t="shared" si="12"/>
        <v>1.7297608421582122E-2</v>
      </c>
    </row>
    <row r="287" spans="1:5" x14ac:dyDescent="0.35">
      <c r="A287" s="35">
        <v>42826</v>
      </c>
      <c r="B287" s="63">
        <f>VLOOKUP(A287,Database!A:L,MATCH($A$1,Database!$A$1:$L$1,),)</f>
        <v>17979.218000000001</v>
      </c>
      <c r="C287" s="37">
        <f t="shared" si="13"/>
        <v>5.0379298135500763E-3</v>
      </c>
      <c r="D287" s="36">
        <f t="shared" si="14"/>
        <v>2.0469128586462354E-2</v>
      </c>
      <c r="E287" s="36">
        <f t="shared" si="12"/>
        <v>2.0304515784702382E-2</v>
      </c>
    </row>
    <row r="288" spans="1:5" x14ac:dyDescent="0.35">
      <c r="A288" s="35">
        <v>42917</v>
      </c>
      <c r="B288" s="63">
        <f>VLOOKUP(A288,Database!A:L,MATCH($A$1,Database!$A$1:$L$1,),)</f>
        <v>18127.993999999999</v>
      </c>
      <c r="C288" s="37">
        <f t="shared" si="13"/>
        <v>8.2748871502641552E-3</v>
      </c>
      <c r="D288" s="36">
        <f t="shared" si="14"/>
        <v>2.2765395380368786E-2</v>
      </c>
      <c r="E288" s="36">
        <f t="shared" si="12"/>
        <v>3.351266228426919E-2</v>
      </c>
    </row>
    <row r="289" spans="1:5" x14ac:dyDescent="0.35">
      <c r="A289" s="35">
        <v>43009</v>
      </c>
      <c r="B289" s="63">
        <f>VLOOKUP(A289,Database!A:L,MATCH($A$1,Database!$A$1:$L$1,),)</f>
        <v>18310.3</v>
      </c>
      <c r="C289" s="37">
        <f t="shared" si="13"/>
        <v>1.0056600857215669E-2</v>
      </c>
      <c r="D289" s="36">
        <f t="shared" si="14"/>
        <v>2.7943204121136878E-2</v>
      </c>
      <c r="E289" s="36">
        <f t="shared" si="12"/>
        <v>4.0837293288196186E-2</v>
      </c>
    </row>
    <row r="290" spans="1:5" x14ac:dyDescent="0.35">
      <c r="A290" s="35">
        <v>43101</v>
      </c>
      <c r="B290" s="63">
        <f>VLOOKUP(A290,Database!A:L,MATCH($A$1,Database!$A$1:$L$1,),)</f>
        <v>18437.127</v>
      </c>
      <c r="C290" s="37">
        <f t="shared" si="13"/>
        <v>6.9265386148780273E-3</v>
      </c>
      <c r="D290" s="36">
        <f t="shared" si="14"/>
        <v>3.0635033836816969E-2</v>
      </c>
      <c r="E290" s="36">
        <f t="shared" si="12"/>
        <v>2.7995347640831225E-2</v>
      </c>
    </row>
    <row r="291" spans="1:5" x14ac:dyDescent="0.35">
      <c r="A291" s="35">
        <v>43191</v>
      </c>
      <c r="B291" s="63">
        <f>VLOOKUP(A291,Database!A:L,MATCH($A$1,Database!$A$1:$L$1,),)</f>
        <v>18565.697</v>
      </c>
      <c r="C291" s="37">
        <f t="shared" si="13"/>
        <v>6.9734292116119664E-3</v>
      </c>
      <c r="D291" s="36">
        <f t="shared" si="14"/>
        <v>3.2619828070386561E-2</v>
      </c>
      <c r="E291" s="36">
        <f t="shared" si="12"/>
        <v>2.8186847936622073E-2</v>
      </c>
    </row>
    <row r="292" spans="1:5" x14ac:dyDescent="0.35">
      <c r="A292" s="35">
        <v>43282</v>
      </c>
      <c r="B292" s="63">
        <f>VLOOKUP(A292,Database!A:L,MATCH($A$1,Database!$A$1:$L$1,),)</f>
        <v>18699.748</v>
      </c>
      <c r="C292" s="37">
        <f t="shared" si="13"/>
        <v>7.2203591386846115E-3</v>
      </c>
      <c r="D292" s="36">
        <f t="shared" si="14"/>
        <v>3.1539838329602318E-2</v>
      </c>
      <c r="E292" s="36">
        <f t="shared" si="12"/>
        <v>2.9195746482057805E-2</v>
      </c>
    </row>
    <row r="293" spans="1:5" x14ac:dyDescent="0.35">
      <c r="A293" s="35">
        <v>43374</v>
      </c>
      <c r="B293" s="63">
        <f>VLOOKUP(A293,Database!A:L,MATCH($A$1,Database!$A$1:$L$1,),)</f>
        <v>18733.741000000002</v>
      </c>
      <c r="C293" s="37">
        <f t="shared" si="13"/>
        <v>1.8178319836182934E-3</v>
      </c>
      <c r="D293" s="36">
        <f t="shared" si="14"/>
        <v>2.3125836277942062E-2</v>
      </c>
      <c r="E293" s="36">
        <f t="shared" si="12"/>
        <v>7.2911790523160214E-3</v>
      </c>
    </row>
    <row r="294" spans="1:5" x14ac:dyDescent="0.35">
      <c r="A294" s="35">
        <v>43466</v>
      </c>
      <c r="B294" s="63">
        <f>VLOOKUP(A294,Database!A:L,MATCH($A$1,Database!$A$1:$L$1,),)</f>
        <v>18835.411</v>
      </c>
      <c r="C294" s="37">
        <f t="shared" si="13"/>
        <v>5.4271060969615327E-3</v>
      </c>
      <c r="D294" s="36">
        <f t="shared" si="14"/>
        <v>2.1602281092927313E-2</v>
      </c>
      <c r="E294" s="36">
        <f t="shared" si="12"/>
        <v>2.1885785527535617E-2</v>
      </c>
    </row>
    <row r="295" spans="1:5" x14ac:dyDescent="0.35">
      <c r="A295" s="35">
        <v>43556</v>
      </c>
      <c r="B295" s="63">
        <f>VLOOKUP(A295,Database!A:L,MATCH($A$1,Database!$A$1:$L$1,),)</f>
        <v>18962.174999999999</v>
      </c>
      <c r="C295" s="37">
        <f t="shared" si="13"/>
        <v>6.7300894044732664E-3</v>
      </c>
      <c r="D295" s="36">
        <f t="shared" si="14"/>
        <v>2.1355406155772076E-2</v>
      </c>
      <c r="E295" s="36">
        <f t="shared" si="12"/>
        <v>2.7193343623263422E-2</v>
      </c>
    </row>
    <row r="296" spans="1:5" x14ac:dyDescent="0.35">
      <c r="A296" s="35">
        <v>43647</v>
      </c>
      <c r="B296" s="63">
        <f>VLOOKUP(A296,Database!A:L,MATCH($A$1,Database!$A$1:$L$1,),)</f>
        <v>19130.932000000001</v>
      </c>
      <c r="C296" s="37">
        <f t="shared" si="13"/>
        <v>8.8996647272795142E-3</v>
      </c>
      <c r="D296" s="36">
        <f t="shared" si="14"/>
        <v>2.3058278646321925E-2</v>
      </c>
      <c r="E296" s="36">
        <f t="shared" si="12"/>
        <v>3.607670893327275E-2</v>
      </c>
    </row>
    <row r="297" spans="1:5" x14ac:dyDescent="0.35">
      <c r="A297" s="35">
        <v>43739</v>
      </c>
      <c r="B297" s="63">
        <f>VLOOKUP(A297,Database!A:L,MATCH($A$1,Database!$A$1:$L$1,),)</f>
        <v>19215.690999999999</v>
      </c>
      <c r="C297" s="37">
        <f t="shared" si="13"/>
        <v>4.4304689389935729E-3</v>
      </c>
      <c r="D297" s="36">
        <f t="shared" si="14"/>
        <v>2.5726308482646208E-2</v>
      </c>
      <c r="E297" s="36">
        <f t="shared" si="12"/>
        <v>1.7839998335064777E-2</v>
      </c>
    </row>
    <row r="298" spans="1:5" x14ac:dyDescent="0.35">
      <c r="A298" s="35">
        <v>43831</v>
      </c>
      <c r="B298" s="63">
        <f>VLOOKUP(A298,Database!A:L,MATCH($A$1,Database!$A$1:$L$1,),)</f>
        <v>18989.877</v>
      </c>
      <c r="C298" s="37">
        <f t="shared" si="13"/>
        <v>-1.1751542008039082E-2</v>
      </c>
      <c r="D298" s="36">
        <f t="shared" si="14"/>
        <v>8.2008298093415831E-3</v>
      </c>
      <c r="E298" s="36">
        <f t="shared" si="12"/>
        <v>-4.6184048016051249E-2</v>
      </c>
    </row>
    <row r="299" spans="1:5" x14ac:dyDescent="0.35">
      <c r="A299" s="35">
        <v>43922</v>
      </c>
      <c r="B299" s="63">
        <f>VLOOKUP(A299,Database!A:L,MATCH($A$1,Database!$A$1:$L$1,),)</f>
        <v>17378.712</v>
      </c>
      <c r="C299" s="37">
        <f t="shared" si="13"/>
        <v>-8.4843361544679877E-2</v>
      </c>
      <c r="D299" s="36">
        <f t="shared" si="14"/>
        <v>-8.3506401559947624E-2</v>
      </c>
      <c r="E299" s="36">
        <f t="shared" si="12"/>
        <v>-0.29857419774143357</v>
      </c>
    </row>
    <row r="300" spans="1:5" x14ac:dyDescent="0.35">
      <c r="A300" s="35">
        <v>44013</v>
      </c>
      <c r="B300" s="63">
        <f>VLOOKUP(A300,Database!A:L,MATCH($A$1,Database!$A$1:$L$1,),)</f>
        <v>18743.72</v>
      </c>
      <c r="C300" s="37">
        <f t="shared" si="13"/>
        <v>7.854483117045738E-2</v>
      </c>
      <c r="D300" s="36">
        <f t="shared" si="14"/>
        <v>-2.0240101214096601E-2</v>
      </c>
      <c r="E300" s="36">
        <f t="shared" si="12"/>
        <v>0.35317139137290665</v>
      </c>
    </row>
    <row r="301" spans="1:5" x14ac:dyDescent="0.35">
      <c r="A301" s="35">
        <v>44105</v>
      </c>
      <c r="B301" s="63">
        <f>VLOOKUP(A301,Database!A:L,MATCH($A$1,Database!$A$1:$L$1,),)</f>
        <v>18924.261999999999</v>
      </c>
      <c r="C301" s="37">
        <f t="shared" si="13"/>
        <v>9.6321327890086725E-3</v>
      </c>
      <c r="D301" s="36">
        <f t="shared" si="14"/>
        <v>-1.5166199331577517E-2</v>
      </c>
      <c r="E301" s="36">
        <f t="shared" si="12"/>
        <v>3.9088782255552346E-2</v>
      </c>
    </row>
    <row r="302" spans="1:5" x14ac:dyDescent="0.35">
      <c r="A302" s="35">
        <v>44197</v>
      </c>
      <c r="B302" s="63">
        <f>VLOOKUP(A302,Database!A:L,MATCH($A$1,Database!$A$1:$L$1,),)</f>
        <v>19216.223999999998</v>
      </c>
      <c r="C302" s="37">
        <f t="shared" si="13"/>
        <v>1.5427919989693629E-2</v>
      </c>
      <c r="D302" s="36">
        <f t="shared" si="14"/>
        <v>1.1919350504481832E-2</v>
      </c>
      <c r="E302" s="36">
        <f t="shared" si="12"/>
        <v>6.3154549562086215E-2</v>
      </c>
    </row>
    <row r="303" spans="1:5" x14ac:dyDescent="0.35">
      <c r="A303" s="35">
        <v>44287</v>
      </c>
      <c r="B303" s="63">
        <f>VLOOKUP(A303,Database!A:L,MATCH($A$1,Database!$A$1:$L$1,),)</f>
        <v>19544.248</v>
      </c>
      <c r="C303" s="37">
        <f t="shared" si="13"/>
        <v>1.7070159048937047E-2</v>
      </c>
      <c r="D303" s="36">
        <f t="shared" si="14"/>
        <v>0.12460854406241384</v>
      </c>
      <c r="E303" s="36">
        <f t="shared" si="12"/>
        <v>7.0048959400919264E-2</v>
      </c>
    </row>
    <row r="304" spans="1:5" x14ac:dyDescent="0.35">
      <c r="A304" s="53">
        <v>44378</v>
      </c>
      <c r="B304" s="64">
        <f>VLOOKUP(A304,Database!A:L,MATCH($A$1,Database!$A$1:$L$1,),)</f>
        <v>19672.594000000001</v>
      </c>
      <c r="C304" s="54">
        <f t="shared" si="13"/>
        <v>6.5669449139205242E-3</v>
      </c>
      <c r="D304" s="55">
        <f t="shared" si="14"/>
        <v>4.9556544805406812E-2</v>
      </c>
      <c r="E304" s="55">
        <f t="shared" si="12"/>
        <v>2.6527662900279969E-2</v>
      </c>
    </row>
    <row r="305" spans="1:5" x14ac:dyDescent="0.35">
      <c r="A305" s="35">
        <v>44470</v>
      </c>
      <c r="B305" s="63">
        <f>VLOOKUP(A305,Database!A:L,MATCH($A$1,Database!$A$1:$L$1,),)</f>
        <v>20006.181</v>
      </c>
      <c r="C305" s="37">
        <f t="shared" si="13"/>
        <v>1.6956940198125346E-2</v>
      </c>
      <c r="D305" s="36">
        <f t="shared" si="14"/>
        <v>5.7171000908780578E-2</v>
      </c>
      <c r="E305" s="36">
        <f t="shared" si="12"/>
        <v>6.9572573442330254E-2</v>
      </c>
    </row>
    <row r="306" spans="1:5" x14ac:dyDescent="0.35">
      <c r="A306" s="35">
        <v>44562</v>
      </c>
      <c r="B306" s="63">
        <f>VLOOKUP(A306,Database!A:L,MATCH($A$1,Database!$A$1:$L$1,),)</f>
        <v>19924.088</v>
      </c>
      <c r="C306" s="37">
        <f t="shared" si="13"/>
        <v>-4.1033818498393453E-3</v>
      </c>
      <c r="D306" s="36">
        <f t="shared" si="14"/>
        <v>3.683678957947209E-2</v>
      </c>
      <c r="E306" s="36">
        <f t="shared" si="12"/>
        <v>-1.6312777026963876E-2</v>
      </c>
    </row>
    <row r="307" spans="1:5" x14ac:dyDescent="0.35">
      <c r="A307" s="35">
        <v>44652</v>
      </c>
      <c r="B307" s="63">
        <f>VLOOKUP(A307,Database!A:L,MATCH($A$1,Database!$A$1:$L$1,),)</f>
        <v>19895.271000000001</v>
      </c>
      <c r="C307" s="37">
        <f t="shared" si="13"/>
        <v>-1.4463397270680143E-3</v>
      </c>
      <c r="D307" s="36">
        <f t="shared" si="14"/>
        <v>1.7960424980280696E-2</v>
      </c>
      <c r="E307" s="36">
        <f t="shared" si="12"/>
        <v>-5.7728196146434874E-3</v>
      </c>
    </row>
    <row r="308" spans="1:5" x14ac:dyDescent="0.35">
      <c r="A308" s="35">
        <v>44743</v>
      </c>
      <c r="B308" s="63">
        <f>VLOOKUP(A308,Database!A:L,MATCH($A$1,Database!$A$1:$L$1,),)</f>
        <v>20054.663</v>
      </c>
      <c r="C308" s="37">
        <f t="shared" si="13"/>
        <v>8.0115520919518922E-3</v>
      </c>
      <c r="D308" s="36">
        <f t="shared" si="14"/>
        <v>1.9421383880539572E-2</v>
      </c>
      <c r="E308" s="36">
        <f t="shared" si="12"/>
        <v>3.2433379173874011E-2</v>
      </c>
    </row>
    <row r="309" spans="1:5" x14ac:dyDescent="0.35">
      <c r="A309" s="35">
        <v>44835</v>
      </c>
      <c r="B309" s="63">
        <f>VLOOKUP(A309,Database!A:L,MATCH($A$1,Database!$A$1:$L$1,),)</f>
        <v>20198.091</v>
      </c>
      <c r="C309" s="37">
        <f t="shared" si="13"/>
        <v>7.1518529132102533E-3</v>
      </c>
      <c r="D309" s="36">
        <f t="shared" si="14"/>
        <v>9.5925354269263009E-3</v>
      </c>
      <c r="E309" s="36">
        <f t="shared" si="12"/>
        <v>2.8915771510115595E-2</v>
      </c>
    </row>
  </sheetData>
  <conditionalFormatting sqref="C258:C3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8"/>
  <sheetViews>
    <sheetView zoomScale="140" zoomScaleNormal="140" workbookViewId="0">
      <pane ySplit="3" topLeftCell="A25" activePane="bottomLeft" state="frozen"/>
      <selection activeCell="G310" sqref="G310"/>
      <selection pane="bottomLeft" activeCell="G310" sqref="G310"/>
    </sheetView>
  </sheetViews>
  <sheetFormatPr defaultColWidth="8.81640625" defaultRowHeight="14.5" x14ac:dyDescent="0.35"/>
  <cols>
    <col min="1" max="2" width="1" style="76" customWidth="1"/>
    <col min="3" max="3" width="6.36328125" customWidth="1"/>
    <col min="4" max="4" width="7.6328125" customWidth="1"/>
    <col min="5" max="6" width="5.6328125" customWidth="1"/>
    <col min="7" max="7" width="3.36328125" style="76" customWidth="1"/>
    <col min="8" max="8" width="6.453125" customWidth="1"/>
    <col min="9" max="9" width="7.6328125" customWidth="1"/>
    <col min="10" max="11" width="5.6328125" customWidth="1"/>
    <col min="12" max="12" width="3.36328125" style="76" customWidth="1"/>
    <col min="13" max="13" width="6.36328125" customWidth="1"/>
    <col min="14" max="14" width="9.1796875" customWidth="1"/>
    <col min="15" max="16" width="5.6328125" customWidth="1"/>
    <col min="17" max="17" width="3.453125" style="76" customWidth="1"/>
    <col min="18" max="18" width="5.6328125" customWidth="1"/>
    <col min="19" max="19" width="7.6328125" customWidth="1"/>
    <col min="20" max="21" width="5.6328125" customWidth="1"/>
    <col min="22" max="22" width="3.453125" style="76" customWidth="1"/>
    <col min="23" max="23" width="6.453125" customWidth="1"/>
    <col min="24" max="24" width="7.6328125" customWidth="1"/>
    <col min="25" max="26" width="5.6328125" customWidth="1"/>
    <col min="27" max="27" width="2.453125" style="76" customWidth="1"/>
    <col min="28" max="28" width="6" customWidth="1"/>
    <col min="29" max="29" width="7.6328125" customWidth="1"/>
    <col min="30" max="31" width="5.6328125" customWidth="1"/>
    <col min="32" max="32" width="2.6328125" style="76" customWidth="1"/>
    <col min="33" max="33" width="6" customWidth="1"/>
    <col min="34" max="34" width="7.6328125" customWidth="1"/>
    <col min="35" max="36" width="5.6328125" customWidth="1"/>
    <col min="37" max="37" width="3.36328125" style="76" customWidth="1"/>
    <col min="38" max="38" width="6" customWidth="1"/>
    <col min="39" max="39" width="7.6328125" customWidth="1"/>
    <col min="40" max="41" width="5.6328125" customWidth="1"/>
    <col min="42" max="154" width="9.1796875" style="76" customWidth="1"/>
  </cols>
  <sheetData>
    <row r="1" spans="1:154" s="76" customFormat="1" ht="16" customHeight="1" thickBot="1" x14ac:dyDescent="0.4">
      <c r="F1" s="27"/>
      <c r="K1" s="27" t="s">
        <v>25</v>
      </c>
    </row>
    <row r="2" spans="1:154" s="76" customFormat="1" ht="16" customHeight="1" thickBot="1" x14ac:dyDescent="0.4">
      <c r="C2" s="92" t="s">
        <v>36</v>
      </c>
      <c r="D2" s="86"/>
      <c r="E2" s="86"/>
      <c r="F2" s="87"/>
      <c r="H2" s="92" t="s">
        <v>37</v>
      </c>
      <c r="I2" s="86"/>
      <c r="J2" s="86"/>
      <c r="K2" s="87"/>
      <c r="M2" s="91" t="s">
        <v>38</v>
      </c>
      <c r="N2" s="86"/>
      <c r="O2" s="86"/>
      <c r="P2" s="87"/>
      <c r="R2" s="91" t="s">
        <v>39</v>
      </c>
      <c r="S2" s="86"/>
      <c r="T2" s="86"/>
      <c r="U2" s="87"/>
      <c r="W2" s="91" t="s">
        <v>40</v>
      </c>
      <c r="X2" s="86"/>
      <c r="Y2" s="86"/>
      <c r="Z2" s="87"/>
      <c r="AB2" s="91" t="s">
        <v>41</v>
      </c>
      <c r="AC2" s="86"/>
      <c r="AD2" s="86"/>
      <c r="AE2" s="87"/>
      <c r="AG2" s="91" t="s">
        <v>42</v>
      </c>
      <c r="AH2" s="86"/>
      <c r="AI2" s="86"/>
      <c r="AJ2" s="87"/>
      <c r="AL2" s="92" t="s">
        <v>43</v>
      </c>
      <c r="AM2" s="86"/>
      <c r="AN2" s="86"/>
      <c r="AO2" s="87"/>
    </row>
    <row r="3" spans="1:154" s="4" customFormat="1" ht="13" customHeight="1" x14ac:dyDescent="0.3">
      <c r="A3" s="7"/>
      <c r="B3" s="7"/>
      <c r="C3" s="65" t="s">
        <v>31</v>
      </c>
      <c r="D3" s="28" t="s">
        <v>44</v>
      </c>
      <c r="E3" s="29" t="s">
        <v>45</v>
      </c>
      <c r="F3" s="29" t="s">
        <v>46</v>
      </c>
      <c r="G3" s="7"/>
      <c r="H3" s="66" t="s">
        <v>31</v>
      </c>
      <c r="I3" s="2" t="s">
        <v>44</v>
      </c>
      <c r="J3" s="3" t="s">
        <v>45</v>
      </c>
      <c r="K3" s="3" t="s">
        <v>46</v>
      </c>
      <c r="L3" s="7"/>
      <c r="M3" s="66" t="s">
        <v>31</v>
      </c>
      <c r="N3" s="2" t="s">
        <v>44</v>
      </c>
      <c r="O3" s="3" t="s">
        <v>45</v>
      </c>
      <c r="P3" s="3" t="s">
        <v>46</v>
      </c>
      <c r="Q3" s="7"/>
      <c r="R3" s="66" t="s">
        <v>31</v>
      </c>
      <c r="S3" s="2" t="s">
        <v>44</v>
      </c>
      <c r="T3" s="3" t="s">
        <v>45</v>
      </c>
      <c r="U3" s="3" t="s">
        <v>46</v>
      </c>
      <c r="V3" s="7"/>
      <c r="W3" s="66" t="s">
        <v>31</v>
      </c>
      <c r="X3" s="2" t="s">
        <v>44</v>
      </c>
      <c r="Y3" s="3" t="s">
        <v>45</v>
      </c>
      <c r="Z3" s="3" t="s">
        <v>46</v>
      </c>
      <c r="AA3" s="7"/>
      <c r="AB3" s="66" t="s">
        <v>31</v>
      </c>
      <c r="AC3" s="2" t="s">
        <v>44</v>
      </c>
      <c r="AD3" s="3" t="s">
        <v>45</v>
      </c>
      <c r="AE3" s="3" t="s">
        <v>46</v>
      </c>
      <c r="AF3" s="7"/>
      <c r="AG3" s="66" t="s">
        <v>31</v>
      </c>
      <c r="AH3" s="2" t="s">
        <v>44</v>
      </c>
      <c r="AI3" s="3" t="s">
        <v>45</v>
      </c>
      <c r="AJ3" s="3" t="s">
        <v>46</v>
      </c>
      <c r="AK3" s="7"/>
      <c r="AL3" s="66" t="s">
        <v>31</v>
      </c>
      <c r="AM3" s="2" t="s">
        <v>44</v>
      </c>
      <c r="AN3" s="3" t="s">
        <v>45</v>
      </c>
      <c r="AO3" s="3" t="s">
        <v>46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35">
      <c r="C4" s="67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67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67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67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67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67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67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67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35">
      <c r="C5" s="67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67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67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67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67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67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67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67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35">
      <c r="C6" s="67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67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67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67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67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67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67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67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35">
      <c r="C7" s="67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67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67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67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67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67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67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67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35">
      <c r="C8" s="67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67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67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67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67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67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67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67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35">
      <c r="C9" s="67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67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67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67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67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67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67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67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35">
      <c r="C10" s="67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67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67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67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67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67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67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67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35">
      <c r="C11" s="67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67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67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67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67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67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67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67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35">
      <c r="C12" s="67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67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67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67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67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67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67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67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35">
      <c r="C13" s="67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67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67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67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67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67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67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67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35">
      <c r="C14" s="67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67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67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67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67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67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67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67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35">
      <c r="C15" s="67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67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67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67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67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67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67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67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35">
      <c r="C16" s="67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67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67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67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67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67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67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67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35">
      <c r="C17" s="67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67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67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67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67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67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67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67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35">
      <c r="C18" s="67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67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67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67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67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67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67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67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35">
      <c r="C19" s="67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67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67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67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67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67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67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67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35">
      <c r="C20" s="67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67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67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67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-1.1710013375725303E-2</v>
      </c>
      <c r="W20" s="67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67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67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67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35">
      <c r="C21" s="67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67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67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67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67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67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67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67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35">
      <c r="C22" s="67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67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67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67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67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67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67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67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35">
      <c r="C23" s="67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67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67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67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67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67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67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67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35">
      <c r="C24" s="67">
        <f>'U.S. GDP'!A286</f>
        <v>42736</v>
      </c>
      <c r="D24" s="5">
        <f>'U.S. GDP'!B286</f>
        <v>17889.094000000001</v>
      </c>
      <c r="E24" s="6">
        <f>'U.S. GDP'!C286</f>
        <v>4.2966311411722765E-3</v>
      </c>
      <c r="F24" s="6">
        <f>'U.S. GDP'!E286</f>
        <v>1.7297608421582122E-2</v>
      </c>
      <c r="H24" s="67">
        <f>PersonalConsumption!A286</f>
        <v>42736</v>
      </c>
      <c r="I24" s="5">
        <f>PersonalConsumption!B286</f>
        <v>12369.906999999999</v>
      </c>
      <c r="J24" s="6">
        <f>PersonalConsumption!C286</f>
        <v>7.0691575953775862E-3</v>
      </c>
      <c r="K24" s="6">
        <f>PersonalConsumption!E286</f>
        <v>2.8577883881202082E-2</v>
      </c>
      <c r="M24" s="67">
        <f>PrivateInvestment!A286</f>
        <v>42736</v>
      </c>
      <c r="N24" s="5">
        <f>PrivateInvestment!B286</f>
        <v>3131.9169999999999</v>
      </c>
      <c r="O24" s="6">
        <f>PrivateInvestment!C286</f>
        <v>-4.9749394454653697E-3</v>
      </c>
      <c r="P24" s="6">
        <f>PrivateInvestment!E286</f>
        <v>-1.9751749553834075E-2</v>
      </c>
      <c r="R24" s="67">
        <f>Exports!A286</f>
        <v>42736</v>
      </c>
      <c r="S24" s="5">
        <f>Exports!B286</f>
        <v>2460.7539999999999</v>
      </c>
      <c r="T24" s="6">
        <f>Exports!C286</f>
        <v>2.5933146331619982E-2</v>
      </c>
      <c r="U24" s="6">
        <f>Exports!E286</f>
        <v>0.10783796916874344</v>
      </c>
      <c r="W24" s="67">
        <f>Imports!A286</f>
        <v>42736</v>
      </c>
      <c r="X24" s="5">
        <f>Imports!B286</f>
        <v>3241.8359999999998</v>
      </c>
      <c r="Y24" s="6">
        <f>Imports!C286</f>
        <v>1.544576784833312E-2</v>
      </c>
      <c r="Z24" s="6">
        <f>Imports!E286</f>
        <v>6.3229298471475515E-2</v>
      </c>
      <c r="AB24" s="67">
        <f>Government!A286</f>
        <v>42736</v>
      </c>
      <c r="AC24" s="5">
        <f>Government!B286</f>
        <v>3152.232</v>
      </c>
      <c r="AD24" s="6">
        <f>Government!C286</f>
        <v>-2.6068899224198014E-3</v>
      </c>
      <c r="AE24" s="6">
        <f>Government!E286</f>
        <v>-1.0386855257482397E-2</v>
      </c>
      <c r="AG24" s="67">
        <f>GDPPriceIndex!A286</f>
        <v>42736</v>
      </c>
      <c r="AH24" s="5">
        <f>GDPPriceIndex!B286</f>
        <v>107.02200000000001</v>
      </c>
      <c r="AI24" s="6">
        <f>GDPPriceIndex!C286</f>
        <v>5.18455903071294E-3</v>
      </c>
      <c r="AJ24" s="6">
        <f>GDPPriceIndex!D286</f>
        <v>2.0491451565226519E-2</v>
      </c>
      <c r="AL24" s="67">
        <f>CorePCE!A286</f>
        <v>42736</v>
      </c>
      <c r="AM24" s="5">
        <f>CorePCE!B286</f>
        <v>107.328</v>
      </c>
      <c r="AN24" s="6">
        <f>CorePCE!C286</f>
        <v>4.7744762118744509E-3</v>
      </c>
      <c r="AO24" s="6">
        <f>CorePCE!D286</f>
        <v>1.8630475015422657E-2</v>
      </c>
    </row>
    <row r="25" spans="3:41" x14ac:dyDescent="0.35">
      <c r="C25" s="67">
        <f>'U.S. GDP'!A287</f>
        <v>42826</v>
      </c>
      <c r="D25" s="5">
        <f>'U.S. GDP'!B287</f>
        <v>17979.218000000001</v>
      </c>
      <c r="E25" s="6">
        <f>'U.S. GDP'!C287</f>
        <v>5.0379298135500763E-3</v>
      </c>
      <c r="F25" s="6">
        <f>'U.S. GDP'!E287</f>
        <v>2.0304515784702382E-2</v>
      </c>
      <c r="H25" s="67">
        <f>PersonalConsumption!A287</f>
        <v>42826</v>
      </c>
      <c r="I25" s="5">
        <f>PersonalConsumption!B287</f>
        <v>12419.406999999999</v>
      </c>
      <c r="J25" s="6">
        <f>PersonalConsumption!C287</f>
        <v>4.0016469000130721E-3</v>
      </c>
      <c r="K25" s="6">
        <f>PersonalConsumption!E287</f>
        <v>1.6102923240283173E-2</v>
      </c>
      <c r="M25" s="67">
        <f>PrivateInvestment!A287</f>
        <v>42826</v>
      </c>
      <c r="N25" s="5">
        <f>PrivateInvestment!B287</f>
        <v>3187.7809999999999</v>
      </c>
      <c r="O25" s="6">
        <f>PrivateInvestment!C287</f>
        <v>1.7836998873214084E-2</v>
      </c>
      <c r="P25" s="6">
        <f>PrivateInvestment!E287</f>
        <v>7.3279747863803202E-2</v>
      </c>
      <c r="R25" s="67">
        <f>Exports!A287</f>
        <v>42826</v>
      </c>
      <c r="S25" s="5">
        <f>Exports!B287</f>
        <v>2468.9459999999999</v>
      </c>
      <c r="T25" s="6">
        <f>Exports!C287</f>
        <v>3.3290609301051661E-3</v>
      </c>
      <c r="U25" s="6">
        <f>Exports!E287</f>
        <v>1.3382887302527902E-2</v>
      </c>
      <c r="W25" s="67">
        <f>Imports!A287</f>
        <v>42826</v>
      </c>
      <c r="X25" s="5">
        <f>Imports!B287</f>
        <v>3273.4029999999998</v>
      </c>
      <c r="Y25" s="6">
        <f>Imports!C287</f>
        <v>9.7373833839836475E-3</v>
      </c>
      <c r="Z25" s="6">
        <f>Imports!E287</f>
        <v>3.9522135400839709E-2</v>
      </c>
      <c r="AB25" s="67">
        <f>Government!A287</f>
        <v>42826</v>
      </c>
      <c r="AC25" s="5">
        <f>Government!B287</f>
        <v>3157.8739999999998</v>
      </c>
      <c r="AD25" s="6">
        <f>Government!C287</f>
        <v>1.7898428795849498E-3</v>
      </c>
      <c r="AE25" s="6">
        <f>Government!E287</f>
        <v>7.1786156891200381E-3</v>
      </c>
      <c r="AG25" s="67">
        <f>GDPPriceIndex!A287</f>
        <v>42826</v>
      </c>
      <c r="AH25" s="5">
        <f>GDPPriceIndex!B287</f>
        <v>107.363</v>
      </c>
      <c r="AI25" s="6">
        <f>GDPPriceIndex!C287</f>
        <v>3.1862607688138323E-3</v>
      </c>
      <c r="AJ25" s="6">
        <f>GDPPriceIndex!D287</f>
        <v>1.6926195347427505E-2</v>
      </c>
      <c r="AL25" s="67">
        <f>CorePCE!A287</f>
        <v>42826</v>
      </c>
      <c r="AM25" s="5">
        <f>CorePCE!B287</f>
        <v>107.738</v>
      </c>
      <c r="AN25" s="6">
        <f>CorePCE!C287</f>
        <v>3.8200655933213752E-3</v>
      </c>
      <c r="AO25" s="6">
        <f>CorePCE!D287</f>
        <v>1.7000670209652926E-2</v>
      </c>
    </row>
    <row r="26" spans="3:41" x14ac:dyDescent="0.35">
      <c r="C26" s="67">
        <f>'U.S. GDP'!A288</f>
        <v>42917</v>
      </c>
      <c r="D26" s="5">
        <f>'U.S. GDP'!B288</f>
        <v>18127.993999999999</v>
      </c>
      <c r="E26" s="6">
        <f>'U.S. GDP'!C288</f>
        <v>8.2748871502641552E-3</v>
      </c>
      <c r="F26" s="6">
        <f>'U.S. GDP'!E288</f>
        <v>3.351266228426919E-2</v>
      </c>
      <c r="H26" s="67">
        <f>PersonalConsumption!A288</f>
        <v>42917</v>
      </c>
      <c r="I26" s="5">
        <f>PersonalConsumption!B288</f>
        <v>12493.466</v>
      </c>
      <c r="J26" s="6">
        <f>PersonalConsumption!C288</f>
        <v>5.963167162490215E-3</v>
      </c>
      <c r="K26" s="6">
        <f>PersonalConsumption!E288</f>
        <v>2.4066874275769701E-2</v>
      </c>
      <c r="M26" s="67">
        <f>PrivateInvestment!A288</f>
        <v>42917</v>
      </c>
      <c r="N26" s="5">
        <f>PrivateInvestment!B288</f>
        <v>3250.8249999999998</v>
      </c>
      <c r="O26" s="6">
        <f>PrivateInvestment!C288</f>
        <v>1.97767663462452E-2</v>
      </c>
      <c r="P26" s="6">
        <f>PrivateInvestment!E288</f>
        <v>8.1484881676847198E-2</v>
      </c>
      <c r="R26" s="67">
        <f>Exports!A288</f>
        <v>42917</v>
      </c>
      <c r="S26" s="5">
        <f>Exports!B288</f>
        <v>2483.4670000000001</v>
      </c>
      <c r="T26" s="6">
        <f>Exports!C288</f>
        <v>5.881457107607937E-3</v>
      </c>
      <c r="U26" s="6">
        <f>Exports!E288</f>
        <v>2.3734192647839603E-2</v>
      </c>
      <c r="W26" s="67">
        <f>Imports!A288</f>
        <v>42917</v>
      </c>
      <c r="X26" s="5">
        <f>Imports!B288</f>
        <v>3270.7570000000001</v>
      </c>
      <c r="Y26" s="6">
        <f>Imports!C288</f>
        <v>-8.0833310166812059E-4</v>
      </c>
      <c r="Z26" s="6">
        <f>Imports!E288</f>
        <v>-3.2294141044932889E-3</v>
      </c>
      <c r="AB26" s="67">
        <f>Government!A288</f>
        <v>42917</v>
      </c>
      <c r="AC26" s="5">
        <f>Government!B288</f>
        <v>3157.0859999999998</v>
      </c>
      <c r="AD26" s="6">
        <f>Government!C288</f>
        <v>-2.4953497194631926E-4</v>
      </c>
      <c r="AE26" s="6">
        <f>Government!E288</f>
        <v>-9.9776634372006345E-4</v>
      </c>
      <c r="AG26" s="67">
        <f>GDPPriceIndex!A288</f>
        <v>42917</v>
      </c>
      <c r="AH26" s="5">
        <f>GDPPriceIndex!B288</f>
        <v>107.94799999999999</v>
      </c>
      <c r="AI26" s="6">
        <f>GDPPriceIndex!C288</f>
        <v>5.4488045229734057E-3</v>
      </c>
      <c r="AJ26" s="6">
        <f>GDPPriceIndex!D288</f>
        <v>1.9396755245811734E-2</v>
      </c>
      <c r="AL26" s="67">
        <f>CorePCE!A288</f>
        <v>42917</v>
      </c>
      <c r="AM26" s="5">
        <f>CorePCE!B288</f>
        <v>108.077</v>
      </c>
      <c r="AN26" s="6">
        <f>CorePCE!C288</f>
        <v>3.1465221184725782E-3</v>
      </c>
      <c r="AO26" s="6">
        <f>CorePCE!D288</f>
        <v>1.5474960067650017E-2</v>
      </c>
    </row>
    <row r="27" spans="3:41" x14ac:dyDescent="0.35">
      <c r="C27" s="67">
        <f>'U.S. GDP'!A289</f>
        <v>43009</v>
      </c>
      <c r="D27" s="5">
        <f>'U.S. GDP'!B289</f>
        <v>18310.3</v>
      </c>
      <c r="E27" s="6">
        <f>'U.S. GDP'!C289</f>
        <v>1.0056600857215669E-2</v>
      </c>
      <c r="F27" s="6">
        <f>'U.S. GDP'!E289</f>
        <v>4.0837293288196186E-2</v>
      </c>
      <c r="H27" s="67">
        <f>PersonalConsumption!A289</f>
        <v>43009</v>
      </c>
      <c r="I27" s="5">
        <f>PersonalConsumption!B289</f>
        <v>12630.132</v>
      </c>
      <c r="J27" s="6">
        <f>PersonalConsumption!C289</f>
        <v>1.0938998033051777E-2</v>
      </c>
      <c r="K27" s="6">
        <f>PersonalConsumption!E289</f>
        <v>4.4479212434366922E-2</v>
      </c>
      <c r="M27" s="67">
        <f>PrivateInvestment!A289</f>
        <v>43009</v>
      </c>
      <c r="N27" s="5">
        <f>PrivateInvestment!B289</f>
        <v>3293.4409999999998</v>
      </c>
      <c r="O27" s="6">
        <f>PrivateInvestment!C289</f>
        <v>1.3109287642367703E-2</v>
      </c>
      <c r="P27" s="6">
        <f>PrivateInvestment!E289</f>
        <v>5.3477312141802846E-2</v>
      </c>
      <c r="R27" s="67">
        <f>Exports!A289</f>
        <v>43009</v>
      </c>
      <c r="S27" s="5">
        <f>Exports!B289</f>
        <v>2547.9969999999998</v>
      </c>
      <c r="T27" s="6">
        <f>Exports!C289</f>
        <v>2.5983836306260458E-2</v>
      </c>
      <c r="U27" s="6">
        <f>Exports!E289</f>
        <v>0.10805693252248649</v>
      </c>
      <c r="W27" s="67">
        <f>Imports!A289</f>
        <v>43009</v>
      </c>
      <c r="X27" s="5">
        <f>Imports!B289</f>
        <v>3362.9569999999999</v>
      </c>
      <c r="Y27" s="6">
        <f>Imports!C289</f>
        <v>2.8189192899380728E-2</v>
      </c>
      <c r="Z27" s="6">
        <f>Imports!E289</f>
        <v>0.11761478659387192</v>
      </c>
      <c r="AB27" s="67">
        <f>Government!A289</f>
        <v>43009</v>
      </c>
      <c r="AC27" s="5">
        <f>Government!B289</f>
        <v>3181.9989999999998</v>
      </c>
      <c r="AD27" s="6">
        <f>Government!C289</f>
        <v>7.8911375870027028E-3</v>
      </c>
      <c r="AE27" s="6">
        <f>Government!E289</f>
        <v>3.1940140066277545E-2</v>
      </c>
      <c r="AG27" s="67">
        <f>GDPPriceIndex!A289</f>
        <v>43009</v>
      </c>
      <c r="AH27" s="5">
        <f>GDPPriceIndex!B289</f>
        <v>108.639</v>
      </c>
      <c r="AI27" s="6">
        <f>GDPPriceIndex!C289</f>
        <v>6.4012302219587447E-3</v>
      </c>
      <c r="AJ27" s="6">
        <f>GDPPriceIndex!D289</f>
        <v>2.0371935756551114E-2</v>
      </c>
      <c r="AL27" s="67">
        <f>CorePCE!A289</f>
        <v>43009</v>
      </c>
      <c r="AM27" s="5">
        <f>CorePCE!B289</f>
        <v>108.608</v>
      </c>
      <c r="AN27" s="6">
        <f>CorePCE!C289</f>
        <v>4.9131637628728212E-3</v>
      </c>
      <c r="AO27" s="6">
        <f>CorePCE!D289</f>
        <v>1.6757475331872964E-2</v>
      </c>
    </row>
    <row r="28" spans="3:41" x14ac:dyDescent="0.35">
      <c r="C28" s="67">
        <f>'U.S. GDP'!A290</f>
        <v>43101</v>
      </c>
      <c r="D28" s="5">
        <f>'U.S. GDP'!B290</f>
        <v>18437.127</v>
      </c>
      <c r="E28" s="6">
        <f>'U.S. GDP'!C290</f>
        <v>6.9265386148780273E-3</v>
      </c>
      <c r="F28" s="6">
        <f>'U.S. GDP'!E290</f>
        <v>2.7995347640831225E-2</v>
      </c>
      <c r="H28" s="67">
        <f>PersonalConsumption!A290</f>
        <v>43101</v>
      </c>
      <c r="I28" s="5">
        <f>PersonalConsumption!B290</f>
        <v>12713.156000000001</v>
      </c>
      <c r="J28" s="6">
        <f>PersonalConsumption!C290</f>
        <v>6.5734863261920976E-3</v>
      </c>
      <c r="K28" s="6">
        <f>PersonalConsumption!E290</f>
        <v>2.6554347687192337E-2</v>
      </c>
      <c r="M28" s="67">
        <f>PrivateInvestment!A290</f>
        <v>43101</v>
      </c>
      <c r="N28" s="5">
        <f>PrivateInvestment!B290</f>
        <v>3342.884</v>
      </c>
      <c r="O28" s="6">
        <f>PrivateInvestment!C290</f>
        <v>1.5012565884738854E-2</v>
      </c>
      <c r="P28" s="6">
        <f>PrivateInvestment!E290</f>
        <v>6.1416111096788795E-2</v>
      </c>
      <c r="R28" s="67">
        <f>Exports!A290</f>
        <v>43101</v>
      </c>
      <c r="S28" s="5">
        <f>Exports!B290</f>
        <v>2564.6610000000001</v>
      </c>
      <c r="T28" s="6">
        <f>Exports!C290</f>
        <v>6.540039097377358E-3</v>
      </c>
      <c r="U28" s="6">
        <f>Exports!E290</f>
        <v>2.6417909812457285E-2</v>
      </c>
      <c r="W28" s="67">
        <f>Imports!A290</f>
        <v>43101</v>
      </c>
      <c r="X28" s="5">
        <f>Imports!B290</f>
        <v>3391.2579999999998</v>
      </c>
      <c r="Y28" s="6">
        <f>Imports!C290</f>
        <v>8.4155105164888909E-3</v>
      </c>
      <c r="Z28" s="6">
        <f>Imports!E290</f>
        <v>3.4089355958392131E-2</v>
      </c>
      <c r="AB28" s="67">
        <f>Government!A290</f>
        <v>43101</v>
      </c>
      <c r="AC28" s="5">
        <f>Government!B290</f>
        <v>3187.7139999999999</v>
      </c>
      <c r="AD28" s="6">
        <f>Government!C290</f>
        <v>1.7960407907105394E-3</v>
      </c>
      <c r="AE28" s="6">
        <f>Government!E290</f>
        <v>7.2035409227833025E-3</v>
      </c>
      <c r="AG28" s="67">
        <f>GDPPriceIndex!A290</f>
        <v>43101</v>
      </c>
      <c r="AH28" s="5">
        <f>GDPPriceIndex!B290</f>
        <v>109.36499999999999</v>
      </c>
      <c r="AI28" s="6">
        <f>GDPPriceIndex!C290</f>
        <v>6.6826830143870905E-3</v>
      </c>
      <c r="AJ28" s="6">
        <f>GDPPriceIndex!D290</f>
        <v>2.1892694959914683E-2</v>
      </c>
      <c r="AL28" s="67">
        <f>CorePCE!A290</f>
        <v>43101</v>
      </c>
      <c r="AM28" s="5">
        <f>CorePCE!B290</f>
        <v>109.318</v>
      </c>
      <c r="AN28" s="6">
        <f>CorePCE!C290</f>
        <v>6.5372716558632299E-3</v>
      </c>
      <c r="AO28" s="6">
        <f>CorePCE!D290</f>
        <v>1.8541293977340442E-2</v>
      </c>
    </row>
    <row r="29" spans="3:41" s="76" customFormat="1" x14ac:dyDescent="0.35">
      <c r="C29" s="67">
        <f>'U.S. GDP'!A291</f>
        <v>43191</v>
      </c>
      <c r="D29" s="5">
        <f>'U.S. GDP'!B291</f>
        <v>18565.697</v>
      </c>
      <c r="E29" s="6">
        <f>'U.S. GDP'!C291</f>
        <v>6.9734292116119664E-3</v>
      </c>
      <c r="F29" s="6">
        <f>'U.S. GDP'!E291</f>
        <v>2.8186847936622073E-2</v>
      </c>
      <c r="H29" s="67">
        <f>PersonalConsumption!A291</f>
        <v>43191</v>
      </c>
      <c r="I29" s="5">
        <f>PersonalConsumption!B291</f>
        <v>12805.609</v>
      </c>
      <c r="J29" s="6">
        <f>PersonalConsumption!C291</f>
        <v>7.2722304359357746E-3</v>
      </c>
      <c r="K29" s="6">
        <f>PersonalConsumption!E291</f>
        <v>2.9407774931068165E-2</v>
      </c>
      <c r="M29" s="67">
        <f>PrivateInvestment!A291</f>
        <v>43191</v>
      </c>
      <c r="N29" s="5">
        <f>PrivateInvestment!B291</f>
        <v>3349.047</v>
      </c>
      <c r="O29" s="6">
        <f>PrivateInvestment!C291</f>
        <v>1.8436176666614848E-3</v>
      </c>
      <c r="P29" s="6">
        <f>PrivateInvestment!E291</f>
        <v>7.3948893000841398E-3</v>
      </c>
      <c r="R29" s="67">
        <f>Exports!A291</f>
        <v>43191</v>
      </c>
      <c r="S29" s="5">
        <f>Exports!B291</f>
        <v>2578.61</v>
      </c>
      <c r="T29" s="6">
        <f>Exports!C291</f>
        <v>5.4389254564248717E-3</v>
      </c>
      <c r="U29" s="6">
        <f>Exports!E291</f>
        <v>2.1933837736728412E-2</v>
      </c>
      <c r="W29" s="67">
        <f>Imports!A291</f>
        <v>43191</v>
      </c>
      <c r="X29" s="5">
        <f>Imports!B291</f>
        <v>3395.2829999999999</v>
      </c>
      <c r="Y29" s="6">
        <f>Imports!C291</f>
        <v>1.1868751949866661E-3</v>
      </c>
      <c r="Z29" s="6">
        <f>Imports!E291</f>
        <v>4.7559595059765147E-3</v>
      </c>
      <c r="AB29" s="67">
        <f>Government!A291</f>
        <v>43191</v>
      </c>
      <c r="AC29" s="5">
        <f>Government!B291</f>
        <v>3210.0369999999998</v>
      </c>
      <c r="AD29" s="6">
        <f>Government!C291</f>
        <v>7.0028239672692925E-3</v>
      </c>
      <c r="AE29" s="6">
        <f>Government!E291</f>
        <v>2.8306909196216035E-2</v>
      </c>
      <c r="AG29" s="67">
        <f>GDPPriceIndex!A291</f>
        <v>43191</v>
      </c>
      <c r="AH29" s="5">
        <f>GDPPriceIndex!B291</f>
        <v>110.176</v>
      </c>
      <c r="AI29" s="6">
        <f>GDPPriceIndex!C291</f>
        <v>7.415535134640946E-3</v>
      </c>
      <c r="AJ29" s="6">
        <f>GDPPriceIndex!D291</f>
        <v>2.6200832689101481E-2</v>
      </c>
      <c r="AL29" s="67">
        <f>CorePCE!A291</f>
        <v>43191</v>
      </c>
      <c r="AM29" s="5">
        <f>CorePCE!B291</f>
        <v>109.926</v>
      </c>
      <c r="AN29" s="6">
        <f>CorePCE!C291</f>
        <v>5.5617556120675839E-3</v>
      </c>
      <c r="AO29" s="6">
        <f>CorePCE!D291</f>
        <v>2.030852623958123E-2</v>
      </c>
    </row>
    <row r="30" spans="3:41" s="76" customFormat="1" x14ac:dyDescent="0.35">
      <c r="C30" s="67">
        <f>'U.S. GDP'!A292</f>
        <v>43282</v>
      </c>
      <c r="D30" s="5">
        <f>'U.S. GDP'!B292</f>
        <v>18699.748</v>
      </c>
      <c r="E30" s="6">
        <f>'U.S. GDP'!C292</f>
        <v>7.2203591386846115E-3</v>
      </c>
      <c r="F30" s="6">
        <f>'U.S. GDP'!E292</f>
        <v>2.9195746482057805E-2</v>
      </c>
      <c r="H30" s="67">
        <f>PersonalConsumption!A292</f>
        <v>43282</v>
      </c>
      <c r="I30" s="5">
        <f>PersonalConsumption!B292</f>
        <v>12887.074000000001</v>
      </c>
      <c r="J30" s="6">
        <f>PersonalConsumption!C292</f>
        <v>6.361665423331303E-3</v>
      </c>
      <c r="K30" s="6">
        <f>PersonalConsumption!E292</f>
        <v>2.5690517899384702E-2</v>
      </c>
      <c r="M30" s="67">
        <f>PrivateInvestment!A292</f>
        <v>43282</v>
      </c>
      <c r="N30" s="5">
        <f>PrivateInvestment!B292</f>
        <v>3453.0590000000002</v>
      </c>
      <c r="O30" s="6">
        <f>PrivateInvestment!C292</f>
        <v>3.1057193285134597E-2</v>
      </c>
      <c r="P30" s="6">
        <f>PrivateInvestment!E292</f>
        <v>0.13013682379485636</v>
      </c>
      <c r="R30" s="67">
        <f>Exports!A292</f>
        <v>43282</v>
      </c>
      <c r="S30" s="5">
        <f>Exports!B292</f>
        <v>2544.5520000000001</v>
      </c>
      <c r="T30" s="6">
        <f>Exports!C292</f>
        <v>-1.3207891073097519E-2</v>
      </c>
      <c r="U30" s="6">
        <f>Exports!E292</f>
        <v>-5.1794059921709712E-2</v>
      </c>
      <c r="W30" s="67">
        <f>Imports!A292</f>
        <v>43282</v>
      </c>
      <c r="X30" s="5">
        <f>Imports!B292</f>
        <v>3441.0680000000002</v>
      </c>
      <c r="Y30" s="6">
        <f>Imports!C292</f>
        <v>1.3484884765128654E-2</v>
      </c>
      <c r="Z30" s="6">
        <f>Imports!E292</f>
        <v>5.5040433309822445E-2</v>
      </c>
      <c r="AB30" s="67">
        <f>Government!A292</f>
        <v>43282</v>
      </c>
      <c r="AC30" s="5">
        <f>Government!B292</f>
        <v>3231.3359999999998</v>
      </c>
      <c r="AD30" s="6">
        <f>Government!C292</f>
        <v>6.635126012566204E-3</v>
      </c>
      <c r="AE30" s="6">
        <f>Government!E292</f>
        <v>2.6805823814634477E-2</v>
      </c>
      <c r="AG30" s="67">
        <f>GDPPriceIndex!A292</f>
        <v>43282</v>
      </c>
      <c r="AH30" s="5">
        <f>GDPPriceIndex!B292</f>
        <v>110.68</v>
      </c>
      <c r="AI30" s="6">
        <f>GDPPriceIndex!C292</f>
        <v>4.5744989834447143E-3</v>
      </c>
      <c r="AJ30" s="6">
        <f>GDPPriceIndex!D292</f>
        <v>2.530848186163721E-2</v>
      </c>
      <c r="AL30" s="67">
        <f>CorePCE!A292</f>
        <v>43282</v>
      </c>
      <c r="AM30" s="5">
        <f>CorePCE!B292</f>
        <v>110.313</v>
      </c>
      <c r="AN30" s="6">
        <f>CorePCE!C292</f>
        <v>3.5205501883085024E-3</v>
      </c>
      <c r="AO30" s="6">
        <f>CorePCE!D292</f>
        <v>2.068895324629666E-2</v>
      </c>
    </row>
    <row r="31" spans="3:41" s="76" customFormat="1" x14ac:dyDescent="0.35">
      <c r="C31" s="67">
        <f>'U.S. GDP'!A293</f>
        <v>43374</v>
      </c>
      <c r="D31" s="5">
        <f>'U.S. GDP'!B293</f>
        <v>18733.741000000002</v>
      </c>
      <c r="E31" s="6">
        <f>'U.S. GDP'!C293</f>
        <v>1.8178319836182934E-3</v>
      </c>
      <c r="F31" s="6">
        <f>'U.S. GDP'!E293</f>
        <v>7.2911790523160214E-3</v>
      </c>
      <c r="H31" s="67">
        <f>PersonalConsumption!A293</f>
        <v>43374</v>
      </c>
      <c r="I31" s="5">
        <f>PersonalConsumption!B293</f>
        <v>12943.375</v>
      </c>
      <c r="J31" s="6">
        <f>PersonalConsumption!C293</f>
        <v>4.368796206182992E-3</v>
      </c>
      <c r="K31" s="6">
        <f>PersonalConsumption!E293</f>
        <v>1.7590037008791581E-2</v>
      </c>
      <c r="M31" s="67">
        <f>PrivateInvestment!A293</f>
        <v>43374</v>
      </c>
      <c r="N31" s="5">
        <f>PrivateInvestment!B293</f>
        <v>3450.6080000000002</v>
      </c>
      <c r="O31" s="6">
        <f>PrivateInvestment!C293</f>
        <v>-7.0980542180137138E-4</v>
      </c>
      <c r="P31" s="6">
        <f>PrivateInvestment!E293</f>
        <v>-2.8362001749977495E-3</v>
      </c>
      <c r="R31" s="67">
        <f>Exports!A293</f>
        <v>43374</v>
      </c>
      <c r="S31" s="5">
        <f>Exports!B293</f>
        <v>2552.4369999999999</v>
      </c>
      <c r="T31" s="6">
        <f>Exports!C293</f>
        <v>3.0987773093258709E-3</v>
      </c>
      <c r="U31" s="6">
        <f>Exports!E293</f>
        <v>1.2452842877441306E-2</v>
      </c>
      <c r="W31" s="67">
        <f>Imports!A293</f>
        <v>43374</v>
      </c>
      <c r="X31" s="5">
        <f>Imports!B293</f>
        <v>3474.268</v>
      </c>
      <c r="Y31" s="6">
        <f>Imports!C293</f>
        <v>9.6481673712928134E-3</v>
      </c>
      <c r="Z31" s="6">
        <f>Imports!E293</f>
        <v>3.9154793433113344E-2</v>
      </c>
      <c r="AB31" s="67">
        <f>Government!A293</f>
        <v>43374</v>
      </c>
      <c r="AC31" s="5">
        <f>Government!B293</f>
        <v>3232.3029999999999</v>
      </c>
      <c r="AD31" s="6">
        <f>Government!C293</f>
        <v>2.992570255770673E-4</v>
      </c>
      <c r="AE31" s="6">
        <f>Government!E293</f>
        <v>1.1975655381202266E-3</v>
      </c>
      <c r="AG31" s="67">
        <f>GDPPriceIndex!A293</f>
        <v>43374</v>
      </c>
      <c r="AH31" s="5">
        <f>GDPPriceIndex!B293</f>
        <v>111.155</v>
      </c>
      <c r="AI31" s="6">
        <f>GDPPriceIndex!C293</f>
        <v>4.2916516082399199E-3</v>
      </c>
      <c r="AJ31" s="6">
        <f>GDPPriceIndex!D293</f>
        <v>2.3159270611842944E-2</v>
      </c>
      <c r="AL31" s="67">
        <f>CorePCE!A293</f>
        <v>43374</v>
      </c>
      <c r="AM31" s="5">
        <f>CorePCE!B293</f>
        <v>110.822</v>
      </c>
      <c r="AN31" s="6">
        <f>CorePCE!C293</f>
        <v>4.6141433919846282E-3</v>
      </c>
      <c r="AO31" s="6">
        <f>CorePCE!D293</f>
        <v>2.0385238656452549E-2</v>
      </c>
    </row>
    <row r="32" spans="3:41" s="76" customFormat="1" x14ac:dyDescent="0.35">
      <c r="C32" s="67">
        <f>'U.S. GDP'!A294</f>
        <v>43466</v>
      </c>
      <c r="D32" s="5">
        <f>'U.S. GDP'!B294</f>
        <v>18835.411</v>
      </c>
      <c r="E32" s="6">
        <f>'U.S. GDP'!C294</f>
        <v>5.4271060969615327E-3</v>
      </c>
      <c r="F32" s="6">
        <f>'U.S. GDP'!E294</f>
        <v>2.1885785527535617E-2</v>
      </c>
      <c r="H32" s="67">
        <f>PersonalConsumption!A294</f>
        <v>43466</v>
      </c>
      <c r="I32" s="5">
        <f>PersonalConsumption!B294</f>
        <v>12955.727000000001</v>
      </c>
      <c r="J32" s="6">
        <f>PersonalConsumption!C294</f>
        <v>9.5431060291467802E-4</v>
      </c>
      <c r="K32" s="6">
        <f>PersonalConsumption!E294</f>
        <v>3.8227101412449116E-3</v>
      </c>
      <c r="M32" s="67">
        <f>PrivateInvestment!A294</f>
        <v>43466</v>
      </c>
      <c r="N32" s="5">
        <f>PrivateInvestment!B294</f>
        <v>3484.3490000000002</v>
      </c>
      <c r="O32" s="6">
        <f>PrivateInvestment!C294</f>
        <v>9.7782767558644689E-3</v>
      </c>
      <c r="P32" s="6">
        <f>PrivateInvestment!E294</f>
        <v>3.9690544131363747E-2</v>
      </c>
      <c r="R32" s="67">
        <f>Exports!A294</f>
        <v>43466</v>
      </c>
      <c r="S32" s="5">
        <f>Exports!B294</f>
        <v>2582.2849999999999</v>
      </c>
      <c r="T32" s="6">
        <f>Exports!C294</f>
        <v>1.1693922318161019E-2</v>
      </c>
      <c r="U32" s="6">
        <f>Exports!E294</f>
        <v>4.760259136120748E-2</v>
      </c>
      <c r="W32" s="67">
        <f>Imports!A294</f>
        <v>43466</v>
      </c>
      <c r="X32" s="5">
        <f>Imports!B294</f>
        <v>3485.931</v>
      </c>
      <c r="Y32" s="6">
        <f>Imports!C294</f>
        <v>3.3569661292680965E-3</v>
      </c>
      <c r="Z32" s="6">
        <f>Imports!E294</f>
        <v>1.3495631295206589E-2</v>
      </c>
      <c r="AB32" s="67">
        <f>Government!A294</f>
        <v>43466</v>
      </c>
      <c r="AC32" s="5">
        <f>Government!B294</f>
        <v>3270.9659999999999</v>
      </c>
      <c r="AD32" s="6">
        <f>Government!C294</f>
        <v>1.1961440496141609E-2</v>
      </c>
      <c r="AE32" s="6">
        <f>Government!E294</f>
        <v>4.8711084390833825E-2</v>
      </c>
      <c r="AG32" s="67">
        <f>GDPPriceIndex!A294</f>
        <v>43466</v>
      </c>
      <c r="AH32" s="5">
        <f>GDPPriceIndex!B294</f>
        <v>111.56</v>
      </c>
      <c r="AI32" s="6">
        <f>GDPPriceIndex!C294</f>
        <v>3.643560793486583E-3</v>
      </c>
      <c r="AJ32" s="6">
        <f>GDPPriceIndex!D294</f>
        <v>2.0070406437160036E-2</v>
      </c>
      <c r="AL32" s="67">
        <f>CorePCE!A294</f>
        <v>43466</v>
      </c>
      <c r="AM32" s="5">
        <f>CorePCE!B294</f>
        <v>111.23</v>
      </c>
      <c r="AN32" s="6">
        <f>CorePCE!C294</f>
        <v>3.6815794697803799E-3</v>
      </c>
      <c r="AO32" s="6">
        <f>CorePCE!D294</f>
        <v>1.7490257780054575E-2</v>
      </c>
    </row>
    <row r="33" spans="3:41" s="76" customFormat="1" x14ac:dyDescent="0.35">
      <c r="C33" s="67">
        <f>'U.S. GDP'!A295</f>
        <v>43556</v>
      </c>
      <c r="D33" s="5">
        <f>'U.S. GDP'!B295</f>
        <v>18962.174999999999</v>
      </c>
      <c r="E33" s="6">
        <f>'U.S. GDP'!C295</f>
        <v>6.7300894044732664E-3</v>
      </c>
      <c r="F33" s="6">
        <f>'U.S. GDP'!E295</f>
        <v>2.7193343623263422E-2</v>
      </c>
      <c r="H33" s="67">
        <f>PersonalConsumption!A295</f>
        <v>43556</v>
      </c>
      <c r="I33" s="5">
        <f>PersonalConsumption!B295</f>
        <v>13038.853999999999</v>
      </c>
      <c r="J33" s="6">
        <f>PersonalConsumption!C295</f>
        <v>6.4162358468960162E-3</v>
      </c>
      <c r="K33" s="6">
        <f>PersonalConsumption!E295</f>
        <v>2.5913010153558291E-2</v>
      </c>
      <c r="M33" s="67">
        <f>PrivateInvestment!A295</f>
        <v>43556</v>
      </c>
      <c r="N33" s="5">
        <f>PrivateInvestment!B295</f>
        <v>3504.855</v>
      </c>
      <c r="O33" s="6">
        <f>PrivateInvestment!C295</f>
        <v>5.885173959324929E-3</v>
      </c>
      <c r="P33" s="6">
        <f>PrivateInvestment!E295</f>
        <v>2.3749324010506667E-2</v>
      </c>
      <c r="R33" s="67">
        <f>Exports!A295</f>
        <v>43556</v>
      </c>
      <c r="S33" s="5">
        <f>Exports!B295</f>
        <v>2567.2809999999999</v>
      </c>
      <c r="T33" s="6">
        <f>Exports!C295</f>
        <v>-5.8103578807141374E-3</v>
      </c>
      <c r="U33" s="6">
        <f>Exports!E295</f>
        <v>-2.3039653467630594E-2</v>
      </c>
      <c r="W33" s="67">
        <f>Imports!A295</f>
        <v>43556</v>
      </c>
      <c r="X33" s="5">
        <f>Imports!B295</f>
        <v>3491.7510000000002</v>
      </c>
      <c r="Y33" s="6">
        <f>Imports!C295</f>
        <v>1.6695683305263827E-3</v>
      </c>
      <c r="Z33" s="6">
        <f>Imports!E295</f>
        <v>6.6950166957462365E-3</v>
      </c>
      <c r="AB33" s="67">
        <f>Government!A295</f>
        <v>43556</v>
      </c>
      <c r="AC33" s="5">
        <f>Government!B295</f>
        <v>3313.8</v>
      </c>
      <c r="AD33" s="6">
        <f>Government!C295</f>
        <v>1.3095214074374447E-2</v>
      </c>
      <c r="AE33" s="6">
        <f>Government!E295</f>
        <v>5.3418776006247004E-2</v>
      </c>
      <c r="AG33" s="67">
        <f>GDPPriceIndex!A295</f>
        <v>43556</v>
      </c>
      <c r="AH33" s="5">
        <f>GDPPriceIndex!B295</f>
        <v>112.184</v>
      </c>
      <c r="AI33" s="6">
        <f>GDPPriceIndex!C295</f>
        <v>5.5934026532807029E-3</v>
      </c>
      <c r="AJ33" s="6">
        <f>GDPPriceIndex!D295</f>
        <v>1.822538483880333E-2</v>
      </c>
      <c r="AL33" s="67">
        <f>CorePCE!A295</f>
        <v>43556</v>
      </c>
      <c r="AM33" s="5">
        <f>CorePCE!B295</f>
        <v>111.80800000000001</v>
      </c>
      <c r="AN33" s="6">
        <f>CorePCE!C295</f>
        <v>5.1964398094039646E-3</v>
      </c>
      <c r="AO33" s="6">
        <f>CorePCE!D295</f>
        <v>1.712060840929357E-2</v>
      </c>
    </row>
    <row r="34" spans="3:41" s="76" customFormat="1" x14ac:dyDescent="0.35">
      <c r="C34" s="67">
        <f>'U.S. GDP'!A296</f>
        <v>43647</v>
      </c>
      <c r="D34" s="5">
        <f>'U.S. GDP'!B296</f>
        <v>19130.932000000001</v>
      </c>
      <c r="E34" s="6">
        <f>'U.S. GDP'!C296</f>
        <v>8.8996647272795142E-3</v>
      </c>
      <c r="F34" s="6">
        <f>'U.S. GDP'!E296</f>
        <v>3.607670893327275E-2</v>
      </c>
      <c r="H34" s="67">
        <f>PersonalConsumption!A296</f>
        <v>43647</v>
      </c>
      <c r="I34" s="5">
        <f>PersonalConsumption!B296</f>
        <v>13148.857</v>
      </c>
      <c r="J34" s="6">
        <f>PersonalConsumption!C296</f>
        <v>8.4365543168134719E-3</v>
      </c>
      <c r="K34" s="6">
        <f>PersonalConsumption!E296</f>
        <v>3.4175676927798992E-2</v>
      </c>
      <c r="M34" s="67">
        <f>PrivateInvestment!A296</f>
        <v>43647</v>
      </c>
      <c r="N34" s="5">
        <f>PrivateInvestment!B296</f>
        <v>3527.1930000000002</v>
      </c>
      <c r="O34" s="6">
        <f>PrivateInvestment!C296</f>
        <v>6.3734448358063866E-3</v>
      </c>
      <c r="P34" s="6">
        <f>PrivateInvestment!E296</f>
        <v>2.5738541365413647E-2</v>
      </c>
      <c r="R34" s="67">
        <f>Exports!A296</f>
        <v>43647</v>
      </c>
      <c r="S34" s="5">
        <f>Exports!B296</f>
        <v>2567.0100000000002</v>
      </c>
      <c r="T34" s="6">
        <f>Exports!C296</f>
        <v>-1.0555914993322928E-4</v>
      </c>
      <c r="U34" s="6">
        <f>Exports!E296</f>
        <v>-4.2216974803288565E-4</v>
      </c>
      <c r="W34" s="67">
        <f>Imports!A296</f>
        <v>43647</v>
      </c>
      <c r="X34" s="5">
        <f>Imports!B296</f>
        <v>3476.3820000000001</v>
      </c>
      <c r="Y34" s="6">
        <f>Imports!C296</f>
        <v>-4.4015166029880539E-3</v>
      </c>
      <c r="Z34" s="6">
        <f>Imports!E296</f>
        <v>-1.7490167034645898E-2</v>
      </c>
      <c r="AB34" s="67">
        <f>Government!A296</f>
        <v>43647</v>
      </c>
      <c r="AC34" s="5">
        <f>Government!B296</f>
        <v>3341.2289999999998</v>
      </c>
      <c r="AD34" s="6">
        <f>Government!C296</f>
        <v>8.2772044178887165E-3</v>
      </c>
      <c r="AE34" s="6">
        <f>Government!E296</f>
        <v>3.3522163398374438E-2</v>
      </c>
      <c r="AG34" s="67">
        <f>GDPPriceIndex!A296</f>
        <v>43647</v>
      </c>
      <c r="AH34" s="5">
        <f>GDPPriceIndex!B296</f>
        <v>112.55800000000001</v>
      </c>
      <c r="AI34" s="6">
        <f>GDPPriceIndex!C296</f>
        <v>3.3338087427798031E-3</v>
      </c>
      <c r="AJ34" s="6">
        <f>GDPPriceIndex!D296</f>
        <v>1.6967835200578242E-2</v>
      </c>
      <c r="AL34" s="67">
        <f>CorePCE!A296</f>
        <v>43647</v>
      </c>
      <c r="AM34" s="5">
        <f>CorePCE!B296</f>
        <v>112.255</v>
      </c>
      <c r="AN34" s="6">
        <f>CorePCE!C296</f>
        <v>3.9979250143101436E-3</v>
      </c>
      <c r="AO34" s="6">
        <f>CorePCE!D296</f>
        <v>1.7604452784349921E-2</v>
      </c>
    </row>
    <row r="35" spans="3:41" s="76" customFormat="1" x14ac:dyDescent="0.35">
      <c r="C35" s="67">
        <f>'U.S. GDP'!A297</f>
        <v>43739</v>
      </c>
      <c r="D35" s="5">
        <f>'U.S. GDP'!B297</f>
        <v>19215.690999999999</v>
      </c>
      <c r="E35" s="6">
        <f>'U.S. GDP'!C297</f>
        <v>4.4304689389935729E-3</v>
      </c>
      <c r="F35" s="6">
        <f>'U.S. GDP'!E297</f>
        <v>1.7839998335064777E-2</v>
      </c>
      <c r="H35" s="67">
        <f>PersonalConsumption!A297</f>
        <v>43739</v>
      </c>
      <c r="I35" s="5">
        <f>PersonalConsumption!B297</f>
        <v>13225.609</v>
      </c>
      <c r="J35" s="6">
        <f>PersonalConsumption!C297</f>
        <v>5.8371613593486043E-3</v>
      </c>
      <c r="K35" s="6">
        <f>PersonalConsumption!E297</f>
        <v>2.3553876860354928E-2</v>
      </c>
      <c r="M35" s="67">
        <f>PrivateInvestment!A297</f>
        <v>43739</v>
      </c>
      <c r="N35" s="5">
        <f>PrivateInvestment!B297</f>
        <v>3454.3539999999998</v>
      </c>
      <c r="O35" s="6">
        <f>PrivateInvestment!C297</f>
        <v>-2.0650698728422401E-2</v>
      </c>
      <c r="P35" s="6">
        <f>PrivateInvestment!E297</f>
        <v>-8.0079130979159752E-2</v>
      </c>
      <c r="R35" s="67">
        <f>Exports!A297</f>
        <v>43739</v>
      </c>
      <c r="S35" s="5">
        <f>Exports!B297</f>
        <v>2571.8449999999998</v>
      </c>
      <c r="T35" s="6">
        <f>Exports!C297</f>
        <v>1.8835142831541681E-3</v>
      </c>
      <c r="U35" s="6">
        <f>Exports!E297</f>
        <v>7.5553696295487249E-3</v>
      </c>
      <c r="W35" s="67">
        <f>Imports!A297</f>
        <v>43739</v>
      </c>
      <c r="X35" s="5">
        <f>Imports!B297</f>
        <v>3404.66</v>
      </c>
      <c r="Y35" s="6">
        <f>Imports!C297</f>
        <v>-2.0631219468976714E-2</v>
      </c>
      <c r="Z35" s="6">
        <f>Imports!E297</f>
        <v>-8.0005939884274069E-2</v>
      </c>
      <c r="AB35" s="67">
        <f>Government!A297</f>
        <v>43739</v>
      </c>
      <c r="AC35" s="5">
        <f>Government!B297</f>
        <v>3360.85</v>
      </c>
      <c r="AD35" s="6">
        <f>Government!C297</f>
        <v>5.8723900696420672E-3</v>
      </c>
      <c r="AE35" s="6">
        <f>Government!E297</f>
        <v>2.3697281295228079E-2</v>
      </c>
      <c r="AG35" s="67">
        <f>GDPPriceIndex!A297</f>
        <v>43739</v>
      </c>
      <c r="AH35" s="5">
        <f>GDPPriceIndex!B297</f>
        <v>112.91</v>
      </c>
      <c r="AI35" s="6">
        <f>GDPPriceIndex!C297</f>
        <v>3.1272766040618136E-3</v>
      </c>
      <c r="AJ35" s="6">
        <f>GDPPriceIndex!D297</f>
        <v>1.5788763438441773E-2</v>
      </c>
      <c r="AL35" s="67">
        <f>CorePCE!A297</f>
        <v>43739</v>
      </c>
      <c r="AM35" s="5">
        <f>CorePCE!B297</f>
        <v>112.59699999999999</v>
      </c>
      <c r="AN35" s="6">
        <f>CorePCE!C297</f>
        <v>3.0466348937686406E-3</v>
      </c>
      <c r="AO35" s="6">
        <f>CorePCE!D297</f>
        <v>1.6016675389363046E-2</v>
      </c>
    </row>
    <row r="36" spans="3:41" s="76" customFormat="1" x14ac:dyDescent="0.35">
      <c r="C36" s="67">
        <f>'U.S. GDP'!A298</f>
        <v>43831</v>
      </c>
      <c r="D36" s="5">
        <f>'U.S. GDP'!B298</f>
        <v>18989.877</v>
      </c>
      <c r="E36" s="6">
        <f>'U.S. GDP'!C298</f>
        <v>-1.1751542008039082E-2</v>
      </c>
      <c r="F36" s="6">
        <f>'U.S. GDP'!E298</f>
        <v>-4.6184048016051249E-2</v>
      </c>
      <c r="H36" s="67">
        <f>PersonalConsumption!A298</f>
        <v>43831</v>
      </c>
      <c r="I36" s="5">
        <f>PersonalConsumption!B298</f>
        <v>13016.75</v>
      </c>
      <c r="J36" s="6">
        <f>PersonalConsumption!C298</f>
        <v>-1.5792013811991596E-2</v>
      </c>
      <c r="K36" s="6">
        <f>PersonalConsumption!E298</f>
        <v>-6.1687420188339392E-2</v>
      </c>
      <c r="M36" s="67">
        <f>PrivateInvestment!A298</f>
        <v>43831</v>
      </c>
      <c r="N36" s="5">
        <f>PrivateInvestment!B298</f>
        <v>3409.8829999999998</v>
      </c>
      <c r="O36" s="6">
        <f>PrivateInvestment!C298</f>
        <v>-1.2873897695488072E-2</v>
      </c>
      <c r="P36" s="6">
        <f>PrivateInvestment!E298</f>
        <v>-5.0509674599060528E-2</v>
      </c>
      <c r="R36" s="67">
        <f>Exports!A298</f>
        <v>43831</v>
      </c>
      <c r="S36" s="5">
        <f>Exports!B298</f>
        <v>2467.3040000000001</v>
      </c>
      <c r="T36" s="6">
        <f>Exports!C298</f>
        <v>-4.0648250574976223E-2</v>
      </c>
      <c r="U36" s="6">
        <f>Exports!E298</f>
        <v>-0.15294523983148378</v>
      </c>
      <c r="W36" s="67">
        <f>Imports!A298</f>
        <v>43831</v>
      </c>
      <c r="X36" s="5">
        <f>Imports!B298</f>
        <v>3295.4929999999999</v>
      </c>
      <c r="Y36" s="6">
        <f>Imports!C298</f>
        <v>-3.2063994642636831E-2</v>
      </c>
      <c r="Z36" s="6">
        <f>Imports!E298</f>
        <v>-0.12221818300660603</v>
      </c>
      <c r="AB36" s="67">
        <f>Government!A298</f>
        <v>43831</v>
      </c>
      <c r="AC36" s="5">
        <f>Government!B298</f>
        <v>3387.944</v>
      </c>
      <c r="AD36" s="6">
        <f>Government!C298</f>
        <v>8.0616510704137508E-3</v>
      </c>
      <c r="AE36" s="6">
        <f>Government!E298</f>
        <v>3.2638645527111043E-2</v>
      </c>
      <c r="AG36" s="67">
        <f>GDPPriceIndex!A298</f>
        <v>43831</v>
      </c>
      <c r="AH36" s="5">
        <f>GDPPriceIndex!B298</f>
        <v>113.42700000000001</v>
      </c>
      <c r="AI36" s="6">
        <f>GDPPriceIndex!C298</f>
        <v>4.5788681250554433E-3</v>
      </c>
      <c r="AJ36" s="6">
        <f>GDPPriceIndex!D298</f>
        <v>1.6735389028325606E-2</v>
      </c>
      <c r="AL36" s="67">
        <f>CorePCE!A298</f>
        <v>43831</v>
      </c>
      <c r="AM36" s="5">
        <f>CorePCE!B298</f>
        <v>113.119</v>
      </c>
      <c r="AN36" s="6">
        <f>CorePCE!C298</f>
        <v>4.6360027354192881E-3</v>
      </c>
      <c r="AO36" s="6">
        <f>CorePCE!D298</f>
        <v>1.6982828373640166E-2</v>
      </c>
    </row>
    <row r="37" spans="3:41" s="76" customFormat="1" x14ac:dyDescent="0.35">
      <c r="C37" s="67">
        <f>'U.S. GDP'!A299</f>
        <v>43922</v>
      </c>
      <c r="D37" s="5">
        <f>'U.S. GDP'!B299</f>
        <v>17378.712</v>
      </c>
      <c r="E37" s="6">
        <f>'U.S. GDP'!C299</f>
        <v>-8.4843361544679877E-2</v>
      </c>
      <c r="F37" s="6">
        <f>'U.S. GDP'!E299</f>
        <v>-0.29857419774143357</v>
      </c>
      <c r="H37" s="67">
        <f>PersonalConsumption!A299</f>
        <v>43922</v>
      </c>
      <c r="I37" s="5">
        <f>PersonalConsumption!B299</f>
        <v>11817.147000000001</v>
      </c>
      <c r="J37" s="6">
        <f>PersonalConsumption!C299</f>
        <v>-9.2158411277776645E-2</v>
      </c>
      <c r="K37" s="6">
        <f>PersonalConsumption!E299</f>
        <v>-0.3207333437484402</v>
      </c>
      <c r="M37" s="67">
        <f>PrivateInvestment!A299</f>
        <v>43922</v>
      </c>
      <c r="N37" s="5">
        <f>PrivateInvestment!B299</f>
        <v>2884.223</v>
      </c>
      <c r="O37" s="6">
        <f>PrivateInvestment!C299</f>
        <v>-0.15415778195322241</v>
      </c>
      <c r="P37" s="6">
        <f>PrivateInvestment!E299</f>
        <v>-0.4881326456497469</v>
      </c>
      <c r="R37" s="67">
        <f>Exports!A299</f>
        <v>43922</v>
      </c>
      <c r="S37" s="5">
        <f>Exports!B299</f>
        <v>1951.3679999999999</v>
      </c>
      <c r="T37" s="6">
        <f>Exports!C299</f>
        <v>-0.20910921394364057</v>
      </c>
      <c r="U37" s="6">
        <f>Exports!E299</f>
        <v>-0.60873944736065044</v>
      </c>
      <c r="W37" s="67">
        <f>Imports!A299</f>
        <v>43922</v>
      </c>
      <c r="X37" s="5">
        <f>Imports!B299</f>
        <v>2718.6190000000001</v>
      </c>
      <c r="Y37" s="6">
        <f>Imports!C299</f>
        <v>-0.17504937804449891</v>
      </c>
      <c r="Z37" s="6">
        <f>Imports!E299</f>
        <v>-0.53686050559250598</v>
      </c>
      <c r="AB37" s="67">
        <f>Government!A299</f>
        <v>43922</v>
      </c>
      <c r="AC37" s="5">
        <f>Government!B299</f>
        <v>3448.0430000000001</v>
      </c>
      <c r="AD37" s="6">
        <f>Government!C299</f>
        <v>1.7739077151216243E-2</v>
      </c>
      <c r="AE37" s="6">
        <f>Government!E299</f>
        <v>7.2866784940539331E-2</v>
      </c>
      <c r="AG37" s="67">
        <f>GDPPriceIndex!A299</f>
        <v>43922</v>
      </c>
      <c r="AH37" s="5">
        <f>GDPPriceIndex!B299</f>
        <v>113.053</v>
      </c>
      <c r="AI37" s="6">
        <f>GDPPriceIndex!C299</f>
        <v>-3.2972748992745062E-3</v>
      </c>
      <c r="AJ37" s="6">
        <f>GDPPriceIndex!D299</f>
        <v>7.7462026670469921E-3</v>
      </c>
      <c r="AL37" s="67">
        <f>CorePCE!A299</f>
        <v>43922</v>
      </c>
      <c r="AM37" s="5">
        <f>CorePCE!B299</f>
        <v>112.846</v>
      </c>
      <c r="AN37" s="6">
        <f>CorePCE!C299</f>
        <v>-2.4133876713902714E-3</v>
      </c>
      <c r="AO37" s="6">
        <f>CorePCE!D299</f>
        <v>9.2837721808814808E-3</v>
      </c>
    </row>
    <row r="38" spans="3:41" s="76" customFormat="1" x14ac:dyDescent="0.35">
      <c r="C38" s="67">
        <f>'U.S. GDP'!A300</f>
        <v>44013</v>
      </c>
      <c r="D38" s="5">
        <f>'U.S. GDP'!B300</f>
        <v>18743.72</v>
      </c>
      <c r="E38" s="6">
        <f>'U.S. GDP'!C300</f>
        <v>7.854483117045738E-2</v>
      </c>
      <c r="F38" s="6">
        <f>'U.S. GDP'!E300</f>
        <v>0.35317139137290665</v>
      </c>
      <c r="H38" s="67">
        <f>PersonalConsumption!A300</f>
        <v>44013</v>
      </c>
      <c r="I38" s="5">
        <f>PersonalConsumption!B300</f>
        <v>12922.380999999999</v>
      </c>
      <c r="J38" s="6">
        <f>PersonalConsumption!C300</f>
        <v>9.352798945464573E-2</v>
      </c>
      <c r="K38" s="6">
        <f>PersonalConsumption!E300</f>
        <v>0.42994592384647068</v>
      </c>
      <c r="M38" s="67">
        <f>PrivateInvestment!A300</f>
        <v>44013</v>
      </c>
      <c r="N38" s="5">
        <f>PrivateInvestment!B300</f>
        <v>3394.1419999999998</v>
      </c>
      <c r="O38" s="6">
        <f>PrivateInvestment!C300</f>
        <v>0.17679596896633856</v>
      </c>
      <c r="P38" s="6">
        <f>PrivateInvestment!E300</f>
        <v>0.91780606750970684</v>
      </c>
      <c r="R38" s="67">
        <f>Exports!A300</f>
        <v>44013</v>
      </c>
      <c r="S38" s="5">
        <f>Exports!B300</f>
        <v>2193.0329999999999</v>
      </c>
      <c r="T38" s="6">
        <f>Exports!C300</f>
        <v>0.1238438879801247</v>
      </c>
      <c r="U38" s="6">
        <f>Exports!E300</f>
        <v>0.59523236420324976</v>
      </c>
      <c r="W38" s="67">
        <f>Imports!A300</f>
        <v>44013</v>
      </c>
      <c r="X38" s="5">
        <f>Imports!B300</f>
        <v>3184.18</v>
      </c>
      <c r="Y38" s="6">
        <f>Imports!C300</f>
        <v>0.171249079036084</v>
      </c>
      <c r="Z38" s="6">
        <f>Imports!E300</f>
        <v>0.88190219854560215</v>
      </c>
      <c r="AB38" s="67">
        <f>Government!A300</f>
        <v>44013</v>
      </c>
      <c r="AC38" s="5">
        <f>Government!B300</f>
        <v>3395.877</v>
      </c>
      <c r="AD38" s="6">
        <f>Government!C300</f>
        <v>-1.5129161672287778E-2</v>
      </c>
      <c r="AE38" s="6">
        <f>Government!E300</f>
        <v>-5.9157096848406865E-2</v>
      </c>
      <c r="AG38" s="67">
        <f>GDPPriceIndex!A300</f>
        <v>44013</v>
      </c>
      <c r="AH38" s="5">
        <f>GDPPriceIndex!B300</f>
        <v>114.032</v>
      </c>
      <c r="AI38" s="6">
        <f>GDPPriceIndex!C300</f>
        <v>8.6596552059653373E-3</v>
      </c>
      <c r="AJ38" s="6">
        <f>GDPPriceIndex!D300</f>
        <v>1.3095470779509137E-2</v>
      </c>
      <c r="AL38" s="67">
        <f>CorePCE!A300</f>
        <v>44013</v>
      </c>
      <c r="AM38" s="5">
        <f>CorePCE!B300</f>
        <v>113.729</v>
      </c>
      <c r="AN38" s="6">
        <f>CorePCE!C300</f>
        <v>7.8248232103928853E-3</v>
      </c>
      <c r="AO38" s="6">
        <f>CorePCE!D300</f>
        <v>1.3130818226359661E-2</v>
      </c>
    </row>
    <row r="39" spans="3:41" s="76" customFormat="1" x14ac:dyDescent="0.35">
      <c r="C39" s="67">
        <f>'U.S. GDP'!A301</f>
        <v>44105</v>
      </c>
      <c r="D39" s="5">
        <f>'U.S. GDP'!B301</f>
        <v>18924.261999999999</v>
      </c>
      <c r="E39" s="6">
        <f>'U.S. GDP'!C301</f>
        <v>9.6321327890086725E-3</v>
      </c>
      <c r="F39" s="6">
        <f>'U.S. GDP'!E301</f>
        <v>3.9088782255552346E-2</v>
      </c>
      <c r="H39" s="67">
        <f>PersonalConsumption!A301</f>
        <v>44105</v>
      </c>
      <c r="I39" s="5">
        <f>PersonalConsumption!B301</f>
        <v>13046.614</v>
      </c>
      <c r="J39" s="6">
        <f>PersonalConsumption!C301</f>
        <v>9.6137855709408498E-3</v>
      </c>
      <c r="K39" s="6">
        <f>PersonalConsumption!E301</f>
        <v>3.9013254275786835E-2</v>
      </c>
      <c r="M39" s="67">
        <f>PrivateInvestment!A301</f>
        <v>44105</v>
      </c>
      <c r="N39" s="5">
        <f>PrivateInvestment!B301</f>
        <v>3537.645</v>
      </c>
      <c r="O39" s="6">
        <f>PrivateInvestment!C301</f>
        <v>4.2279609986853872E-2</v>
      </c>
      <c r="P39" s="6">
        <f>PrivateInvestment!E301</f>
        <v>0.18014933813663414</v>
      </c>
      <c r="R39" s="67">
        <f>Exports!A301</f>
        <v>44105</v>
      </c>
      <c r="S39" s="5">
        <f>Exports!B301</f>
        <v>2315.0329999999999</v>
      </c>
      <c r="T39" s="6">
        <f>Exports!C301</f>
        <v>5.563071782321561E-2</v>
      </c>
      <c r="U39" s="6">
        <f>Exports!E301</f>
        <v>0.24178976814112363</v>
      </c>
      <c r="W39" s="67">
        <f>Imports!A301</f>
        <v>44105</v>
      </c>
      <c r="X39" s="5">
        <f>Imports!B301</f>
        <v>3419.0010000000002</v>
      </c>
      <c r="Y39" s="6">
        <f>Imports!C301</f>
        <v>7.3746145004365452E-2</v>
      </c>
      <c r="Z39" s="6">
        <f>Imports!E301</f>
        <v>0.32924939249133001</v>
      </c>
      <c r="AB39" s="67">
        <f>Government!A301</f>
        <v>44105</v>
      </c>
      <c r="AC39" s="5">
        <f>Government!B301</f>
        <v>3394.7950000000001</v>
      </c>
      <c r="AD39" s="6">
        <f>Government!C301</f>
        <v>-3.1862166974830949E-4</v>
      </c>
      <c r="AE39" s="6">
        <f>Government!E301</f>
        <v>-1.2738776897577297E-3</v>
      </c>
      <c r="AG39" s="67">
        <f>GDPPriceIndex!A301</f>
        <v>44105</v>
      </c>
      <c r="AH39" s="5">
        <f>GDPPriceIndex!B301</f>
        <v>114.744</v>
      </c>
      <c r="AI39" s="6">
        <f>GDPPriceIndex!C301</f>
        <v>6.2438613722464158E-3</v>
      </c>
      <c r="AJ39" s="6">
        <f>GDPPriceIndex!D301</f>
        <v>1.6243025418474919E-2</v>
      </c>
      <c r="AL39" s="67">
        <f>CorePCE!A301</f>
        <v>44105</v>
      </c>
      <c r="AM39" s="5">
        <f>CorePCE!B301</f>
        <v>114.163</v>
      </c>
      <c r="AN39" s="6">
        <f>CorePCE!C301</f>
        <v>3.8160891241459743E-3</v>
      </c>
      <c r="AO39" s="6">
        <f>CorePCE!D301</f>
        <v>1.3908008206257738E-2</v>
      </c>
    </row>
    <row r="40" spans="3:41" s="76" customFormat="1" x14ac:dyDescent="0.35">
      <c r="C40" s="67">
        <f>'U.S. GDP'!A302</f>
        <v>44197</v>
      </c>
      <c r="D40" s="5">
        <f>'U.S. GDP'!B302</f>
        <v>19216.223999999998</v>
      </c>
      <c r="E40" s="6">
        <f>'U.S. GDP'!C302</f>
        <v>1.5427919989693629E-2</v>
      </c>
      <c r="F40" s="6">
        <f>'U.S. GDP'!E302</f>
        <v>6.3154549562086215E-2</v>
      </c>
      <c r="H40" s="67">
        <f>PersonalConsumption!A302</f>
        <v>44197</v>
      </c>
      <c r="I40" s="5">
        <f>PersonalConsumption!B302</f>
        <v>13386.763000000001</v>
      </c>
      <c r="J40" s="6">
        <f>PersonalConsumption!C302</f>
        <v>2.6071822160140652E-2</v>
      </c>
      <c r="K40" s="6">
        <f>PersonalConsumption!E302</f>
        <v>0.10843707838368166</v>
      </c>
      <c r="M40" s="67">
        <f>PrivateInvestment!A302</f>
        <v>44197</v>
      </c>
      <c r="N40" s="5">
        <f>PrivateInvestment!B302</f>
        <v>3489.2939999999999</v>
      </c>
      <c r="O40" s="6">
        <f>PrivateInvestment!C302</f>
        <v>-1.3667566983120159E-2</v>
      </c>
      <c r="P40" s="6">
        <f>PrivateInvestment!E302</f>
        <v>-5.3559631250480799E-2</v>
      </c>
      <c r="R40" s="67">
        <f>Exports!A302</f>
        <v>44197</v>
      </c>
      <c r="S40" s="5">
        <f>Exports!B302</f>
        <v>2317.5050000000001</v>
      </c>
      <c r="T40" s="6">
        <f>Exports!C302</f>
        <v>1.0678033531272373E-3</v>
      </c>
      <c r="U40" s="6">
        <f>Exports!E302</f>
        <v>4.2780595078695249E-3</v>
      </c>
      <c r="W40" s="67">
        <f>Imports!A302</f>
        <v>44197</v>
      </c>
      <c r="X40" s="5">
        <f>Imports!B302</f>
        <v>3482.0349999999999</v>
      </c>
      <c r="Y40" s="6">
        <f>Imports!C302</f>
        <v>1.8436379515536745E-2</v>
      </c>
      <c r="Z40" s="6">
        <f>Imports!E302</f>
        <v>7.5810100240262912E-2</v>
      </c>
      <c r="AB40" s="67">
        <f>Government!A302</f>
        <v>44197</v>
      </c>
      <c r="AC40" s="5">
        <f>Government!B302</f>
        <v>3448.7429999999999</v>
      </c>
      <c r="AD40" s="6">
        <f>Government!C302</f>
        <v>1.5891386666941558E-2</v>
      </c>
      <c r="AE40" s="6">
        <f>Government!E302</f>
        <v>6.509688006318437E-2</v>
      </c>
      <c r="AG40" s="67">
        <f>GDPPriceIndex!A302</f>
        <v>44197</v>
      </c>
      <c r="AH40" s="5">
        <f>GDPPriceIndex!B302</f>
        <v>116.199</v>
      </c>
      <c r="AI40" s="6">
        <f>GDPPriceIndex!C302</f>
        <v>1.2680401589625587E-2</v>
      </c>
      <c r="AJ40" s="6">
        <f>GDPPriceIndex!D302</f>
        <v>2.4438625724033883E-2</v>
      </c>
      <c r="AL40" s="67">
        <f>CorePCE!A302</f>
        <v>44197</v>
      </c>
      <c r="AM40" s="5">
        <f>CorePCE!B302</f>
        <v>115.072</v>
      </c>
      <c r="AN40" s="6">
        <f>CorePCE!C302</f>
        <v>7.9622995191086961E-3</v>
      </c>
      <c r="AO40" s="6">
        <f>CorePCE!D302</f>
        <v>1.7265004110715292E-2</v>
      </c>
    </row>
    <row r="41" spans="3:41" s="76" customFormat="1" x14ac:dyDescent="0.35">
      <c r="C41" s="67">
        <f>'U.S. GDP'!A303</f>
        <v>44287</v>
      </c>
      <c r="D41" s="5">
        <f>'U.S. GDP'!B303</f>
        <v>19544.248</v>
      </c>
      <c r="E41" s="6">
        <f>'U.S. GDP'!C303</f>
        <v>1.7070159048937047E-2</v>
      </c>
      <c r="F41" s="6">
        <f>'U.S. GDP'!E303</f>
        <v>7.0048959400919264E-2</v>
      </c>
      <c r="H41" s="67">
        <f>PersonalConsumption!A303</f>
        <v>44287</v>
      </c>
      <c r="I41" s="5">
        <f>PersonalConsumption!B303</f>
        <v>13773.688</v>
      </c>
      <c r="J41" s="6">
        <f>PersonalConsumption!C303</f>
        <v>2.8903551963981079E-2</v>
      </c>
      <c r="K41" s="6">
        <f>PersonalConsumption!E303</f>
        <v>0.12072398355148772</v>
      </c>
      <c r="M41" s="67">
        <f>PrivateInvestment!A303</f>
        <v>44287</v>
      </c>
      <c r="N41" s="5">
        <f>PrivateInvestment!B303</f>
        <v>3496.8670000000002</v>
      </c>
      <c r="O41" s="6">
        <f>PrivateInvestment!C303</f>
        <v>2.1703530857532555E-3</v>
      </c>
      <c r="P41" s="6">
        <f>PrivateInvestment!E303</f>
        <v>8.7097158535096586E-3</v>
      </c>
      <c r="R41" s="67">
        <f>Exports!A303</f>
        <v>44287</v>
      </c>
      <c r="S41" s="5">
        <f>Exports!B303</f>
        <v>2345.1320000000001</v>
      </c>
      <c r="T41" s="6">
        <f>Exports!C303</f>
        <v>1.1921009879158815E-2</v>
      </c>
      <c r="U41" s="6">
        <f>Exports!E303</f>
        <v>4.8543498972836385E-2</v>
      </c>
      <c r="W41" s="67">
        <f>Imports!A303</f>
        <v>44287</v>
      </c>
      <c r="X41" s="5">
        <f>Imports!B303</f>
        <v>3549.002</v>
      </c>
      <c r="Y41" s="6">
        <f>Imports!C303</f>
        <v>1.9232144421293899E-2</v>
      </c>
      <c r="Z41" s="6">
        <f>Imports!E303</f>
        <v>7.9176420754051291E-2</v>
      </c>
      <c r="AB41" s="67">
        <f>Government!A303</f>
        <v>44287</v>
      </c>
      <c r="AC41" s="5">
        <f>Government!B303</f>
        <v>3422.3629999999998</v>
      </c>
      <c r="AD41" s="6">
        <f>Government!C303</f>
        <v>-7.6491637677844103E-3</v>
      </c>
      <c r="AE41" s="6">
        <f>Government!E303</f>
        <v>-3.024738361097723E-2</v>
      </c>
      <c r="AG41" s="67">
        <f>GDPPriceIndex!A303</f>
        <v>44287</v>
      </c>
      <c r="AH41" s="5">
        <f>GDPPriceIndex!B303</f>
        <v>117.974</v>
      </c>
      <c r="AI41" s="6">
        <f>GDPPriceIndex!C303</f>
        <v>1.527551872219215E-2</v>
      </c>
      <c r="AJ41" s="6">
        <f>GDPPriceIndex!D303</f>
        <v>4.3528256658381524E-2</v>
      </c>
      <c r="AL41" s="67">
        <f>CorePCE!A303</f>
        <v>44287</v>
      </c>
      <c r="AM41" s="5">
        <f>CorePCE!B303</f>
        <v>116.774</v>
      </c>
      <c r="AN41" s="6">
        <f>CorePCE!C303</f>
        <v>1.4790739710789751E-2</v>
      </c>
      <c r="AO41" s="6">
        <f>CorePCE!D303</f>
        <v>3.4808500079754681E-2</v>
      </c>
    </row>
    <row r="42" spans="3:41" s="76" customFormat="1" x14ac:dyDescent="0.35">
      <c r="C42" s="67">
        <f>'U.S. GDP'!A304</f>
        <v>44378</v>
      </c>
      <c r="D42" s="5">
        <f>'U.S. GDP'!B304</f>
        <v>19672.594000000001</v>
      </c>
      <c r="E42" s="6">
        <f>'U.S. GDP'!C304</f>
        <v>6.5669449139205242E-3</v>
      </c>
      <c r="F42" s="6">
        <f>'U.S. GDP'!E304</f>
        <v>2.6527662900279969E-2</v>
      </c>
      <c r="H42" s="67">
        <f>PersonalConsumption!A304</f>
        <v>44378</v>
      </c>
      <c r="I42" s="5">
        <f>PersonalConsumption!B304</f>
        <v>13874.396000000001</v>
      </c>
      <c r="J42" s="6">
        <f>PersonalConsumption!C304</f>
        <v>7.311621985339042E-3</v>
      </c>
      <c r="K42" s="6">
        <f>PersonalConsumption!E304</f>
        <v>2.9568813207512701E-2</v>
      </c>
      <c r="M42" s="67">
        <f>PrivateInvestment!A304</f>
        <v>44378</v>
      </c>
      <c r="N42" s="5">
        <f>PrivateInvestment!B304</f>
        <v>3584.05</v>
      </c>
      <c r="O42" s="6">
        <f>PrivateInvestment!C304</f>
        <v>2.493174604581758E-2</v>
      </c>
      <c r="P42" s="6">
        <f>PrivateInvestment!E304</f>
        <v>0.10351891181684758</v>
      </c>
      <c r="R42" s="67">
        <f>Exports!A304</f>
        <v>44378</v>
      </c>
      <c r="S42" s="5">
        <f>Exports!B304</f>
        <v>2338.8249999999998</v>
      </c>
      <c r="T42" s="6">
        <f>Exports!C304</f>
        <v>-2.6894008524894308E-3</v>
      </c>
      <c r="U42" s="6">
        <f>Exports!E304</f>
        <v>-1.0714283904392885E-2</v>
      </c>
      <c r="W42" s="67">
        <f>Imports!A304</f>
        <v>44378</v>
      </c>
      <c r="X42" s="5">
        <f>Imports!B304</f>
        <v>3606.2829999999999</v>
      </c>
      <c r="Y42" s="6">
        <f>Imports!C304</f>
        <v>1.6140030352194773E-2</v>
      </c>
      <c r="Z42" s="6">
        <f>Imports!E304</f>
        <v>6.6140010697006923E-2</v>
      </c>
      <c r="AB42" s="67">
        <f>Government!A304</f>
        <v>44378</v>
      </c>
      <c r="AC42" s="5">
        <f>Government!B304</f>
        <v>3421.0459999999998</v>
      </c>
      <c r="AD42" s="6">
        <f>Government!C304</f>
        <v>-3.8482183216684128E-4</v>
      </c>
      <c r="AE42" s="6">
        <f>Government!E304</f>
        <v>-1.5383990295398942E-3</v>
      </c>
      <c r="AG42" s="67">
        <f>GDPPriceIndex!A304</f>
        <v>44378</v>
      </c>
      <c r="AH42" s="5">
        <f>GDPPriceIndex!B304</f>
        <v>119.76300000000001</v>
      </c>
      <c r="AI42" s="6">
        <f>GDPPriceIndex!C304</f>
        <v>1.5164358248427632E-2</v>
      </c>
      <c r="AJ42" s="6">
        <f>GDPPriceIndex!D304</f>
        <v>5.0257822365651822E-2</v>
      </c>
      <c r="AL42" s="67">
        <f>CorePCE!A304</f>
        <v>44378</v>
      </c>
      <c r="AM42" s="5">
        <f>CorePCE!B304</f>
        <v>118.152</v>
      </c>
      <c r="AN42" s="6">
        <f>CorePCE!C304</f>
        <v>1.1800572045147038E-2</v>
      </c>
      <c r="AO42" s="6">
        <f>CorePCE!D304</f>
        <v>3.8890696304372689E-2</v>
      </c>
    </row>
    <row r="43" spans="3:41" s="76" customFormat="1" x14ac:dyDescent="0.35">
      <c r="C43" s="67">
        <f>'U.S. GDP'!A305</f>
        <v>44470</v>
      </c>
      <c r="D43" s="5">
        <f>'U.S. GDP'!B305</f>
        <v>20006.181</v>
      </c>
      <c r="E43" s="6">
        <f>'U.S. GDP'!C305</f>
        <v>1.6956940198125346E-2</v>
      </c>
      <c r="F43" s="6">
        <f>'U.S. GDP'!E305</f>
        <v>6.9572573442330254E-2</v>
      </c>
      <c r="H43" s="67">
        <f>PersonalConsumption!A305</f>
        <v>44470</v>
      </c>
      <c r="I43" s="5">
        <f>PersonalConsumption!B305</f>
        <v>13981.513999999999</v>
      </c>
      <c r="J43" s="6">
        <f>PersonalConsumption!C305</f>
        <v>7.7205523036821613E-3</v>
      </c>
      <c r="K43" s="6">
        <f>PersonalConsumption!E305</f>
        <v>3.1241695128574998E-2</v>
      </c>
      <c r="M43" s="67">
        <f>PrivateInvestment!A305</f>
        <v>44470</v>
      </c>
      <c r="N43" s="5">
        <f>PrivateInvestment!B305</f>
        <v>3841.7710000000002</v>
      </c>
      <c r="O43" s="6">
        <f>PrivateInvestment!C305</f>
        <v>7.1907757983287066E-2</v>
      </c>
      <c r="P43" s="6">
        <f>PrivateInvestment!E305</f>
        <v>0.3201693834429844</v>
      </c>
      <c r="R43" s="67">
        <f>Exports!A305</f>
        <v>44470</v>
      </c>
      <c r="S43" s="5">
        <f>Exports!B305</f>
        <v>2465.672</v>
      </c>
      <c r="T43" s="6">
        <f>Exports!C305</f>
        <v>5.4235353222237756E-2</v>
      </c>
      <c r="U43" s="6">
        <f>Exports!E305</f>
        <v>0.23523703381593442</v>
      </c>
      <c r="W43" s="67">
        <f>Imports!A305</f>
        <v>44470</v>
      </c>
      <c r="X43" s="5">
        <f>Imports!B305</f>
        <v>3763.3159999999998</v>
      </c>
      <c r="Y43" s="6">
        <f>Imports!C305</f>
        <v>4.354428091195281E-2</v>
      </c>
      <c r="Z43" s="6">
        <f>Imports!E305</f>
        <v>0.1858876032710941</v>
      </c>
      <c r="AB43" s="67">
        <f>Government!A305</f>
        <v>44470</v>
      </c>
      <c r="AC43" s="5">
        <f>Government!B305</f>
        <v>3412.8580000000002</v>
      </c>
      <c r="AD43" s="6">
        <f>Government!C305</f>
        <v>-2.393420024167944E-3</v>
      </c>
      <c r="AE43" s="6">
        <f>Government!E305</f>
        <v>-9.5393641498220383E-3</v>
      </c>
      <c r="AG43" s="67">
        <f>GDPPriceIndex!A305</f>
        <v>44470</v>
      </c>
      <c r="AH43" s="5">
        <f>GDPPriceIndex!B305</f>
        <v>121.758</v>
      </c>
      <c r="AI43" s="6">
        <f>GDPPriceIndex!C305</f>
        <v>1.6657899351218575E-2</v>
      </c>
      <c r="AJ43" s="6">
        <f>GDPPriceIndex!D305</f>
        <v>6.1127379209370385E-2</v>
      </c>
      <c r="AL43" s="67">
        <f>CorePCE!A305</f>
        <v>44470</v>
      </c>
      <c r="AM43" s="5">
        <f>CorePCE!B305</f>
        <v>119.55500000000001</v>
      </c>
      <c r="AN43" s="6">
        <f>CorePCE!C305</f>
        <v>1.1874534497934913E-2</v>
      </c>
      <c r="AO43" s="6">
        <f>CorePCE!D305</f>
        <v>4.7230713979135183E-2</v>
      </c>
    </row>
    <row r="44" spans="3:41" s="76" customFormat="1" x14ac:dyDescent="0.35">
      <c r="C44" s="67">
        <f>'U.S. GDP'!A306</f>
        <v>44562</v>
      </c>
      <c r="D44" s="5">
        <f>'U.S. GDP'!B306</f>
        <v>19924.088</v>
      </c>
      <c r="E44" s="6">
        <f>'U.S. GDP'!C306</f>
        <v>-4.1033818498393453E-3</v>
      </c>
      <c r="F44" s="6">
        <f>'U.S. GDP'!E306</f>
        <v>-1.6312777026963876E-2</v>
      </c>
      <c r="H44" s="67">
        <f>PersonalConsumption!A306</f>
        <v>44562</v>
      </c>
      <c r="I44" s="5">
        <f>PersonalConsumption!B306</f>
        <v>14028.383</v>
      </c>
      <c r="J44" s="6">
        <f>PersonalConsumption!C306</f>
        <v>3.3522120708816367E-3</v>
      </c>
      <c r="K44" s="6">
        <f>PersonalConsumption!E306</f>
        <v>1.3476423044008978E-2</v>
      </c>
      <c r="M44" s="67">
        <f>PrivateInvestment!A306</f>
        <v>44562</v>
      </c>
      <c r="N44" s="5">
        <f>PrivateInvestment!B306</f>
        <v>3892.48</v>
      </c>
      <c r="O44" s="6">
        <f>PrivateInvestment!C306</f>
        <v>1.3199381222878675E-2</v>
      </c>
      <c r="P44" s="6">
        <f>PrivateInvestment!E306</f>
        <v>5.3852095811673717E-2</v>
      </c>
      <c r="R44" s="67">
        <f>Exports!A306</f>
        <v>44562</v>
      </c>
      <c r="S44" s="5">
        <f>Exports!B306</f>
        <v>2436.9340000000002</v>
      </c>
      <c r="T44" s="6">
        <f>Exports!C306</f>
        <v>-1.1655240437495266E-2</v>
      </c>
      <c r="U44" s="6">
        <f>Exports!E306</f>
        <v>-4.5812208725565573E-2</v>
      </c>
      <c r="W44" s="67">
        <f>Imports!A306</f>
        <v>44562</v>
      </c>
      <c r="X44" s="5">
        <f>Imports!B306</f>
        <v>3925.6329999999998</v>
      </c>
      <c r="Y44" s="6">
        <f>Imports!C306</f>
        <v>4.3131376690131791E-2</v>
      </c>
      <c r="Z44" s="6">
        <f>Imports!E306</f>
        <v>0.18401181336712558</v>
      </c>
      <c r="AB44" s="67">
        <f>Government!A306</f>
        <v>44562</v>
      </c>
      <c r="AC44" s="5">
        <f>Government!B306</f>
        <v>3393.3890000000001</v>
      </c>
      <c r="AD44" s="6">
        <f>Government!C306</f>
        <v>-5.7046030042855727E-3</v>
      </c>
      <c r="AE44" s="6">
        <f>Government!E306</f>
        <v>-2.2623898553578159E-2</v>
      </c>
      <c r="AG44" s="67">
        <f>GDPPriceIndex!A306</f>
        <v>44562</v>
      </c>
      <c r="AH44" s="5">
        <f>GDPPriceIndex!B306</f>
        <v>124.209</v>
      </c>
      <c r="AI44" s="6">
        <f>GDPPriceIndex!C306</f>
        <v>2.0130094121125576E-2</v>
      </c>
      <c r="AJ44" s="6">
        <f>GDPPriceIndex!D306</f>
        <v>6.8933467585779618E-2</v>
      </c>
      <c r="AL44" s="67">
        <f>CorePCE!A306</f>
        <v>44562</v>
      </c>
      <c r="AM44" s="5">
        <f>CorePCE!B306</f>
        <v>121.206</v>
      </c>
      <c r="AN44" s="6">
        <f>CorePCE!C306</f>
        <v>1.3809543724645528E-2</v>
      </c>
      <c r="AO44" s="6">
        <f>CorePCE!D306</f>
        <v>5.3305756395995552E-2</v>
      </c>
    </row>
    <row r="45" spans="3:41" s="76" customFormat="1" x14ac:dyDescent="0.35">
      <c r="C45" s="67">
        <f>'U.S. GDP'!A307</f>
        <v>44652</v>
      </c>
      <c r="D45" s="5">
        <f>'U.S. GDP'!B307</f>
        <v>19895.271000000001</v>
      </c>
      <c r="E45" s="6">
        <f>'U.S. GDP'!C307</f>
        <v>-1.4463397270680143E-3</v>
      </c>
      <c r="F45" s="6">
        <f>'U.S. GDP'!E307</f>
        <v>-5.7728196146434874E-3</v>
      </c>
      <c r="H45" s="67">
        <f>PersonalConsumption!A307</f>
        <v>44652</v>
      </c>
      <c r="I45" s="5">
        <f>PersonalConsumption!B307</f>
        <v>14099.456</v>
      </c>
      <c r="J45" s="6">
        <f>PersonalConsumption!C307</f>
        <v>5.0663715126683037E-3</v>
      </c>
      <c r="K45" s="6">
        <f>PersonalConsumption!E307</f>
        <v>2.0420015608285436E-2</v>
      </c>
      <c r="M45" s="67">
        <f>PrivateInvestment!A307</f>
        <v>44652</v>
      </c>
      <c r="N45" s="5">
        <f>PrivateInvestment!B307</f>
        <v>3746.973</v>
      </c>
      <c r="O45" s="6">
        <f>PrivateInvestment!C307</f>
        <v>-3.738156650772774E-2</v>
      </c>
      <c r="P45" s="6">
        <f>PrivateInvestment!E307</f>
        <v>-0.14134896950847808</v>
      </c>
      <c r="R45" s="67">
        <f>Exports!A307</f>
        <v>44652</v>
      </c>
      <c r="S45" s="5">
        <f>Exports!B307</f>
        <v>2516.9279999999999</v>
      </c>
      <c r="T45" s="6">
        <f>Exports!C307</f>
        <v>3.2825673571791308E-2</v>
      </c>
      <c r="U45" s="6">
        <f>Exports!E307</f>
        <v>0.13791048633497649</v>
      </c>
      <c r="W45" s="67">
        <f>Imports!A307</f>
        <v>44652</v>
      </c>
      <c r="X45" s="5">
        <f>Imports!B307</f>
        <v>3947.4720000000002</v>
      </c>
      <c r="Y45" s="6">
        <f>Imports!C307</f>
        <v>5.5631792375905736E-3</v>
      </c>
      <c r="Z45" s="6">
        <f>Imports!E307</f>
        <v>2.2439100386096422E-2</v>
      </c>
      <c r="AB45" s="67">
        <f>Government!A307</f>
        <v>44652</v>
      </c>
      <c r="AC45" s="5">
        <f>Government!B307</f>
        <v>3379.4989999999998</v>
      </c>
      <c r="AD45" s="6">
        <f>Government!C307</f>
        <v>-4.093253087105642E-3</v>
      </c>
      <c r="AE45" s="6">
        <f>Government!E307</f>
        <v>-1.6272758067942372E-2</v>
      </c>
      <c r="AG45" s="67">
        <f>GDPPriceIndex!A307</f>
        <v>44652</v>
      </c>
      <c r="AH45" s="5">
        <f>GDPPriceIndex!B307</f>
        <v>126.914</v>
      </c>
      <c r="AI45" s="6">
        <f>GDPPriceIndex!C307</f>
        <v>2.1777809981563319E-2</v>
      </c>
      <c r="AJ45" s="6">
        <f>GDPPriceIndex!D307</f>
        <v>7.5779409022326938E-2</v>
      </c>
      <c r="AL45" s="67">
        <f>CorePCE!A307</f>
        <v>44652</v>
      </c>
      <c r="AM45" s="5">
        <f>CorePCE!B307</f>
        <v>122.592</v>
      </c>
      <c r="AN45" s="6">
        <f>CorePCE!C307</f>
        <v>1.143507747141227E-2</v>
      </c>
      <c r="AO45" s="6">
        <f>CorePCE!D307</f>
        <v>4.9822734512819614E-2</v>
      </c>
    </row>
    <row r="46" spans="3:41" s="76" customFormat="1" x14ac:dyDescent="0.35">
      <c r="C46" s="67">
        <f>'U.S. GDP'!A308</f>
        <v>44743</v>
      </c>
      <c r="D46" s="5">
        <f>'U.S. GDP'!B308</f>
        <v>20054.663</v>
      </c>
      <c r="E46" s="6">
        <f>'U.S. GDP'!C308</f>
        <v>8.0115520919518922E-3</v>
      </c>
      <c r="F46" s="6">
        <f>'U.S. GDP'!E308</f>
        <v>3.2433379173874011E-2</v>
      </c>
      <c r="H46" s="67">
        <f>PersonalConsumption!A308</f>
        <v>44743</v>
      </c>
      <c r="I46" s="5">
        <f>PersonalConsumption!B308</f>
        <v>14178.562</v>
      </c>
      <c r="J46" s="6">
        <f>PersonalConsumption!C308</f>
        <v>5.6105710745151987E-3</v>
      </c>
      <c r="K46" s="6">
        <f>PersonalConsumption!E308</f>
        <v>2.2631862785271073E-2</v>
      </c>
      <c r="M46" s="67">
        <f>PrivateInvestment!A308</f>
        <v>44743</v>
      </c>
      <c r="N46" s="5">
        <f>PrivateInvestment!B308</f>
        <v>3653.85</v>
      </c>
      <c r="O46" s="6">
        <f>PrivateInvestment!C308</f>
        <v>-2.4852861229584532E-2</v>
      </c>
      <c r="P46" s="6">
        <f>PrivateInvestment!E308</f>
        <v>-9.5766478082285666E-2</v>
      </c>
      <c r="R46" s="67">
        <f>Exports!A308</f>
        <v>44743</v>
      </c>
      <c r="S46" s="5">
        <f>Exports!B308</f>
        <v>2604.1370000000002</v>
      </c>
      <c r="T46" s="6">
        <f>Exports!C308</f>
        <v>3.464898479416189E-2</v>
      </c>
      <c r="U46" s="6">
        <f>Exports!E308</f>
        <v>0.14596708503808253</v>
      </c>
      <c r="W46" s="67">
        <f>Imports!A308</f>
        <v>44743</v>
      </c>
      <c r="X46" s="5">
        <f>Imports!B308</f>
        <v>3872.9079999999999</v>
      </c>
      <c r="Y46" s="6">
        <f>Imports!C308</f>
        <v>-1.888905101796803E-2</v>
      </c>
      <c r="Z46" s="6">
        <f>Imports!E308</f>
        <v>-7.3442257448305903E-2</v>
      </c>
      <c r="AB46" s="67">
        <f>Government!A308</f>
        <v>44743</v>
      </c>
      <c r="AC46" s="5">
        <f>Government!B308</f>
        <v>3410.625</v>
      </c>
      <c r="AD46" s="6">
        <f>Government!C308</f>
        <v>9.2102409262438626E-3</v>
      </c>
      <c r="AE46" s="6">
        <f>Government!E308</f>
        <v>3.7353067293459219E-2</v>
      </c>
      <c r="AG46" s="67">
        <f>GDPPriceIndex!A308</f>
        <v>44743</v>
      </c>
      <c r="AH46" s="5">
        <f>GDPPriceIndex!B308</f>
        <v>128.27600000000001</v>
      </c>
      <c r="AI46" s="6">
        <f>GDPPriceIndex!C308</f>
        <v>1.0731676568384961E-2</v>
      </c>
      <c r="AJ46" s="6">
        <f>GDPPriceIndex!D308</f>
        <v>7.108205372276917E-2</v>
      </c>
      <c r="AL46" s="67">
        <f>CorePCE!A308</f>
        <v>44743</v>
      </c>
      <c r="AM46" s="5">
        <f>CorePCE!B308</f>
        <v>123.997</v>
      </c>
      <c r="AN46" s="6">
        <f>CorePCE!C308</f>
        <v>1.1460780475071793E-2</v>
      </c>
      <c r="AO46" s="6">
        <f>CorePCE!D308</f>
        <v>4.9470174013135609E-2</v>
      </c>
    </row>
    <row r="47" spans="3:41" s="76" customFormat="1" x14ac:dyDescent="0.35">
      <c r="C47" s="67">
        <f>'U.S. GDP'!A309</f>
        <v>44835</v>
      </c>
      <c r="D47" s="5">
        <f>'U.S. GDP'!B309</f>
        <v>20198.091</v>
      </c>
      <c r="E47" s="6">
        <f>'U.S. GDP'!C309</f>
        <v>7.1518529132102533E-3</v>
      </c>
      <c r="F47" s="6">
        <f>'U.S. GDP'!E309</f>
        <v>2.8915771510115595E-2</v>
      </c>
      <c r="H47" s="67">
        <f>PersonalConsumption!A309</f>
        <v>44835</v>
      </c>
      <c r="I47" s="5">
        <f>PersonalConsumption!B309</f>
        <v>14252.163</v>
      </c>
      <c r="J47" s="6">
        <f>PersonalConsumption!C309</f>
        <v>5.1910059708453202E-3</v>
      </c>
      <c r="K47" s="6">
        <f>PersonalConsumption!E309</f>
        <v>2.0926263386095822E-2</v>
      </c>
      <c r="M47" s="67">
        <f>PrivateInvestment!A309</f>
        <v>44835</v>
      </c>
      <c r="N47" s="5">
        <f>PrivateInvestment!B309</f>
        <v>3666.902</v>
      </c>
      <c r="O47" s="6">
        <f>PrivateInvestment!C309</f>
        <v>3.5721225556605046E-3</v>
      </c>
      <c r="P47" s="6">
        <f>PrivateInvestment!E309</f>
        <v>1.4365233064763006E-2</v>
      </c>
      <c r="R47" s="67">
        <f>Exports!A309</f>
        <v>44835</v>
      </c>
      <c r="S47" s="5">
        <f>Exports!B309</f>
        <v>2595.4520000000002</v>
      </c>
      <c r="T47" s="6">
        <f>Exports!C309</f>
        <v>-3.3350779932084774E-3</v>
      </c>
      <c r="U47" s="6">
        <f>Exports!E309</f>
        <v>-1.3273723758684852E-2</v>
      </c>
      <c r="W47" s="67">
        <f>Imports!A309</f>
        <v>44835</v>
      </c>
      <c r="X47" s="5">
        <f>Imports!B309</f>
        <v>3827.8690000000001</v>
      </c>
      <c r="Y47" s="6">
        <f>Imports!C309</f>
        <v>-1.1629246034246039E-2</v>
      </c>
      <c r="Z47" s="6">
        <f>Imports!E309</f>
        <v>-4.5711820594667274E-2</v>
      </c>
      <c r="AB47" s="67">
        <f>Government!A309</f>
        <v>44835</v>
      </c>
      <c r="AC47" s="5">
        <f>Government!B309</f>
        <v>3441.9079999999999</v>
      </c>
      <c r="AD47" s="6">
        <f>Government!C309</f>
        <v>9.1722191680410192E-3</v>
      </c>
      <c r="AE47" s="6">
        <f>Government!E309</f>
        <v>3.7196747997436885E-2</v>
      </c>
      <c r="AG47" s="67">
        <f>GDPPriceIndex!A309</f>
        <v>44835</v>
      </c>
      <c r="AH47" s="5">
        <f>GDPPriceIndex!B309</f>
        <v>129.374</v>
      </c>
      <c r="AI47" s="6">
        <f>GDPPriceIndex!C309</f>
        <v>8.5596682154104008E-3</v>
      </c>
      <c r="AJ47" s="6">
        <f>GDPPriceIndex!D309</f>
        <v>6.2550304702771065E-2</v>
      </c>
      <c r="AL47" s="67">
        <f>CorePCE!A309</f>
        <v>44835</v>
      </c>
      <c r="AM47" s="5">
        <f>CorePCE!B309</f>
        <v>125.19</v>
      </c>
      <c r="AN47" s="6">
        <f>CorePCE!C309</f>
        <v>9.6212005129156179E-3</v>
      </c>
      <c r="AO47" s="6">
        <f>CorePCE!D309</f>
        <v>4.7133118648320781E-2</v>
      </c>
    </row>
    <row r="48" spans="3:41" s="76" customFormat="1" x14ac:dyDescent="0.35"/>
    <row r="49" s="76" customFormat="1" x14ac:dyDescent="0.35"/>
    <row r="50" s="76" customFormat="1" x14ac:dyDescent="0.35"/>
    <row r="51" s="76" customFormat="1" x14ac:dyDescent="0.35"/>
    <row r="52" s="76" customFormat="1" x14ac:dyDescent="0.35"/>
    <row r="53" s="76" customFormat="1" x14ac:dyDescent="0.35"/>
    <row r="54" s="76" customFormat="1" x14ac:dyDescent="0.35"/>
    <row r="55" s="76" customFormat="1" x14ac:dyDescent="0.35"/>
    <row r="56" s="76" customFormat="1" x14ac:dyDescent="0.35"/>
    <row r="57" s="76" customFormat="1" x14ac:dyDescent="0.35"/>
    <row r="58" s="76" customFormat="1" x14ac:dyDescent="0.35"/>
    <row r="59" s="76" customFormat="1" x14ac:dyDescent="0.35"/>
    <row r="60" s="76" customFormat="1" x14ac:dyDescent="0.35"/>
    <row r="61" s="76" customFormat="1" x14ac:dyDescent="0.35"/>
    <row r="62" s="76" customFormat="1" x14ac:dyDescent="0.35"/>
    <row r="63" s="76" customFormat="1" x14ac:dyDescent="0.35"/>
    <row r="64" s="76" customFormat="1" x14ac:dyDescent="0.35"/>
    <row r="65" s="76" customFormat="1" x14ac:dyDescent="0.35"/>
    <row r="66" s="76" customFormat="1" x14ac:dyDescent="0.35"/>
    <row r="67" s="76" customFormat="1" x14ac:dyDescent="0.35"/>
    <row r="68" s="76" customFormat="1" x14ac:dyDescent="0.35"/>
    <row r="69" s="76" customFormat="1" x14ac:dyDescent="0.35"/>
    <row r="70" s="76" customFormat="1" x14ac:dyDescent="0.35"/>
    <row r="71" s="76" customFormat="1" x14ac:dyDescent="0.35"/>
    <row r="72" s="76" customFormat="1" x14ac:dyDescent="0.35"/>
    <row r="73" s="76" customFormat="1" x14ac:dyDescent="0.35"/>
    <row r="74" s="76" customFormat="1" x14ac:dyDescent="0.35"/>
    <row r="75" s="76" customFormat="1" x14ac:dyDescent="0.35"/>
    <row r="76" s="76" customFormat="1" x14ac:dyDescent="0.35"/>
    <row r="77" s="76" customFormat="1" x14ac:dyDescent="0.35"/>
    <row r="78" s="76" customFormat="1" x14ac:dyDescent="0.35"/>
    <row r="79" s="76" customFormat="1" x14ac:dyDescent="0.35"/>
    <row r="80" s="76" customFormat="1" x14ac:dyDescent="0.35"/>
    <row r="81" s="76" customFormat="1" x14ac:dyDescent="0.35"/>
    <row r="82" s="76" customFormat="1" x14ac:dyDescent="0.35"/>
    <row r="83" s="76" customFormat="1" x14ac:dyDescent="0.35"/>
    <row r="84" s="76" customFormat="1" x14ac:dyDescent="0.35"/>
    <row r="85" s="76" customFormat="1" x14ac:dyDescent="0.35"/>
    <row r="86" s="76" customFormat="1" x14ac:dyDescent="0.35"/>
    <row r="87" s="76" customFormat="1" x14ac:dyDescent="0.35"/>
    <row r="88" s="76" customFormat="1" x14ac:dyDescent="0.35"/>
    <row r="89" s="76" customFormat="1" x14ac:dyDescent="0.35"/>
    <row r="90" s="76" customFormat="1" x14ac:dyDescent="0.35"/>
    <row r="91" s="76" customFormat="1" x14ac:dyDescent="0.35"/>
    <row r="92" s="76" customFormat="1" x14ac:dyDescent="0.35"/>
    <row r="93" s="76" customFormat="1" x14ac:dyDescent="0.35"/>
    <row r="94" s="76" customFormat="1" x14ac:dyDescent="0.35"/>
    <row r="95" s="76" customFormat="1" x14ac:dyDescent="0.35"/>
    <row r="96" s="76" customFormat="1" x14ac:dyDescent="0.35"/>
    <row r="97" s="76" customFormat="1" x14ac:dyDescent="0.35"/>
    <row r="98" s="76" customFormat="1" x14ac:dyDescent="0.35"/>
    <row r="99" s="76" customFormat="1" x14ac:dyDescent="0.35"/>
    <row r="100" s="76" customFormat="1" x14ac:dyDescent="0.35"/>
    <row r="101" s="76" customFormat="1" x14ac:dyDescent="0.35"/>
    <row r="102" s="76" customFormat="1" x14ac:dyDescent="0.35"/>
    <row r="103" s="76" customFormat="1" x14ac:dyDescent="0.35"/>
    <row r="104" s="76" customFormat="1" x14ac:dyDescent="0.35"/>
    <row r="105" s="76" customFormat="1" x14ac:dyDescent="0.35"/>
    <row r="106" s="76" customFormat="1" x14ac:dyDescent="0.35"/>
    <row r="107" s="76" customFormat="1" x14ac:dyDescent="0.35"/>
    <row r="108" s="76" customFormat="1" x14ac:dyDescent="0.35"/>
    <row r="109" s="76" customFormat="1" x14ac:dyDescent="0.35"/>
    <row r="110" s="76" customFormat="1" x14ac:dyDescent="0.35"/>
    <row r="111" s="76" customFormat="1" x14ac:dyDescent="0.35"/>
    <row r="112" s="76" customFormat="1" x14ac:dyDescent="0.35"/>
    <row r="113" s="76" customFormat="1" x14ac:dyDescent="0.35"/>
    <row r="114" s="76" customFormat="1" x14ac:dyDescent="0.35"/>
    <row r="115" s="76" customFormat="1" x14ac:dyDescent="0.35"/>
    <row r="116" s="76" customFormat="1" x14ac:dyDescent="0.35"/>
    <row r="117" s="76" customFormat="1" x14ac:dyDescent="0.35"/>
    <row r="118" s="76" customFormat="1" x14ac:dyDescent="0.35"/>
    <row r="119" s="76" customFormat="1" x14ac:dyDescent="0.35"/>
    <row r="120" s="76" customFormat="1" x14ac:dyDescent="0.35"/>
    <row r="121" s="76" customFormat="1" x14ac:dyDescent="0.35"/>
    <row r="122" s="76" customFormat="1" x14ac:dyDescent="0.35"/>
    <row r="123" s="76" customFormat="1" x14ac:dyDescent="0.35"/>
    <row r="124" s="76" customFormat="1" x14ac:dyDescent="0.35"/>
    <row r="125" s="76" customFormat="1" x14ac:dyDescent="0.35"/>
    <row r="126" s="76" customFormat="1" x14ac:dyDescent="0.35"/>
    <row r="127" s="76" customFormat="1" x14ac:dyDescent="0.35"/>
    <row r="128" s="76" customFormat="1" x14ac:dyDescent="0.35"/>
    <row r="129" s="76" customFormat="1" x14ac:dyDescent="0.35"/>
    <row r="130" s="76" customFormat="1" x14ac:dyDescent="0.35"/>
    <row r="131" s="76" customFormat="1" x14ac:dyDescent="0.35"/>
    <row r="132" s="76" customFormat="1" x14ac:dyDescent="0.35"/>
    <row r="133" s="76" customFormat="1" x14ac:dyDescent="0.35"/>
    <row r="134" s="76" customFormat="1" x14ac:dyDescent="0.35"/>
    <row r="135" s="76" customFormat="1" x14ac:dyDescent="0.35"/>
    <row r="136" s="76" customFormat="1" x14ac:dyDescent="0.35"/>
    <row r="137" s="76" customFormat="1" x14ac:dyDescent="0.35"/>
    <row r="138" s="76" customFormat="1" x14ac:dyDescent="0.35"/>
    <row r="139" s="76" customFormat="1" x14ac:dyDescent="0.35"/>
    <row r="140" s="76" customFormat="1" x14ac:dyDescent="0.35"/>
    <row r="141" s="76" customFormat="1" x14ac:dyDescent="0.35"/>
    <row r="142" s="76" customFormat="1" x14ac:dyDescent="0.35"/>
    <row r="143" s="76" customFormat="1" x14ac:dyDescent="0.35"/>
    <row r="144" s="76" customFormat="1" x14ac:dyDescent="0.35"/>
    <row r="145" s="76" customFormat="1" x14ac:dyDescent="0.35"/>
    <row r="146" s="76" customFormat="1" x14ac:dyDescent="0.35"/>
    <row r="147" s="76" customFormat="1" x14ac:dyDescent="0.35"/>
    <row r="148" s="76" customFormat="1" x14ac:dyDescent="0.35"/>
    <row r="149" s="76" customFormat="1" x14ac:dyDescent="0.35"/>
    <row r="150" s="76" customFormat="1" x14ac:dyDescent="0.35"/>
    <row r="151" s="76" customFormat="1" x14ac:dyDescent="0.35"/>
    <row r="152" s="76" customFormat="1" x14ac:dyDescent="0.35"/>
    <row r="153" s="76" customFormat="1" x14ac:dyDescent="0.35"/>
    <row r="154" s="76" customFormat="1" x14ac:dyDescent="0.35"/>
    <row r="155" s="76" customFormat="1" x14ac:dyDescent="0.35"/>
    <row r="156" s="76" customFormat="1" x14ac:dyDescent="0.35"/>
    <row r="157" s="76" customFormat="1" x14ac:dyDescent="0.35"/>
    <row r="158" s="76" customFormat="1" x14ac:dyDescent="0.35"/>
    <row r="159" s="76" customFormat="1" x14ac:dyDescent="0.35"/>
    <row r="160" s="76" customFormat="1" x14ac:dyDescent="0.35"/>
    <row r="161" s="76" customFormat="1" x14ac:dyDescent="0.35"/>
    <row r="162" s="76" customFormat="1" x14ac:dyDescent="0.35"/>
    <row r="163" s="76" customFormat="1" x14ac:dyDescent="0.35"/>
    <row r="164" s="76" customFormat="1" x14ac:dyDescent="0.35"/>
    <row r="165" s="76" customFormat="1" x14ac:dyDescent="0.35"/>
    <row r="166" s="76" customFormat="1" x14ac:dyDescent="0.35"/>
    <row r="167" s="76" customFormat="1" x14ac:dyDescent="0.35"/>
    <row r="168" s="76" customFormat="1" x14ac:dyDescent="0.35"/>
    <row r="169" s="76" customFormat="1" x14ac:dyDescent="0.35"/>
    <row r="170" s="76" customFormat="1" x14ac:dyDescent="0.35"/>
    <row r="171" s="76" customFormat="1" x14ac:dyDescent="0.35"/>
    <row r="172" s="76" customFormat="1" x14ac:dyDescent="0.35"/>
    <row r="173" s="76" customFormat="1" x14ac:dyDescent="0.35"/>
    <row r="174" s="76" customFormat="1" x14ac:dyDescent="0.35"/>
    <row r="175" s="76" customFormat="1" x14ac:dyDescent="0.35"/>
    <row r="176" s="76" customFormat="1" x14ac:dyDescent="0.35"/>
    <row r="177" s="76" customFormat="1" x14ac:dyDescent="0.35"/>
    <row r="178" s="76" customFormat="1" x14ac:dyDescent="0.35"/>
    <row r="179" s="76" customFormat="1" x14ac:dyDescent="0.35"/>
    <row r="180" s="76" customFormat="1" x14ac:dyDescent="0.35"/>
    <row r="181" s="76" customFormat="1" x14ac:dyDescent="0.35"/>
    <row r="182" s="76" customFormat="1" x14ac:dyDescent="0.35"/>
    <row r="183" s="76" customFormat="1" x14ac:dyDescent="0.35"/>
    <row r="184" s="76" customFormat="1" x14ac:dyDescent="0.35"/>
    <row r="185" s="76" customFormat="1" x14ac:dyDescent="0.35"/>
    <row r="186" s="76" customFormat="1" x14ac:dyDescent="0.35"/>
    <row r="187" s="76" customFormat="1" x14ac:dyDescent="0.35"/>
    <row r="188" s="76" customFormat="1" x14ac:dyDescent="0.35"/>
    <row r="189" s="76" customFormat="1" x14ac:dyDescent="0.35"/>
    <row r="190" s="76" customFormat="1" x14ac:dyDescent="0.35"/>
    <row r="191" s="76" customFormat="1" x14ac:dyDescent="0.35"/>
    <row r="192" s="76" customFormat="1" x14ac:dyDescent="0.35"/>
    <row r="193" s="76" customFormat="1" x14ac:dyDescent="0.35"/>
    <row r="194" s="76" customFormat="1" x14ac:dyDescent="0.35"/>
    <row r="195" s="76" customFormat="1" x14ac:dyDescent="0.35"/>
    <row r="196" s="76" customFormat="1" x14ac:dyDescent="0.35"/>
    <row r="197" s="76" customFormat="1" x14ac:dyDescent="0.35"/>
    <row r="198" s="76" customFormat="1" x14ac:dyDescent="0.35"/>
    <row r="199" s="76" customFormat="1" x14ac:dyDescent="0.35"/>
    <row r="200" s="76" customFormat="1" x14ac:dyDescent="0.35"/>
    <row r="201" s="76" customFormat="1" x14ac:dyDescent="0.35"/>
    <row r="202" s="76" customFormat="1" x14ac:dyDescent="0.35"/>
    <row r="203" s="76" customFormat="1" x14ac:dyDescent="0.35"/>
    <row r="204" s="76" customFormat="1" x14ac:dyDescent="0.35"/>
    <row r="205" s="76" customFormat="1" x14ac:dyDescent="0.35"/>
    <row r="206" s="76" customFormat="1" x14ac:dyDescent="0.35"/>
    <row r="207" s="76" customFormat="1" x14ac:dyDescent="0.35"/>
    <row r="208" s="76" customFormat="1" x14ac:dyDescent="0.35"/>
    <row r="209" s="76" customFormat="1" x14ac:dyDescent="0.35"/>
    <row r="210" s="76" customFormat="1" x14ac:dyDescent="0.35"/>
    <row r="211" s="76" customFormat="1" x14ac:dyDescent="0.35"/>
    <row r="212" s="76" customFormat="1" x14ac:dyDescent="0.35"/>
    <row r="213" s="76" customFormat="1" x14ac:dyDescent="0.35"/>
    <row r="214" s="76" customFormat="1" x14ac:dyDescent="0.35"/>
    <row r="215" s="76" customFormat="1" x14ac:dyDescent="0.35"/>
    <row r="216" s="76" customFormat="1" x14ac:dyDescent="0.35"/>
    <row r="217" s="76" customFormat="1" x14ac:dyDescent="0.35"/>
    <row r="218" s="76" customFormat="1" x14ac:dyDescent="0.35"/>
    <row r="219" s="76" customFormat="1" x14ac:dyDescent="0.35"/>
    <row r="220" s="76" customFormat="1" x14ac:dyDescent="0.35"/>
    <row r="221" s="76" customFormat="1" x14ac:dyDescent="0.35"/>
    <row r="222" s="76" customFormat="1" x14ac:dyDescent="0.35"/>
    <row r="223" s="76" customFormat="1" x14ac:dyDescent="0.35"/>
    <row r="224" s="76" customFormat="1" x14ac:dyDescent="0.35"/>
    <row r="225" s="76" customFormat="1" x14ac:dyDescent="0.35"/>
    <row r="226" s="76" customFormat="1" x14ac:dyDescent="0.35"/>
    <row r="227" s="76" customFormat="1" x14ac:dyDescent="0.35"/>
    <row r="228" s="76" customFormat="1" x14ac:dyDescent="0.35"/>
    <row r="229" s="76" customFormat="1" x14ac:dyDescent="0.35"/>
    <row r="230" s="76" customFormat="1" x14ac:dyDescent="0.35"/>
    <row r="231" s="76" customFormat="1" x14ac:dyDescent="0.35"/>
    <row r="232" s="76" customFormat="1" x14ac:dyDescent="0.35"/>
    <row r="233" s="76" customFormat="1" x14ac:dyDescent="0.35"/>
    <row r="234" s="76" customFormat="1" x14ac:dyDescent="0.35"/>
    <row r="235" s="76" customFormat="1" x14ac:dyDescent="0.35"/>
    <row r="236" s="76" customFormat="1" x14ac:dyDescent="0.35"/>
    <row r="237" s="76" customFormat="1" x14ac:dyDescent="0.35"/>
    <row r="238" s="76" customFormat="1" x14ac:dyDescent="0.35"/>
    <row r="239" s="76" customFormat="1" x14ac:dyDescent="0.35"/>
    <row r="240" s="76" customFormat="1" x14ac:dyDescent="0.35"/>
    <row r="241" s="76" customFormat="1" x14ac:dyDescent="0.35"/>
    <row r="242" s="76" customFormat="1" x14ac:dyDescent="0.35"/>
    <row r="243" s="76" customFormat="1" x14ac:dyDescent="0.35"/>
    <row r="244" s="76" customFormat="1" x14ac:dyDescent="0.35"/>
    <row r="245" s="76" customFormat="1" x14ac:dyDescent="0.35"/>
    <row r="246" s="76" customFormat="1" x14ac:dyDescent="0.35"/>
    <row r="247" s="76" customFormat="1" x14ac:dyDescent="0.35"/>
    <row r="248" s="76" customFormat="1" x14ac:dyDescent="0.35"/>
    <row r="249" s="76" customFormat="1" x14ac:dyDescent="0.35"/>
    <row r="250" s="76" customFormat="1" x14ac:dyDescent="0.35"/>
    <row r="251" s="76" customFormat="1" x14ac:dyDescent="0.35"/>
    <row r="252" s="76" customFormat="1" x14ac:dyDescent="0.35"/>
    <row r="253" s="76" customFormat="1" x14ac:dyDescent="0.35"/>
    <row r="254" s="76" customFormat="1" x14ac:dyDescent="0.35"/>
    <row r="255" s="76" customFormat="1" x14ac:dyDescent="0.35"/>
    <row r="256" s="76" customFormat="1" x14ac:dyDescent="0.35"/>
    <row r="257" s="76" customFormat="1" x14ac:dyDescent="0.35"/>
    <row r="258" s="76" customFormat="1" x14ac:dyDescent="0.35"/>
    <row r="259" s="76" customFormat="1" x14ac:dyDescent="0.35"/>
    <row r="260" s="76" customFormat="1" x14ac:dyDescent="0.35"/>
    <row r="261" s="76" customFormat="1" x14ac:dyDescent="0.35"/>
    <row r="262" s="76" customFormat="1" x14ac:dyDescent="0.35"/>
    <row r="263" s="76" customFormat="1" x14ac:dyDescent="0.35"/>
    <row r="264" s="76" customFormat="1" x14ac:dyDescent="0.35"/>
    <row r="265" s="76" customFormat="1" x14ac:dyDescent="0.35"/>
    <row r="266" s="76" customFormat="1" x14ac:dyDescent="0.35"/>
    <row r="267" s="76" customFormat="1" x14ac:dyDescent="0.35"/>
    <row r="268" s="76" customFormat="1" x14ac:dyDescent="0.35"/>
    <row r="269" s="76" customFormat="1" x14ac:dyDescent="0.35"/>
    <row r="270" s="76" customFormat="1" x14ac:dyDescent="0.35"/>
    <row r="271" s="76" customFormat="1" x14ac:dyDescent="0.35"/>
    <row r="272" s="76" customFormat="1" x14ac:dyDescent="0.35"/>
    <row r="273" s="76" customFormat="1" x14ac:dyDescent="0.35"/>
    <row r="274" s="76" customFormat="1" x14ac:dyDescent="0.35"/>
    <row r="275" s="76" customFormat="1" x14ac:dyDescent="0.35"/>
    <row r="276" s="76" customFormat="1" x14ac:dyDescent="0.35"/>
    <row r="277" s="76" customFormat="1" x14ac:dyDescent="0.35"/>
    <row r="278" s="76" customFormat="1" x14ac:dyDescent="0.35"/>
    <row r="279" s="76" customFormat="1" x14ac:dyDescent="0.35"/>
    <row r="280" s="76" customFormat="1" x14ac:dyDescent="0.35"/>
    <row r="281" s="76" customFormat="1" x14ac:dyDescent="0.35"/>
    <row r="282" s="76" customFormat="1" x14ac:dyDescent="0.35"/>
    <row r="283" s="76" customFormat="1" x14ac:dyDescent="0.35"/>
    <row r="284" s="76" customFormat="1" x14ac:dyDescent="0.35"/>
    <row r="285" s="76" customFormat="1" x14ac:dyDescent="0.35"/>
    <row r="286" s="76" customFormat="1" x14ac:dyDescent="0.35"/>
    <row r="287" s="76" customFormat="1" x14ac:dyDescent="0.35"/>
    <row r="288" s="76" customFormat="1" x14ac:dyDescent="0.35"/>
    <row r="289" s="76" customFormat="1" x14ac:dyDescent="0.35"/>
    <row r="290" s="76" customFormat="1" x14ac:dyDescent="0.35"/>
    <row r="291" s="76" customFormat="1" x14ac:dyDescent="0.35"/>
    <row r="292" s="76" customFormat="1" x14ac:dyDescent="0.35"/>
    <row r="293" s="76" customFormat="1" x14ac:dyDescent="0.35"/>
    <row r="294" s="76" customFormat="1" x14ac:dyDescent="0.35"/>
    <row r="295" s="76" customFormat="1" x14ac:dyDescent="0.35"/>
    <row r="296" s="76" customFormat="1" x14ac:dyDescent="0.35"/>
    <row r="297" s="76" customFormat="1" x14ac:dyDescent="0.35"/>
    <row r="298" s="76" customFormat="1" x14ac:dyDescent="0.35"/>
    <row r="299" s="76" customFormat="1" x14ac:dyDescent="0.35"/>
    <row r="300" s="76" customFormat="1" x14ac:dyDescent="0.35"/>
    <row r="301" s="76" customFormat="1" x14ac:dyDescent="0.35"/>
    <row r="302" s="76" customFormat="1" x14ac:dyDescent="0.35"/>
    <row r="303" s="76" customFormat="1" x14ac:dyDescent="0.35"/>
    <row r="304" s="76" customFormat="1" x14ac:dyDescent="0.35"/>
    <row r="305" s="76" customFormat="1" x14ac:dyDescent="0.35"/>
    <row r="306" s="76" customFormat="1" x14ac:dyDescent="0.35"/>
    <row r="307" s="76" customFormat="1" x14ac:dyDescent="0.35"/>
    <row r="308" s="76" customFormat="1" x14ac:dyDescent="0.35"/>
    <row r="309" s="76" customFormat="1" x14ac:dyDescent="0.35"/>
    <row r="310" s="76" customFormat="1" x14ac:dyDescent="0.35"/>
    <row r="311" s="76" customFormat="1" x14ac:dyDescent="0.35"/>
    <row r="312" s="76" customFormat="1" x14ac:dyDescent="0.35"/>
    <row r="313" s="76" customFormat="1" x14ac:dyDescent="0.35"/>
    <row r="314" s="76" customFormat="1" x14ac:dyDescent="0.35"/>
    <row r="315" s="76" customFormat="1" x14ac:dyDescent="0.35"/>
    <row r="316" s="76" customFormat="1" x14ac:dyDescent="0.35"/>
    <row r="317" s="76" customFormat="1" x14ac:dyDescent="0.35"/>
    <row r="318" s="76" customFormat="1" x14ac:dyDescent="0.35"/>
    <row r="319" s="76" customFormat="1" x14ac:dyDescent="0.35"/>
    <row r="320" s="76" customFormat="1" x14ac:dyDescent="0.35"/>
    <row r="321" s="76" customFormat="1" x14ac:dyDescent="0.35"/>
    <row r="322" s="76" customFormat="1" x14ac:dyDescent="0.35"/>
    <row r="323" s="76" customFormat="1" x14ac:dyDescent="0.35"/>
    <row r="324" s="76" customFormat="1" x14ac:dyDescent="0.35"/>
    <row r="325" s="76" customFormat="1" x14ac:dyDescent="0.35"/>
    <row r="326" s="76" customFormat="1" x14ac:dyDescent="0.35"/>
    <row r="327" s="76" customFormat="1" x14ac:dyDescent="0.35"/>
    <row r="328" s="76" customFormat="1" x14ac:dyDescent="0.35"/>
    <row r="329" s="76" customFormat="1" x14ac:dyDescent="0.35"/>
    <row r="330" s="76" customFormat="1" x14ac:dyDescent="0.35"/>
    <row r="331" s="76" customFormat="1" x14ac:dyDescent="0.35"/>
    <row r="332" s="76" customFormat="1" x14ac:dyDescent="0.35"/>
    <row r="333" s="76" customFormat="1" x14ac:dyDescent="0.35"/>
    <row r="334" s="76" customFormat="1" x14ac:dyDescent="0.35"/>
    <row r="335" s="76" customFormat="1" x14ac:dyDescent="0.35"/>
    <row r="336" s="76" customFormat="1" x14ac:dyDescent="0.35"/>
    <row r="337" s="76" customFormat="1" x14ac:dyDescent="0.35"/>
    <row r="338" s="76" customFormat="1" x14ac:dyDescent="0.35"/>
    <row r="339" s="76" customFormat="1" x14ac:dyDescent="0.35"/>
    <row r="340" s="76" customFormat="1" x14ac:dyDescent="0.35"/>
    <row r="341" s="76" customFormat="1" x14ac:dyDescent="0.35"/>
    <row r="342" s="76" customFormat="1" x14ac:dyDescent="0.35"/>
    <row r="343" s="76" customFormat="1" x14ac:dyDescent="0.35"/>
    <row r="344" s="76" customFormat="1" x14ac:dyDescent="0.35"/>
    <row r="345" s="76" customFormat="1" x14ac:dyDescent="0.35"/>
    <row r="346" s="76" customFormat="1" x14ac:dyDescent="0.35"/>
    <row r="347" s="76" customFormat="1" x14ac:dyDescent="0.35"/>
    <row r="348" s="76" customFormat="1" x14ac:dyDescent="0.35"/>
    <row r="349" s="76" customFormat="1" x14ac:dyDescent="0.35"/>
    <row r="350" s="76" customFormat="1" x14ac:dyDescent="0.35"/>
    <row r="351" s="76" customFormat="1" x14ac:dyDescent="0.35"/>
    <row r="352" s="76" customFormat="1" x14ac:dyDescent="0.35"/>
    <row r="353" s="76" customFormat="1" x14ac:dyDescent="0.35"/>
    <row r="354" s="76" customFormat="1" x14ac:dyDescent="0.35"/>
    <row r="355" s="76" customFormat="1" x14ac:dyDescent="0.35"/>
    <row r="356" s="76" customFormat="1" x14ac:dyDescent="0.35"/>
    <row r="357" s="76" customFormat="1" x14ac:dyDescent="0.35"/>
    <row r="358" s="76" customFormat="1" x14ac:dyDescent="0.35"/>
    <row r="359" s="76" customFormat="1" x14ac:dyDescent="0.35"/>
    <row r="360" s="76" customFormat="1" x14ac:dyDescent="0.35"/>
    <row r="361" s="76" customFormat="1" x14ac:dyDescent="0.35"/>
    <row r="362" s="76" customFormat="1" x14ac:dyDescent="0.35"/>
    <row r="363" s="76" customFormat="1" x14ac:dyDescent="0.35"/>
    <row r="364" s="76" customFormat="1" x14ac:dyDescent="0.35"/>
    <row r="365" s="76" customFormat="1" x14ac:dyDescent="0.35"/>
    <row r="366" s="76" customFormat="1" x14ac:dyDescent="0.35"/>
    <row r="367" s="76" customFormat="1" x14ac:dyDescent="0.35"/>
    <row r="368" s="76" customFormat="1" x14ac:dyDescent="0.35"/>
    <row r="369" s="76" customFormat="1" x14ac:dyDescent="0.35"/>
    <row r="370" s="76" customFormat="1" x14ac:dyDescent="0.35"/>
    <row r="371" s="76" customFormat="1" x14ac:dyDescent="0.35"/>
    <row r="372" s="76" customFormat="1" x14ac:dyDescent="0.35"/>
    <row r="373" s="76" customFormat="1" x14ac:dyDescent="0.35"/>
    <row r="374" s="76" customFormat="1" x14ac:dyDescent="0.35"/>
    <row r="375" s="76" customFormat="1" x14ac:dyDescent="0.35"/>
    <row r="376" s="76" customFormat="1" x14ac:dyDescent="0.35"/>
    <row r="377" s="76" customFormat="1" x14ac:dyDescent="0.35"/>
    <row r="378" s="76" customFormat="1" x14ac:dyDescent="0.35"/>
    <row r="379" s="76" customFormat="1" x14ac:dyDescent="0.35"/>
    <row r="380" s="76" customFormat="1" x14ac:dyDescent="0.35"/>
    <row r="381" s="76" customFormat="1" x14ac:dyDescent="0.35"/>
    <row r="382" s="76" customFormat="1" x14ac:dyDescent="0.35"/>
    <row r="383" s="76" customFormat="1" x14ac:dyDescent="0.35"/>
    <row r="384" s="76" customFormat="1" x14ac:dyDescent="0.35"/>
    <row r="385" s="76" customFormat="1" x14ac:dyDescent="0.35"/>
    <row r="386" s="76" customFormat="1" x14ac:dyDescent="0.35"/>
    <row r="387" s="76" customFormat="1" x14ac:dyDescent="0.35"/>
    <row r="388" s="76" customFormat="1" x14ac:dyDescent="0.35"/>
    <row r="389" s="76" customFormat="1" x14ac:dyDescent="0.35"/>
    <row r="390" s="76" customFormat="1" x14ac:dyDescent="0.35"/>
    <row r="391" s="76" customFormat="1" x14ac:dyDescent="0.35"/>
    <row r="392" s="76" customFormat="1" x14ac:dyDescent="0.35"/>
    <row r="393" s="76" customFormat="1" x14ac:dyDescent="0.35"/>
    <row r="394" s="76" customFormat="1" x14ac:dyDescent="0.35"/>
    <row r="395" s="76" customFormat="1" x14ac:dyDescent="0.35"/>
    <row r="396" s="76" customFormat="1" x14ac:dyDescent="0.35"/>
    <row r="397" s="76" customFormat="1" x14ac:dyDescent="0.35"/>
    <row r="398" s="76" customFormat="1" x14ac:dyDescent="0.35"/>
    <row r="399" s="76" customFormat="1" x14ac:dyDescent="0.35"/>
    <row r="400" s="76" customFormat="1" x14ac:dyDescent="0.35"/>
    <row r="401" s="76" customFormat="1" x14ac:dyDescent="0.35"/>
    <row r="402" s="76" customFormat="1" x14ac:dyDescent="0.35"/>
    <row r="403" s="76" customFormat="1" x14ac:dyDescent="0.35"/>
    <row r="404" s="76" customFormat="1" x14ac:dyDescent="0.35"/>
    <row r="405" s="76" customFormat="1" x14ac:dyDescent="0.35"/>
    <row r="406" s="76" customFormat="1" x14ac:dyDescent="0.35"/>
    <row r="407" s="76" customFormat="1" x14ac:dyDescent="0.35"/>
    <row r="408" s="76" customFormat="1" x14ac:dyDescent="0.35"/>
    <row r="409" s="76" customFormat="1" x14ac:dyDescent="0.35"/>
    <row r="410" s="76" customFormat="1" x14ac:dyDescent="0.35"/>
    <row r="411" s="76" customFormat="1" x14ac:dyDescent="0.35"/>
    <row r="412" s="76" customFormat="1" x14ac:dyDescent="0.35"/>
    <row r="413" s="76" customFormat="1" x14ac:dyDescent="0.35"/>
    <row r="414" s="76" customFormat="1" x14ac:dyDescent="0.35"/>
    <row r="415" s="76" customFormat="1" x14ac:dyDescent="0.35"/>
    <row r="416" s="76" customFormat="1" x14ac:dyDescent="0.35"/>
    <row r="417" s="76" customFormat="1" x14ac:dyDescent="0.35"/>
    <row r="418" s="76" customFormat="1" x14ac:dyDescent="0.35"/>
    <row r="419" s="76" customFormat="1" x14ac:dyDescent="0.35"/>
    <row r="420" s="76" customFormat="1" x14ac:dyDescent="0.35"/>
    <row r="421" s="76" customFormat="1" x14ac:dyDescent="0.35"/>
    <row r="422" s="76" customFormat="1" x14ac:dyDescent="0.35"/>
    <row r="423" s="76" customFormat="1" x14ac:dyDescent="0.35"/>
    <row r="424" s="76" customFormat="1" x14ac:dyDescent="0.35"/>
    <row r="425" s="76" customFormat="1" x14ac:dyDescent="0.35"/>
    <row r="426" s="76" customFormat="1" x14ac:dyDescent="0.35"/>
    <row r="427" s="76" customFormat="1" x14ac:dyDescent="0.35"/>
    <row r="428" s="76" customFormat="1" x14ac:dyDescent="0.35"/>
    <row r="429" s="76" customFormat="1" x14ac:dyDescent="0.35"/>
    <row r="430" s="76" customFormat="1" x14ac:dyDescent="0.35"/>
    <row r="431" s="76" customFormat="1" x14ac:dyDescent="0.35"/>
    <row r="432" s="76" customFormat="1" x14ac:dyDescent="0.35"/>
    <row r="433" s="76" customFormat="1" x14ac:dyDescent="0.35"/>
    <row r="434" s="76" customFormat="1" x14ac:dyDescent="0.35"/>
    <row r="435" s="76" customFormat="1" x14ac:dyDescent="0.35"/>
    <row r="436" s="76" customFormat="1" x14ac:dyDescent="0.35"/>
    <row r="437" s="76" customFormat="1" x14ac:dyDescent="0.35"/>
    <row r="438" s="76" customFormat="1" x14ac:dyDescent="0.35"/>
    <row r="439" s="76" customFormat="1" x14ac:dyDescent="0.35"/>
    <row r="440" s="76" customFormat="1" x14ac:dyDescent="0.35"/>
    <row r="441" s="76" customFormat="1" x14ac:dyDescent="0.35"/>
    <row r="442" s="76" customFormat="1" x14ac:dyDescent="0.35"/>
    <row r="443" s="76" customFormat="1" x14ac:dyDescent="0.35"/>
    <row r="444" s="76" customFormat="1" x14ac:dyDescent="0.35"/>
    <row r="445" s="76" customFormat="1" x14ac:dyDescent="0.35"/>
    <row r="446" s="76" customFormat="1" x14ac:dyDescent="0.35"/>
    <row r="447" s="76" customFormat="1" x14ac:dyDescent="0.35"/>
    <row r="448" s="76" customFormat="1" x14ac:dyDescent="0.35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7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7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7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7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9"/>
  <sheetViews>
    <sheetView zoomScale="120" zoomScaleNormal="120" workbookViewId="0">
      <pane ySplit="5" topLeftCell="A275" activePane="bottomLeft" state="frozen"/>
      <selection pane="bottomLeft" activeCell="T311" sqref="T311"/>
    </sheetView>
  </sheetViews>
  <sheetFormatPr defaultColWidth="8.81640625" defaultRowHeight="14.5" x14ac:dyDescent="0.35"/>
  <cols>
    <col min="1" max="1" width="10.81640625" style="17" customWidth="1"/>
    <col min="2" max="3" width="10.81640625" style="68" customWidth="1"/>
    <col min="4" max="4" width="10.81640625" style="18" customWidth="1"/>
    <col min="5" max="6" width="10.81640625" style="19" customWidth="1"/>
    <col min="7" max="7" width="15.90625" style="19" bestFit="1" customWidth="1"/>
    <col min="8" max="8" width="10.81640625" style="18" customWidth="1"/>
    <col min="9" max="11" width="10.81640625" style="19" customWidth="1"/>
    <col min="12" max="12" width="13" style="19" customWidth="1"/>
    <col min="13" max="14" width="9.1796875" style="76" customWidth="1"/>
    <col min="15" max="15" width="9.1796875" style="23" customWidth="1"/>
    <col min="16" max="253" width="9.1796875" style="76" customWidth="1"/>
    <col min="254" max="254" width="10.81640625" style="76" customWidth="1"/>
    <col min="255" max="255" width="18.1796875" style="76" customWidth="1"/>
    <col min="256" max="256" width="15" style="76" customWidth="1"/>
    <col min="257" max="260" width="13" style="76" customWidth="1"/>
    <col min="261" max="261" width="17.453125" style="76" customWidth="1"/>
    <col min="262" max="509" width="9.1796875" style="76" customWidth="1"/>
    <col min="510" max="510" width="10.81640625" style="76" customWidth="1"/>
    <col min="511" max="511" width="18.1796875" style="76" customWidth="1"/>
    <col min="512" max="512" width="15" style="76" customWidth="1"/>
    <col min="513" max="516" width="13" style="76" customWidth="1"/>
    <col min="517" max="517" width="17.453125" style="76" customWidth="1"/>
    <col min="518" max="765" width="9.1796875" style="76" customWidth="1"/>
    <col min="766" max="766" width="10.81640625" style="76" customWidth="1"/>
    <col min="767" max="767" width="18.1796875" style="76" customWidth="1"/>
    <col min="768" max="768" width="15" style="76" customWidth="1"/>
    <col min="769" max="772" width="13" style="76" customWidth="1"/>
    <col min="773" max="773" width="17.453125" style="76" customWidth="1"/>
    <col min="774" max="1021" width="9.1796875" style="76" customWidth="1"/>
    <col min="1022" max="1022" width="10.81640625" style="76" customWidth="1"/>
    <col min="1023" max="1023" width="18.1796875" style="76" customWidth="1"/>
    <col min="1024" max="1024" width="15" style="76" customWidth="1"/>
    <col min="1025" max="1028" width="13" style="76" customWidth="1"/>
    <col min="1029" max="1029" width="17.453125" style="76" customWidth="1"/>
    <col min="1030" max="1277" width="9.1796875" style="76" customWidth="1"/>
    <col min="1278" max="1278" width="10.81640625" style="76" customWidth="1"/>
    <col min="1279" max="1279" width="18.1796875" style="76" customWidth="1"/>
    <col min="1280" max="1280" width="15" style="76" customWidth="1"/>
    <col min="1281" max="1284" width="13" style="76" customWidth="1"/>
    <col min="1285" max="1285" width="17.453125" style="76" customWidth="1"/>
    <col min="1286" max="1533" width="9.1796875" style="76" customWidth="1"/>
    <col min="1534" max="1534" width="10.81640625" style="76" customWidth="1"/>
    <col min="1535" max="1535" width="18.1796875" style="76" customWidth="1"/>
    <col min="1536" max="1536" width="15" style="76" customWidth="1"/>
    <col min="1537" max="1540" width="13" style="76" customWidth="1"/>
    <col min="1541" max="1541" width="17.453125" style="76" customWidth="1"/>
    <col min="1542" max="1789" width="9.1796875" style="76" customWidth="1"/>
    <col min="1790" max="1790" width="10.81640625" style="76" customWidth="1"/>
    <col min="1791" max="1791" width="18.1796875" style="76" customWidth="1"/>
    <col min="1792" max="1792" width="15" style="76" customWidth="1"/>
    <col min="1793" max="1796" width="13" style="76" customWidth="1"/>
    <col min="1797" max="1797" width="17.453125" style="76" customWidth="1"/>
    <col min="1798" max="2045" width="9.1796875" style="76" customWidth="1"/>
    <col min="2046" max="2046" width="10.81640625" style="76" customWidth="1"/>
    <col min="2047" max="2047" width="18.1796875" style="76" customWidth="1"/>
    <col min="2048" max="2048" width="15" style="76" customWidth="1"/>
    <col min="2049" max="2052" width="13" style="76" customWidth="1"/>
    <col min="2053" max="2053" width="17.453125" style="76" customWidth="1"/>
    <col min="2054" max="2301" width="9.1796875" style="76" customWidth="1"/>
    <col min="2302" max="2302" width="10.81640625" style="76" customWidth="1"/>
    <col min="2303" max="2303" width="18.1796875" style="76" customWidth="1"/>
    <col min="2304" max="2304" width="15" style="76" customWidth="1"/>
    <col min="2305" max="2308" width="13" style="76" customWidth="1"/>
    <col min="2309" max="2309" width="17.453125" style="76" customWidth="1"/>
    <col min="2310" max="2557" width="9.1796875" style="76" customWidth="1"/>
    <col min="2558" max="2558" width="10.81640625" style="76" customWidth="1"/>
    <col min="2559" max="2559" width="18.1796875" style="76" customWidth="1"/>
    <col min="2560" max="2560" width="15" style="76" customWidth="1"/>
    <col min="2561" max="2564" width="13" style="76" customWidth="1"/>
    <col min="2565" max="2565" width="17.453125" style="76" customWidth="1"/>
    <col min="2566" max="2813" width="9.1796875" style="76" customWidth="1"/>
    <col min="2814" max="2814" width="10.81640625" style="76" customWidth="1"/>
    <col min="2815" max="2815" width="18.1796875" style="76" customWidth="1"/>
    <col min="2816" max="2816" width="15" style="76" customWidth="1"/>
    <col min="2817" max="2820" width="13" style="76" customWidth="1"/>
    <col min="2821" max="2821" width="17.453125" style="76" customWidth="1"/>
    <col min="2822" max="3069" width="9.1796875" style="76" customWidth="1"/>
    <col min="3070" max="3070" width="10.81640625" style="76" customWidth="1"/>
    <col min="3071" max="3071" width="18.1796875" style="76" customWidth="1"/>
    <col min="3072" max="3072" width="15" style="76" customWidth="1"/>
    <col min="3073" max="3076" width="13" style="76" customWidth="1"/>
    <col min="3077" max="3077" width="17.453125" style="76" customWidth="1"/>
    <col min="3078" max="3325" width="9.1796875" style="76" customWidth="1"/>
    <col min="3326" max="3326" width="10.81640625" style="76" customWidth="1"/>
    <col min="3327" max="3327" width="18.1796875" style="76" customWidth="1"/>
    <col min="3328" max="3328" width="15" style="76" customWidth="1"/>
    <col min="3329" max="3332" width="13" style="76" customWidth="1"/>
    <col min="3333" max="3333" width="17.453125" style="76" customWidth="1"/>
    <col min="3334" max="3581" width="9.1796875" style="76" customWidth="1"/>
    <col min="3582" max="3582" width="10.81640625" style="76" customWidth="1"/>
    <col min="3583" max="3583" width="18.1796875" style="76" customWidth="1"/>
    <col min="3584" max="3584" width="15" style="76" customWidth="1"/>
    <col min="3585" max="3588" width="13" style="76" customWidth="1"/>
    <col min="3589" max="3589" width="17.453125" style="76" customWidth="1"/>
    <col min="3590" max="3837" width="9.1796875" style="76" customWidth="1"/>
    <col min="3838" max="3838" width="10.81640625" style="76" customWidth="1"/>
    <col min="3839" max="3839" width="18.1796875" style="76" customWidth="1"/>
    <col min="3840" max="3840" width="15" style="76" customWidth="1"/>
    <col min="3841" max="3844" width="13" style="76" customWidth="1"/>
    <col min="3845" max="3845" width="17.453125" style="76" customWidth="1"/>
    <col min="3846" max="4093" width="9.1796875" style="76" customWidth="1"/>
    <col min="4094" max="4094" width="10.81640625" style="76" customWidth="1"/>
    <col min="4095" max="4095" width="18.1796875" style="76" customWidth="1"/>
    <col min="4096" max="4096" width="15" style="76" customWidth="1"/>
    <col min="4097" max="4100" width="13" style="76" customWidth="1"/>
    <col min="4101" max="4101" width="17.453125" style="76" customWidth="1"/>
    <col min="4102" max="4349" width="9.1796875" style="76" customWidth="1"/>
    <col min="4350" max="4350" width="10.81640625" style="76" customWidth="1"/>
    <col min="4351" max="4351" width="18.1796875" style="76" customWidth="1"/>
    <col min="4352" max="4352" width="15" style="76" customWidth="1"/>
    <col min="4353" max="4356" width="13" style="76" customWidth="1"/>
    <col min="4357" max="4357" width="17.453125" style="76" customWidth="1"/>
    <col min="4358" max="4605" width="9.1796875" style="76" customWidth="1"/>
    <col min="4606" max="4606" width="10.81640625" style="76" customWidth="1"/>
    <col min="4607" max="4607" width="18.1796875" style="76" customWidth="1"/>
    <col min="4608" max="4608" width="15" style="76" customWidth="1"/>
    <col min="4609" max="4612" width="13" style="76" customWidth="1"/>
    <col min="4613" max="4613" width="17.453125" style="76" customWidth="1"/>
    <col min="4614" max="4861" width="9.1796875" style="76" customWidth="1"/>
    <col min="4862" max="4862" width="10.81640625" style="76" customWidth="1"/>
    <col min="4863" max="4863" width="18.1796875" style="76" customWidth="1"/>
    <col min="4864" max="4864" width="15" style="76" customWidth="1"/>
    <col min="4865" max="4868" width="13" style="76" customWidth="1"/>
    <col min="4869" max="4869" width="17.453125" style="76" customWidth="1"/>
    <col min="4870" max="5117" width="9.1796875" style="76" customWidth="1"/>
    <col min="5118" max="5118" width="10.81640625" style="76" customWidth="1"/>
    <col min="5119" max="5119" width="18.1796875" style="76" customWidth="1"/>
    <col min="5120" max="5120" width="15" style="76" customWidth="1"/>
    <col min="5121" max="5124" width="13" style="76" customWidth="1"/>
    <col min="5125" max="5125" width="17.453125" style="76" customWidth="1"/>
    <col min="5126" max="5373" width="9.1796875" style="76" customWidth="1"/>
    <col min="5374" max="5374" width="10.81640625" style="76" customWidth="1"/>
    <col min="5375" max="5375" width="18.1796875" style="76" customWidth="1"/>
    <col min="5376" max="5376" width="15" style="76" customWidth="1"/>
    <col min="5377" max="5380" width="13" style="76" customWidth="1"/>
    <col min="5381" max="5381" width="17.453125" style="76" customWidth="1"/>
    <col min="5382" max="5629" width="9.1796875" style="76" customWidth="1"/>
    <col min="5630" max="5630" width="10.81640625" style="76" customWidth="1"/>
    <col min="5631" max="5631" width="18.1796875" style="76" customWidth="1"/>
    <col min="5632" max="5632" width="15" style="76" customWidth="1"/>
    <col min="5633" max="5636" width="13" style="76" customWidth="1"/>
    <col min="5637" max="5637" width="17.453125" style="76" customWidth="1"/>
    <col min="5638" max="5885" width="9.1796875" style="76" customWidth="1"/>
    <col min="5886" max="5886" width="10.81640625" style="76" customWidth="1"/>
    <col min="5887" max="5887" width="18.1796875" style="76" customWidth="1"/>
    <col min="5888" max="5888" width="15" style="76" customWidth="1"/>
    <col min="5889" max="5892" width="13" style="76" customWidth="1"/>
    <col min="5893" max="5893" width="17.453125" style="76" customWidth="1"/>
    <col min="5894" max="6141" width="9.1796875" style="76" customWidth="1"/>
    <col min="6142" max="6142" width="10.81640625" style="76" customWidth="1"/>
    <col min="6143" max="6143" width="18.1796875" style="76" customWidth="1"/>
    <col min="6144" max="6144" width="15" style="76" customWidth="1"/>
    <col min="6145" max="6148" width="13" style="76" customWidth="1"/>
    <col min="6149" max="6149" width="17.453125" style="76" customWidth="1"/>
    <col min="6150" max="6397" width="9.1796875" style="76" customWidth="1"/>
    <col min="6398" max="6398" width="10.81640625" style="76" customWidth="1"/>
    <col min="6399" max="6399" width="18.1796875" style="76" customWidth="1"/>
    <col min="6400" max="6400" width="15" style="76" customWidth="1"/>
    <col min="6401" max="6404" width="13" style="76" customWidth="1"/>
    <col min="6405" max="6405" width="17.453125" style="76" customWidth="1"/>
    <col min="6406" max="6653" width="9.1796875" style="76" customWidth="1"/>
    <col min="6654" max="6654" width="10.81640625" style="76" customWidth="1"/>
    <col min="6655" max="6655" width="18.1796875" style="76" customWidth="1"/>
    <col min="6656" max="6656" width="15" style="76" customWidth="1"/>
    <col min="6657" max="6660" width="13" style="76" customWidth="1"/>
    <col min="6661" max="6661" width="17.453125" style="76" customWidth="1"/>
    <col min="6662" max="6909" width="9.1796875" style="76" customWidth="1"/>
    <col min="6910" max="6910" width="10.81640625" style="76" customWidth="1"/>
    <col min="6911" max="6911" width="18.1796875" style="76" customWidth="1"/>
    <col min="6912" max="6912" width="15" style="76" customWidth="1"/>
    <col min="6913" max="6916" width="13" style="76" customWidth="1"/>
    <col min="6917" max="6917" width="17.453125" style="76" customWidth="1"/>
    <col min="6918" max="7165" width="9.1796875" style="76" customWidth="1"/>
    <col min="7166" max="7166" width="10.81640625" style="76" customWidth="1"/>
    <col min="7167" max="7167" width="18.1796875" style="76" customWidth="1"/>
    <col min="7168" max="7168" width="15" style="76" customWidth="1"/>
    <col min="7169" max="7172" width="13" style="76" customWidth="1"/>
    <col min="7173" max="7173" width="17.453125" style="76" customWidth="1"/>
    <col min="7174" max="7421" width="9.1796875" style="76" customWidth="1"/>
    <col min="7422" max="7422" width="10.81640625" style="76" customWidth="1"/>
    <col min="7423" max="7423" width="18.1796875" style="76" customWidth="1"/>
    <col min="7424" max="7424" width="15" style="76" customWidth="1"/>
    <col min="7425" max="7428" width="13" style="76" customWidth="1"/>
    <col min="7429" max="7429" width="17.453125" style="76" customWidth="1"/>
    <col min="7430" max="7677" width="9.1796875" style="76" customWidth="1"/>
    <col min="7678" max="7678" width="10.81640625" style="76" customWidth="1"/>
    <col min="7679" max="7679" width="18.1796875" style="76" customWidth="1"/>
    <col min="7680" max="7680" width="15" style="76" customWidth="1"/>
    <col min="7681" max="7684" width="13" style="76" customWidth="1"/>
    <col min="7685" max="7685" width="17.453125" style="76" customWidth="1"/>
    <col min="7686" max="7933" width="9.1796875" style="76" customWidth="1"/>
    <col min="7934" max="7934" width="10.81640625" style="76" customWidth="1"/>
    <col min="7935" max="7935" width="18.1796875" style="76" customWidth="1"/>
    <col min="7936" max="7936" width="15" style="76" customWidth="1"/>
    <col min="7937" max="7940" width="13" style="76" customWidth="1"/>
    <col min="7941" max="7941" width="17.453125" style="76" customWidth="1"/>
    <col min="7942" max="8189" width="9.1796875" style="76" customWidth="1"/>
    <col min="8190" max="8190" width="10.81640625" style="76" customWidth="1"/>
    <col min="8191" max="8191" width="18.1796875" style="76" customWidth="1"/>
    <col min="8192" max="8192" width="15" style="76" customWidth="1"/>
    <col min="8193" max="8196" width="13" style="76" customWidth="1"/>
    <col min="8197" max="8197" width="17.453125" style="76" customWidth="1"/>
    <col min="8198" max="8445" width="9.1796875" style="76" customWidth="1"/>
    <col min="8446" max="8446" width="10.81640625" style="76" customWidth="1"/>
    <col min="8447" max="8447" width="18.1796875" style="76" customWidth="1"/>
    <col min="8448" max="8448" width="15" style="76" customWidth="1"/>
    <col min="8449" max="8452" width="13" style="76" customWidth="1"/>
    <col min="8453" max="8453" width="17.453125" style="76" customWidth="1"/>
    <col min="8454" max="8701" width="9.1796875" style="76" customWidth="1"/>
    <col min="8702" max="8702" width="10.81640625" style="76" customWidth="1"/>
    <col min="8703" max="8703" width="18.1796875" style="76" customWidth="1"/>
    <col min="8704" max="8704" width="15" style="76" customWidth="1"/>
    <col min="8705" max="8708" width="13" style="76" customWidth="1"/>
    <col min="8709" max="8709" width="17.453125" style="76" customWidth="1"/>
    <col min="8710" max="8957" width="9.1796875" style="76" customWidth="1"/>
    <col min="8958" max="8958" width="10.81640625" style="76" customWidth="1"/>
    <col min="8959" max="8959" width="18.1796875" style="76" customWidth="1"/>
    <col min="8960" max="8960" width="15" style="76" customWidth="1"/>
    <col min="8961" max="8964" width="13" style="76" customWidth="1"/>
    <col min="8965" max="8965" width="17.453125" style="76" customWidth="1"/>
    <col min="8966" max="9213" width="9.1796875" style="76" customWidth="1"/>
    <col min="9214" max="9214" width="10.81640625" style="76" customWidth="1"/>
    <col min="9215" max="9215" width="18.1796875" style="76" customWidth="1"/>
    <col min="9216" max="9216" width="15" style="76" customWidth="1"/>
    <col min="9217" max="9220" width="13" style="76" customWidth="1"/>
    <col min="9221" max="9221" width="17.453125" style="76" customWidth="1"/>
    <col min="9222" max="9469" width="9.1796875" style="76" customWidth="1"/>
    <col min="9470" max="9470" width="10.81640625" style="76" customWidth="1"/>
    <col min="9471" max="9471" width="18.1796875" style="76" customWidth="1"/>
    <col min="9472" max="9472" width="15" style="76" customWidth="1"/>
    <col min="9473" max="9476" width="13" style="76" customWidth="1"/>
    <col min="9477" max="9477" width="17.453125" style="76" customWidth="1"/>
    <col min="9478" max="9725" width="9.1796875" style="76" customWidth="1"/>
    <col min="9726" max="9726" width="10.81640625" style="76" customWidth="1"/>
    <col min="9727" max="9727" width="18.1796875" style="76" customWidth="1"/>
    <col min="9728" max="9728" width="15" style="76" customWidth="1"/>
    <col min="9729" max="9732" width="13" style="76" customWidth="1"/>
    <col min="9733" max="9733" width="17.453125" style="76" customWidth="1"/>
    <col min="9734" max="9981" width="9.1796875" style="76" customWidth="1"/>
    <col min="9982" max="9982" width="10.81640625" style="76" customWidth="1"/>
    <col min="9983" max="9983" width="18.1796875" style="76" customWidth="1"/>
    <col min="9984" max="9984" width="15" style="76" customWidth="1"/>
    <col min="9985" max="9988" width="13" style="76" customWidth="1"/>
    <col min="9989" max="9989" width="17.453125" style="76" customWidth="1"/>
    <col min="9990" max="10237" width="9.1796875" style="76" customWidth="1"/>
    <col min="10238" max="10238" width="10.81640625" style="76" customWidth="1"/>
    <col min="10239" max="10239" width="18.1796875" style="76" customWidth="1"/>
    <col min="10240" max="10240" width="15" style="76" customWidth="1"/>
    <col min="10241" max="10244" width="13" style="76" customWidth="1"/>
    <col min="10245" max="10245" width="17.453125" style="76" customWidth="1"/>
    <col min="10246" max="10493" width="9.1796875" style="76" customWidth="1"/>
    <col min="10494" max="10494" width="10.81640625" style="76" customWidth="1"/>
    <col min="10495" max="10495" width="18.1796875" style="76" customWidth="1"/>
    <col min="10496" max="10496" width="15" style="76" customWidth="1"/>
    <col min="10497" max="10500" width="13" style="76" customWidth="1"/>
    <col min="10501" max="10501" width="17.453125" style="76" customWidth="1"/>
    <col min="10502" max="10749" width="9.1796875" style="76" customWidth="1"/>
    <col min="10750" max="10750" width="10.81640625" style="76" customWidth="1"/>
    <col min="10751" max="10751" width="18.1796875" style="76" customWidth="1"/>
    <col min="10752" max="10752" width="15" style="76" customWidth="1"/>
    <col min="10753" max="10756" width="13" style="76" customWidth="1"/>
    <col min="10757" max="10757" width="17.453125" style="76" customWidth="1"/>
    <col min="10758" max="11005" width="9.1796875" style="76" customWidth="1"/>
    <col min="11006" max="11006" width="10.81640625" style="76" customWidth="1"/>
    <col min="11007" max="11007" width="18.1796875" style="76" customWidth="1"/>
    <col min="11008" max="11008" width="15" style="76" customWidth="1"/>
    <col min="11009" max="11012" width="13" style="76" customWidth="1"/>
    <col min="11013" max="11013" width="17.453125" style="76" customWidth="1"/>
    <col min="11014" max="11261" width="9.1796875" style="76" customWidth="1"/>
    <col min="11262" max="11262" width="10.81640625" style="76" customWidth="1"/>
    <col min="11263" max="11263" width="18.1796875" style="76" customWidth="1"/>
    <col min="11264" max="11264" width="15" style="76" customWidth="1"/>
    <col min="11265" max="11268" width="13" style="76" customWidth="1"/>
    <col min="11269" max="11269" width="17.453125" style="76" customWidth="1"/>
    <col min="11270" max="11517" width="9.1796875" style="76" customWidth="1"/>
    <col min="11518" max="11518" width="10.81640625" style="76" customWidth="1"/>
    <col min="11519" max="11519" width="18.1796875" style="76" customWidth="1"/>
    <col min="11520" max="11520" width="15" style="76" customWidth="1"/>
    <col min="11521" max="11524" width="13" style="76" customWidth="1"/>
    <col min="11525" max="11525" width="17.453125" style="76" customWidth="1"/>
    <col min="11526" max="11773" width="9.1796875" style="76" customWidth="1"/>
    <col min="11774" max="11774" width="10.81640625" style="76" customWidth="1"/>
    <col min="11775" max="11775" width="18.1796875" style="76" customWidth="1"/>
    <col min="11776" max="11776" width="15" style="76" customWidth="1"/>
    <col min="11777" max="11780" width="13" style="76" customWidth="1"/>
    <col min="11781" max="11781" width="17.453125" style="76" customWidth="1"/>
    <col min="11782" max="12029" width="9.1796875" style="76" customWidth="1"/>
    <col min="12030" max="12030" width="10.81640625" style="76" customWidth="1"/>
    <col min="12031" max="12031" width="18.1796875" style="76" customWidth="1"/>
    <col min="12032" max="12032" width="15" style="76" customWidth="1"/>
    <col min="12033" max="12036" width="13" style="76" customWidth="1"/>
    <col min="12037" max="12037" width="17.453125" style="76" customWidth="1"/>
    <col min="12038" max="12285" width="9.1796875" style="76" customWidth="1"/>
    <col min="12286" max="12286" width="10.81640625" style="76" customWidth="1"/>
    <col min="12287" max="12287" width="18.1796875" style="76" customWidth="1"/>
    <col min="12288" max="12288" width="15" style="76" customWidth="1"/>
    <col min="12289" max="12292" width="13" style="76" customWidth="1"/>
    <col min="12293" max="12293" width="17.453125" style="76" customWidth="1"/>
    <col min="12294" max="12541" width="9.1796875" style="76" customWidth="1"/>
    <col min="12542" max="12542" width="10.81640625" style="76" customWidth="1"/>
    <col min="12543" max="12543" width="18.1796875" style="76" customWidth="1"/>
    <col min="12544" max="12544" width="15" style="76" customWidth="1"/>
    <col min="12545" max="12548" width="13" style="76" customWidth="1"/>
    <col min="12549" max="12549" width="17.453125" style="76" customWidth="1"/>
    <col min="12550" max="12797" width="9.1796875" style="76" customWidth="1"/>
    <col min="12798" max="12798" width="10.81640625" style="76" customWidth="1"/>
    <col min="12799" max="12799" width="18.1796875" style="76" customWidth="1"/>
    <col min="12800" max="12800" width="15" style="76" customWidth="1"/>
    <col min="12801" max="12804" width="13" style="76" customWidth="1"/>
    <col min="12805" max="12805" width="17.453125" style="76" customWidth="1"/>
    <col min="12806" max="13053" width="9.1796875" style="76" customWidth="1"/>
    <col min="13054" max="13054" width="10.81640625" style="76" customWidth="1"/>
    <col min="13055" max="13055" width="18.1796875" style="76" customWidth="1"/>
    <col min="13056" max="13056" width="15" style="76" customWidth="1"/>
    <col min="13057" max="13060" width="13" style="76" customWidth="1"/>
    <col min="13061" max="13061" width="17.453125" style="76" customWidth="1"/>
    <col min="13062" max="13309" width="9.1796875" style="76" customWidth="1"/>
    <col min="13310" max="13310" width="10.81640625" style="76" customWidth="1"/>
    <col min="13311" max="13311" width="18.1796875" style="76" customWidth="1"/>
    <col min="13312" max="13312" width="15" style="76" customWidth="1"/>
    <col min="13313" max="13316" width="13" style="76" customWidth="1"/>
    <col min="13317" max="13317" width="17.453125" style="76" customWidth="1"/>
    <col min="13318" max="13565" width="9.1796875" style="76" customWidth="1"/>
    <col min="13566" max="13566" width="10.81640625" style="76" customWidth="1"/>
    <col min="13567" max="13567" width="18.1796875" style="76" customWidth="1"/>
    <col min="13568" max="13568" width="15" style="76" customWidth="1"/>
    <col min="13569" max="13572" width="13" style="76" customWidth="1"/>
    <col min="13573" max="13573" width="17.453125" style="76" customWidth="1"/>
    <col min="13574" max="13821" width="9.1796875" style="76" customWidth="1"/>
    <col min="13822" max="13822" width="10.81640625" style="76" customWidth="1"/>
    <col min="13823" max="13823" width="18.1796875" style="76" customWidth="1"/>
    <col min="13824" max="13824" width="15" style="76" customWidth="1"/>
    <col min="13825" max="13828" width="13" style="76" customWidth="1"/>
    <col min="13829" max="13829" width="17.453125" style="76" customWidth="1"/>
    <col min="13830" max="14077" width="9.1796875" style="76" customWidth="1"/>
    <col min="14078" max="14078" width="10.81640625" style="76" customWidth="1"/>
    <col min="14079" max="14079" width="18.1796875" style="76" customWidth="1"/>
    <col min="14080" max="14080" width="15" style="76" customWidth="1"/>
    <col min="14081" max="14084" width="13" style="76" customWidth="1"/>
    <col min="14085" max="14085" width="17.453125" style="76" customWidth="1"/>
    <col min="14086" max="14333" width="9.1796875" style="76" customWidth="1"/>
    <col min="14334" max="14334" width="10.81640625" style="76" customWidth="1"/>
    <col min="14335" max="14335" width="18.1796875" style="76" customWidth="1"/>
    <col min="14336" max="14336" width="15" style="76" customWidth="1"/>
    <col min="14337" max="14340" width="13" style="76" customWidth="1"/>
    <col min="14341" max="14341" width="17.453125" style="76" customWidth="1"/>
    <col min="14342" max="14589" width="9.1796875" style="76" customWidth="1"/>
    <col min="14590" max="14590" width="10.81640625" style="76" customWidth="1"/>
    <col min="14591" max="14591" width="18.1796875" style="76" customWidth="1"/>
    <col min="14592" max="14592" width="15" style="76" customWidth="1"/>
    <col min="14593" max="14596" width="13" style="76" customWidth="1"/>
    <col min="14597" max="14597" width="17.453125" style="76" customWidth="1"/>
    <col min="14598" max="14845" width="9.1796875" style="76" customWidth="1"/>
    <col min="14846" max="14846" width="10.81640625" style="76" customWidth="1"/>
    <col min="14847" max="14847" width="18.1796875" style="76" customWidth="1"/>
    <col min="14848" max="14848" width="15" style="76" customWidth="1"/>
    <col min="14849" max="14852" width="13" style="76" customWidth="1"/>
    <col min="14853" max="14853" width="17.453125" style="76" customWidth="1"/>
    <col min="14854" max="15101" width="9.1796875" style="76" customWidth="1"/>
    <col min="15102" max="15102" width="10.81640625" style="76" customWidth="1"/>
    <col min="15103" max="15103" width="18.1796875" style="76" customWidth="1"/>
    <col min="15104" max="15104" width="15" style="76" customWidth="1"/>
    <col min="15105" max="15108" width="13" style="76" customWidth="1"/>
    <col min="15109" max="15109" width="17.453125" style="76" customWidth="1"/>
    <col min="15110" max="15357" width="9.1796875" style="76" customWidth="1"/>
    <col min="15358" max="15358" width="10.81640625" style="76" customWidth="1"/>
    <col min="15359" max="15359" width="18.1796875" style="76" customWidth="1"/>
    <col min="15360" max="15360" width="15" style="76" customWidth="1"/>
    <col min="15361" max="15364" width="13" style="76" customWidth="1"/>
    <col min="15365" max="15365" width="17.453125" style="76" customWidth="1"/>
    <col min="15366" max="15613" width="9.1796875" style="76" customWidth="1"/>
    <col min="15614" max="15614" width="10.81640625" style="76" customWidth="1"/>
    <col min="15615" max="15615" width="18.1796875" style="76" customWidth="1"/>
    <col min="15616" max="15616" width="15" style="76" customWidth="1"/>
    <col min="15617" max="15620" width="13" style="76" customWidth="1"/>
    <col min="15621" max="15621" width="17.453125" style="76" customWidth="1"/>
    <col min="15622" max="15869" width="9.1796875" style="76" customWidth="1"/>
    <col min="15870" max="15870" width="10.81640625" style="76" customWidth="1"/>
    <col min="15871" max="15871" width="18.1796875" style="76" customWidth="1"/>
    <col min="15872" max="15872" width="15" style="76" customWidth="1"/>
    <col min="15873" max="15876" width="13" style="76" customWidth="1"/>
    <col min="15877" max="15877" width="17.453125" style="76" customWidth="1"/>
    <col min="15878" max="16125" width="9.1796875" style="76" customWidth="1"/>
    <col min="16126" max="16126" width="10.81640625" style="76" customWidth="1"/>
    <col min="16127" max="16127" width="18.1796875" style="76" customWidth="1"/>
    <col min="16128" max="16128" width="15" style="76" customWidth="1"/>
    <col min="16129" max="16132" width="13" style="76" customWidth="1"/>
    <col min="16133" max="16133" width="17.453125" style="76" customWidth="1"/>
    <col min="16134" max="16384" width="9.1796875" style="76" customWidth="1"/>
  </cols>
  <sheetData>
    <row r="2" spans="1:18" x14ac:dyDescent="0.35">
      <c r="A2" s="69"/>
      <c r="B2" s="70"/>
      <c r="C2" s="70"/>
      <c r="P2" s="70"/>
      <c r="R2" s="20"/>
    </row>
    <row r="4" spans="1:18" ht="16" customHeight="1" thickBot="1" x14ac:dyDescent="0.4"/>
    <row r="5" spans="1:18" s="75" customFormat="1" ht="23.25" customHeight="1" x14ac:dyDescent="0.35">
      <c r="A5" s="40" t="s">
        <v>31</v>
      </c>
      <c r="B5" s="71" t="s">
        <v>47</v>
      </c>
      <c r="C5" s="71" t="s">
        <v>37</v>
      </c>
      <c r="D5" s="41" t="s">
        <v>38</v>
      </c>
      <c r="E5" s="42" t="s">
        <v>39</v>
      </c>
      <c r="F5" s="42" t="s">
        <v>40</v>
      </c>
      <c r="G5" s="43" t="s">
        <v>41</v>
      </c>
      <c r="H5" s="41" t="s">
        <v>48</v>
      </c>
      <c r="I5" s="43" t="s">
        <v>49</v>
      </c>
      <c r="J5" s="43" t="s">
        <v>50</v>
      </c>
      <c r="K5" s="43" t="s">
        <v>51</v>
      </c>
      <c r="L5" s="44" t="s">
        <v>52</v>
      </c>
      <c r="N5" s="22" t="s">
        <v>53</v>
      </c>
      <c r="O5" s="24" t="s">
        <v>53</v>
      </c>
    </row>
    <row r="6" spans="1:18" x14ac:dyDescent="0.35">
      <c r="A6" s="45">
        <v>17168</v>
      </c>
      <c r="B6" s="63">
        <f>VLOOKUP(A6,'U.S. GDP'!A:B,2,)</f>
        <v>2034.45</v>
      </c>
      <c r="C6" s="63">
        <f>VLOOKUP(A6,PersonalConsumption!A:B,2,)</f>
        <v>1277.44</v>
      </c>
      <c r="D6" s="63" t="e">
        <f>VLOOKUP(A6,PrivateInvestment!A:B,2,)</f>
        <v>#N/A</v>
      </c>
      <c r="E6" s="63">
        <f>VLOOKUP(A6,Exports!A:B,2,)</f>
        <v>97.63</v>
      </c>
      <c r="F6" s="63">
        <f>VLOOKUP(A6,Imports!A:B,2,)</f>
        <v>60.396000000000001</v>
      </c>
      <c r="G6" s="63">
        <f>VLOOKUP(A6,Government!A:B,2,)</f>
        <v>524.02599999999995</v>
      </c>
      <c r="H6" s="37">
        <f>Table58[[#This Row],[Personal Consumption]]/Table58[[#This Row],[GDP]]</f>
        <v>0.62790434761237679</v>
      </c>
      <c r="I6" s="37" t="e">
        <f>Table58[[#This Row],[Private Investment]]/Table58[[#This Row],[GDP]]</f>
        <v>#N/A</v>
      </c>
      <c r="J6" s="37">
        <f>Table58[[#This Row],[Exports]]/Table58[[#This Row],[GDP]]</f>
        <v>4.7988399813217328E-2</v>
      </c>
      <c r="K6" s="37">
        <f>-Table58[[#This Row],[Imports]]/Table58[[#This Row],[GDP]]</f>
        <v>-2.9686647496866475E-2</v>
      </c>
      <c r="L6" s="37">
        <f>Table58[[#This Row],[Government]]/Table58[[#This Row],[GDP]]</f>
        <v>0.25757624910909582</v>
      </c>
      <c r="N6" s="58" t="e">
        <f>SUM(Table58[[#This Row],[PC%]:[G%]])</f>
        <v>#N/A</v>
      </c>
      <c r="O6" s="25" t="e">
        <f>Table58[[#This Row],[Personal Consumption]]+Table58[[#This Row],[Private Investment]]+Table58[[#This Row],[Exports]]+Table58[[#This Row],[Government]]-Table58[[#This Row],[Imports]]</f>
        <v>#N/A</v>
      </c>
    </row>
    <row r="7" spans="1:18" x14ac:dyDescent="0.35">
      <c r="A7" s="45">
        <v>17258</v>
      </c>
      <c r="B7" s="63">
        <f>VLOOKUP(A7,'U.S. GDP'!A:B,2,)</f>
        <v>2029.0239999999999</v>
      </c>
      <c r="C7" s="63">
        <f>VLOOKUP(A7,PersonalConsumption!A:B,2,)</f>
        <v>1298.692</v>
      </c>
      <c r="D7" s="63">
        <f>VLOOKUP(A7,PrivateInvestment!A:B,2,)</f>
        <v>201.386</v>
      </c>
      <c r="E7" s="63">
        <f>VLOOKUP(A7,Exports!A:B,2,)</f>
        <v>96.399000000000001</v>
      </c>
      <c r="F7" s="63">
        <f>VLOOKUP(A7,Imports!A:B,2,)</f>
        <v>61.558999999999997</v>
      </c>
      <c r="G7" s="63">
        <f>VLOOKUP(A7,Government!A:B,2,)</f>
        <v>523.58299999999997</v>
      </c>
      <c r="H7" s="37">
        <f>Table58[[#This Row],[Personal Consumption]]/Table58[[#This Row],[GDP]]</f>
        <v>0.64005748576655574</v>
      </c>
      <c r="I7" s="37">
        <f>Table58[[#This Row],[Private Investment]]/Table58[[#This Row],[GDP]]</f>
        <v>9.925264560695192E-2</v>
      </c>
      <c r="J7" s="37">
        <f>Table58[[#This Row],[Exports]]/Table58[[#This Row],[GDP]]</f>
        <v>4.7510034381062029E-2</v>
      </c>
      <c r="K7" s="37">
        <f>-Table58[[#This Row],[Imports]]/Table58[[#This Row],[GDP]]</f>
        <v>-3.0339217278849338E-2</v>
      </c>
      <c r="L7" s="37">
        <f>Table58[[#This Row],[Government]]/Table58[[#This Row],[GDP]]</f>
        <v>0.25804672591354266</v>
      </c>
      <c r="N7" s="58">
        <f>SUM(Table58[[#This Row],[PC%]:[G%]])</f>
        <v>1.0145276743892631</v>
      </c>
      <c r="O7" s="25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35">
      <c r="A8" s="45">
        <v>17349</v>
      </c>
      <c r="B8" s="63">
        <f>VLOOKUP(A8,'U.S. GDP'!A:B,2,)</f>
        <v>2024.8340000000001</v>
      </c>
      <c r="C8" s="63">
        <f>VLOOKUP(A8,PersonalConsumption!A:B,2,)</f>
        <v>1302.925</v>
      </c>
      <c r="D8" s="63">
        <f>VLOOKUP(A8,PrivateInvestment!A:B,2,)</f>
        <v>195.46100000000001</v>
      </c>
      <c r="E8" s="63">
        <f>VLOOKUP(A8,Exports!A:B,2,)</f>
        <v>91.506</v>
      </c>
      <c r="F8" s="63">
        <f>VLOOKUP(A8,Imports!A:B,2,)</f>
        <v>54.594000000000001</v>
      </c>
      <c r="G8" s="63">
        <f>VLOOKUP(A8,Government!A:B,2,)</f>
        <v>523.47699999999998</v>
      </c>
      <c r="H8" s="37">
        <f>Table58[[#This Row],[Personal Consumption]]/Table58[[#This Row],[GDP]]</f>
        <v>0.64347250194336914</v>
      </c>
      <c r="I8" s="37">
        <f>Table58[[#This Row],[Private Investment]]/Table58[[#This Row],[GDP]]</f>
        <v>9.6531863846616564E-2</v>
      </c>
      <c r="J8" s="37">
        <f>Table58[[#This Row],[Exports]]/Table58[[#This Row],[GDP]]</f>
        <v>4.5191852764226596E-2</v>
      </c>
      <c r="K8" s="37">
        <f>-Table58[[#This Row],[Imports]]/Table58[[#This Row],[GDP]]</f>
        <v>-2.6962210235505726E-2</v>
      </c>
      <c r="L8" s="37">
        <f>Table58[[#This Row],[Government]]/Table58[[#This Row],[GDP]]</f>
        <v>0.25852835343539271</v>
      </c>
      <c r="N8" s="58">
        <f>SUM(Table58[[#This Row],[PC%]:[G%]])</f>
        <v>1.0167623617540993</v>
      </c>
      <c r="O8" s="25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35">
      <c r="A9" s="45">
        <v>17441</v>
      </c>
      <c r="B9" s="63">
        <f>VLOOKUP(A9,'U.S. GDP'!A:B,2,)</f>
        <v>2056.5079999999998</v>
      </c>
      <c r="C9" s="63">
        <f>VLOOKUP(A9,PersonalConsumption!A:B,2,)</f>
        <v>1303.3399999999999</v>
      </c>
      <c r="D9" s="63">
        <f>VLOOKUP(A9,PrivateInvestment!A:B,2,)</f>
        <v>233.28399999999999</v>
      </c>
      <c r="E9" s="63">
        <f>VLOOKUP(A9,Exports!A:B,2,)</f>
        <v>81.138999999999996</v>
      </c>
      <c r="F9" s="63">
        <f>VLOOKUP(A9,Imports!A:B,2,)</f>
        <v>57.537999999999997</v>
      </c>
      <c r="G9" s="63">
        <f>VLOOKUP(A9,Government!A:B,2,)</f>
        <v>519.23599999999999</v>
      </c>
      <c r="H9" s="37">
        <f>Table58[[#This Row],[Personal Consumption]]/Table58[[#This Row],[GDP]]</f>
        <v>0.63376364205731273</v>
      </c>
      <c r="I9" s="37">
        <f>Table58[[#This Row],[Private Investment]]/Table58[[#This Row],[GDP]]</f>
        <v>0.11343695234834973</v>
      </c>
      <c r="J9" s="37">
        <f>Table58[[#This Row],[Exports]]/Table58[[#This Row],[GDP]]</f>
        <v>3.9454745617328014E-2</v>
      </c>
      <c r="K9" s="37">
        <f>-Table58[[#This Row],[Imports]]/Table58[[#This Row],[GDP]]</f>
        <v>-2.797849558572104E-2</v>
      </c>
      <c r="L9" s="37">
        <f>Table58[[#This Row],[Government]]/Table58[[#This Row],[GDP]]</f>
        <v>0.2524843083518275</v>
      </c>
      <c r="N9" s="58">
        <f>SUM(Table58[[#This Row],[PC%]:[G%]])</f>
        <v>1.0111611527890969</v>
      </c>
      <c r="O9" s="25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35">
      <c r="A10" s="45">
        <v>17533</v>
      </c>
      <c r="B10" s="63">
        <f>VLOOKUP(A10,'U.S. GDP'!A:B,2,)</f>
        <v>2087.442</v>
      </c>
      <c r="C10" s="63">
        <f>VLOOKUP(A10,PersonalConsumption!A:B,2,)</f>
        <v>1309.8340000000001</v>
      </c>
      <c r="D10" s="63">
        <f>VLOOKUP(A10,PrivateInvestment!A:B,2,)</f>
        <v>257.22000000000003</v>
      </c>
      <c r="E10" s="63">
        <f>VLOOKUP(A10,Exports!A:B,2,)</f>
        <v>77.436999999999998</v>
      </c>
      <c r="F10" s="63">
        <f>VLOOKUP(A10,Imports!A:B,2,)</f>
        <v>64.882999999999996</v>
      </c>
      <c r="G10" s="63">
        <f>VLOOKUP(A10,Government!A:B,2,)</f>
        <v>526.97</v>
      </c>
      <c r="H10" s="37">
        <f>Table58[[#This Row],[Personal Consumption]]/Table58[[#This Row],[GDP]]</f>
        <v>0.62748282347485584</v>
      </c>
      <c r="I10" s="37">
        <f>Table58[[#This Row],[Private Investment]]/Table58[[#This Row],[GDP]]</f>
        <v>0.12322258534608388</v>
      </c>
      <c r="J10" s="37">
        <f>Table58[[#This Row],[Exports]]/Table58[[#This Row],[GDP]]</f>
        <v>3.7096599570191652E-2</v>
      </c>
      <c r="K10" s="37">
        <f>-Table58[[#This Row],[Imports]]/Table58[[#This Row],[GDP]]</f>
        <v>-3.1082540257405953E-2</v>
      </c>
      <c r="L10" s="37">
        <f>Table58[[#This Row],[Government]]/Table58[[#This Row],[GDP]]</f>
        <v>0.25244773267951875</v>
      </c>
      <c r="N10" s="58">
        <f>SUM(Table58[[#This Row],[PC%]:[G%]])</f>
        <v>1.0091672008132442</v>
      </c>
      <c r="O10" s="25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35">
      <c r="A11" s="45">
        <v>17624</v>
      </c>
      <c r="B11" s="63">
        <f>VLOOKUP(A11,'U.S. GDP'!A:B,2,)</f>
        <v>2121.8989999999999</v>
      </c>
      <c r="C11" s="63">
        <f>VLOOKUP(A11,PersonalConsumption!A:B,2,)</f>
        <v>1325.075</v>
      </c>
      <c r="D11" s="63">
        <f>VLOOKUP(A11,PrivateInvestment!A:B,2,)</f>
        <v>273.13799999999998</v>
      </c>
      <c r="E11" s="63">
        <f>VLOOKUP(A11,Exports!A:B,2,)</f>
        <v>70.197999999999993</v>
      </c>
      <c r="F11" s="63">
        <f>VLOOKUP(A11,Imports!A:B,2,)</f>
        <v>67.454999999999998</v>
      </c>
      <c r="G11" s="63">
        <f>VLOOKUP(A11,Government!A:B,2,)</f>
        <v>545.55700000000002</v>
      </c>
      <c r="H11" s="37">
        <f>Table58[[#This Row],[Personal Consumption]]/Table58[[#This Row],[GDP]]</f>
        <v>0.62447600003581705</v>
      </c>
      <c r="I11" s="37">
        <f>Table58[[#This Row],[Private Investment]]/Table58[[#This Row],[GDP]]</f>
        <v>0.12872337467523196</v>
      </c>
      <c r="J11" s="37">
        <f>Table58[[#This Row],[Exports]]/Table58[[#This Row],[GDP]]</f>
        <v>3.3082630228865748E-2</v>
      </c>
      <c r="K11" s="37">
        <f>-Table58[[#This Row],[Imports]]/Table58[[#This Row],[GDP]]</f>
        <v>-3.1789920255393872E-2</v>
      </c>
      <c r="L11" s="37">
        <f>Table58[[#This Row],[Government]]/Table58[[#This Row],[GDP]]</f>
        <v>0.25710790193124178</v>
      </c>
      <c r="N11" s="58">
        <f>SUM(Table58[[#This Row],[PC%]:[G%]])</f>
        <v>1.0115999866157628</v>
      </c>
      <c r="O11" s="25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35">
      <c r="A12" s="45">
        <v>17715</v>
      </c>
      <c r="B12" s="63">
        <f>VLOOKUP(A12,'U.S. GDP'!A:B,2,)</f>
        <v>2134.056</v>
      </c>
      <c r="C12" s="63">
        <f>VLOOKUP(A12,PersonalConsumption!A:B,2,)</f>
        <v>1327.0309999999999</v>
      </c>
      <c r="D12" s="63">
        <f>VLOOKUP(A12,PrivateInvestment!A:B,2,)</f>
        <v>275.93599999999998</v>
      </c>
      <c r="E12" s="63">
        <f>VLOOKUP(A12,Exports!A:B,2,)</f>
        <v>71.847999999999999</v>
      </c>
      <c r="F12" s="63">
        <f>VLOOKUP(A12,Imports!A:B,2,)</f>
        <v>70.977000000000004</v>
      </c>
      <c r="G12" s="63">
        <f>VLOOKUP(A12,Government!A:B,2,)</f>
        <v>556.94000000000005</v>
      </c>
      <c r="H12" s="37">
        <f>Table58[[#This Row],[Personal Consumption]]/Table58[[#This Row],[GDP]]</f>
        <v>0.62183513459815487</v>
      </c>
      <c r="I12" s="37">
        <f>Table58[[#This Row],[Private Investment]]/Table58[[#This Row],[GDP]]</f>
        <v>0.12930119921876462</v>
      </c>
      <c r="J12" s="37">
        <f>Table58[[#This Row],[Exports]]/Table58[[#This Row],[GDP]]</f>
        <v>3.3667345186817965E-2</v>
      </c>
      <c r="K12" s="37">
        <f>-Table58[[#This Row],[Imports]]/Table58[[#This Row],[GDP]]</f>
        <v>-3.3259202195256361E-2</v>
      </c>
      <c r="L12" s="37">
        <f>Table58[[#This Row],[Government]]/Table58[[#This Row],[GDP]]</f>
        <v>0.26097721896707493</v>
      </c>
      <c r="N12" s="58">
        <f>SUM(Table58[[#This Row],[PC%]:[G%]])</f>
        <v>1.0125216957755558</v>
      </c>
      <c r="O12" s="25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35">
      <c r="A13" s="45">
        <v>17807</v>
      </c>
      <c r="B13" s="63">
        <f>VLOOKUP(A13,'U.S. GDP'!A:B,2,)</f>
        <v>2136.44</v>
      </c>
      <c r="C13" s="63">
        <f>VLOOKUP(A13,PersonalConsumption!A:B,2,)</f>
        <v>1337.6220000000001</v>
      </c>
      <c r="D13" s="63">
        <f>VLOOKUP(A13,PrivateInvestment!A:B,2,)</f>
        <v>262.74099999999999</v>
      </c>
      <c r="E13" s="63">
        <f>VLOOKUP(A13,Exports!A:B,2,)</f>
        <v>69.316000000000003</v>
      </c>
      <c r="F13" s="63">
        <f>VLOOKUP(A13,Imports!A:B,2,)</f>
        <v>69.825999999999993</v>
      </c>
      <c r="G13" s="63">
        <f>VLOOKUP(A13,Government!A:B,2,)</f>
        <v>577.45299999999997</v>
      </c>
      <c r="H13" s="37">
        <f>Table58[[#This Row],[Personal Consumption]]/Table58[[#This Row],[GDP]]</f>
        <v>0.6260985564771302</v>
      </c>
      <c r="I13" s="37">
        <f>Table58[[#This Row],[Private Investment]]/Table58[[#This Row],[GDP]]</f>
        <v>0.12298075302840238</v>
      </c>
      <c r="J13" s="37">
        <f>Table58[[#This Row],[Exports]]/Table58[[#This Row],[GDP]]</f>
        <v>3.2444627511186833E-2</v>
      </c>
      <c r="K13" s="37">
        <f>-Table58[[#This Row],[Imports]]/Table58[[#This Row],[GDP]]</f>
        <v>-3.2683342382655252E-2</v>
      </c>
      <c r="L13" s="37">
        <f>Table58[[#This Row],[Government]]/Table58[[#This Row],[GDP]]</f>
        <v>0.27028748759618804</v>
      </c>
      <c r="N13" s="58">
        <f>SUM(Table58[[#This Row],[PC%]:[G%]])</f>
        <v>1.0191280822302522</v>
      </c>
      <c r="O13" s="25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35">
      <c r="A14" s="45">
        <v>17899</v>
      </c>
      <c r="B14" s="63">
        <f>VLOOKUP(A14,'U.S. GDP'!A:B,2,)</f>
        <v>2107.0010000000002</v>
      </c>
      <c r="C14" s="63">
        <f>VLOOKUP(A14,PersonalConsumption!A:B,2,)</f>
        <v>1339.787</v>
      </c>
      <c r="D14" s="63">
        <f>VLOOKUP(A14,PrivateInvestment!A:B,2,)</f>
        <v>223.50700000000001</v>
      </c>
      <c r="E14" s="63">
        <f>VLOOKUP(A14,Exports!A:B,2,)</f>
        <v>77.611999999999995</v>
      </c>
      <c r="F14" s="63">
        <f>VLOOKUP(A14,Imports!A:B,2,)</f>
        <v>67.730999999999995</v>
      </c>
      <c r="G14" s="63">
        <f>VLOOKUP(A14,Government!A:B,2,)</f>
        <v>592.76900000000001</v>
      </c>
      <c r="H14" s="37">
        <f>Table58[[#This Row],[Personal Consumption]]/Table58[[#This Row],[GDP]]</f>
        <v>0.63587392697013423</v>
      </c>
      <c r="I14" s="37">
        <f>Table58[[#This Row],[Private Investment]]/Table58[[#This Row],[GDP]]</f>
        <v>0.10607826004828663</v>
      </c>
      <c r="J14" s="37">
        <f>Table58[[#This Row],[Exports]]/Table58[[#This Row],[GDP]]</f>
        <v>3.6835293386192028E-2</v>
      </c>
      <c r="K14" s="37">
        <f>-Table58[[#This Row],[Imports]]/Table58[[#This Row],[GDP]]</f>
        <v>-3.2145689536929499E-2</v>
      </c>
      <c r="L14" s="37">
        <f>Table58[[#This Row],[Government]]/Table58[[#This Row],[GDP]]</f>
        <v>0.28133304160747902</v>
      </c>
      <c r="N14" s="58">
        <f>SUM(Table58[[#This Row],[PC%]:[G%]])</f>
        <v>1.0279748324751625</v>
      </c>
      <c r="O14" s="25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35">
      <c r="A15" s="45">
        <v>17989</v>
      </c>
      <c r="B15" s="63">
        <f>VLOOKUP(A15,'U.S. GDP'!A:B,2,)</f>
        <v>2099.8139999999999</v>
      </c>
      <c r="C15" s="63">
        <f>VLOOKUP(A15,PersonalConsumption!A:B,2,)</f>
        <v>1360.3219999999999</v>
      </c>
      <c r="D15" s="63">
        <f>VLOOKUP(A15,PrivateInvestment!A:B,2,)</f>
        <v>193.79499999999999</v>
      </c>
      <c r="E15" s="63">
        <f>VLOOKUP(A15,Exports!A:B,2,)</f>
        <v>76.947000000000003</v>
      </c>
      <c r="F15" s="63">
        <f>VLOOKUP(A15,Imports!A:B,2,)</f>
        <v>66.742999999999995</v>
      </c>
      <c r="G15" s="63">
        <f>VLOOKUP(A15,Government!A:B,2,)</f>
        <v>618.52700000000004</v>
      </c>
      <c r="H15" s="37">
        <f>Table58[[#This Row],[Personal Consumption]]/Table58[[#This Row],[GDP]]</f>
        <v>0.64782976015970939</v>
      </c>
      <c r="I15" s="37">
        <f>Table58[[#This Row],[Private Investment]]/Table58[[#This Row],[GDP]]</f>
        <v>9.2291507724017466E-2</v>
      </c>
      <c r="J15" s="37">
        <f>Table58[[#This Row],[Exports]]/Table58[[#This Row],[GDP]]</f>
        <v>3.6644674242575774E-2</v>
      </c>
      <c r="K15" s="37">
        <f>-Table58[[#This Row],[Imports]]/Table58[[#This Row],[GDP]]</f>
        <v>-3.1785196212616926E-2</v>
      </c>
      <c r="L15" s="37">
        <f>Table58[[#This Row],[Government]]/Table58[[#This Row],[GDP]]</f>
        <v>0.29456275651081482</v>
      </c>
      <c r="N15" s="58">
        <f>SUM(Table58[[#This Row],[PC%]:[G%]])</f>
        <v>1.0395435024245006</v>
      </c>
      <c r="O15" s="25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35">
      <c r="A16" s="45">
        <v>18080</v>
      </c>
      <c r="B16" s="63">
        <f>VLOOKUP(A16,'U.S. GDP'!A:B,2,)</f>
        <v>2121.4929999999999</v>
      </c>
      <c r="C16" s="63">
        <f>VLOOKUP(A16,PersonalConsumption!A:B,2,)</f>
        <v>1363.4069999999999</v>
      </c>
      <c r="D16" s="63">
        <f>VLOOKUP(A16,PrivateInvestment!A:B,2,)</f>
        <v>209.86199999999999</v>
      </c>
      <c r="E16" s="63">
        <f>VLOOKUP(A16,Exports!A:B,2,)</f>
        <v>70.52</v>
      </c>
      <c r="F16" s="63">
        <f>VLOOKUP(A16,Imports!A:B,2,)</f>
        <v>64.022999999999996</v>
      </c>
      <c r="G16" s="63">
        <f>VLOOKUP(A16,Government!A:B,2,)</f>
        <v>621.78899999999999</v>
      </c>
      <c r="H16" s="37">
        <f>Table58[[#This Row],[Personal Consumption]]/Table58[[#This Row],[GDP]]</f>
        <v>0.6426639164022695</v>
      </c>
      <c r="I16" s="37">
        <f>Table58[[#This Row],[Private Investment]]/Table58[[#This Row],[GDP]]</f>
        <v>9.8921844191802666E-2</v>
      </c>
      <c r="J16" s="37">
        <f>Table58[[#This Row],[Exports]]/Table58[[#This Row],[GDP]]</f>
        <v>3.3240741308125925E-2</v>
      </c>
      <c r="K16" s="37">
        <f>-Table58[[#This Row],[Imports]]/Table58[[#This Row],[GDP]]</f>
        <v>-3.017827539379107E-2</v>
      </c>
      <c r="L16" s="37">
        <f>Table58[[#This Row],[Government]]/Table58[[#This Row],[GDP]]</f>
        <v>0.29309029065851266</v>
      </c>
      <c r="N16" s="58">
        <f>SUM(Table58[[#This Row],[PC%]:[G%]])</f>
        <v>1.0377385171669196</v>
      </c>
      <c r="O16" s="25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35">
      <c r="A17" s="45">
        <v>18172</v>
      </c>
      <c r="B17" s="63">
        <f>VLOOKUP(A17,'U.S. GDP'!A:B,2,)</f>
        <v>2103.6880000000001</v>
      </c>
      <c r="C17" s="63">
        <f>VLOOKUP(A17,PersonalConsumption!A:B,2,)</f>
        <v>1383.396</v>
      </c>
      <c r="D17" s="63">
        <f>VLOOKUP(A17,PrivateInvestment!A:B,2,)</f>
        <v>199.54</v>
      </c>
      <c r="E17" s="63">
        <f>VLOOKUP(A17,Exports!A:B,2,)</f>
        <v>61.046999999999997</v>
      </c>
      <c r="F17" s="63">
        <f>VLOOKUP(A17,Imports!A:B,2,)</f>
        <v>64.986999999999995</v>
      </c>
      <c r="G17" s="63">
        <f>VLOOKUP(A17,Government!A:B,2,)</f>
        <v>610.904</v>
      </c>
      <c r="H17" s="37">
        <f>Table58[[#This Row],[Personal Consumption]]/Table58[[#This Row],[GDP]]</f>
        <v>0.65760512015089689</v>
      </c>
      <c r="I17" s="37">
        <f>Table58[[#This Row],[Private Investment]]/Table58[[#This Row],[GDP]]</f>
        <v>9.485246861701925E-2</v>
      </c>
      <c r="J17" s="37">
        <f>Table58[[#This Row],[Exports]]/Table58[[#This Row],[GDP]]</f>
        <v>2.9019037043515956E-2</v>
      </c>
      <c r="K17" s="37">
        <f>-Table58[[#This Row],[Imports]]/Table58[[#This Row],[GDP]]</f>
        <v>-3.0891938348272172E-2</v>
      </c>
      <c r="L17" s="37">
        <f>Table58[[#This Row],[Government]]/Table58[[#This Row],[GDP]]</f>
        <v>0.29039667479207942</v>
      </c>
      <c r="N17" s="58">
        <f>SUM(Table58[[#This Row],[PC%]:[G%]])</f>
        <v>1.0409813622552393</v>
      </c>
      <c r="O17" s="25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35">
      <c r="A18" s="45">
        <v>18264</v>
      </c>
      <c r="B18" s="63">
        <f>VLOOKUP(A18,'U.S. GDP'!A:B,2,)</f>
        <v>2186.3649999999998</v>
      </c>
      <c r="C18" s="63">
        <f>VLOOKUP(A18,PersonalConsumption!A:B,2,)</f>
        <v>1406.4290000000001</v>
      </c>
      <c r="D18" s="63">
        <f>VLOOKUP(A18,PrivateInvestment!A:B,2,)</f>
        <v>246.911</v>
      </c>
      <c r="E18" s="63">
        <f>VLOOKUP(A18,Exports!A:B,2,)</f>
        <v>60.040999999999997</v>
      </c>
      <c r="F18" s="63">
        <f>VLOOKUP(A18,Imports!A:B,2,)</f>
        <v>66.802999999999997</v>
      </c>
      <c r="G18" s="63">
        <f>VLOOKUP(A18,Government!A:B,2,)</f>
        <v>599.56899999999996</v>
      </c>
      <c r="H18" s="37">
        <f>Table58[[#This Row],[Personal Consumption]]/Table58[[#This Row],[GDP]]</f>
        <v>0.64327273808353147</v>
      </c>
      <c r="I18" s="37">
        <f>Table58[[#This Row],[Private Investment]]/Table58[[#This Row],[GDP]]</f>
        <v>0.11293219567638524</v>
      </c>
      <c r="J18" s="37">
        <f>Table58[[#This Row],[Exports]]/Table58[[#This Row],[GDP]]</f>
        <v>2.7461562913786125E-2</v>
      </c>
      <c r="K18" s="37">
        <f>-Table58[[#This Row],[Imports]]/Table58[[#This Row],[GDP]]</f>
        <v>-3.0554367637608545E-2</v>
      </c>
      <c r="L18" s="37">
        <f>Table58[[#This Row],[Government]]/Table58[[#This Row],[GDP]]</f>
        <v>0.27423097241311495</v>
      </c>
      <c r="N18" s="58">
        <f>SUM(Table58[[#This Row],[PC%]:[G%]])</f>
        <v>1.0273431014492092</v>
      </c>
      <c r="O18" s="25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35">
      <c r="A19" s="45">
        <v>18354</v>
      </c>
      <c r="B19" s="63">
        <f>VLOOKUP(A19,'U.S. GDP'!A:B,2,)</f>
        <v>2253.0450000000001</v>
      </c>
      <c r="C19" s="63">
        <f>VLOOKUP(A19,PersonalConsumption!A:B,2,)</f>
        <v>1429.5909999999999</v>
      </c>
      <c r="D19" s="63">
        <f>VLOOKUP(A19,PrivateInvestment!A:B,2,)</f>
        <v>273.33499999999998</v>
      </c>
      <c r="E19" s="63">
        <f>VLOOKUP(A19,Exports!A:B,2,)</f>
        <v>60.765999999999998</v>
      </c>
      <c r="F19" s="63">
        <f>VLOOKUP(A19,Imports!A:B,2,)</f>
        <v>70.489999999999995</v>
      </c>
      <c r="G19" s="63">
        <f>VLOOKUP(A19,Government!A:B,2,)</f>
        <v>610.51900000000001</v>
      </c>
      <c r="H19" s="37">
        <f>Table58[[#This Row],[Personal Consumption]]/Table58[[#This Row],[GDP]]</f>
        <v>0.63451506738658126</v>
      </c>
      <c r="I19" s="37">
        <f>Table58[[#This Row],[Private Investment]]/Table58[[#This Row],[GDP]]</f>
        <v>0.12131803847681692</v>
      </c>
      <c r="J19" s="37">
        <f>Table58[[#This Row],[Exports]]/Table58[[#This Row],[GDP]]</f>
        <v>2.6970610884380915E-2</v>
      </c>
      <c r="K19" s="37">
        <f>-Table58[[#This Row],[Imports]]/Table58[[#This Row],[GDP]]</f>
        <v>-3.128654776091911E-2</v>
      </c>
      <c r="L19" s="37">
        <f>Table58[[#This Row],[Government]]/Table58[[#This Row],[GDP]]</f>
        <v>0.27097505819901513</v>
      </c>
      <c r="N19" s="58">
        <f>SUM(Table58[[#This Row],[PC%]:[G%]])</f>
        <v>1.0224922271858752</v>
      </c>
      <c r="O19" s="25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35">
      <c r="A20" s="45">
        <v>18445</v>
      </c>
      <c r="B20" s="63">
        <f>VLOOKUP(A20,'U.S. GDP'!A:B,2,)</f>
        <v>2340.1120000000001</v>
      </c>
      <c r="C20" s="63">
        <f>VLOOKUP(A20,PersonalConsumption!A:B,2,)</f>
        <v>1503.0029999999999</v>
      </c>
      <c r="D20" s="63">
        <f>VLOOKUP(A20,PrivateInvestment!A:B,2,)</f>
        <v>296.83100000000002</v>
      </c>
      <c r="E20" s="63">
        <f>VLOOKUP(A20,Exports!A:B,2,)</f>
        <v>62.341999999999999</v>
      </c>
      <c r="F20" s="63">
        <f>VLOOKUP(A20,Imports!A:B,2,)</f>
        <v>86.986000000000004</v>
      </c>
      <c r="G20" s="63">
        <f>VLOOKUP(A20,Government!A:B,2,)</f>
        <v>600.66300000000001</v>
      </c>
      <c r="H20" s="37">
        <f>Table58[[#This Row],[Personal Consumption]]/Table58[[#This Row],[GDP]]</f>
        <v>0.64227823283671892</v>
      </c>
      <c r="I20" s="37">
        <f>Table58[[#This Row],[Private Investment]]/Table58[[#This Row],[GDP]]</f>
        <v>0.126844783497542</v>
      </c>
      <c r="J20" s="37">
        <f>Table58[[#This Row],[Exports]]/Table58[[#This Row],[GDP]]</f>
        <v>2.6640605235988702E-2</v>
      </c>
      <c r="K20" s="37">
        <f>-Table58[[#This Row],[Imports]]/Table58[[#This Row],[GDP]]</f>
        <v>-3.7171725114011636E-2</v>
      </c>
      <c r="L20" s="37">
        <f>Table58[[#This Row],[Government]]/Table58[[#This Row],[GDP]]</f>
        <v>0.25668130414270768</v>
      </c>
      <c r="N20" s="58">
        <f>SUM(Table58[[#This Row],[PC%]:[G%]])</f>
        <v>1.0152732005989455</v>
      </c>
      <c r="O20" s="25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35">
      <c r="A21" s="45">
        <v>18537</v>
      </c>
      <c r="B21" s="63">
        <f>VLOOKUP(A21,'U.S. GDP'!A:B,2,)</f>
        <v>2384.92</v>
      </c>
      <c r="C21" s="63">
        <f>VLOOKUP(A21,PersonalConsumption!A:B,2,)</f>
        <v>1457.694</v>
      </c>
      <c r="D21" s="63">
        <f>VLOOKUP(A21,PrivateInvestment!A:B,2,)</f>
        <v>334.548</v>
      </c>
      <c r="E21" s="63">
        <f>VLOOKUP(A21,Exports!A:B,2,)</f>
        <v>67.394999999999996</v>
      </c>
      <c r="F21" s="63">
        <f>VLOOKUP(A21,Imports!A:B,2,)</f>
        <v>87.149000000000001</v>
      </c>
      <c r="G21" s="63">
        <f>VLOOKUP(A21,Government!A:B,2,)</f>
        <v>643.1</v>
      </c>
      <c r="H21" s="37">
        <f>Table58[[#This Row],[Personal Consumption]]/Table58[[#This Row],[GDP]]</f>
        <v>0.61121295473223414</v>
      </c>
      <c r="I21" s="37">
        <f>Table58[[#This Row],[Private Investment]]/Table58[[#This Row],[GDP]]</f>
        <v>0.14027640340137196</v>
      </c>
      <c r="J21" s="37">
        <f>Table58[[#This Row],[Exports]]/Table58[[#This Row],[GDP]]</f>
        <v>2.8258809519816176E-2</v>
      </c>
      <c r="K21" s="37">
        <f>-Table58[[#This Row],[Imports]]/Table58[[#This Row],[GDP]]</f>
        <v>-3.6541686932895022E-2</v>
      </c>
      <c r="L21" s="37">
        <f>Table58[[#This Row],[Government]]/Table58[[#This Row],[GDP]]</f>
        <v>0.26965265082266909</v>
      </c>
      <c r="N21" s="58">
        <f>SUM(Table58[[#This Row],[PC%]:[G%]])</f>
        <v>1.0128591315431963</v>
      </c>
      <c r="O21" s="25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35">
      <c r="A22" s="45">
        <v>18629</v>
      </c>
      <c r="B22" s="63">
        <f>VLOOKUP(A22,'U.S. GDP'!A:B,2,)</f>
        <v>2417.3110000000001</v>
      </c>
      <c r="C22" s="63">
        <f>VLOOKUP(A22,PersonalConsumption!A:B,2,)</f>
        <v>1492.942</v>
      </c>
      <c r="D22" s="63">
        <f>VLOOKUP(A22,PrivateInvestment!A:B,2,)</f>
        <v>300.363</v>
      </c>
      <c r="E22" s="63">
        <f>VLOOKUP(A22,Exports!A:B,2,)</f>
        <v>70.763000000000005</v>
      </c>
      <c r="F22" s="63">
        <f>VLOOKUP(A22,Imports!A:B,2,)</f>
        <v>87.153999999999996</v>
      </c>
      <c r="G22" s="63">
        <f>VLOOKUP(A22,Government!A:B,2,)</f>
        <v>711.53700000000003</v>
      </c>
      <c r="H22" s="37">
        <f>Table58[[#This Row],[Personal Consumption]]/Table58[[#This Row],[GDP]]</f>
        <v>0.61760443732726156</v>
      </c>
      <c r="I22" s="37">
        <f>Table58[[#This Row],[Private Investment]]/Table58[[#This Row],[GDP]]</f>
        <v>0.12425500897484849</v>
      </c>
      <c r="J22" s="37">
        <f>Table58[[#This Row],[Exports]]/Table58[[#This Row],[GDP]]</f>
        <v>2.9273436475488673E-2</v>
      </c>
      <c r="K22" s="37">
        <f>-Table58[[#This Row],[Imports]]/Table58[[#This Row],[GDP]]</f>
        <v>-3.6054111365893753E-2</v>
      </c>
      <c r="L22" s="37">
        <f>Table58[[#This Row],[Government]]/Table58[[#This Row],[GDP]]</f>
        <v>0.29435062348204266</v>
      </c>
      <c r="N22" s="58">
        <f>SUM(Table58[[#This Row],[PC%]:[G%]])</f>
        <v>1.0294293948937476</v>
      </c>
      <c r="O22" s="25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35">
      <c r="A23" s="45">
        <v>18719</v>
      </c>
      <c r="B23" s="63">
        <f>VLOOKUP(A23,'U.S. GDP'!A:B,2,)</f>
        <v>2459.1959999999999</v>
      </c>
      <c r="C23" s="63">
        <f>VLOOKUP(A23,PersonalConsumption!A:B,2,)</f>
        <v>1450.7529999999999</v>
      </c>
      <c r="D23" s="63">
        <f>VLOOKUP(A23,PrivateInvestment!A:B,2,)</f>
        <v>307.32600000000002</v>
      </c>
      <c r="E23" s="63">
        <f>VLOOKUP(A23,Exports!A:B,2,)</f>
        <v>77.727000000000004</v>
      </c>
      <c r="F23" s="63">
        <f>VLOOKUP(A23,Imports!A:B,2,)</f>
        <v>84.266000000000005</v>
      </c>
      <c r="G23" s="63">
        <f>VLOOKUP(A23,Government!A:B,2,)</f>
        <v>806.37599999999998</v>
      </c>
      <c r="H23" s="37">
        <f>Table58[[#This Row],[Personal Consumption]]/Table58[[#This Row],[GDP]]</f>
        <v>0.58992979819420654</v>
      </c>
      <c r="I23" s="37">
        <f>Table58[[#This Row],[Private Investment]]/Table58[[#This Row],[GDP]]</f>
        <v>0.12497011218300616</v>
      </c>
      <c r="J23" s="37">
        <f>Table58[[#This Row],[Exports]]/Table58[[#This Row],[GDP]]</f>
        <v>3.1606671448717386E-2</v>
      </c>
      <c r="K23" s="37">
        <f>-Table58[[#This Row],[Imports]]/Table58[[#This Row],[GDP]]</f>
        <v>-3.4265670568754993E-2</v>
      </c>
      <c r="L23" s="37">
        <f>Table58[[#This Row],[Government]]/Table58[[#This Row],[GDP]]</f>
        <v>0.32790229001673715</v>
      </c>
      <c r="N23" s="58">
        <f>SUM(Table58[[#This Row],[PC%]:[G%]])</f>
        <v>1.0401432012739122</v>
      </c>
      <c r="O23" s="25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35">
      <c r="A24" s="45">
        <v>18810</v>
      </c>
      <c r="B24" s="63">
        <f>VLOOKUP(A24,'U.S. GDP'!A:B,2,)</f>
        <v>2509.88</v>
      </c>
      <c r="C24" s="63">
        <f>VLOOKUP(A24,PersonalConsumption!A:B,2,)</f>
        <v>1467.654</v>
      </c>
      <c r="D24" s="63">
        <f>VLOOKUP(A24,PrivateInvestment!A:B,2,)</f>
        <v>284.697</v>
      </c>
      <c r="E24" s="63">
        <f>VLOOKUP(A24,Exports!A:B,2,)</f>
        <v>79.635999999999996</v>
      </c>
      <c r="F24" s="63">
        <f>VLOOKUP(A24,Imports!A:B,2,)</f>
        <v>77.13</v>
      </c>
      <c r="G24" s="63">
        <f>VLOOKUP(A24,Government!A:B,2,)</f>
        <v>895.01499999999999</v>
      </c>
      <c r="H24" s="37">
        <f>Table58[[#This Row],[Personal Consumption]]/Table58[[#This Row],[GDP]]</f>
        <v>0.58475066537045595</v>
      </c>
      <c r="I24" s="37">
        <f>Table58[[#This Row],[Private Investment]]/Table58[[#This Row],[GDP]]</f>
        <v>0.11343052257478445</v>
      </c>
      <c r="J24" s="37">
        <f>Table58[[#This Row],[Exports]]/Table58[[#This Row],[GDP]]</f>
        <v>3.1729006964476385E-2</v>
      </c>
      <c r="K24" s="37">
        <f>-Table58[[#This Row],[Imports]]/Table58[[#This Row],[GDP]]</f>
        <v>-3.0730552855116576E-2</v>
      </c>
      <c r="L24" s="37">
        <f>Table58[[#This Row],[Government]]/Table58[[#This Row],[GDP]]</f>
        <v>0.3565967297241302</v>
      </c>
      <c r="N24" s="58">
        <f>SUM(Table58[[#This Row],[PC%]:[G%]])</f>
        <v>1.0557763717787303</v>
      </c>
      <c r="O24" s="25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35">
      <c r="A25" s="45">
        <v>18902</v>
      </c>
      <c r="B25" s="63">
        <f>VLOOKUP(A25,'U.S. GDP'!A:B,2,)</f>
        <v>2515.4079999999999</v>
      </c>
      <c r="C25" s="63">
        <f>VLOOKUP(A25,PersonalConsumption!A:B,2,)</f>
        <v>1476.2049999999999</v>
      </c>
      <c r="D25" s="63">
        <f>VLOOKUP(A25,PrivateInvestment!A:B,2,)</f>
        <v>262.01299999999998</v>
      </c>
      <c r="E25" s="63">
        <f>VLOOKUP(A25,Exports!A:B,2,)</f>
        <v>78.888999999999996</v>
      </c>
      <c r="F25" s="63">
        <f>VLOOKUP(A25,Imports!A:B,2,)</f>
        <v>75.113</v>
      </c>
      <c r="G25" s="63">
        <f>VLOOKUP(A25,Government!A:B,2,)</f>
        <v>942.35</v>
      </c>
      <c r="H25" s="37">
        <f>Table58[[#This Row],[Personal Consumption]]/Table58[[#This Row],[GDP]]</f>
        <v>0.58686503342598895</v>
      </c>
      <c r="I25" s="37">
        <f>Table58[[#This Row],[Private Investment]]/Table58[[#This Row],[GDP]]</f>
        <v>0.10416322123488515</v>
      </c>
      <c r="J25" s="37">
        <f>Table58[[#This Row],[Exports]]/Table58[[#This Row],[GDP]]</f>
        <v>3.1362307824416555E-2</v>
      </c>
      <c r="K25" s="37">
        <f>-Table58[[#This Row],[Imports]]/Table58[[#This Row],[GDP]]</f>
        <v>-2.9861159700533671E-2</v>
      </c>
      <c r="L25" s="37">
        <f>Table58[[#This Row],[Government]]/Table58[[#This Row],[GDP]]</f>
        <v>0.37463107376616439</v>
      </c>
      <c r="N25" s="58">
        <f>SUM(Table58[[#This Row],[PC%]:[G%]])</f>
        <v>1.0671604765509213</v>
      </c>
      <c r="O25" s="25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35">
      <c r="A26" s="45">
        <v>18994</v>
      </c>
      <c r="B26" s="63">
        <f>VLOOKUP(A26,'U.S. GDP'!A:B,2,)</f>
        <v>2542.2860000000001</v>
      </c>
      <c r="C26" s="63">
        <f>VLOOKUP(A26,PersonalConsumption!A:B,2,)</f>
        <v>1479.625</v>
      </c>
      <c r="D26" s="63">
        <f>VLOOKUP(A26,PrivateInvestment!A:B,2,)</f>
        <v>268.85000000000002</v>
      </c>
      <c r="E26" s="63">
        <f>VLOOKUP(A26,Exports!A:B,2,)</f>
        <v>83.087999999999994</v>
      </c>
      <c r="F26" s="63">
        <f>VLOOKUP(A26,Imports!A:B,2,)</f>
        <v>83.828000000000003</v>
      </c>
      <c r="G26" s="63">
        <f>VLOOKUP(A26,Government!A:B,2,)</f>
        <v>970.39400000000001</v>
      </c>
      <c r="H26" s="37">
        <f>Table58[[#This Row],[Personal Consumption]]/Table58[[#This Row],[GDP]]</f>
        <v>0.58200572240888715</v>
      </c>
      <c r="I26" s="37">
        <f>Table58[[#This Row],[Private Investment]]/Table58[[#This Row],[GDP]]</f>
        <v>0.10575128054042701</v>
      </c>
      <c r="J26" s="37">
        <f>Table58[[#This Row],[Exports]]/Table58[[#This Row],[GDP]]</f>
        <v>3.2682396866442247E-2</v>
      </c>
      <c r="K26" s="37">
        <f>-Table58[[#This Row],[Imports]]/Table58[[#This Row],[GDP]]</f>
        <v>-3.2973473480167062E-2</v>
      </c>
      <c r="L26" s="37">
        <f>Table58[[#This Row],[Government]]/Table58[[#This Row],[GDP]]</f>
        <v>0.38170135067415706</v>
      </c>
      <c r="N26" s="58">
        <f>SUM(Table58[[#This Row],[PC%]:[G%]])</f>
        <v>1.0691672770097465</v>
      </c>
      <c r="O26" s="25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35">
      <c r="A27" s="45">
        <v>19085</v>
      </c>
      <c r="B27" s="63">
        <f>VLOOKUP(A27,'U.S. GDP'!A:B,2,)</f>
        <v>2547.7620000000002</v>
      </c>
      <c r="C27" s="63">
        <f>VLOOKUP(A27,PersonalConsumption!A:B,2,)</f>
        <v>1508.6010000000001</v>
      </c>
      <c r="D27" s="63">
        <f>VLOOKUP(A27,PrivateInvestment!A:B,2,)</f>
        <v>248.58</v>
      </c>
      <c r="E27" s="63">
        <f>VLOOKUP(A27,Exports!A:B,2,)</f>
        <v>73.953999999999994</v>
      </c>
      <c r="F27" s="63">
        <f>VLOOKUP(A27,Imports!A:B,2,)</f>
        <v>83.394000000000005</v>
      </c>
      <c r="G27" s="63">
        <f>VLOOKUP(A27,Government!A:B,2,)</f>
        <v>1003.463</v>
      </c>
      <c r="H27" s="37">
        <f>Table58[[#This Row],[Personal Consumption]]/Table58[[#This Row],[GDP]]</f>
        <v>0.59212791461682845</v>
      </c>
      <c r="I27" s="37">
        <f>Table58[[#This Row],[Private Investment]]/Table58[[#This Row],[GDP]]</f>
        <v>9.7567983194662602E-2</v>
      </c>
      <c r="J27" s="37">
        <f>Table58[[#This Row],[Exports]]/Table58[[#This Row],[GDP]]</f>
        <v>2.902704412735569E-2</v>
      </c>
      <c r="K27" s="37">
        <f>-Table58[[#This Row],[Imports]]/Table58[[#This Row],[GDP]]</f>
        <v>-3.2732256780656908E-2</v>
      </c>
      <c r="L27" s="37">
        <f>Table58[[#This Row],[Government]]/Table58[[#This Row],[GDP]]</f>
        <v>0.39386057253385515</v>
      </c>
      <c r="N27" s="58">
        <f>SUM(Table58[[#This Row],[PC%]:[G%]])</f>
        <v>1.0798512576920449</v>
      </c>
      <c r="O27" s="25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35">
      <c r="A28" s="45">
        <v>19176</v>
      </c>
      <c r="B28" s="63">
        <f>VLOOKUP(A28,'U.S. GDP'!A:B,2,)</f>
        <v>2566.1529999999998</v>
      </c>
      <c r="C28" s="63">
        <f>VLOOKUP(A28,PersonalConsumption!A:B,2,)</f>
        <v>1515.837</v>
      </c>
      <c r="D28" s="63">
        <f>VLOOKUP(A28,PrivateInvestment!A:B,2,)</f>
        <v>261.90600000000001</v>
      </c>
      <c r="E28" s="63">
        <f>VLOOKUP(A28,Exports!A:B,2,)</f>
        <v>68.114000000000004</v>
      </c>
      <c r="F28" s="63">
        <f>VLOOKUP(A28,Imports!A:B,2,)</f>
        <v>88.497</v>
      </c>
      <c r="G28" s="63">
        <f>VLOOKUP(A28,Government!A:B,2,)</f>
        <v>1013.614</v>
      </c>
      <c r="H28" s="37">
        <f>Table58[[#This Row],[Personal Consumption]]/Table58[[#This Row],[GDP]]</f>
        <v>0.59070406168299405</v>
      </c>
      <c r="I28" s="37">
        <f>Table58[[#This Row],[Private Investment]]/Table58[[#This Row],[GDP]]</f>
        <v>0.10206172430092829</v>
      </c>
      <c r="J28" s="37">
        <f>Table58[[#This Row],[Exports]]/Table58[[#This Row],[GDP]]</f>
        <v>2.6543234171929737E-2</v>
      </c>
      <c r="K28" s="37">
        <f>-Table58[[#This Row],[Imports]]/Table58[[#This Row],[GDP]]</f>
        <v>-3.4486252378560442E-2</v>
      </c>
      <c r="L28" s="37">
        <f>Table58[[#This Row],[Government]]/Table58[[#This Row],[GDP]]</f>
        <v>0.39499359547150936</v>
      </c>
      <c r="N28" s="58">
        <f>SUM(Table58[[#This Row],[PC%]:[G%]])</f>
        <v>1.0798163632488009</v>
      </c>
      <c r="O28" s="25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35">
      <c r="A29" s="45">
        <v>19268</v>
      </c>
      <c r="B29" s="63">
        <f>VLOOKUP(A29,'U.S. GDP'!A:B,2,)</f>
        <v>2650.431</v>
      </c>
      <c r="C29" s="63">
        <f>VLOOKUP(A29,PersonalConsumption!A:B,2,)</f>
        <v>1569.3130000000001</v>
      </c>
      <c r="D29" s="63">
        <f>VLOOKUP(A29,PrivateInvestment!A:B,2,)</f>
        <v>280.77199999999999</v>
      </c>
      <c r="E29" s="63">
        <f>VLOOKUP(A29,Exports!A:B,2,)</f>
        <v>68.58</v>
      </c>
      <c r="F29" s="63">
        <f>VLOOKUP(A29,Imports!A:B,2,)</f>
        <v>96.430999999999997</v>
      </c>
      <c r="G29" s="63">
        <f>VLOOKUP(A29,Government!A:B,2,)</f>
        <v>1030.52</v>
      </c>
      <c r="H29" s="37">
        <f>Table58[[#This Row],[Personal Consumption]]/Table58[[#This Row],[GDP]]</f>
        <v>0.59209728530944594</v>
      </c>
      <c r="I29" s="37">
        <f>Table58[[#This Row],[Private Investment]]/Table58[[#This Row],[GDP]]</f>
        <v>0.1059344687713055</v>
      </c>
      <c r="J29" s="37">
        <f>Table58[[#This Row],[Exports]]/Table58[[#This Row],[GDP]]</f>
        <v>2.5875036927956244E-2</v>
      </c>
      <c r="K29" s="37">
        <f>-Table58[[#This Row],[Imports]]/Table58[[#This Row],[GDP]]</f>
        <v>-3.6383139195096947E-2</v>
      </c>
      <c r="L29" s="37">
        <f>Table58[[#This Row],[Government]]/Table58[[#This Row],[GDP]]</f>
        <v>0.38881223468937692</v>
      </c>
      <c r="N29" s="58">
        <f>SUM(Table58[[#This Row],[PC%]:[G%]])</f>
        <v>1.0763358865029877</v>
      </c>
      <c r="O29" s="25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35">
      <c r="A30" s="45">
        <v>19360</v>
      </c>
      <c r="B30" s="63">
        <f>VLOOKUP(A30,'U.S. GDP'!A:B,2,)</f>
        <v>2699.6990000000001</v>
      </c>
      <c r="C30" s="63">
        <f>VLOOKUP(A30,PersonalConsumption!A:B,2,)</f>
        <v>1587.7429999999999</v>
      </c>
      <c r="D30" s="63">
        <f>VLOOKUP(A30,PrivateInvestment!A:B,2,)</f>
        <v>286.81299999999999</v>
      </c>
      <c r="E30" s="63">
        <f>VLOOKUP(A30,Exports!A:B,2,)</f>
        <v>67.42</v>
      </c>
      <c r="F30" s="63">
        <f>VLOOKUP(A30,Imports!A:B,2,)</f>
        <v>94.054000000000002</v>
      </c>
      <c r="G30" s="63">
        <f>VLOOKUP(A30,Government!A:B,2,)</f>
        <v>1063.1659999999999</v>
      </c>
      <c r="H30" s="37">
        <f>Table58[[#This Row],[Personal Consumption]]/Table58[[#This Row],[GDP]]</f>
        <v>0.58811852728767167</v>
      </c>
      <c r="I30" s="37">
        <f>Table58[[#This Row],[Private Investment]]/Table58[[#This Row],[GDP]]</f>
        <v>0.10623888070484894</v>
      </c>
      <c r="J30" s="37">
        <f>Table58[[#This Row],[Exports]]/Table58[[#This Row],[GDP]]</f>
        <v>2.4973154414621779E-2</v>
      </c>
      <c r="K30" s="37">
        <f>-Table58[[#This Row],[Imports]]/Table58[[#This Row],[GDP]]</f>
        <v>-3.4838698684557058E-2</v>
      </c>
      <c r="L30" s="37">
        <f>Table58[[#This Row],[Government]]/Table58[[#This Row],[GDP]]</f>
        <v>0.39380908760569233</v>
      </c>
      <c r="N30" s="58">
        <f>SUM(Table58[[#This Row],[PC%]:[G%]])</f>
        <v>1.0783009513282775</v>
      </c>
      <c r="O30" s="25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35">
      <c r="A31" s="45">
        <v>19450</v>
      </c>
      <c r="B31" s="63">
        <f>VLOOKUP(A31,'U.S. GDP'!A:B,2,)</f>
        <v>2720.5659999999998</v>
      </c>
      <c r="C31" s="63">
        <f>VLOOKUP(A31,PersonalConsumption!A:B,2,)</f>
        <v>1597.3019999999999</v>
      </c>
      <c r="D31" s="63">
        <f>VLOOKUP(A31,PrivateInvestment!A:B,2,)</f>
        <v>288.44499999999999</v>
      </c>
      <c r="E31" s="63">
        <f>VLOOKUP(A31,Exports!A:B,2,)</f>
        <v>67.84</v>
      </c>
      <c r="F31" s="63">
        <f>VLOOKUP(A31,Imports!A:B,2,)</f>
        <v>98.932000000000002</v>
      </c>
      <c r="G31" s="63">
        <f>VLOOKUP(A31,Government!A:B,2,)</f>
        <v>1084.9659999999999</v>
      </c>
      <c r="H31" s="37">
        <f>Table58[[#This Row],[Personal Consumption]]/Table58[[#This Row],[GDP]]</f>
        <v>0.58712120933658662</v>
      </c>
      <c r="I31" s="37">
        <f>Table58[[#This Row],[Private Investment]]/Table58[[#This Row],[GDP]]</f>
        <v>0.10602389355744357</v>
      </c>
      <c r="J31" s="37">
        <f>Table58[[#This Row],[Exports]]/Table58[[#This Row],[GDP]]</f>
        <v>2.4935987584936373E-2</v>
      </c>
      <c r="K31" s="37">
        <f>-Table58[[#This Row],[Imports]]/Table58[[#This Row],[GDP]]</f>
        <v>-3.6364491800603263E-2</v>
      </c>
      <c r="L31" s="37">
        <f>Table58[[#This Row],[Government]]/Table58[[#This Row],[GDP]]</f>
        <v>0.39880157290799045</v>
      </c>
      <c r="N31" s="58">
        <f>SUM(Table58[[#This Row],[PC%]:[G%]])</f>
        <v>1.0805181715863537</v>
      </c>
      <c r="O31" s="25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35">
      <c r="A32" s="45">
        <v>19541</v>
      </c>
      <c r="B32" s="63">
        <f>VLOOKUP(A32,'U.S. GDP'!A:B,2,)</f>
        <v>2705.2579999999998</v>
      </c>
      <c r="C32" s="63">
        <f>VLOOKUP(A32,PersonalConsumption!A:B,2,)</f>
        <v>1593.4970000000001</v>
      </c>
      <c r="D32" s="63">
        <f>VLOOKUP(A32,PrivateInvestment!A:B,2,)</f>
        <v>282.411</v>
      </c>
      <c r="E32" s="63">
        <f>VLOOKUP(A32,Exports!A:B,2,)</f>
        <v>70.56</v>
      </c>
      <c r="F32" s="63">
        <f>VLOOKUP(A32,Imports!A:B,2,)</f>
        <v>98.555000000000007</v>
      </c>
      <c r="G32" s="63">
        <f>VLOOKUP(A32,Government!A:B,2,)</f>
        <v>1073.4480000000001</v>
      </c>
      <c r="H32" s="37">
        <f>Table58[[#This Row],[Personal Consumption]]/Table58[[#This Row],[GDP]]</f>
        <v>0.58903697909774233</v>
      </c>
      <c r="I32" s="37">
        <f>Table58[[#This Row],[Private Investment]]/Table58[[#This Row],[GDP]]</f>
        <v>0.10439337024416896</v>
      </c>
      <c r="J32" s="37">
        <f>Table58[[#This Row],[Exports]]/Table58[[#This Row],[GDP]]</f>
        <v>2.6082540001729968E-2</v>
      </c>
      <c r="K32" s="37">
        <f>-Table58[[#This Row],[Imports]]/Table58[[#This Row],[GDP]]</f>
        <v>-3.6430906035579608E-2</v>
      </c>
      <c r="L32" s="37">
        <f>Table58[[#This Row],[Government]]/Table58[[#This Row],[GDP]]</f>
        <v>0.39680060090386948</v>
      </c>
      <c r="N32" s="58">
        <f>SUM(Table58[[#This Row],[PC%]:[G%]])</f>
        <v>1.0798825842119311</v>
      </c>
      <c r="O32" s="25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35">
      <c r="A33" s="45">
        <v>19633</v>
      </c>
      <c r="B33" s="63">
        <f>VLOOKUP(A33,'U.S. GDP'!A:B,2,)</f>
        <v>2664.3020000000001</v>
      </c>
      <c r="C33" s="63">
        <f>VLOOKUP(A33,PersonalConsumption!A:B,2,)</f>
        <v>1582.8119999999999</v>
      </c>
      <c r="D33" s="63">
        <f>VLOOKUP(A33,PrivateInvestment!A:B,2,)</f>
        <v>262.005</v>
      </c>
      <c r="E33" s="63">
        <f>VLOOKUP(A33,Exports!A:B,2,)</f>
        <v>68.233999999999995</v>
      </c>
      <c r="F33" s="63">
        <f>VLOOKUP(A33,Imports!A:B,2,)</f>
        <v>93.706999999999994</v>
      </c>
      <c r="G33" s="63">
        <f>VLOOKUP(A33,Government!A:B,2,)</f>
        <v>1070.7739999999999</v>
      </c>
      <c r="H33" s="37">
        <f>Table58[[#This Row],[Personal Consumption]]/Table58[[#This Row],[GDP]]</f>
        <v>0.59408130159418859</v>
      </c>
      <c r="I33" s="37">
        <f>Table58[[#This Row],[Private Investment]]/Table58[[#This Row],[GDP]]</f>
        <v>9.8339077176686426E-2</v>
      </c>
      <c r="J33" s="37">
        <f>Table58[[#This Row],[Exports]]/Table58[[#This Row],[GDP]]</f>
        <v>2.5610460075471922E-2</v>
      </c>
      <c r="K33" s="37">
        <f>-Table58[[#This Row],[Imports]]/Table58[[#This Row],[GDP]]</f>
        <v>-3.5171313161946355E-2</v>
      </c>
      <c r="L33" s="37">
        <f>Table58[[#This Row],[Government]]/Table58[[#This Row],[GDP]]</f>
        <v>0.40189663183828256</v>
      </c>
      <c r="N33" s="58">
        <f>SUM(Table58[[#This Row],[PC%]:[G%]])</f>
        <v>1.0847561575226832</v>
      </c>
      <c r="O33" s="25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35">
      <c r="A34" s="45">
        <v>19725</v>
      </c>
      <c r="B34" s="63">
        <f>VLOOKUP(A34,'U.S. GDP'!A:B,2,)</f>
        <v>2651.5659999999998</v>
      </c>
      <c r="C34" s="63">
        <f>VLOOKUP(A34,PersonalConsumption!A:B,2,)</f>
        <v>1588.65</v>
      </c>
      <c r="D34" s="63">
        <f>VLOOKUP(A34,PrivateInvestment!A:B,2,)</f>
        <v>260.12700000000001</v>
      </c>
      <c r="E34" s="63">
        <f>VLOOKUP(A34,Exports!A:B,2,)</f>
        <v>65.174000000000007</v>
      </c>
      <c r="F34" s="63">
        <f>VLOOKUP(A34,Imports!A:B,2,)</f>
        <v>88.296000000000006</v>
      </c>
      <c r="G34" s="63">
        <f>VLOOKUP(A34,Government!A:B,2,)</f>
        <v>1042.9390000000001</v>
      </c>
      <c r="H34" s="37">
        <f>Table58[[#This Row],[Personal Consumption]]/Table58[[#This Row],[GDP]]</f>
        <v>0.59913651027355164</v>
      </c>
      <c r="I34" s="37">
        <f>Table58[[#This Row],[Private Investment]]/Table58[[#This Row],[GDP]]</f>
        <v>9.8103158661711612E-2</v>
      </c>
      <c r="J34" s="37">
        <f>Table58[[#This Row],[Exports]]/Table58[[#This Row],[GDP]]</f>
        <v>2.4579437208049889E-2</v>
      </c>
      <c r="K34" s="37">
        <f>-Table58[[#This Row],[Imports]]/Table58[[#This Row],[GDP]]</f>
        <v>-3.3299567123729903E-2</v>
      </c>
      <c r="L34" s="37">
        <f>Table58[[#This Row],[Government]]/Table58[[#This Row],[GDP]]</f>
        <v>0.39332945135063585</v>
      </c>
      <c r="N34" s="58">
        <f>SUM(Table58[[#This Row],[PC%]:[G%]])</f>
        <v>1.0818489903702191</v>
      </c>
      <c r="O34" s="25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35">
      <c r="A35" s="45">
        <v>19815</v>
      </c>
      <c r="B35" s="63">
        <f>VLOOKUP(A35,'U.S. GDP'!A:B,2,)</f>
        <v>2654.4560000000001</v>
      </c>
      <c r="C35" s="63">
        <f>VLOOKUP(A35,PersonalConsumption!A:B,2,)</f>
        <v>1609.28</v>
      </c>
      <c r="D35" s="63">
        <f>VLOOKUP(A35,PrivateInvestment!A:B,2,)</f>
        <v>259.51299999999998</v>
      </c>
      <c r="E35" s="63">
        <f>VLOOKUP(A35,Exports!A:B,2,)</f>
        <v>74.537999999999997</v>
      </c>
      <c r="F35" s="63">
        <f>VLOOKUP(A35,Imports!A:B,2,)</f>
        <v>96.236999999999995</v>
      </c>
      <c r="G35" s="63">
        <f>VLOOKUP(A35,Government!A:B,2,)</f>
        <v>1007.623</v>
      </c>
      <c r="H35" s="37">
        <f>Table58[[#This Row],[Personal Consumption]]/Table58[[#This Row],[GDP]]</f>
        <v>0.60625604643663333</v>
      </c>
      <c r="I35" s="37">
        <f>Table58[[#This Row],[Private Investment]]/Table58[[#This Row],[GDP]]</f>
        <v>9.77650411233036E-2</v>
      </c>
      <c r="J35" s="37">
        <f>Table58[[#This Row],[Exports]]/Table58[[#This Row],[GDP]]</f>
        <v>2.8080329830292908E-2</v>
      </c>
      <c r="K35" s="37">
        <f>-Table58[[#This Row],[Imports]]/Table58[[#This Row],[GDP]]</f>
        <v>-3.6254886123559774E-2</v>
      </c>
      <c r="L35" s="37">
        <f>Table58[[#This Row],[Government]]/Table58[[#This Row],[GDP]]</f>
        <v>0.37959679874143704</v>
      </c>
      <c r="N35" s="58">
        <f>SUM(Table58[[#This Row],[PC%]:[G%]])</f>
        <v>1.0754433300081072</v>
      </c>
      <c r="O35" s="25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35">
      <c r="A36" s="45">
        <v>19906</v>
      </c>
      <c r="B36" s="63">
        <f>VLOOKUP(A36,'U.S. GDP'!A:B,2,)</f>
        <v>2684.4340000000002</v>
      </c>
      <c r="C36" s="63">
        <f>VLOOKUP(A36,PersonalConsumption!A:B,2,)</f>
        <v>1631.059</v>
      </c>
      <c r="D36" s="63">
        <f>VLOOKUP(A36,PrivateInvestment!A:B,2,)</f>
        <v>272.03699999999998</v>
      </c>
      <c r="E36" s="63">
        <f>VLOOKUP(A36,Exports!A:B,2,)</f>
        <v>72.143000000000001</v>
      </c>
      <c r="F36" s="63">
        <f>VLOOKUP(A36,Imports!A:B,2,)</f>
        <v>90.432000000000002</v>
      </c>
      <c r="G36" s="63">
        <f>VLOOKUP(A36,Government!A:B,2,)</f>
        <v>985.83199999999999</v>
      </c>
      <c r="H36" s="37">
        <f>Table58[[#This Row],[Personal Consumption]]/Table58[[#This Row],[GDP]]</f>
        <v>0.60759884579021117</v>
      </c>
      <c r="I36" s="37">
        <f>Table58[[#This Row],[Private Investment]]/Table58[[#This Row],[GDP]]</f>
        <v>0.10133868070513187</v>
      </c>
      <c r="J36" s="37">
        <f>Table58[[#This Row],[Exports]]/Table58[[#This Row],[GDP]]</f>
        <v>2.6874566482170913E-2</v>
      </c>
      <c r="K36" s="37">
        <f>-Table58[[#This Row],[Imports]]/Table58[[#This Row],[GDP]]</f>
        <v>-3.3687548287646481E-2</v>
      </c>
      <c r="L36" s="37">
        <f>Table58[[#This Row],[Government]]/Table58[[#This Row],[GDP]]</f>
        <v>0.36724017055364366</v>
      </c>
      <c r="N36" s="58">
        <f>SUM(Table58[[#This Row],[PC%]:[G%]])</f>
        <v>1.0693647152435111</v>
      </c>
      <c r="O36" s="25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35">
      <c r="A37" s="45">
        <v>19998</v>
      </c>
      <c r="B37" s="63">
        <f>VLOOKUP(A37,'U.S. GDP'!A:B,2,)</f>
        <v>2736.96</v>
      </c>
      <c r="C37" s="63">
        <f>VLOOKUP(A37,PersonalConsumption!A:B,2,)</f>
        <v>1665.2909999999999</v>
      </c>
      <c r="D37" s="63">
        <f>VLOOKUP(A37,PrivateInvestment!A:B,2,)</f>
        <v>283.96800000000002</v>
      </c>
      <c r="E37" s="63">
        <f>VLOOKUP(A37,Exports!A:B,2,)</f>
        <v>75.465000000000003</v>
      </c>
      <c r="F37" s="63">
        <f>VLOOKUP(A37,Imports!A:B,2,)</f>
        <v>91.29</v>
      </c>
      <c r="G37" s="63">
        <f>VLOOKUP(A37,Government!A:B,2,)</f>
        <v>979.89700000000005</v>
      </c>
      <c r="H37" s="37">
        <f>Table58[[#This Row],[Personal Consumption]]/Table58[[#This Row],[GDP]]</f>
        <v>0.6084455015783935</v>
      </c>
      <c r="I37" s="37">
        <f>Table58[[#This Row],[Private Investment]]/Table58[[#This Row],[GDP]]</f>
        <v>0.10375306909856191</v>
      </c>
      <c r="J37" s="37">
        <f>Table58[[#This Row],[Exports]]/Table58[[#This Row],[GDP]]</f>
        <v>2.7572562258856542E-2</v>
      </c>
      <c r="K37" s="37">
        <f>-Table58[[#This Row],[Imports]]/Table58[[#This Row],[GDP]]</f>
        <v>-3.3354524728165559E-2</v>
      </c>
      <c r="L37" s="37">
        <f>Table58[[#This Row],[Government]]/Table58[[#This Row],[GDP]]</f>
        <v>0.35802386589500762</v>
      </c>
      <c r="N37" s="58">
        <f>SUM(Table58[[#This Row],[PC%]:[G%]])</f>
        <v>1.0644404741026539</v>
      </c>
      <c r="O37" s="25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35">
      <c r="A38" s="45">
        <v>20090</v>
      </c>
      <c r="B38" s="63">
        <f>VLOOKUP(A38,'U.S. GDP'!A:B,2,)</f>
        <v>2815.134</v>
      </c>
      <c r="C38" s="63">
        <f>VLOOKUP(A38,PersonalConsumption!A:B,2,)</f>
        <v>1702.6559999999999</v>
      </c>
      <c r="D38" s="63">
        <f>VLOOKUP(A38,PrivateInvestment!A:B,2,)</f>
        <v>312.33699999999999</v>
      </c>
      <c r="E38" s="63">
        <f>VLOOKUP(A38,Exports!A:B,2,)</f>
        <v>78.269000000000005</v>
      </c>
      <c r="F38" s="63">
        <f>VLOOKUP(A38,Imports!A:B,2,)</f>
        <v>96.683999999999997</v>
      </c>
      <c r="G38" s="63">
        <f>VLOOKUP(A38,Government!A:B,2,)</f>
        <v>980.47199999999998</v>
      </c>
      <c r="H38" s="37">
        <f>Table58[[#This Row],[Personal Consumption]]/Table58[[#This Row],[GDP]]</f>
        <v>0.60482236369565356</v>
      </c>
      <c r="I38" s="37">
        <f>Table58[[#This Row],[Private Investment]]/Table58[[#This Row],[GDP]]</f>
        <v>0.11094924788660149</v>
      </c>
      <c r="J38" s="37">
        <f>Table58[[#This Row],[Exports]]/Table58[[#This Row],[GDP]]</f>
        <v>2.7802939398266658E-2</v>
      </c>
      <c r="K38" s="37">
        <f>-Table58[[#This Row],[Imports]]/Table58[[#This Row],[GDP]]</f>
        <v>-3.4344368687245434E-2</v>
      </c>
      <c r="L38" s="37">
        <f>Table58[[#This Row],[Government]]/Table58[[#This Row],[GDP]]</f>
        <v>0.34828608513839837</v>
      </c>
      <c r="N38" s="58">
        <f>SUM(Table58[[#This Row],[PC%]:[G%]])</f>
        <v>1.0575162674316745</v>
      </c>
      <c r="O38" s="25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35">
      <c r="A39" s="45">
        <v>20180</v>
      </c>
      <c r="B39" s="63">
        <f>VLOOKUP(A39,'U.S. GDP'!A:B,2,)</f>
        <v>2860.942</v>
      </c>
      <c r="C39" s="63">
        <f>VLOOKUP(A39,PersonalConsumption!A:B,2,)</f>
        <v>1735.2739999999999</v>
      </c>
      <c r="D39" s="63">
        <f>VLOOKUP(A39,PrivateInvestment!A:B,2,)</f>
        <v>331.33300000000003</v>
      </c>
      <c r="E39" s="63">
        <f>VLOOKUP(A39,Exports!A:B,2,)</f>
        <v>76.444000000000003</v>
      </c>
      <c r="F39" s="63">
        <f>VLOOKUP(A39,Imports!A:B,2,)</f>
        <v>102.167</v>
      </c>
      <c r="G39" s="63">
        <f>VLOOKUP(A39,Government!A:B,2,)</f>
        <v>970.85199999999998</v>
      </c>
      <c r="H39" s="37">
        <f>Table58[[#This Row],[Personal Consumption]]/Table58[[#This Row],[GDP]]</f>
        <v>0.60653938458032353</v>
      </c>
      <c r="I39" s="37">
        <f>Table58[[#This Row],[Private Investment]]/Table58[[#This Row],[GDP]]</f>
        <v>0.11581255404688387</v>
      </c>
      <c r="J39" s="37">
        <f>Table58[[#This Row],[Exports]]/Table58[[#This Row],[GDP]]</f>
        <v>2.6719870588079033E-2</v>
      </c>
      <c r="K39" s="37">
        <f>-Table58[[#This Row],[Imports]]/Table58[[#This Row],[GDP]]</f>
        <v>-3.571096512966708E-2</v>
      </c>
      <c r="L39" s="37">
        <f>Table58[[#This Row],[Government]]/Table58[[#This Row],[GDP]]</f>
        <v>0.33934697033354749</v>
      </c>
      <c r="N39" s="58">
        <f>SUM(Table58[[#This Row],[PC%]:[G%]])</f>
        <v>1.0527078144191668</v>
      </c>
      <c r="O39" s="25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35">
      <c r="A40" s="45">
        <v>20271</v>
      </c>
      <c r="B40" s="63">
        <f>VLOOKUP(A40,'U.S. GDP'!A:B,2,)</f>
        <v>2899.578</v>
      </c>
      <c r="C40" s="63">
        <f>VLOOKUP(A40,PersonalConsumption!A:B,2,)</f>
        <v>1756.7070000000001</v>
      </c>
      <c r="D40" s="63">
        <f>VLOOKUP(A40,PrivateInvestment!A:B,2,)</f>
        <v>336.41800000000001</v>
      </c>
      <c r="E40" s="63">
        <f>VLOOKUP(A40,Exports!A:B,2,)</f>
        <v>81.460999999999999</v>
      </c>
      <c r="F40" s="63">
        <f>VLOOKUP(A40,Imports!A:B,2,)</f>
        <v>103.886</v>
      </c>
      <c r="G40" s="63">
        <f>VLOOKUP(A40,Government!A:B,2,)</f>
        <v>977.06299999999999</v>
      </c>
      <c r="H40" s="37">
        <f>Table58[[#This Row],[Personal Consumption]]/Table58[[#This Row],[GDP]]</f>
        <v>0.60584919598645048</v>
      </c>
      <c r="I40" s="37">
        <f>Table58[[#This Row],[Private Investment]]/Table58[[#This Row],[GDP]]</f>
        <v>0.11602309025658217</v>
      </c>
      <c r="J40" s="37">
        <f>Table58[[#This Row],[Exports]]/Table58[[#This Row],[GDP]]</f>
        <v>2.8094088174210177E-2</v>
      </c>
      <c r="K40" s="37">
        <f>-Table58[[#This Row],[Imports]]/Table58[[#This Row],[GDP]]</f>
        <v>-3.5827972208369634E-2</v>
      </c>
      <c r="L40" s="37">
        <f>Table58[[#This Row],[Government]]/Table58[[#This Row],[GDP]]</f>
        <v>0.33696731041551564</v>
      </c>
      <c r="N40" s="58">
        <f>SUM(Table58[[#This Row],[PC%]:[G%]])</f>
        <v>1.051105712624389</v>
      </c>
      <c r="O40" s="25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35">
      <c r="A41" s="45">
        <v>20363</v>
      </c>
      <c r="B41" s="63">
        <f>VLOOKUP(A41,'U.S. GDP'!A:B,2,)</f>
        <v>2916.9850000000001</v>
      </c>
      <c r="C41" s="63">
        <f>VLOOKUP(A41,PersonalConsumption!A:B,2,)</f>
        <v>1778.7670000000001</v>
      </c>
      <c r="D41" s="63">
        <f>VLOOKUP(A41,PrivateInvestment!A:B,2,)</f>
        <v>344.21800000000002</v>
      </c>
      <c r="E41" s="63">
        <f>VLOOKUP(A41,Exports!A:B,2,)</f>
        <v>81.828999999999994</v>
      </c>
      <c r="F41" s="63">
        <f>VLOOKUP(A41,Imports!A:B,2,)</f>
        <v>107.65</v>
      </c>
      <c r="G41" s="63">
        <f>VLOOKUP(A41,Government!A:B,2,)</f>
        <v>957.67700000000002</v>
      </c>
      <c r="H41" s="37">
        <f>Table58[[#This Row],[Personal Consumption]]/Table58[[#This Row],[GDP]]</f>
        <v>0.60979641650539851</v>
      </c>
      <c r="I41" s="37">
        <f>Table58[[#This Row],[Private Investment]]/Table58[[#This Row],[GDP]]</f>
        <v>0.11800472062763435</v>
      </c>
      <c r="J41" s="37">
        <f>Table58[[#This Row],[Exports]]/Table58[[#This Row],[GDP]]</f>
        <v>2.8052595402444643E-2</v>
      </c>
      <c r="K41" s="37">
        <f>-Table58[[#This Row],[Imports]]/Table58[[#This Row],[GDP]]</f>
        <v>-3.6904543561245604E-2</v>
      </c>
      <c r="L41" s="37">
        <f>Table58[[#This Row],[Government]]/Table58[[#This Row],[GDP]]</f>
        <v>0.32831056724666052</v>
      </c>
      <c r="N41" s="58">
        <f>SUM(Table58[[#This Row],[PC%]:[G%]])</f>
        <v>1.0472597562208925</v>
      </c>
      <c r="O41" s="25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35">
      <c r="A42" s="45">
        <v>20455</v>
      </c>
      <c r="B42" s="63">
        <f>VLOOKUP(A42,'U.S. GDP'!A:B,2,)</f>
        <v>2905.6559999999999</v>
      </c>
      <c r="C42" s="63">
        <f>VLOOKUP(A42,PersonalConsumption!A:B,2,)</f>
        <v>1781.6569999999999</v>
      </c>
      <c r="D42" s="63">
        <f>VLOOKUP(A42,PrivateInvestment!A:B,2,)</f>
        <v>334.39</v>
      </c>
      <c r="E42" s="63">
        <f>VLOOKUP(A42,Exports!A:B,2,)</f>
        <v>85.712999999999994</v>
      </c>
      <c r="F42" s="63">
        <f>VLOOKUP(A42,Imports!A:B,2,)</f>
        <v>112.169</v>
      </c>
      <c r="G42" s="63">
        <f>VLOOKUP(A42,Government!A:B,2,)</f>
        <v>957.42899999999997</v>
      </c>
      <c r="H42" s="37">
        <f>Table58[[#This Row],[Personal Consumption]]/Table58[[#This Row],[GDP]]</f>
        <v>0.61316859256567191</v>
      </c>
      <c r="I42" s="37">
        <f>Table58[[#This Row],[Private Investment]]/Table58[[#This Row],[GDP]]</f>
        <v>0.11508244609823048</v>
      </c>
      <c r="J42" s="37">
        <f>Table58[[#This Row],[Exports]]/Table58[[#This Row],[GDP]]</f>
        <v>2.9498674309691168E-2</v>
      </c>
      <c r="K42" s="37">
        <f>-Table58[[#This Row],[Imports]]/Table58[[#This Row],[GDP]]</f>
        <v>-3.8603675039302655E-2</v>
      </c>
      <c r="L42" s="37">
        <f>Table58[[#This Row],[Government]]/Table58[[#This Row],[GDP]]</f>
        <v>0.32950528211185359</v>
      </c>
      <c r="N42" s="58">
        <f>SUM(Table58[[#This Row],[PC%]:[G%]])</f>
        <v>1.0486513200461447</v>
      </c>
      <c r="O42" s="25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35">
      <c r="A43" s="45">
        <v>20546</v>
      </c>
      <c r="B43" s="63">
        <f>VLOOKUP(A43,'U.S. GDP'!A:B,2,)</f>
        <v>2929.6660000000002</v>
      </c>
      <c r="C43" s="63">
        <f>VLOOKUP(A43,PersonalConsumption!A:B,2,)</f>
        <v>1787.5830000000001</v>
      </c>
      <c r="D43" s="63">
        <f>VLOOKUP(A43,PrivateInvestment!A:B,2,)</f>
        <v>331.75900000000001</v>
      </c>
      <c r="E43" s="63">
        <f>VLOOKUP(A43,Exports!A:B,2,)</f>
        <v>91.488</v>
      </c>
      <c r="F43" s="63">
        <f>VLOOKUP(A43,Imports!A:B,2,)</f>
        <v>111.58499999999999</v>
      </c>
      <c r="G43" s="63">
        <f>VLOOKUP(A43,Government!A:B,2,)</f>
        <v>976.76099999999997</v>
      </c>
      <c r="H43" s="37">
        <f>Table58[[#This Row],[Personal Consumption]]/Table58[[#This Row],[GDP]]</f>
        <v>0.61016614180592599</v>
      </c>
      <c r="I43" s="37">
        <f>Table58[[#This Row],[Private Investment]]/Table58[[#This Row],[GDP]]</f>
        <v>0.11324123637302</v>
      </c>
      <c r="J43" s="37">
        <f>Table58[[#This Row],[Exports]]/Table58[[#This Row],[GDP]]</f>
        <v>3.1228133172859975E-2</v>
      </c>
      <c r="K43" s="37">
        <f>-Table58[[#This Row],[Imports]]/Table58[[#This Row],[GDP]]</f>
        <v>-3.8087959514838891E-2</v>
      </c>
      <c r="L43" s="37">
        <f>Table58[[#This Row],[Government]]/Table58[[#This Row],[GDP]]</f>
        <v>0.33340353473740691</v>
      </c>
      <c r="N43" s="58">
        <f>SUM(Table58[[#This Row],[PC%]:[G%]])</f>
        <v>1.049951086574374</v>
      </c>
      <c r="O43" s="25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35">
      <c r="A44" s="45">
        <v>20637</v>
      </c>
      <c r="B44" s="63">
        <f>VLOOKUP(A44,'U.S. GDP'!A:B,2,)</f>
        <v>2927.0340000000001</v>
      </c>
      <c r="C44" s="63">
        <f>VLOOKUP(A44,PersonalConsumption!A:B,2,)</f>
        <v>1791.625</v>
      </c>
      <c r="D44" s="63">
        <f>VLOOKUP(A44,PrivateInvestment!A:B,2,)</f>
        <v>328.78800000000001</v>
      </c>
      <c r="E44" s="63">
        <f>VLOOKUP(A44,Exports!A:B,2,)</f>
        <v>94.531999999999996</v>
      </c>
      <c r="F44" s="63">
        <f>VLOOKUP(A44,Imports!A:B,2,)</f>
        <v>112.55500000000001</v>
      </c>
      <c r="G44" s="63">
        <f>VLOOKUP(A44,Government!A:B,2,)</f>
        <v>968.17899999999997</v>
      </c>
      <c r="H44" s="37">
        <f>Table58[[#This Row],[Personal Consumption]]/Table58[[#This Row],[GDP]]</f>
        <v>0.61209572557066294</v>
      </c>
      <c r="I44" s="37">
        <f>Table58[[#This Row],[Private Investment]]/Table58[[#This Row],[GDP]]</f>
        <v>0.11232804265341639</v>
      </c>
      <c r="J44" s="37">
        <f>Table58[[#This Row],[Exports]]/Table58[[#This Row],[GDP]]</f>
        <v>3.2296174215946924E-2</v>
      </c>
      <c r="K44" s="37">
        <f>-Table58[[#This Row],[Imports]]/Table58[[#This Row],[GDP]]</f>
        <v>-3.8453601837218153E-2</v>
      </c>
      <c r="L44" s="37">
        <f>Table58[[#This Row],[Government]]/Table58[[#This Row],[GDP]]</f>
        <v>0.33077135421043963</v>
      </c>
      <c r="N44" s="58">
        <f>SUM(Table58[[#This Row],[PC%]:[G%]])</f>
        <v>1.0490376948132476</v>
      </c>
      <c r="O44" s="25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35">
      <c r="A45" s="45">
        <v>20729</v>
      </c>
      <c r="B45" s="63">
        <f>VLOOKUP(A45,'U.S. GDP'!A:B,2,)</f>
        <v>2975.2089999999998</v>
      </c>
      <c r="C45" s="63">
        <f>VLOOKUP(A45,PersonalConsumption!A:B,2,)</f>
        <v>1816.3240000000001</v>
      </c>
      <c r="D45" s="63">
        <f>VLOOKUP(A45,PrivateInvestment!A:B,2,)</f>
        <v>325.73899999999998</v>
      </c>
      <c r="E45" s="63">
        <f>VLOOKUP(A45,Exports!A:B,2,)</f>
        <v>98.769000000000005</v>
      </c>
      <c r="F45" s="63">
        <f>VLOOKUP(A45,Imports!A:B,2,)</f>
        <v>107.392</v>
      </c>
      <c r="G45" s="63">
        <f>VLOOKUP(A45,Government!A:B,2,)</f>
        <v>992.81100000000004</v>
      </c>
      <c r="H45" s="37">
        <f>Table58[[#This Row],[Personal Consumption]]/Table58[[#This Row],[GDP]]</f>
        <v>0.61048618769303276</v>
      </c>
      <c r="I45" s="37">
        <f>Table58[[#This Row],[Private Investment]]/Table58[[#This Row],[GDP]]</f>
        <v>0.10948440933057139</v>
      </c>
      <c r="J45" s="37">
        <f>Table58[[#This Row],[Exports]]/Table58[[#This Row],[GDP]]</f>
        <v>3.319733168325318E-2</v>
      </c>
      <c r="K45" s="37">
        <f>-Table58[[#This Row],[Imports]]/Table58[[#This Row],[GDP]]</f>
        <v>-3.609561546768647E-2</v>
      </c>
      <c r="L45" s="37">
        <f>Table58[[#This Row],[Government]]/Table58[[#This Row],[GDP]]</f>
        <v>0.33369454045077174</v>
      </c>
      <c r="N45" s="58">
        <f>SUM(Table58[[#This Row],[PC%]:[G%]])</f>
        <v>1.0507668536899426</v>
      </c>
      <c r="O45" s="25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35">
      <c r="A46" s="45">
        <v>20821</v>
      </c>
      <c r="B46" s="63">
        <f>VLOOKUP(A46,'U.S. GDP'!A:B,2,)</f>
        <v>2994.259</v>
      </c>
      <c r="C46" s="63">
        <f>VLOOKUP(A46,PersonalConsumption!A:B,2,)</f>
        <v>1828.9559999999999</v>
      </c>
      <c r="D46" s="63">
        <f>VLOOKUP(A46,PrivateInvestment!A:B,2,)</f>
        <v>320.68200000000002</v>
      </c>
      <c r="E46" s="63">
        <f>VLOOKUP(A46,Exports!A:B,2,)</f>
        <v>105.205</v>
      </c>
      <c r="F46" s="63">
        <f>VLOOKUP(A46,Imports!A:B,2,)</f>
        <v>115.93600000000001</v>
      </c>
      <c r="G46" s="63">
        <f>VLOOKUP(A46,Government!A:B,2,)</f>
        <v>1014.096</v>
      </c>
      <c r="H46" s="37">
        <f>Table58[[#This Row],[Personal Consumption]]/Table58[[#This Row],[GDP]]</f>
        <v>0.6108209076101967</v>
      </c>
      <c r="I46" s="37">
        <f>Table58[[#This Row],[Private Investment]]/Table58[[#This Row],[GDP]]</f>
        <v>0.10709895169389155</v>
      </c>
      <c r="J46" s="37">
        <f>Table58[[#This Row],[Exports]]/Table58[[#This Row],[GDP]]</f>
        <v>3.5135571104570447E-2</v>
      </c>
      <c r="K46" s="37">
        <f>-Table58[[#This Row],[Imports]]/Table58[[#This Row],[GDP]]</f>
        <v>-3.8719429414756708E-2</v>
      </c>
      <c r="L46" s="37">
        <f>Table58[[#This Row],[Government]]/Table58[[#This Row],[GDP]]</f>
        <v>0.33868012085794852</v>
      </c>
      <c r="N46" s="58">
        <f>SUM(Table58[[#This Row],[PC%]:[G%]])</f>
        <v>1.0530161218518506</v>
      </c>
      <c r="O46" s="25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35">
      <c r="A47" s="45">
        <v>20911</v>
      </c>
      <c r="B47" s="63">
        <f>VLOOKUP(A47,'U.S. GDP'!A:B,2,)</f>
        <v>2987.6990000000001</v>
      </c>
      <c r="C47" s="63">
        <f>VLOOKUP(A47,PersonalConsumption!A:B,2,)</f>
        <v>1832.145</v>
      </c>
      <c r="D47" s="63">
        <f>VLOOKUP(A47,PrivateInvestment!A:B,2,)</f>
        <v>320.35700000000003</v>
      </c>
      <c r="E47" s="63">
        <f>VLOOKUP(A47,Exports!A:B,2,)</f>
        <v>102.08799999999999</v>
      </c>
      <c r="F47" s="63">
        <f>VLOOKUP(A47,Imports!A:B,2,)</f>
        <v>116.84</v>
      </c>
      <c r="G47" s="63">
        <f>VLOOKUP(A47,Government!A:B,2,)</f>
        <v>1008.852</v>
      </c>
      <c r="H47" s="37">
        <f>Table58[[#This Row],[Personal Consumption]]/Table58[[#This Row],[GDP]]</f>
        <v>0.61322944513486799</v>
      </c>
      <c r="I47" s="37">
        <f>Table58[[#This Row],[Private Investment]]/Table58[[#This Row],[GDP]]</f>
        <v>0.1072253262460509</v>
      </c>
      <c r="J47" s="37">
        <f>Table58[[#This Row],[Exports]]/Table58[[#This Row],[GDP]]</f>
        <v>3.4169439424788103E-2</v>
      </c>
      <c r="K47" s="37">
        <f>-Table58[[#This Row],[Imports]]/Table58[[#This Row],[GDP]]</f>
        <v>-3.9107018478099699E-2</v>
      </c>
      <c r="L47" s="37">
        <f>Table58[[#This Row],[Government]]/Table58[[#This Row],[GDP]]</f>
        <v>0.33766855362605136</v>
      </c>
      <c r="N47" s="58">
        <f>SUM(Table58[[#This Row],[PC%]:[G%]])</f>
        <v>1.0531857459536587</v>
      </c>
      <c r="O47" s="25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35">
      <c r="A48" s="45">
        <v>21002</v>
      </c>
      <c r="B48" s="63">
        <f>VLOOKUP(A48,'U.S. GDP'!A:B,2,)</f>
        <v>3016.9789999999998</v>
      </c>
      <c r="C48" s="63">
        <f>VLOOKUP(A48,PersonalConsumption!A:B,2,)</f>
        <v>1846.623</v>
      </c>
      <c r="D48" s="63">
        <f>VLOOKUP(A48,PrivateInvestment!A:B,2,)</f>
        <v>327.70100000000002</v>
      </c>
      <c r="E48" s="63">
        <f>VLOOKUP(A48,Exports!A:B,2,)</f>
        <v>99.233999999999995</v>
      </c>
      <c r="F48" s="63">
        <f>VLOOKUP(A48,Imports!A:B,2,)</f>
        <v>114.584</v>
      </c>
      <c r="G48" s="63">
        <f>VLOOKUP(A48,Government!A:B,2,)</f>
        <v>1017.442</v>
      </c>
      <c r="H48" s="37">
        <f>Table58[[#This Row],[Personal Consumption]]/Table58[[#This Row],[GDP]]</f>
        <v>0.6120768490599372</v>
      </c>
      <c r="I48" s="37">
        <f>Table58[[#This Row],[Private Investment]]/Table58[[#This Row],[GDP]]</f>
        <v>0.10861891978697898</v>
      </c>
      <c r="J48" s="37">
        <f>Table58[[#This Row],[Exports]]/Table58[[#This Row],[GDP]]</f>
        <v>3.2891843131821599E-2</v>
      </c>
      <c r="K48" s="37">
        <f>-Table58[[#This Row],[Imports]]/Table58[[#This Row],[GDP]]</f>
        <v>-3.7979714144513441E-2</v>
      </c>
      <c r="L48" s="37">
        <f>Table58[[#This Row],[Government]]/Table58[[#This Row],[GDP]]</f>
        <v>0.33723867484659326</v>
      </c>
      <c r="N48" s="58">
        <f>SUM(Table58[[#This Row],[PC%]:[G%]])</f>
        <v>1.0528465726808176</v>
      </c>
      <c r="O48" s="25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35">
      <c r="A49" s="45">
        <v>21094</v>
      </c>
      <c r="B49" s="63">
        <f>VLOOKUP(A49,'U.S. GDP'!A:B,2,)</f>
        <v>2985.7750000000001</v>
      </c>
      <c r="C49" s="63">
        <f>VLOOKUP(A49,PersonalConsumption!A:B,2,)</f>
        <v>1847.3910000000001</v>
      </c>
      <c r="D49" s="63">
        <f>VLOOKUP(A49,PrivateInvestment!A:B,2,)</f>
        <v>302.50299999999999</v>
      </c>
      <c r="E49" s="63">
        <f>VLOOKUP(A49,Exports!A:B,2,)</f>
        <v>96.277000000000001</v>
      </c>
      <c r="F49" s="63">
        <f>VLOOKUP(A49,Imports!A:B,2,)</f>
        <v>114.971</v>
      </c>
      <c r="G49" s="63">
        <f>VLOOKUP(A49,Government!A:B,2,)</f>
        <v>1034.18</v>
      </c>
      <c r="H49" s="37">
        <f>Table58[[#This Row],[Personal Consumption]]/Table58[[#This Row],[GDP]]</f>
        <v>0.61873081528246432</v>
      </c>
      <c r="I49" s="37">
        <f>Table58[[#This Row],[Private Investment]]/Table58[[#This Row],[GDP]]</f>
        <v>0.10131473403052808</v>
      </c>
      <c r="J49" s="37">
        <f>Table58[[#This Row],[Exports]]/Table58[[#This Row],[GDP]]</f>
        <v>3.2245229463037234E-2</v>
      </c>
      <c r="K49" s="37">
        <f>-Table58[[#This Row],[Imports]]/Table58[[#This Row],[GDP]]</f>
        <v>-3.8506250470983244E-2</v>
      </c>
      <c r="L49" s="37">
        <f>Table58[[#This Row],[Government]]/Table58[[#This Row],[GDP]]</f>
        <v>0.34636903316559353</v>
      </c>
      <c r="N49" s="58">
        <f>SUM(Table58[[#This Row],[PC%]:[G%]])</f>
        <v>1.0601535614706399</v>
      </c>
      <c r="O49" s="25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35">
      <c r="A50" s="45">
        <v>21186</v>
      </c>
      <c r="B50" s="63">
        <f>VLOOKUP(A50,'U.S. GDP'!A:B,2,)</f>
        <v>2908.2809999999999</v>
      </c>
      <c r="C50" s="63">
        <f>VLOOKUP(A50,PersonalConsumption!A:B,2,)</f>
        <v>1821.8340000000001</v>
      </c>
      <c r="D50" s="63">
        <f>VLOOKUP(A50,PrivateInvestment!A:B,2,)</f>
        <v>282.096</v>
      </c>
      <c r="E50" s="63">
        <f>VLOOKUP(A50,Exports!A:B,2,)</f>
        <v>86.733999999999995</v>
      </c>
      <c r="F50" s="63">
        <f>VLOOKUP(A50,Imports!A:B,2,)</f>
        <v>116.672</v>
      </c>
      <c r="G50" s="63">
        <f>VLOOKUP(A50,Government!A:B,2,)</f>
        <v>1025.248</v>
      </c>
      <c r="H50" s="37">
        <f>Table58[[#This Row],[Personal Consumption]]/Table58[[#This Row],[GDP]]</f>
        <v>0.62642983948249842</v>
      </c>
      <c r="I50" s="37">
        <f>Table58[[#This Row],[Private Investment]]/Table58[[#This Row],[GDP]]</f>
        <v>9.6997504711546098E-2</v>
      </c>
      <c r="J50" s="37">
        <f>Table58[[#This Row],[Exports]]/Table58[[#This Row],[GDP]]</f>
        <v>2.9823115441733449E-2</v>
      </c>
      <c r="K50" s="37">
        <f>-Table58[[#This Row],[Imports]]/Table58[[#This Row],[GDP]]</f>
        <v>-4.0117168870545866E-2</v>
      </c>
      <c r="L50" s="37">
        <f>Table58[[#This Row],[Government]]/Table58[[#This Row],[GDP]]</f>
        <v>0.35252714576067445</v>
      </c>
      <c r="N50" s="58">
        <f>SUM(Table58[[#This Row],[PC%]:[G%]])</f>
        <v>1.0656604365259066</v>
      </c>
      <c r="O50" s="25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35">
      <c r="A51" s="45">
        <v>21276</v>
      </c>
      <c r="B51" s="63">
        <f>VLOOKUP(A51,'U.S. GDP'!A:B,2,)</f>
        <v>2927.395</v>
      </c>
      <c r="C51" s="63">
        <f>VLOOKUP(A51,PersonalConsumption!A:B,2,)</f>
        <v>1836.8969999999999</v>
      </c>
      <c r="D51" s="63">
        <f>VLOOKUP(A51,PrivateInvestment!A:B,2,)</f>
        <v>276.41300000000001</v>
      </c>
      <c r="E51" s="63">
        <f>VLOOKUP(A51,Exports!A:B,2,)</f>
        <v>87.14</v>
      </c>
      <c r="F51" s="63">
        <f>VLOOKUP(A51,Imports!A:B,2,)</f>
        <v>121.661</v>
      </c>
      <c r="G51" s="63">
        <f>VLOOKUP(A51,Government!A:B,2,)</f>
        <v>1050.8230000000001</v>
      </c>
      <c r="H51" s="37">
        <f>Table58[[#This Row],[Personal Consumption]]/Table58[[#This Row],[GDP]]</f>
        <v>0.62748518734232994</v>
      </c>
      <c r="I51" s="37">
        <f>Table58[[#This Row],[Private Investment]]/Table58[[#This Row],[GDP]]</f>
        <v>9.4422857181897218E-2</v>
      </c>
      <c r="J51" s="37">
        <f>Table58[[#This Row],[Exports]]/Table58[[#This Row],[GDP]]</f>
        <v>2.9767079604904701E-2</v>
      </c>
      <c r="K51" s="37">
        <f>-Table58[[#This Row],[Imports]]/Table58[[#This Row],[GDP]]</f>
        <v>-4.1559475233099739E-2</v>
      </c>
      <c r="L51" s="37">
        <f>Table58[[#This Row],[Government]]/Table58[[#This Row],[GDP]]</f>
        <v>0.35896180734065614</v>
      </c>
      <c r="N51" s="58">
        <f>SUM(Table58[[#This Row],[PC%]:[G%]])</f>
        <v>1.0690774562366883</v>
      </c>
      <c r="O51" s="25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35">
      <c r="A52" s="45">
        <v>21367</v>
      </c>
      <c r="B52" s="63">
        <f>VLOOKUP(A52,'U.S. GDP'!A:B,2,)</f>
        <v>2995.1120000000001</v>
      </c>
      <c r="C52" s="63">
        <f>VLOOKUP(A52,PersonalConsumption!A:B,2,)</f>
        <v>1867.373</v>
      </c>
      <c r="D52" s="63">
        <f>VLOOKUP(A52,PrivateInvestment!A:B,2,)</f>
        <v>297.62700000000001</v>
      </c>
      <c r="E52" s="63">
        <f>VLOOKUP(A52,Exports!A:B,2,)</f>
        <v>87.394000000000005</v>
      </c>
      <c r="F52" s="63">
        <f>VLOOKUP(A52,Imports!A:B,2,)</f>
        <v>119.82899999999999</v>
      </c>
      <c r="G52" s="63">
        <f>VLOOKUP(A52,Government!A:B,2,)</f>
        <v>1056.856</v>
      </c>
      <c r="H52" s="37">
        <f>Table58[[#This Row],[Personal Consumption]]/Table58[[#This Row],[GDP]]</f>
        <v>0.6234735128435932</v>
      </c>
      <c r="I52" s="37">
        <f>Table58[[#This Row],[Private Investment]]/Table58[[#This Row],[GDP]]</f>
        <v>9.9370908333311081E-2</v>
      </c>
      <c r="J52" s="37">
        <f>Table58[[#This Row],[Exports]]/Table58[[#This Row],[GDP]]</f>
        <v>2.9178875447729503E-2</v>
      </c>
      <c r="K52" s="37">
        <f>-Table58[[#This Row],[Imports]]/Table58[[#This Row],[GDP]]</f>
        <v>-4.0008186672151155E-2</v>
      </c>
      <c r="L52" s="37">
        <f>Table58[[#This Row],[Government]]/Table58[[#This Row],[GDP]]</f>
        <v>0.35286026031747725</v>
      </c>
      <c r="N52" s="58">
        <f>SUM(Table58[[#This Row],[PC%]:[G%]])</f>
        <v>1.0648753702699598</v>
      </c>
      <c r="O52" s="25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35">
      <c r="A53" s="45">
        <v>21459</v>
      </c>
      <c r="B53" s="63">
        <f>VLOOKUP(A53,'U.S. GDP'!A:B,2,)</f>
        <v>3065.1410000000001</v>
      </c>
      <c r="C53" s="63">
        <f>VLOOKUP(A53,PersonalConsumption!A:B,2,)</f>
        <v>1892.7380000000001</v>
      </c>
      <c r="D53" s="63">
        <f>VLOOKUP(A53,PrivateInvestment!A:B,2,)</f>
        <v>323.00400000000002</v>
      </c>
      <c r="E53" s="63">
        <f>VLOOKUP(A53,Exports!A:B,2,)</f>
        <v>87.08</v>
      </c>
      <c r="F53" s="63">
        <f>VLOOKUP(A53,Imports!A:B,2,)</f>
        <v>126.13200000000001</v>
      </c>
      <c r="G53" s="63">
        <f>VLOOKUP(A53,Government!A:B,2,)</f>
        <v>1078.163</v>
      </c>
      <c r="H53" s="37">
        <f>Table58[[#This Row],[Personal Consumption]]/Table58[[#This Row],[GDP]]</f>
        <v>0.61750438234325922</v>
      </c>
      <c r="I53" s="37">
        <f>Table58[[#This Row],[Private Investment]]/Table58[[#This Row],[GDP]]</f>
        <v>0.10537981776368527</v>
      </c>
      <c r="J53" s="37">
        <f>Table58[[#This Row],[Exports]]/Table58[[#This Row],[GDP]]</f>
        <v>2.840978604246917E-2</v>
      </c>
      <c r="K53" s="37">
        <f>-Table58[[#This Row],[Imports]]/Table58[[#This Row],[GDP]]</f>
        <v>-4.11504723599991E-2</v>
      </c>
      <c r="L53" s="37">
        <f>Table58[[#This Row],[Government]]/Table58[[#This Row],[GDP]]</f>
        <v>0.35174988687306719</v>
      </c>
      <c r="N53" s="58">
        <f>SUM(Table58[[#This Row],[PC%]:[G%]])</f>
        <v>1.0618934006624816</v>
      </c>
      <c r="O53" s="25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35">
      <c r="A54" s="45">
        <v>21551</v>
      </c>
      <c r="B54" s="63">
        <f>VLOOKUP(A54,'U.S. GDP'!A:B,2,)</f>
        <v>3123.9780000000001</v>
      </c>
      <c r="C54" s="63">
        <f>VLOOKUP(A54,PersonalConsumption!A:B,2,)</f>
        <v>1927.43</v>
      </c>
      <c r="D54" s="63">
        <f>VLOOKUP(A54,PrivateInvestment!A:B,2,)</f>
        <v>340.60399999999998</v>
      </c>
      <c r="E54" s="63">
        <f>VLOOKUP(A54,Exports!A:B,2,)</f>
        <v>93.393000000000001</v>
      </c>
      <c r="F54" s="63">
        <f>VLOOKUP(A54,Imports!A:B,2,)</f>
        <v>129.446</v>
      </c>
      <c r="G54" s="63">
        <f>VLOOKUP(A54,Government!A:B,2,)</f>
        <v>1067.1969999999999</v>
      </c>
      <c r="H54" s="37">
        <f>Table58[[#This Row],[Personal Consumption]]/Table58[[#This Row],[GDP]]</f>
        <v>0.61697937693543292</v>
      </c>
      <c r="I54" s="37">
        <f>Table58[[#This Row],[Private Investment]]/Table58[[#This Row],[GDP]]</f>
        <v>0.10902893682349875</v>
      </c>
      <c r="J54" s="37">
        <f>Table58[[#This Row],[Exports]]/Table58[[#This Row],[GDP]]</f>
        <v>2.9895537036432395E-2</v>
      </c>
      <c r="K54" s="37">
        <f>-Table58[[#This Row],[Imports]]/Table58[[#This Row],[GDP]]</f>
        <v>-4.1436271318171895E-2</v>
      </c>
      <c r="L54" s="37">
        <f>Table58[[#This Row],[Government]]/Table58[[#This Row],[GDP]]</f>
        <v>0.3416147616916636</v>
      </c>
      <c r="N54" s="58">
        <f>SUM(Table58[[#This Row],[PC%]:[G%]])</f>
        <v>1.0560823411688558</v>
      </c>
      <c r="O54" s="25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35">
      <c r="A55" s="45">
        <v>21641</v>
      </c>
      <c r="B55" s="63">
        <f>VLOOKUP(A55,'U.S. GDP'!A:B,2,)</f>
        <v>3194.4290000000001</v>
      </c>
      <c r="C55" s="63">
        <f>VLOOKUP(A55,PersonalConsumption!A:B,2,)</f>
        <v>1957.1969999999999</v>
      </c>
      <c r="D55" s="63">
        <f>VLOOKUP(A55,PrivateInvestment!A:B,2,)</f>
        <v>367.09899999999999</v>
      </c>
      <c r="E55" s="63">
        <f>VLOOKUP(A55,Exports!A:B,2,)</f>
        <v>92.647000000000006</v>
      </c>
      <c r="F55" s="63">
        <f>VLOOKUP(A55,Imports!A:B,2,)</f>
        <v>135.745</v>
      </c>
      <c r="G55" s="63">
        <f>VLOOKUP(A55,Government!A:B,2,)</f>
        <v>1080.4159999999999</v>
      </c>
      <c r="H55" s="37">
        <f>Table58[[#This Row],[Personal Consumption]]/Table58[[#This Row],[GDP]]</f>
        <v>0.6126907187481706</v>
      </c>
      <c r="I55" s="37">
        <f>Table58[[#This Row],[Private Investment]]/Table58[[#This Row],[GDP]]</f>
        <v>0.11491850343206876</v>
      </c>
      <c r="J55" s="37">
        <f>Table58[[#This Row],[Exports]]/Table58[[#This Row],[GDP]]</f>
        <v>2.9002679352084521E-2</v>
      </c>
      <c r="K55" s="37">
        <f>-Table58[[#This Row],[Imports]]/Table58[[#This Row],[GDP]]</f>
        <v>-4.2494292407187641E-2</v>
      </c>
      <c r="L55" s="37">
        <f>Table58[[#This Row],[Government]]/Table58[[#This Row],[GDP]]</f>
        <v>0.33821881782315399</v>
      </c>
      <c r="N55" s="58">
        <f>SUM(Table58[[#This Row],[PC%]:[G%]])</f>
        <v>1.0523364269482904</v>
      </c>
      <c r="O55" s="25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35">
      <c r="A56" s="45">
        <v>21732</v>
      </c>
      <c r="B56" s="63">
        <f>VLOOKUP(A56,'U.S. GDP'!A:B,2,)</f>
        <v>3196.683</v>
      </c>
      <c r="C56" s="63">
        <f>VLOOKUP(A56,PersonalConsumption!A:B,2,)</f>
        <v>1977.643</v>
      </c>
      <c r="D56" s="63">
        <f>VLOOKUP(A56,PrivateInvestment!A:B,2,)</f>
        <v>343.39100000000002</v>
      </c>
      <c r="E56" s="63">
        <f>VLOOKUP(A56,Exports!A:B,2,)</f>
        <v>101.58199999999999</v>
      </c>
      <c r="F56" s="63">
        <f>VLOOKUP(A56,Imports!A:B,2,)</f>
        <v>137.041</v>
      </c>
      <c r="G56" s="63">
        <f>VLOOKUP(A56,Government!A:B,2,)</f>
        <v>1089.655</v>
      </c>
      <c r="H56" s="37">
        <f>Table58[[#This Row],[Personal Consumption]]/Table58[[#This Row],[GDP]]</f>
        <v>0.6186547117746739</v>
      </c>
      <c r="I56" s="37">
        <f>Table58[[#This Row],[Private Investment]]/Table58[[#This Row],[GDP]]</f>
        <v>0.10742103611775081</v>
      </c>
      <c r="J56" s="37">
        <f>Table58[[#This Row],[Exports]]/Table58[[#This Row],[GDP]]</f>
        <v>3.1777314172221641E-2</v>
      </c>
      <c r="K56" s="37">
        <f>-Table58[[#This Row],[Imports]]/Table58[[#This Row],[GDP]]</f>
        <v>-4.2869749674897387E-2</v>
      </c>
      <c r="L56" s="37">
        <f>Table58[[#This Row],[Government]]/Table58[[#This Row],[GDP]]</f>
        <v>0.3408705210995272</v>
      </c>
      <c r="N56" s="58">
        <f>SUM(Table58[[#This Row],[PC%]:[G%]])</f>
        <v>1.0558538334892762</v>
      </c>
      <c r="O56" s="25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35">
      <c r="A57" s="45">
        <v>21824</v>
      </c>
      <c r="B57" s="63">
        <f>VLOOKUP(A57,'U.S. GDP'!A:B,2,)</f>
        <v>3205.79</v>
      </c>
      <c r="C57" s="63">
        <f>VLOOKUP(A57,PersonalConsumption!A:B,2,)</f>
        <v>1979.8710000000001</v>
      </c>
      <c r="D57" s="63">
        <f>VLOOKUP(A57,PrivateInvestment!A:B,2,)</f>
        <v>354.56700000000001</v>
      </c>
      <c r="E57" s="63">
        <f>VLOOKUP(A57,Exports!A:B,2,)</f>
        <v>96.555000000000007</v>
      </c>
      <c r="F57" s="63">
        <f>VLOOKUP(A57,Imports!A:B,2,)</f>
        <v>133.56100000000001</v>
      </c>
      <c r="G57" s="63">
        <f>VLOOKUP(A57,Government!A:B,2,)</f>
        <v>1080.7439999999999</v>
      </c>
      <c r="H57" s="37">
        <f>Table58[[#This Row],[Personal Consumption]]/Table58[[#This Row],[GDP]]</f>
        <v>0.61759223155602838</v>
      </c>
      <c r="I57" s="37">
        <f>Table58[[#This Row],[Private Investment]]/Table58[[#This Row],[GDP]]</f>
        <v>0.11060206688522954</v>
      </c>
      <c r="J57" s="37">
        <f>Table58[[#This Row],[Exports]]/Table58[[#This Row],[GDP]]</f>
        <v>3.0118941041053844E-2</v>
      </c>
      <c r="K57" s="37">
        <f>-Table58[[#This Row],[Imports]]/Table58[[#This Row],[GDP]]</f>
        <v>-4.1662429541548265E-2</v>
      </c>
      <c r="L57" s="37">
        <f>Table58[[#This Row],[Government]]/Table58[[#This Row],[GDP]]</f>
        <v>0.33712251894228878</v>
      </c>
      <c r="N57" s="58">
        <f>SUM(Table58[[#This Row],[PC%]:[G%]])</f>
        <v>1.0537733288830522</v>
      </c>
      <c r="O57" s="25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35">
      <c r="A58" s="45">
        <v>21916</v>
      </c>
      <c r="B58" s="63">
        <f>VLOOKUP(A58,'U.S. GDP'!A:B,2,)</f>
        <v>3277.8470000000002</v>
      </c>
      <c r="C58" s="63">
        <f>VLOOKUP(A58,PersonalConsumption!A:B,2,)</f>
        <v>1998.8109999999999</v>
      </c>
      <c r="D58" s="63">
        <f>VLOOKUP(A58,PrivateInvestment!A:B,2,)</f>
        <v>390.21</v>
      </c>
      <c r="E58" s="63">
        <f>VLOOKUP(A58,Exports!A:B,2,)</f>
        <v>108.999</v>
      </c>
      <c r="F58" s="63">
        <f>VLOOKUP(A58,Imports!A:B,2,)</f>
        <v>138.60599999999999</v>
      </c>
      <c r="G58" s="63">
        <f>VLOOKUP(A58,Government!A:B,2,)</f>
        <v>1062.3119999999999</v>
      </c>
      <c r="H58" s="37">
        <f>Table58[[#This Row],[Personal Consumption]]/Table58[[#This Row],[GDP]]</f>
        <v>0.60979386774306421</v>
      </c>
      <c r="I58" s="37">
        <f>Table58[[#This Row],[Private Investment]]/Table58[[#This Row],[GDP]]</f>
        <v>0.1190446045834354</v>
      </c>
      <c r="J58" s="37">
        <f>Table58[[#This Row],[Exports]]/Table58[[#This Row],[GDP]]</f>
        <v>3.3253229940262613E-2</v>
      </c>
      <c r="K58" s="37">
        <f>-Table58[[#This Row],[Imports]]/Table58[[#This Row],[GDP]]</f>
        <v>-4.2285683254892611E-2</v>
      </c>
      <c r="L58" s="37">
        <f>Table58[[#This Row],[Government]]/Table58[[#This Row],[GDP]]</f>
        <v>0.32408834213433385</v>
      </c>
      <c r="N58" s="58">
        <f>SUM(Table58[[#This Row],[PC%]:[G%]])</f>
        <v>1.0438943611462035</v>
      </c>
      <c r="O58" s="25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35">
      <c r="A59" s="45">
        <v>22007</v>
      </c>
      <c r="B59" s="63">
        <f>VLOOKUP(A59,'U.S. GDP'!A:B,2,)</f>
        <v>3260.1770000000001</v>
      </c>
      <c r="C59" s="63">
        <f>VLOOKUP(A59,PersonalConsumption!A:B,2,)</f>
        <v>2024.0250000000001</v>
      </c>
      <c r="D59" s="63">
        <f>VLOOKUP(A59,PrivateInvestment!A:B,2,)</f>
        <v>353.84100000000001</v>
      </c>
      <c r="E59" s="63">
        <f>VLOOKUP(A59,Exports!A:B,2,)</f>
        <v>112.126</v>
      </c>
      <c r="F59" s="63">
        <f>VLOOKUP(A59,Imports!A:B,2,)</f>
        <v>139.636</v>
      </c>
      <c r="G59" s="63">
        <f>VLOOKUP(A59,Government!A:B,2,)</f>
        <v>1074.24</v>
      </c>
      <c r="H59" s="37">
        <f>Table58[[#This Row],[Personal Consumption]]/Table58[[#This Row],[GDP]]</f>
        <v>0.62083285662097487</v>
      </c>
      <c r="I59" s="37">
        <f>Table58[[#This Row],[Private Investment]]/Table58[[#This Row],[GDP]]</f>
        <v>0.10853429123633471</v>
      </c>
      <c r="J59" s="37">
        <f>Table58[[#This Row],[Exports]]/Table58[[#This Row],[GDP]]</f>
        <v>3.4392611198717123E-2</v>
      </c>
      <c r="K59" s="37">
        <f>-Table58[[#This Row],[Imports]]/Table58[[#This Row],[GDP]]</f>
        <v>-4.283080335822257E-2</v>
      </c>
      <c r="L59" s="37">
        <f>Table58[[#This Row],[Government]]/Table58[[#This Row],[GDP]]</f>
        <v>0.32950358216747128</v>
      </c>
      <c r="N59" s="58">
        <f>SUM(Table58[[#This Row],[PC%]:[G%]])</f>
        <v>1.0504325378652755</v>
      </c>
      <c r="O59" s="25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35">
      <c r="A60" s="45">
        <v>22098</v>
      </c>
      <c r="B60" s="63">
        <f>VLOOKUP(A60,'U.S. GDP'!A:B,2,)</f>
        <v>3276.1329999999998</v>
      </c>
      <c r="C60" s="63">
        <f>VLOOKUP(A60,PersonalConsumption!A:B,2,)</f>
        <v>2015.934</v>
      </c>
      <c r="D60" s="63">
        <f>VLOOKUP(A60,PrivateInvestment!A:B,2,)</f>
        <v>352.94200000000001</v>
      </c>
      <c r="E60" s="63">
        <f>VLOOKUP(A60,Exports!A:B,2,)</f>
        <v>114.57</v>
      </c>
      <c r="F60" s="63">
        <f>VLOOKUP(A60,Imports!A:B,2,)</f>
        <v>135.52099999999999</v>
      </c>
      <c r="G60" s="63">
        <f>VLOOKUP(A60,Government!A:B,2,)</f>
        <v>1100.511</v>
      </c>
      <c r="H60" s="37">
        <f>Table58[[#This Row],[Personal Consumption]]/Table58[[#This Row],[GDP]]</f>
        <v>0.61533948713315367</v>
      </c>
      <c r="I60" s="37">
        <f>Table58[[#This Row],[Private Investment]]/Table58[[#This Row],[GDP]]</f>
        <v>0.10773127952986036</v>
      </c>
      <c r="J60" s="37">
        <f>Table58[[#This Row],[Exports]]/Table58[[#This Row],[GDP]]</f>
        <v>3.4971107705334306E-2</v>
      </c>
      <c r="K60" s="37">
        <f>-Table58[[#This Row],[Imports]]/Table58[[#This Row],[GDP]]</f>
        <v>-4.1366147222960725E-2</v>
      </c>
      <c r="L60" s="37">
        <f>Table58[[#This Row],[Government]]/Table58[[#This Row],[GDP]]</f>
        <v>0.33591768099768843</v>
      </c>
      <c r="N60" s="58">
        <f>SUM(Table58[[#This Row],[PC%]:[G%]])</f>
        <v>1.0525934081430761</v>
      </c>
      <c r="O60" s="25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35">
      <c r="A61" s="45">
        <v>22190</v>
      </c>
      <c r="B61" s="63">
        <f>VLOOKUP(A61,'U.S. GDP'!A:B,2,)</f>
        <v>3234.087</v>
      </c>
      <c r="C61" s="63">
        <f>VLOOKUP(A61,PersonalConsumption!A:B,2,)</f>
        <v>2018.5450000000001</v>
      </c>
      <c r="D61" s="63">
        <f>VLOOKUP(A61,PrivateInvestment!A:B,2,)</f>
        <v>313.84300000000002</v>
      </c>
      <c r="E61" s="63">
        <f>VLOOKUP(A61,Exports!A:B,2,)</f>
        <v>115.18</v>
      </c>
      <c r="F61" s="63">
        <f>VLOOKUP(A61,Imports!A:B,2,)</f>
        <v>129.12799999999999</v>
      </c>
      <c r="G61" s="63">
        <f>VLOOKUP(A61,Government!A:B,2,)</f>
        <v>1108.1420000000001</v>
      </c>
      <c r="H61" s="37">
        <f>Table58[[#This Row],[Personal Consumption]]/Table58[[#This Row],[GDP]]</f>
        <v>0.62414678393005507</v>
      </c>
      <c r="I61" s="37">
        <f>Table58[[#This Row],[Private Investment]]/Table58[[#This Row],[GDP]]</f>
        <v>9.7042225518361142E-2</v>
      </c>
      <c r="J61" s="37">
        <f>Table58[[#This Row],[Exports]]/Table58[[#This Row],[GDP]]</f>
        <v>3.5614378957647089E-2</v>
      </c>
      <c r="K61" s="37">
        <f>-Table58[[#This Row],[Imports]]/Table58[[#This Row],[GDP]]</f>
        <v>-3.992718810594767E-2</v>
      </c>
      <c r="L61" s="37">
        <f>Table58[[#This Row],[Government]]/Table58[[#This Row],[GDP]]</f>
        <v>0.34264446194551973</v>
      </c>
      <c r="N61" s="58">
        <f>SUM(Table58[[#This Row],[PC%]:[G%]])</f>
        <v>1.0595206622456355</v>
      </c>
      <c r="O61" s="25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35">
      <c r="A62" s="45">
        <v>22282</v>
      </c>
      <c r="B62" s="63">
        <f>VLOOKUP(A62,'U.S. GDP'!A:B,2,)</f>
        <v>3255.9140000000002</v>
      </c>
      <c r="C62" s="63">
        <f>VLOOKUP(A62,PersonalConsumption!A:B,2,)</f>
        <v>2017.7950000000001</v>
      </c>
      <c r="D62" s="63">
        <f>VLOOKUP(A62,PrivateInvestment!A:B,2,)</f>
        <v>321.988</v>
      </c>
      <c r="E62" s="63">
        <f>VLOOKUP(A62,Exports!A:B,2,)</f>
        <v>114.38800000000001</v>
      </c>
      <c r="F62" s="63">
        <f>VLOOKUP(A62,Imports!A:B,2,)</f>
        <v>128.50299999999999</v>
      </c>
      <c r="G62" s="63">
        <f>VLOOKUP(A62,Government!A:B,2,)</f>
        <v>1124.596</v>
      </c>
      <c r="H62" s="37">
        <f>Table58[[#This Row],[Personal Consumption]]/Table58[[#This Row],[GDP]]</f>
        <v>0.61973227794100216</v>
      </c>
      <c r="I62" s="37">
        <f>Table58[[#This Row],[Private Investment]]/Table58[[#This Row],[GDP]]</f>
        <v>9.8893275436636216E-2</v>
      </c>
      <c r="J62" s="37">
        <f>Table58[[#This Row],[Exports]]/Table58[[#This Row],[GDP]]</f>
        <v>3.5132377575083369E-2</v>
      </c>
      <c r="K62" s="37">
        <f>-Table58[[#This Row],[Imports]]/Table58[[#This Row],[GDP]]</f>
        <v>-3.9467565789514089E-2</v>
      </c>
      <c r="L62" s="37">
        <f>Table58[[#This Row],[Government]]/Table58[[#This Row],[GDP]]</f>
        <v>0.34540101489167097</v>
      </c>
      <c r="N62" s="58">
        <f>SUM(Table58[[#This Row],[PC%]:[G%]])</f>
        <v>1.0596913800548786</v>
      </c>
      <c r="O62" s="25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35">
      <c r="A63" s="45">
        <v>22372</v>
      </c>
      <c r="B63" s="63">
        <f>VLOOKUP(A63,'U.S. GDP'!A:B,2,)</f>
        <v>3311.181</v>
      </c>
      <c r="C63" s="63">
        <f>VLOOKUP(A63,PersonalConsumption!A:B,2,)</f>
        <v>2047.8230000000001</v>
      </c>
      <c r="D63" s="63">
        <f>VLOOKUP(A63,PrivateInvestment!A:B,2,)</f>
        <v>344.54899999999998</v>
      </c>
      <c r="E63" s="63">
        <f>VLOOKUP(A63,Exports!A:B,2,)</f>
        <v>109.06399999999999</v>
      </c>
      <c r="F63" s="63">
        <f>VLOOKUP(A63,Imports!A:B,2,)</f>
        <v>130.07300000000001</v>
      </c>
      <c r="G63" s="63">
        <f>VLOOKUP(A63,Government!A:B,2,)</f>
        <v>1127.4110000000001</v>
      </c>
      <c r="H63" s="37">
        <f>Table58[[#This Row],[Personal Consumption]]/Table58[[#This Row],[GDP]]</f>
        <v>0.61845697954898871</v>
      </c>
      <c r="I63" s="37">
        <f>Table58[[#This Row],[Private Investment]]/Table58[[#This Row],[GDP]]</f>
        <v>0.10405622646421321</v>
      </c>
      <c r="J63" s="37">
        <f>Table58[[#This Row],[Exports]]/Table58[[#This Row],[GDP]]</f>
        <v>3.2938096709301E-2</v>
      </c>
      <c r="K63" s="37">
        <f>-Table58[[#This Row],[Imports]]/Table58[[#This Row],[GDP]]</f>
        <v>-3.9282962785785497E-2</v>
      </c>
      <c r="L63" s="37">
        <f>Table58[[#This Row],[Government]]/Table58[[#This Row],[GDP]]</f>
        <v>0.34048606826386113</v>
      </c>
      <c r="N63" s="58">
        <f>SUM(Table58[[#This Row],[PC%]:[G%]])</f>
        <v>1.0566544082005787</v>
      </c>
      <c r="O63" s="25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35">
      <c r="A64" s="45">
        <v>22463</v>
      </c>
      <c r="B64" s="63">
        <f>VLOOKUP(A64,'U.S. GDP'!A:B,2,)</f>
        <v>3374.7420000000002</v>
      </c>
      <c r="C64" s="63">
        <f>VLOOKUP(A64,PersonalConsumption!A:B,2,)</f>
        <v>2057.7820000000002</v>
      </c>
      <c r="D64" s="63">
        <f>VLOOKUP(A64,PrivateInvestment!A:B,2,)</f>
        <v>371.33499999999998</v>
      </c>
      <c r="E64" s="63">
        <f>VLOOKUP(A64,Exports!A:B,2,)</f>
        <v>113.99299999999999</v>
      </c>
      <c r="F64" s="63">
        <f>VLOOKUP(A64,Imports!A:B,2,)</f>
        <v>138.68799999999999</v>
      </c>
      <c r="G64" s="63">
        <f>VLOOKUP(A64,Government!A:B,2,)</f>
        <v>1151.491</v>
      </c>
      <c r="H64" s="37">
        <f>Table58[[#This Row],[Personal Consumption]]/Table58[[#This Row],[GDP]]</f>
        <v>0.60975979793418278</v>
      </c>
      <c r="I64" s="37">
        <f>Table58[[#This Row],[Private Investment]]/Table58[[#This Row],[GDP]]</f>
        <v>0.11003359664235073</v>
      </c>
      <c r="J64" s="37">
        <f>Table58[[#This Row],[Exports]]/Table58[[#This Row],[GDP]]</f>
        <v>3.3778285866001012E-2</v>
      </c>
      <c r="K64" s="37">
        <f>-Table58[[#This Row],[Imports]]/Table58[[#This Row],[GDP]]</f>
        <v>-4.1095882292631551E-2</v>
      </c>
      <c r="L64" s="37">
        <f>Table58[[#This Row],[Government]]/Table58[[#This Row],[GDP]]</f>
        <v>0.3412086020205396</v>
      </c>
      <c r="N64" s="58">
        <f>SUM(Table58[[#This Row],[PC%]:[G%]])</f>
        <v>1.0536844001704426</v>
      </c>
      <c r="O64" s="25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35">
      <c r="A65" s="45">
        <v>22555</v>
      </c>
      <c r="B65" s="63">
        <f>VLOOKUP(A65,'U.S. GDP'!A:B,2,)</f>
        <v>3440.924</v>
      </c>
      <c r="C65" s="63">
        <f>VLOOKUP(A65,PersonalConsumption!A:B,2,)</f>
        <v>2099.1729999999998</v>
      </c>
      <c r="D65" s="63">
        <f>VLOOKUP(A65,PrivateInvestment!A:B,2,)</f>
        <v>377.47899999999998</v>
      </c>
      <c r="E65" s="63">
        <f>VLOOKUP(A65,Exports!A:B,2,)</f>
        <v>115.852</v>
      </c>
      <c r="F65" s="63">
        <f>VLOOKUP(A65,Imports!A:B,2,)</f>
        <v>141.98599999999999</v>
      </c>
      <c r="G65" s="63">
        <f>VLOOKUP(A65,Government!A:B,2,)</f>
        <v>1176.7370000000001</v>
      </c>
      <c r="H65" s="37">
        <f>Table58[[#This Row],[Personal Consumption]]/Table58[[#This Row],[GDP]]</f>
        <v>0.61006084412210204</v>
      </c>
      <c r="I65" s="37">
        <f>Table58[[#This Row],[Private Investment]]/Table58[[#This Row],[GDP]]</f>
        <v>0.10970280075933092</v>
      </c>
      <c r="J65" s="37">
        <f>Table58[[#This Row],[Exports]]/Table58[[#This Row],[GDP]]</f>
        <v>3.3668863363445399E-2</v>
      </c>
      <c r="K65" s="37">
        <f>-Table58[[#This Row],[Imports]]/Table58[[#This Row],[GDP]]</f>
        <v>-4.1263916320151216E-2</v>
      </c>
      <c r="L65" s="37">
        <f>Table58[[#This Row],[Government]]/Table58[[#This Row],[GDP]]</f>
        <v>0.34198285111789745</v>
      </c>
      <c r="N65" s="58">
        <f>SUM(Table58[[#This Row],[PC%]:[G%]])</f>
        <v>1.0541514430426246</v>
      </c>
      <c r="O65" s="25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35">
      <c r="A66" s="45">
        <v>22647</v>
      </c>
      <c r="B66" s="63">
        <f>VLOOKUP(A66,'U.S. GDP'!A:B,2,)</f>
        <v>3502.2979999999998</v>
      </c>
      <c r="C66" s="63">
        <f>VLOOKUP(A66,PersonalConsumption!A:B,2,)</f>
        <v>2121.4090000000001</v>
      </c>
      <c r="D66" s="63">
        <f>VLOOKUP(A66,PrivateInvestment!A:B,2,)</f>
        <v>397.83100000000002</v>
      </c>
      <c r="E66" s="63">
        <f>VLOOKUP(A66,Exports!A:B,2,)</f>
        <v>115.17</v>
      </c>
      <c r="F66" s="63">
        <f>VLOOKUP(A66,Imports!A:B,2,)</f>
        <v>146.30799999999999</v>
      </c>
      <c r="G66" s="63">
        <f>VLOOKUP(A66,Government!A:B,2,)</f>
        <v>1199.4449999999999</v>
      </c>
      <c r="H66" s="37">
        <f>Table58[[#This Row],[Personal Consumption]]/Table58[[#This Row],[GDP]]</f>
        <v>0.60571915924915587</v>
      </c>
      <c r="I66" s="37">
        <f>Table58[[#This Row],[Private Investment]]/Table58[[#This Row],[GDP]]</f>
        <v>0.11359141911967516</v>
      </c>
      <c r="J66" s="37">
        <f>Table58[[#This Row],[Exports]]/Table58[[#This Row],[GDP]]</f>
        <v>3.2884123509764163E-2</v>
      </c>
      <c r="K66" s="37">
        <f>-Table58[[#This Row],[Imports]]/Table58[[#This Row],[GDP]]</f>
        <v>-4.1774857536394677E-2</v>
      </c>
      <c r="L66" s="37">
        <f>Table58[[#This Row],[Government]]/Table58[[#This Row],[GDP]]</f>
        <v>0.34247371297359619</v>
      </c>
      <c r="N66" s="58">
        <f>SUM(Table58[[#This Row],[PC%]:[G%]])</f>
        <v>1.0528935573157967</v>
      </c>
      <c r="O66" s="25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35">
      <c r="A67" s="45">
        <v>22737</v>
      </c>
      <c r="B67" s="63">
        <f>VLOOKUP(A67,'U.S. GDP'!A:B,2,)</f>
        <v>3533.9470000000001</v>
      </c>
      <c r="C67" s="63">
        <f>VLOOKUP(A67,PersonalConsumption!A:B,2,)</f>
        <v>2147.489</v>
      </c>
      <c r="D67" s="63">
        <f>VLOOKUP(A67,PrivateInvestment!A:B,2,)</f>
        <v>394.69400000000002</v>
      </c>
      <c r="E67" s="63">
        <f>VLOOKUP(A67,Exports!A:B,2,)</f>
        <v>121.789</v>
      </c>
      <c r="F67" s="63">
        <f>VLOOKUP(A67,Imports!A:B,2,)</f>
        <v>149.5</v>
      </c>
      <c r="G67" s="63">
        <f>VLOOKUP(A67,Government!A:B,2,)</f>
        <v>1205.5039999999999</v>
      </c>
      <c r="H67" s="37">
        <f>Table58[[#This Row],[Personal Consumption]]/Table58[[#This Row],[GDP]]</f>
        <v>0.60767436523524543</v>
      </c>
      <c r="I67" s="37">
        <f>Table58[[#This Row],[Private Investment]]/Table58[[#This Row],[GDP]]</f>
        <v>0.11168645143800968</v>
      </c>
      <c r="J67" s="37">
        <f>Table58[[#This Row],[Exports]]/Table58[[#This Row],[GDP]]</f>
        <v>3.4462599467394391E-2</v>
      </c>
      <c r="K67" s="37">
        <f>-Table58[[#This Row],[Imports]]/Table58[[#This Row],[GDP]]</f>
        <v>-4.2303973432538743E-2</v>
      </c>
      <c r="L67" s="37">
        <f>Table58[[#This Row],[Government]]/Table58[[#This Row],[GDP]]</f>
        <v>0.34112113169778718</v>
      </c>
      <c r="N67" s="58">
        <f>SUM(Table58[[#This Row],[PC%]:[G%]])</f>
        <v>1.052640574405898</v>
      </c>
      <c r="O67" s="25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35">
      <c r="A68" s="45">
        <v>22828</v>
      </c>
      <c r="B68" s="63">
        <f>VLOOKUP(A68,'U.S. GDP'!A:B,2,)</f>
        <v>3577.3620000000001</v>
      </c>
      <c r="C68" s="63">
        <f>VLOOKUP(A68,PersonalConsumption!A:B,2,)</f>
        <v>2164.7959999999998</v>
      </c>
      <c r="D68" s="63">
        <f>VLOOKUP(A68,PrivateInvestment!A:B,2,)</f>
        <v>401.40100000000001</v>
      </c>
      <c r="E68" s="63">
        <f>VLOOKUP(A68,Exports!A:B,2,)</f>
        <v>121.57599999999999</v>
      </c>
      <c r="F68" s="63">
        <f>VLOOKUP(A68,Imports!A:B,2,)</f>
        <v>151.39500000000001</v>
      </c>
      <c r="G68" s="63">
        <f>VLOOKUP(A68,Government!A:B,2,)</f>
        <v>1233.3320000000001</v>
      </c>
      <c r="H68" s="37">
        <f>Table58[[#This Row],[Personal Consumption]]/Table58[[#This Row],[GDP]]</f>
        <v>0.60513752871529347</v>
      </c>
      <c r="I68" s="37">
        <f>Table58[[#This Row],[Private Investment]]/Table58[[#This Row],[GDP]]</f>
        <v>0.11220586566302208</v>
      </c>
      <c r="J68" s="37">
        <f>Table58[[#This Row],[Exports]]/Table58[[#This Row],[GDP]]</f>
        <v>3.3984818981137498E-2</v>
      </c>
      <c r="K68" s="37">
        <f>-Table58[[#This Row],[Imports]]/Table58[[#This Row],[GDP]]</f>
        <v>-4.2320290761740077E-2</v>
      </c>
      <c r="L68" s="37">
        <f>Table58[[#This Row],[Government]]/Table58[[#This Row],[GDP]]</f>
        <v>0.3447601892120507</v>
      </c>
      <c r="N68" s="58">
        <f>SUM(Table58[[#This Row],[PC%]:[G%]])</f>
        <v>1.0537681118097637</v>
      </c>
      <c r="O68" s="25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35">
      <c r="A69" s="45">
        <v>22920</v>
      </c>
      <c r="B69" s="63">
        <f>VLOOKUP(A69,'U.S. GDP'!A:B,2,)</f>
        <v>3589.1280000000002</v>
      </c>
      <c r="C69" s="63">
        <f>VLOOKUP(A69,PersonalConsumption!A:B,2,)</f>
        <v>2195.4270000000001</v>
      </c>
      <c r="D69" s="63">
        <f>VLOOKUP(A69,PrivateInvestment!A:B,2,)</f>
        <v>389.65699999999998</v>
      </c>
      <c r="E69" s="63">
        <f>VLOOKUP(A69,Exports!A:B,2,)</f>
        <v>117.64400000000001</v>
      </c>
      <c r="F69" s="63">
        <f>VLOOKUP(A69,Imports!A:B,2,)</f>
        <v>153.24600000000001</v>
      </c>
      <c r="G69" s="63">
        <f>VLOOKUP(A69,Government!A:B,2,)</f>
        <v>1241.8510000000001</v>
      </c>
      <c r="H69" s="37">
        <f>Table58[[#This Row],[Personal Consumption]]/Table58[[#This Row],[GDP]]</f>
        <v>0.61168813149043444</v>
      </c>
      <c r="I69" s="37">
        <f>Table58[[#This Row],[Private Investment]]/Table58[[#This Row],[GDP]]</f>
        <v>0.10856592464799249</v>
      </c>
      <c r="J69" s="37">
        <f>Table58[[#This Row],[Exports]]/Table58[[#This Row],[GDP]]</f>
        <v>3.2777878080692581E-2</v>
      </c>
      <c r="K69" s="37">
        <f>-Table58[[#This Row],[Imports]]/Table58[[#This Row],[GDP]]</f>
        <v>-4.2697279116264454E-2</v>
      </c>
      <c r="L69" s="37">
        <f>Table58[[#This Row],[Government]]/Table58[[#This Row],[GDP]]</f>
        <v>0.34600354180736936</v>
      </c>
      <c r="N69" s="58">
        <f>SUM(Table58[[#This Row],[PC%]:[G%]])</f>
        <v>1.0563381969102243</v>
      </c>
      <c r="O69" s="25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35">
      <c r="A70" s="45">
        <v>23012</v>
      </c>
      <c r="B70" s="63">
        <f>VLOOKUP(A70,'U.S. GDP'!A:B,2,)</f>
        <v>3628.306</v>
      </c>
      <c r="C70" s="63">
        <f>VLOOKUP(A70,PersonalConsumption!A:B,2,)</f>
        <v>2210.8049999999998</v>
      </c>
      <c r="D70" s="63">
        <f>VLOOKUP(A70,PrivateInvestment!A:B,2,)</f>
        <v>410.15800000000002</v>
      </c>
      <c r="E70" s="63">
        <f>VLOOKUP(A70,Exports!A:B,2,)</f>
        <v>119.43</v>
      </c>
      <c r="F70" s="63">
        <f>VLOOKUP(A70,Imports!A:B,2,)</f>
        <v>149.69900000000001</v>
      </c>
      <c r="G70" s="63">
        <f>VLOOKUP(A70,Government!A:B,2,)</f>
        <v>1225.0050000000001</v>
      </c>
      <c r="H70" s="37">
        <f>Table58[[#This Row],[Personal Consumption]]/Table58[[#This Row],[GDP]]</f>
        <v>0.60932154013470741</v>
      </c>
      <c r="I70" s="37">
        <f>Table58[[#This Row],[Private Investment]]/Table58[[#This Row],[GDP]]</f>
        <v>0.11304393841092786</v>
      </c>
      <c r="J70" s="37">
        <f>Table58[[#This Row],[Exports]]/Table58[[#This Row],[GDP]]</f>
        <v>3.2916187333703391E-2</v>
      </c>
      <c r="K70" s="37">
        <f>-Table58[[#This Row],[Imports]]/Table58[[#This Row],[GDP]]</f>
        <v>-4.1258647975115664E-2</v>
      </c>
      <c r="L70" s="37">
        <f>Table58[[#This Row],[Government]]/Table58[[#This Row],[GDP]]</f>
        <v>0.33762450024887652</v>
      </c>
      <c r="N70" s="58">
        <f>SUM(Table58[[#This Row],[PC%]:[G%]])</f>
        <v>1.0516475181530995</v>
      </c>
      <c r="O70" s="25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35">
      <c r="A71" s="45">
        <v>23102</v>
      </c>
      <c r="B71" s="63">
        <f>VLOOKUP(A71,'U.S. GDP'!A:B,2,)</f>
        <v>3669.02</v>
      </c>
      <c r="C71" s="63">
        <f>VLOOKUP(A71,PersonalConsumption!A:B,2,)</f>
        <v>2231.6669999999999</v>
      </c>
      <c r="D71" s="63">
        <f>VLOOKUP(A71,PrivateInvestment!A:B,2,)</f>
        <v>416.68299999999999</v>
      </c>
      <c r="E71" s="63">
        <f>VLOOKUP(A71,Exports!A:B,2,)</f>
        <v>128.977</v>
      </c>
      <c r="F71" s="63">
        <f>VLOOKUP(A71,Imports!A:B,2,)</f>
        <v>153.22300000000001</v>
      </c>
      <c r="G71" s="63">
        <f>VLOOKUP(A71,Government!A:B,2,)</f>
        <v>1225.904</v>
      </c>
      <c r="H71" s="37">
        <f>Table58[[#This Row],[Personal Consumption]]/Table58[[#This Row],[GDP]]</f>
        <v>0.60824607115796592</v>
      </c>
      <c r="I71" s="37">
        <f>Table58[[#This Row],[Private Investment]]/Table58[[#This Row],[GDP]]</f>
        <v>0.11356792822061476</v>
      </c>
      <c r="J71" s="37">
        <f>Table58[[#This Row],[Exports]]/Table58[[#This Row],[GDP]]</f>
        <v>3.5152983630506243E-2</v>
      </c>
      <c r="K71" s="37">
        <f>-Table58[[#This Row],[Imports]]/Table58[[#This Row],[GDP]]</f>
        <v>-4.176128775531341E-2</v>
      </c>
      <c r="L71" s="37">
        <f>Table58[[#This Row],[Government]]/Table58[[#This Row],[GDP]]</f>
        <v>0.33412300832374858</v>
      </c>
      <c r="N71" s="58">
        <f>SUM(Table58[[#This Row],[PC%]:[G%]])</f>
        <v>1.0493287035775221</v>
      </c>
      <c r="O71" s="25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35">
      <c r="A72" s="45">
        <v>23193</v>
      </c>
      <c r="B72" s="63">
        <f>VLOOKUP(A72,'U.S. GDP'!A:B,2,)</f>
        <v>3749.681</v>
      </c>
      <c r="C72" s="63">
        <f>VLOOKUP(A72,PersonalConsumption!A:B,2,)</f>
        <v>2261.942</v>
      </c>
      <c r="D72" s="63">
        <f>VLOOKUP(A72,PrivateInvestment!A:B,2,)</f>
        <v>429.512</v>
      </c>
      <c r="E72" s="63">
        <f>VLOOKUP(A72,Exports!A:B,2,)</f>
        <v>128.33099999999999</v>
      </c>
      <c r="F72" s="63">
        <f>VLOOKUP(A72,Imports!A:B,2,)</f>
        <v>157.114</v>
      </c>
      <c r="G72" s="63">
        <f>VLOOKUP(A72,Government!A:B,2,)</f>
        <v>1280.2950000000001</v>
      </c>
      <c r="H72" s="37">
        <f>Table58[[#This Row],[Personal Consumption]]/Table58[[#This Row],[GDP]]</f>
        <v>0.60323584859618729</v>
      </c>
      <c r="I72" s="37">
        <f>Table58[[#This Row],[Private Investment]]/Table58[[#This Row],[GDP]]</f>
        <v>0.11454627740333111</v>
      </c>
      <c r="J72" s="37">
        <f>Table58[[#This Row],[Exports]]/Table58[[#This Row],[GDP]]</f>
        <v>3.4224511365100123E-2</v>
      </c>
      <c r="K72" s="37">
        <f>-Table58[[#This Row],[Imports]]/Table58[[#This Row],[GDP]]</f>
        <v>-4.1900631013678233E-2</v>
      </c>
      <c r="L72" s="37">
        <f>Table58[[#This Row],[Government]]/Table58[[#This Row],[GDP]]</f>
        <v>0.34144104525158275</v>
      </c>
      <c r="N72" s="58">
        <f>SUM(Table58[[#This Row],[PC%]:[G%]])</f>
        <v>1.0515470516025229</v>
      </c>
      <c r="O72" s="25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35">
      <c r="A73" s="45">
        <v>23285</v>
      </c>
      <c r="B73" s="63">
        <f>VLOOKUP(A73,'U.S. GDP'!A:B,2,)</f>
        <v>3774.2640000000001</v>
      </c>
      <c r="C73" s="63">
        <f>VLOOKUP(A73,PersonalConsumption!A:B,2,)</f>
        <v>2280.79</v>
      </c>
      <c r="D73" s="63">
        <f>VLOOKUP(A73,PrivateInvestment!A:B,2,)</f>
        <v>434.72699999999998</v>
      </c>
      <c r="E73" s="63">
        <f>VLOOKUP(A73,Exports!A:B,2,)</f>
        <v>133.34700000000001</v>
      </c>
      <c r="F73" s="63">
        <f>VLOOKUP(A73,Imports!A:B,2,)</f>
        <v>156.59800000000001</v>
      </c>
      <c r="G73" s="63">
        <f>VLOOKUP(A73,Government!A:B,2,)</f>
        <v>1267.0450000000001</v>
      </c>
      <c r="H73" s="37">
        <f>Table58[[#This Row],[Personal Consumption]]/Table58[[#This Row],[GDP]]</f>
        <v>0.60430060006401243</v>
      </c>
      <c r="I73" s="37">
        <f>Table58[[#This Row],[Private Investment]]/Table58[[#This Row],[GDP]]</f>
        <v>0.11518192686044218</v>
      </c>
      <c r="J73" s="37">
        <f>Table58[[#This Row],[Exports]]/Table58[[#This Row],[GDP]]</f>
        <v>3.5330596905780838E-2</v>
      </c>
      <c r="K73" s="37">
        <f>-Table58[[#This Row],[Imports]]/Table58[[#This Row],[GDP]]</f>
        <v>-4.1491003279049907E-2</v>
      </c>
      <c r="L73" s="37">
        <f>Table58[[#This Row],[Government]]/Table58[[#This Row],[GDP]]</f>
        <v>0.33570651125623435</v>
      </c>
      <c r="N73" s="58">
        <f>SUM(Table58[[#This Row],[PC%]:[G%]])</f>
        <v>1.04902863180742</v>
      </c>
      <c r="O73" s="25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35">
      <c r="A74" s="45">
        <v>23377</v>
      </c>
      <c r="B74" s="63">
        <f>VLOOKUP(A74,'U.S. GDP'!A:B,2,)</f>
        <v>3853.835</v>
      </c>
      <c r="C74" s="63">
        <f>VLOOKUP(A74,PersonalConsumption!A:B,2,)</f>
        <v>2325.5540000000001</v>
      </c>
      <c r="D74" s="63">
        <f>VLOOKUP(A74,PrivateInvestment!A:B,2,)</f>
        <v>450.99700000000001</v>
      </c>
      <c r="E74" s="63">
        <f>VLOOKUP(A74,Exports!A:B,2,)</f>
        <v>140.09100000000001</v>
      </c>
      <c r="F74" s="63">
        <f>VLOOKUP(A74,Imports!A:B,2,)</f>
        <v>156.45099999999999</v>
      </c>
      <c r="G74" s="63">
        <f>VLOOKUP(A74,Government!A:B,2,)</f>
        <v>1270.9970000000001</v>
      </c>
      <c r="H74" s="37">
        <f>Table58[[#This Row],[Personal Consumption]]/Table58[[#This Row],[GDP]]</f>
        <v>0.60343891214854817</v>
      </c>
      <c r="I74" s="37">
        <f>Table58[[#This Row],[Private Investment]]/Table58[[#This Row],[GDP]]</f>
        <v>0.11702550835725972</v>
      </c>
      <c r="J74" s="37">
        <f>Table58[[#This Row],[Exports]]/Table58[[#This Row],[GDP]]</f>
        <v>3.6351063291500549E-2</v>
      </c>
      <c r="K74" s="37">
        <f>-Table58[[#This Row],[Imports]]/Table58[[#This Row],[GDP]]</f>
        <v>-4.0596185358221092E-2</v>
      </c>
      <c r="L74" s="37">
        <f>Table58[[#This Row],[Government]]/Table58[[#This Row],[GDP]]</f>
        <v>0.32980057527112605</v>
      </c>
      <c r="N74" s="58">
        <f>SUM(Table58[[#This Row],[PC%]:[G%]])</f>
        <v>1.0460198737102133</v>
      </c>
      <c r="O74" s="25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35">
      <c r="A75" s="45">
        <v>23468</v>
      </c>
      <c r="B75" s="63">
        <f>VLOOKUP(A75,'U.S. GDP'!A:B,2,)</f>
        <v>3895.7930000000001</v>
      </c>
      <c r="C75" s="63">
        <f>VLOOKUP(A75,PersonalConsumption!A:B,2,)</f>
        <v>2366.6909999999998</v>
      </c>
      <c r="D75" s="63">
        <f>VLOOKUP(A75,PrivateInvestment!A:B,2,)</f>
        <v>449.37299999999999</v>
      </c>
      <c r="E75" s="63">
        <f>VLOOKUP(A75,Exports!A:B,2,)</f>
        <v>139.51900000000001</v>
      </c>
      <c r="F75" s="63">
        <f>VLOOKUP(A75,Imports!A:B,2,)</f>
        <v>159.97300000000001</v>
      </c>
      <c r="G75" s="63">
        <f>VLOOKUP(A75,Government!A:B,2,)</f>
        <v>1282.412</v>
      </c>
      <c r="H75" s="37">
        <f>Table58[[#This Row],[Personal Consumption]]/Table58[[#This Row],[GDP]]</f>
        <v>0.60749916640848212</v>
      </c>
      <c r="I75" s="37">
        <f>Table58[[#This Row],[Private Investment]]/Table58[[#This Row],[GDP]]</f>
        <v>0.11534827440780349</v>
      </c>
      <c r="J75" s="37">
        <f>Table58[[#This Row],[Exports]]/Table58[[#This Row],[GDP]]</f>
        <v>3.5812734403496284E-2</v>
      </c>
      <c r="K75" s="37">
        <f>-Table58[[#This Row],[Imports]]/Table58[[#This Row],[GDP]]</f>
        <v>-4.1063013358255948E-2</v>
      </c>
      <c r="L75" s="37">
        <f>Table58[[#This Row],[Government]]/Table58[[#This Row],[GDP]]</f>
        <v>0.3291786806947905</v>
      </c>
      <c r="N75" s="58">
        <f>SUM(Table58[[#This Row],[PC%]:[G%]])</f>
        <v>1.0467758425563165</v>
      </c>
      <c r="O75" s="25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35">
      <c r="A76" s="45">
        <v>23559</v>
      </c>
      <c r="B76" s="63">
        <f>VLOOKUP(A76,'U.S. GDP'!A:B,2,)</f>
        <v>3956.6570000000002</v>
      </c>
      <c r="C76" s="63">
        <f>VLOOKUP(A76,PersonalConsumption!A:B,2,)</f>
        <v>2410.4079999999999</v>
      </c>
      <c r="D76" s="63">
        <f>VLOOKUP(A76,PrivateInvestment!A:B,2,)</f>
        <v>459.86099999999999</v>
      </c>
      <c r="E76" s="63">
        <f>VLOOKUP(A76,Exports!A:B,2,)</f>
        <v>143.887</v>
      </c>
      <c r="F76" s="63">
        <f>VLOOKUP(A76,Imports!A:B,2,)</f>
        <v>164.26599999999999</v>
      </c>
      <c r="G76" s="63">
        <f>VLOOKUP(A76,Government!A:B,2,)</f>
        <v>1283.9290000000001</v>
      </c>
      <c r="H76" s="37">
        <f>Table58[[#This Row],[Personal Consumption]]/Table58[[#This Row],[GDP]]</f>
        <v>0.60920317328492202</v>
      </c>
      <c r="I76" s="37">
        <f>Table58[[#This Row],[Private Investment]]/Table58[[#This Row],[GDP]]</f>
        <v>0.11622463104585512</v>
      </c>
      <c r="J76" s="37">
        <f>Table58[[#This Row],[Exports]]/Table58[[#This Row],[GDP]]</f>
        <v>3.6365800725208175E-2</v>
      </c>
      <c r="K76" s="37">
        <f>-Table58[[#This Row],[Imports]]/Table58[[#This Row],[GDP]]</f>
        <v>-4.151636090770567E-2</v>
      </c>
      <c r="L76" s="37">
        <f>Table58[[#This Row],[Government]]/Table58[[#This Row],[GDP]]</f>
        <v>0.32449843390518818</v>
      </c>
      <c r="N76" s="58">
        <f>SUM(Table58[[#This Row],[PC%]:[G%]])</f>
        <v>1.0447756780534676</v>
      </c>
      <c r="O76" s="25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35">
      <c r="A77" s="45">
        <v>23651</v>
      </c>
      <c r="B77" s="63">
        <f>VLOOKUP(A77,'U.S. GDP'!A:B,2,)</f>
        <v>3968.8780000000002</v>
      </c>
      <c r="C77" s="63">
        <f>VLOOKUP(A77,PersonalConsumption!A:B,2,)</f>
        <v>2417.288</v>
      </c>
      <c r="D77" s="63">
        <f>VLOOKUP(A77,PrivateInvestment!A:B,2,)</f>
        <v>464.22899999999998</v>
      </c>
      <c r="E77" s="63">
        <f>VLOOKUP(A77,Exports!A:B,2,)</f>
        <v>146.78399999999999</v>
      </c>
      <c r="F77" s="63">
        <f>VLOOKUP(A77,Imports!A:B,2,)</f>
        <v>168.709</v>
      </c>
      <c r="G77" s="63">
        <f>VLOOKUP(A77,Government!A:B,2,)</f>
        <v>1283.386</v>
      </c>
      <c r="H77" s="37">
        <f>Table58[[#This Row],[Personal Consumption]]/Table58[[#This Row],[GDP]]</f>
        <v>0.6090607975352228</v>
      </c>
      <c r="I77" s="37">
        <f>Table58[[#This Row],[Private Investment]]/Table58[[#This Row],[GDP]]</f>
        <v>0.11696731418804003</v>
      </c>
      <c r="J77" s="37">
        <f>Table58[[#This Row],[Exports]]/Table58[[#This Row],[GDP]]</f>
        <v>3.6983752083082418E-2</v>
      </c>
      <c r="K77" s="37">
        <f>-Table58[[#This Row],[Imports]]/Table58[[#This Row],[GDP]]</f>
        <v>-4.2507983364568021E-2</v>
      </c>
      <c r="L77" s="37">
        <f>Table58[[#This Row],[Government]]/Table58[[#This Row],[GDP]]</f>
        <v>0.323362421319073</v>
      </c>
      <c r="N77" s="58">
        <f>SUM(Table58[[#This Row],[PC%]:[G%]])</f>
        <v>1.0438663017608503</v>
      </c>
      <c r="O77" s="25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35">
      <c r="A78" s="45">
        <v>23743</v>
      </c>
      <c r="B78" s="63">
        <f>VLOOKUP(A78,'U.S. GDP'!A:B,2,)</f>
        <v>4064.915</v>
      </c>
      <c r="C78" s="63">
        <f>VLOOKUP(A78,PersonalConsumption!A:B,2,)</f>
        <v>2471.1959999999999</v>
      </c>
      <c r="D78" s="63">
        <f>VLOOKUP(A78,PrivateInvestment!A:B,2,)</f>
        <v>508.49099999999999</v>
      </c>
      <c r="E78" s="63">
        <f>VLOOKUP(A78,Exports!A:B,2,)</f>
        <v>129.69999999999999</v>
      </c>
      <c r="F78" s="63">
        <f>VLOOKUP(A78,Imports!A:B,2,)</f>
        <v>162.63499999999999</v>
      </c>
      <c r="G78" s="63">
        <f>VLOOKUP(A78,Government!A:B,2,)</f>
        <v>1281.9100000000001</v>
      </c>
      <c r="H78" s="37">
        <f>Table58[[#This Row],[Personal Consumption]]/Table58[[#This Row],[GDP]]</f>
        <v>0.60793300720925281</v>
      </c>
      <c r="I78" s="37">
        <f>Table58[[#This Row],[Private Investment]]/Table58[[#This Row],[GDP]]</f>
        <v>0.1250926526138923</v>
      </c>
      <c r="J78" s="37">
        <f>Table58[[#This Row],[Exports]]/Table58[[#This Row],[GDP]]</f>
        <v>3.1907186251127019E-2</v>
      </c>
      <c r="K78" s="37">
        <f>-Table58[[#This Row],[Imports]]/Table58[[#This Row],[GDP]]</f>
        <v>-4.0009446691997248E-2</v>
      </c>
      <c r="L78" s="37">
        <f>Table58[[#This Row],[Government]]/Table58[[#This Row],[GDP]]</f>
        <v>0.31535960776547606</v>
      </c>
      <c r="N78" s="58">
        <f>SUM(Table58[[#This Row],[PC%]:[G%]])</f>
        <v>1.0402830071477509</v>
      </c>
      <c r="O78" s="25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35">
      <c r="A79" s="45">
        <v>23833</v>
      </c>
      <c r="B79" s="63">
        <f>VLOOKUP(A79,'U.S. GDP'!A:B,2,)</f>
        <v>4116.2669999999998</v>
      </c>
      <c r="C79" s="63">
        <f>VLOOKUP(A79,PersonalConsumption!A:B,2,)</f>
        <v>2498.4499999999998</v>
      </c>
      <c r="D79" s="63">
        <f>VLOOKUP(A79,PrivateInvestment!A:B,2,)</f>
        <v>509.827</v>
      </c>
      <c r="E79" s="63">
        <f>VLOOKUP(A79,Exports!A:B,2,)</f>
        <v>151.411</v>
      </c>
      <c r="F79" s="63">
        <f>VLOOKUP(A79,Imports!A:B,2,)</f>
        <v>181.828</v>
      </c>
      <c r="G79" s="63">
        <f>VLOOKUP(A79,Government!A:B,2,)</f>
        <v>1297.0740000000001</v>
      </c>
      <c r="H79" s="37">
        <f>Table58[[#This Row],[Personal Consumption]]/Table58[[#This Row],[GDP]]</f>
        <v>0.60696985885512289</v>
      </c>
      <c r="I79" s="37">
        <f>Table58[[#This Row],[Private Investment]]/Table58[[#This Row],[GDP]]</f>
        <v>0.12385664000901789</v>
      </c>
      <c r="J79" s="37">
        <f>Table58[[#This Row],[Exports]]/Table58[[#This Row],[GDP]]</f>
        <v>3.6783571133748132E-2</v>
      </c>
      <c r="K79" s="37">
        <f>-Table58[[#This Row],[Imports]]/Table58[[#This Row],[GDP]]</f>
        <v>-4.4173033479120771E-2</v>
      </c>
      <c r="L79" s="37">
        <f>Table58[[#This Row],[Government]]/Table58[[#This Row],[GDP]]</f>
        <v>0.31510929684590433</v>
      </c>
      <c r="N79" s="58">
        <f>SUM(Table58[[#This Row],[PC%]:[G%]])</f>
        <v>1.0385463333646725</v>
      </c>
      <c r="O79" s="25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35">
      <c r="A80" s="45">
        <v>23924</v>
      </c>
      <c r="B80" s="63">
        <f>VLOOKUP(A80,'U.S. GDP'!A:B,2,)</f>
        <v>4207.7820000000002</v>
      </c>
      <c r="C80" s="63">
        <f>VLOOKUP(A80,PersonalConsumption!A:B,2,)</f>
        <v>2541.38</v>
      </c>
      <c r="D80" s="63">
        <f>VLOOKUP(A80,PrivateInvestment!A:B,2,)</f>
        <v>527.57799999999997</v>
      </c>
      <c r="E80" s="63">
        <f>VLOOKUP(A80,Exports!A:B,2,)</f>
        <v>148.04599999999999</v>
      </c>
      <c r="F80" s="63">
        <f>VLOOKUP(A80,Imports!A:B,2,)</f>
        <v>182.57400000000001</v>
      </c>
      <c r="G80" s="63">
        <f>VLOOKUP(A80,Government!A:B,2,)</f>
        <v>1340.1089999999999</v>
      </c>
      <c r="H80" s="37">
        <f>Table58[[#This Row],[Personal Consumption]]/Table58[[#This Row],[GDP]]</f>
        <v>0.60397140346149114</v>
      </c>
      <c r="I80" s="37">
        <f>Table58[[#This Row],[Private Investment]]/Table58[[#This Row],[GDP]]</f>
        <v>0.1253814955242453</v>
      </c>
      <c r="J80" s="37">
        <f>Table58[[#This Row],[Exports]]/Table58[[#This Row],[GDP]]</f>
        <v>3.5183856958369036E-2</v>
      </c>
      <c r="K80" s="37">
        <f>-Table58[[#This Row],[Imports]]/Table58[[#This Row],[GDP]]</f>
        <v>-4.3389605259968315E-2</v>
      </c>
      <c r="L80" s="37">
        <f>Table58[[#This Row],[Government]]/Table58[[#This Row],[GDP]]</f>
        <v>0.31848346706174413</v>
      </c>
      <c r="N80" s="58">
        <f>SUM(Table58[[#This Row],[PC%]:[G%]])</f>
        <v>1.0396306177458814</v>
      </c>
      <c r="O80" s="25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35">
      <c r="A81" s="45">
        <v>24016</v>
      </c>
      <c r="B81" s="63">
        <f>VLOOKUP(A81,'U.S. GDP'!A:B,2,)</f>
        <v>4304.7309999999998</v>
      </c>
      <c r="C81" s="63">
        <f>VLOOKUP(A81,PersonalConsumption!A:B,2,)</f>
        <v>2612.826</v>
      </c>
      <c r="D81" s="63">
        <f>VLOOKUP(A81,PrivateInvestment!A:B,2,)</f>
        <v>531.072</v>
      </c>
      <c r="E81" s="63">
        <f>VLOOKUP(A81,Exports!A:B,2,)</f>
        <v>157.095</v>
      </c>
      <c r="F81" s="63">
        <f>VLOOKUP(A81,Imports!A:B,2,)</f>
        <v>191.482</v>
      </c>
      <c r="G81" s="63">
        <f>VLOOKUP(A81,Government!A:B,2,)</f>
        <v>1365.498</v>
      </c>
      <c r="H81" s="37">
        <f>Table58[[#This Row],[Personal Consumption]]/Table58[[#This Row],[GDP]]</f>
        <v>0.6069661495689278</v>
      </c>
      <c r="I81" s="37">
        <f>Table58[[#This Row],[Private Investment]]/Table58[[#This Row],[GDP]]</f>
        <v>0.12336938126911996</v>
      </c>
      <c r="J81" s="37">
        <f>Table58[[#This Row],[Exports]]/Table58[[#This Row],[GDP]]</f>
        <v>3.6493569516887349E-2</v>
      </c>
      <c r="K81" s="37">
        <f>-Table58[[#This Row],[Imports]]/Table58[[#This Row],[GDP]]</f>
        <v>-4.4481757396687506E-2</v>
      </c>
      <c r="L81" s="37">
        <f>Table58[[#This Row],[Government]]/Table58[[#This Row],[GDP]]</f>
        <v>0.31720867111092427</v>
      </c>
      <c r="N81" s="58">
        <f>SUM(Table58[[#This Row],[PC%]:[G%]])</f>
        <v>1.039556014069172</v>
      </c>
      <c r="O81" s="25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35">
      <c r="A82" s="45">
        <v>24108</v>
      </c>
      <c r="B82" s="63">
        <f>VLOOKUP(A82,'U.S. GDP'!A:B,2,)</f>
        <v>4409.518</v>
      </c>
      <c r="C82" s="63">
        <f>VLOOKUP(A82,PersonalConsumption!A:B,2,)</f>
        <v>2651.3969999999999</v>
      </c>
      <c r="D82" s="63">
        <f>VLOOKUP(A82,PrivateInvestment!A:B,2,)</f>
        <v>573.50199999999995</v>
      </c>
      <c r="E82" s="63">
        <f>VLOOKUP(A82,Exports!A:B,2,)</f>
        <v>153.22399999999999</v>
      </c>
      <c r="F82" s="63">
        <f>VLOOKUP(A82,Imports!A:B,2,)</f>
        <v>196.417</v>
      </c>
      <c r="G82" s="63">
        <f>VLOOKUP(A82,Government!A:B,2,)</f>
        <v>1390.9469999999999</v>
      </c>
      <c r="H82" s="37">
        <f>Table58[[#This Row],[Personal Consumption]]/Table58[[#This Row],[GDP]]</f>
        <v>0.6012895286967872</v>
      </c>
      <c r="I82" s="37">
        <f>Table58[[#This Row],[Private Investment]]/Table58[[#This Row],[GDP]]</f>
        <v>0.13006002016546933</v>
      </c>
      <c r="J82" s="37">
        <f>Table58[[#This Row],[Exports]]/Table58[[#This Row],[GDP]]</f>
        <v>3.4748469107054328E-2</v>
      </c>
      <c r="K82" s="37">
        <f>-Table58[[#This Row],[Imports]]/Table58[[#This Row],[GDP]]</f>
        <v>-4.4543870781341637E-2</v>
      </c>
      <c r="L82" s="37">
        <f>Table58[[#This Row],[Government]]/Table58[[#This Row],[GDP]]</f>
        <v>0.31544195986953671</v>
      </c>
      <c r="N82" s="58">
        <f>SUM(Table58[[#This Row],[PC%]:[G%]])</f>
        <v>1.036996107057506</v>
      </c>
      <c r="O82" s="25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35">
      <c r="A83" s="45">
        <v>24198</v>
      </c>
      <c r="B83" s="63">
        <f>VLOOKUP(A83,'U.S. GDP'!A:B,2,)</f>
        <v>4424.5810000000001</v>
      </c>
      <c r="C83" s="63">
        <f>VLOOKUP(A83,PersonalConsumption!A:B,2,)</f>
        <v>2658.1909999999998</v>
      </c>
      <c r="D83" s="63">
        <f>VLOOKUP(A83,PrivateInvestment!A:B,2,)</f>
        <v>565.01199999999994</v>
      </c>
      <c r="E83" s="63">
        <f>VLOOKUP(A83,Exports!A:B,2,)</f>
        <v>157.828</v>
      </c>
      <c r="F83" s="63">
        <f>VLOOKUP(A83,Imports!A:B,2,)</f>
        <v>201.30199999999999</v>
      </c>
      <c r="G83" s="63">
        <f>VLOOKUP(A83,Government!A:B,2,)</f>
        <v>1417.2260000000001</v>
      </c>
      <c r="H83" s="37">
        <f>Table58[[#This Row],[Personal Consumption]]/Table58[[#This Row],[GDP]]</f>
        <v>0.60077801717269941</v>
      </c>
      <c r="I83" s="37">
        <f>Table58[[#This Row],[Private Investment]]/Table58[[#This Row],[GDP]]</f>
        <v>0.12769841935315454</v>
      </c>
      <c r="J83" s="37">
        <f>Table58[[#This Row],[Exports]]/Table58[[#This Row],[GDP]]</f>
        <v>3.5670722267261014E-2</v>
      </c>
      <c r="K83" s="37">
        <f>-Table58[[#This Row],[Imports]]/Table58[[#This Row],[GDP]]</f>
        <v>-4.5496285410980157E-2</v>
      </c>
      <c r="L83" s="37">
        <f>Table58[[#This Row],[Government]]/Table58[[#This Row],[GDP]]</f>
        <v>0.32030739181856993</v>
      </c>
      <c r="N83" s="58">
        <f>SUM(Table58[[#This Row],[PC%]:[G%]])</f>
        <v>1.0389582652007046</v>
      </c>
      <c r="O83" s="25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35">
      <c r="A84" s="45">
        <v>24289</v>
      </c>
      <c r="B84" s="63">
        <f>VLOOKUP(A84,'U.S. GDP'!A:B,2,)</f>
        <v>4462.0529999999999</v>
      </c>
      <c r="C84" s="63">
        <f>VLOOKUP(A84,PersonalConsumption!A:B,2,)</f>
        <v>2688.5459999999998</v>
      </c>
      <c r="D84" s="63">
        <f>VLOOKUP(A84,PrivateInvestment!A:B,2,)</f>
        <v>560.84400000000005</v>
      </c>
      <c r="E84" s="63">
        <f>VLOOKUP(A84,Exports!A:B,2,)</f>
        <v>155.94200000000001</v>
      </c>
      <c r="F84" s="63">
        <f>VLOOKUP(A84,Imports!A:B,2,)</f>
        <v>212.59299999999999</v>
      </c>
      <c r="G84" s="63">
        <f>VLOOKUP(A84,Government!A:B,2,)</f>
        <v>1455.85</v>
      </c>
      <c r="H84" s="37">
        <f>Table58[[#This Row],[Personal Consumption]]/Table58[[#This Row],[GDP]]</f>
        <v>0.60253564894903755</v>
      </c>
      <c r="I84" s="37">
        <f>Table58[[#This Row],[Private Investment]]/Table58[[#This Row],[GDP]]</f>
        <v>0.12569191804758931</v>
      </c>
      <c r="J84" s="37">
        <f>Table58[[#This Row],[Exports]]/Table58[[#This Row],[GDP]]</f>
        <v>3.4948486716764683E-2</v>
      </c>
      <c r="K84" s="37">
        <f>-Table58[[#This Row],[Imports]]/Table58[[#This Row],[GDP]]</f>
        <v>-4.7644660428730896E-2</v>
      </c>
      <c r="L84" s="37">
        <f>Table58[[#This Row],[Government]]/Table58[[#This Row],[GDP]]</f>
        <v>0.32627357855229416</v>
      </c>
      <c r="N84" s="58">
        <f>SUM(Table58[[#This Row],[PC%]:[G%]])</f>
        <v>1.0418049718369546</v>
      </c>
      <c r="O84" s="25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35">
      <c r="A85" s="45">
        <v>24381</v>
      </c>
      <c r="B85" s="63">
        <f>VLOOKUP(A85,'U.S. GDP'!A:B,2,)</f>
        <v>4498.66</v>
      </c>
      <c r="C85" s="63">
        <f>VLOOKUP(A85,PersonalConsumption!A:B,2,)</f>
        <v>2699.7469999999998</v>
      </c>
      <c r="D85" s="63">
        <f>VLOOKUP(A85,PrivateInvestment!A:B,2,)</f>
        <v>564.13099999999997</v>
      </c>
      <c r="E85" s="63">
        <f>VLOOKUP(A85,Exports!A:B,2,)</f>
        <v>159.81899999999999</v>
      </c>
      <c r="F85" s="63">
        <f>VLOOKUP(A85,Imports!A:B,2,)</f>
        <v>214.98699999999999</v>
      </c>
      <c r="G85" s="63">
        <f>VLOOKUP(A85,Government!A:B,2,)</f>
        <v>1480.9849999999999</v>
      </c>
      <c r="H85" s="37">
        <f>Table58[[#This Row],[Personal Consumption]]/Table58[[#This Row],[GDP]]</f>
        <v>0.60012248091653952</v>
      </c>
      <c r="I85" s="37">
        <f>Table58[[#This Row],[Private Investment]]/Table58[[#This Row],[GDP]]</f>
        <v>0.12539978571396815</v>
      </c>
      <c r="J85" s="37">
        <f>Table58[[#This Row],[Exports]]/Table58[[#This Row],[GDP]]</f>
        <v>3.5525912160510015E-2</v>
      </c>
      <c r="K85" s="37">
        <f>-Table58[[#This Row],[Imports]]/Table58[[#This Row],[GDP]]</f>
        <v>-4.7789119426673722E-2</v>
      </c>
      <c r="L85" s="37">
        <f>Table58[[#This Row],[Government]]/Table58[[#This Row],[GDP]]</f>
        <v>0.32920580795170118</v>
      </c>
      <c r="N85" s="58">
        <f>SUM(Table58[[#This Row],[PC%]:[G%]])</f>
        <v>1.042464867316045</v>
      </c>
      <c r="O85" s="25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35">
      <c r="A86" s="45">
        <v>24473</v>
      </c>
      <c r="B86" s="63">
        <f>VLOOKUP(A86,'U.S. GDP'!A:B,2,)</f>
        <v>4538.4979999999996</v>
      </c>
      <c r="C86" s="63">
        <f>VLOOKUP(A86,PersonalConsumption!A:B,2,)</f>
        <v>2715.3029999999999</v>
      </c>
      <c r="D86" s="63">
        <f>VLOOKUP(A86,PrivateInvestment!A:B,2,)</f>
        <v>550.28599999999994</v>
      </c>
      <c r="E86" s="63">
        <f>VLOOKUP(A86,Exports!A:B,2,)</f>
        <v>161.78200000000001</v>
      </c>
      <c r="F86" s="63">
        <f>VLOOKUP(A86,Imports!A:B,2,)</f>
        <v>218.34299999999999</v>
      </c>
      <c r="G86" s="63">
        <f>VLOOKUP(A86,Government!A:B,2,)</f>
        <v>1543.56</v>
      </c>
      <c r="H86" s="37">
        <f>Table58[[#This Row],[Personal Consumption]]/Table58[[#This Row],[GDP]]</f>
        <v>0.59828229515579823</v>
      </c>
      <c r="I86" s="37">
        <f>Table58[[#This Row],[Private Investment]]/Table58[[#This Row],[GDP]]</f>
        <v>0.12124848352913233</v>
      </c>
      <c r="J86" s="37">
        <f>Table58[[#This Row],[Exports]]/Table58[[#This Row],[GDP]]</f>
        <v>3.5646594974813262E-2</v>
      </c>
      <c r="K86" s="37">
        <f>-Table58[[#This Row],[Imports]]/Table58[[#This Row],[GDP]]</f>
        <v>-4.8109088072750064E-2</v>
      </c>
      <c r="L86" s="37">
        <f>Table58[[#This Row],[Government]]/Table58[[#This Row],[GDP]]</f>
        <v>0.34010370831936032</v>
      </c>
      <c r="N86" s="58">
        <f>SUM(Table58[[#This Row],[PC%]:[G%]])</f>
        <v>1.0471719939063542</v>
      </c>
      <c r="O86" s="25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35">
      <c r="A87" s="45">
        <v>24563</v>
      </c>
      <c r="B87" s="63">
        <f>VLOOKUP(A87,'U.S. GDP'!A:B,2,)</f>
        <v>4541.28</v>
      </c>
      <c r="C87" s="63">
        <f>VLOOKUP(A87,PersonalConsumption!A:B,2,)</f>
        <v>2752.4259999999999</v>
      </c>
      <c r="D87" s="63">
        <f>VLOOKUP(A87,PrivateInvestment!A:B,2,)</f>
        <v>530.37800000000004</v>
      </c>
      <c r="E87" s="63">
        <f>VLOOKUP(A87,Exports!A:B,2,)</f>
        <v>159.631</v>
      </c>
      <c r="F87" s="63">
        <f>VLOOKUP(A87,Imports!A:B,2,)</f>
        <v>216.608</v>
      </c>
      <c r="G87" s="63">
        <f>VLOOKUP(A87,Government!A:B,2,)</f>
        <v>1537.155</v>
      </c>
      <c r="H87" s="37">
        <f>Table58[[#This Row],[Personal Consumption]]/Table58[[#This Row],[GDP]]</f>
        <v>0.60609035338054473</v>
      </c>
      <c r="I87" s="37">
        <f>Table58[[#This Row],[Private Investment]]/Table58[[#This Row],[GDP]]</f>
        <v>0.11679042032202376</v>
      </c>
      <c r="J87" s="37">
        <f>Table58[[#This Row],[Exports]]/Table58[[#This Row],[GDP]]</f>
        <v>3.5151102772786526E-2</v>
      </c>
      <c r="K87" s="37">
        <f>-Table58[[#This Row],[Imports]]/Table58[[#This Row],[GDP]]</f>
        <v>-4.7697565444103869E-2</v>
      </c>
      <c r="L87" s="37">
        <f>Table58[[#This Row],[Government]]/Table58[[#This Row],[GDP]]</f>
        <v>0.33848496459148081</v>
      </c>
      <c r="N87" s="58">
        <f>SUM(Table58[[#This Row],[PC%]:[G%]])</f>
        <v>1.0488192756227321</v>
      </c>
      <c r="O87" s="25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35">
      <c r="A88" s="45">
        <v>24654</v>
      </c>
      <c r="B88" s="63">
        <f>VLOOKUP(A88,'U.S. GDP'!A:B,2,)</f>
        <v>4584.2460000000001</v>
      </c>
      <c r="C88" s="63">
        <f>VLOOKUP(A88,PersonalConsumption!A:B,2,)</f>
        <v>2766.518</v>
      </c>
      <c r="D88" s="63">
        <f>VLOOKUP(A88,PrivateInvestment!A:B,2,)</f>
        <v>545.92999999999995</v>
      </c>
      <c r="E88" s="63">
        <f>VLOOKUP(A88,Exports!A:B,2,)</f>
        <v>158.35</v>
      </c>
      <c r="F88" s="63">
        <f>VLOOKUP(A88,Imports!A:B,2,)</f>
        <v>219.452</v>
      </c>
      <c r="G88" s="63">
        <f>VLOOKUP(A88,Government!A:B,2,)</f>
        <v>1554.2370000000001</v>
      </c>
      <c r="H88" s="37">
        <f>Table58[[#This Row],[Personal Consumption]]/Table58[[#This Row],[GDP]]</f>
        <v>0.60348375719802116</v>
      </c>
      <c r="I88" s="37">
        <f>Table58[[#This Row],[Private Investment]]/Table58[[#This Row],[GDP]]</f>
        <v>0.11908828627434041</v>
      </c>
      <c r="J88" s="37">
        <f>Table58[[#This Row],[Exports]]/Table58[[#This Row],[GDP]]</f>
        <v>3.4542212612499415E-2</v>
      </c>
      <c r="K88" s="37">
        <f>-Table58[[#This Row],[Imports]]/Table58[[#This Row],[GDP]]</f>
        <v>-4.7870903961087605E-2</v>
      </c>
      <c r="L88" s="37">
        <f>Table58[[#This Row],[Government]]/Table58[[#This Row],[GDP]]</f>
        <v>0.33903874268527473</v>
      </c>
      <c r="N88" s="58">
        <f>SUM(Table58[[#This Row],[PC%]:[G%]])</f>
        <v>1.0482820948090481</v>
      </c>
      <c r="O88" s="25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35">
      <c r="A89" s="45">
        <v>24746</v>
      </c>
      <c r="B89" s="63">
        <f>VLOOKUP(A89,'U.S. GDP'!A:B,2,)</f>
        <v>4618.8119999999999</v>
      </c>
      <c r="C89" s="63">
        <f>VLOOKUP(A89,PersonalConsumption!A:B,2,)</f>
        <v>2783.4470000000001</v>
      </c>
      <c r="D89" s="63">
        <f>VLOOKUP(A89,PrivateInvestment!A:B,2,)</f>
        <v>557.70600000000002</v>
      </c>
      <c r="E89" s="63">
        <f>VLOOKUP(A89,Exports!A:B,2,)</f>
        <v>161.33699999999999</v>
      </c>
      <c r="F89" s="63">
        <f>VLOOKUP(A89,Imports!A:B,2,)</f>
        <v>231.02600000000001</v>
      </c>
      <c r="G89" s="63">
        <f>VLOOKUP(A89,Government!A:B,2,)</f>
        <v>1566.046</v>
      </c>
      <c r="H89" s="37">
        <f>Table58[[#This Row],[Personal Consumption]]/Table58[[#This Row],[GDP]]</f>
        <v>0.60263266831384354</v>
      </c>
      <c r="I89" s="37">
        <f>Table58[[#This Row],[Private Investment]]/Table58[[#This Row],[GDP]]</f>
        <v>0.12074663354992583</v>
      </c>
      <c r="J89" s="37">
        <f>Table58[[#This Row],[Exports]]/Table58[[#This Row],[GDP]]</f>
        <v>3.4930410677031232E-2</v>
      </c>
      <c r="K89" s="37">
        <f>-Table58[[#This Row],[Imports]]/Table58[[#This Row],[GDP]]</f>
        <v>-5.0018489602954186E-2</v>
      </c>
      <c r="L89" s="37">
        <f>Table58[[#This Row],[Government]]/Table58[[#This Row],[GDP]]</f>
        <v>0.33905818206066846</v>
      </c>
      <c r="N89" s="58">
        <f>SUM(Table58[[#This Row],[PC%]:[G%]])</f>
        <v>1.047349404998515</v>
      </c>
      <c r="O89" s="25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35">
      <c r="A90" s="45">
        <v>24838</v>
      </c>
      <c r="B90" s="63">
        <f>VLOOKUP(A90,'U.S. GDP'!A:B,2,)</f>
        <v>4713.0129999999999</v>
      </c>
      <c r="C90" s="63">
        <f>VLOOKUP(A90,PersonalConsumption!A:B,2,)</f>
        <v>2850.1529999999998</v>
      </c>
      <c r="D90" s="63">
        <f>VLOOKUP(A90,PrivateInvestment!A:B,2,)</f>
        <v>568.88699999999994</v>
      </c>
      <c r="E90" s="63">
        <f>VLOOKUP(A90,Exports!A:B,2,)</f>
        <v>165.86799999999999</v>
      </c>
      <c r="F90" s="63">
        <f>VLOOKUP(A90,Imports!A:B,2,)</f>
        <v>244.637</v>
      </c>
      <c r="G90" s="63">
        <f>VLOOKUP(A90,Government!A:B,2,)</f>
        <v>1594.047</v>
      </c>
      <c r="H90" s="37">
        <f>Table58[[#This Row],[Personal Consumption]]/Table58[[#This Row],[GDP]]</f>
        <v>0.6047411708815571</v>
      </c>
      <c r="I90" s="37">
        <f>Table58[[#This Row],[Private Investment]]/Table58[[#This Row],[GDP]]</f>
        <v>0.12070558685070462</v>
      </c>
      <c r="J90" s="37">
        <f>Table58[[#This Row],[Exports]]/Table58[[#This Row],[GDP]]</f>
        <v>3.5193622423702206E-2</v>
      </c>
      <c r="K90" s="37">
        <f>-Table58[[#This Row],[Imports]]/Table58[[#This Row],[GDP]]</f>
        <v>-5.1906710208522659E-2</v>
      </c>
      <c r="L90" s="37">
        <f>Table58[[#This Row],[Government]]/Table58[[#This Row],[GDP]]</f>
        <v>0.33822249164175872</v>
      </c>
      <c r="N90" s="58">
        <f>SUM(Table58[[#This Row],[PC%]:[G%]])</f>
        <v>1.0469561615892</v>
      </c>
      <c r="O90" s="25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35">
      <c r="A91" s="45">
        <v>24929</v>
      </c>
      <c r="B91" s="63">
        <f>VLOOKUP(A91,'U.S. GDP'!A:B,2,)</f>
        <v>4791.7579999999998</v>
      </c>
      <c r="C91" s="63">
        <f>VLOOKUP(A91,PersonalConsumption!A:B,2,)</f>
        <v>2893.5529999999999</v>
      </c>
      <c r="D91" s="63">
        <f>VLOOKUP(A91,PrivateInvestment!A:B,2,)</f>
        <v>590.64700000000005</v>
      </c>
      <c r="E91" s="63">
        <f>VLOOKUP(A91,Exports!A:B,2,)</f>
        <v>168.643</v>
      </c>
      <c r="F91" s="63">
        <f>VLOOKUP(A91,Imports!A:B,2,)</f>
        <v>248.369</v>
      </c>
      <c r="G91" s="63">
        <f>VLOOKUP(A91,Government!A:B,2,)</f>
        <v>1602.3150000000001</v>
      </c>
      <c r="H91" s="37">
        <f>Table58[[#This Row],[Personal Consumption]]/Table58[[#This Row],[GDP]]</f>
        <v>0.60386042033007514</v>
      </c>
      <c r="I91" s="37">
        <f>Table58[[#This Row],[Private Investment]]/Table58[[#This Row],[GDP]]</f>
        <v>0.12326311136747725</v>
      </c>
      <c r="J91" s="37">
        <f>Table58[[#This Row],[Exports]]/Table58[[#This Row],[GDP]]</f>
        <v>3.5194390033887357E-2</v>
      </c>
      <c r="K91" s="37">
        <f>-Table58[[#This Row],[Imports]]/Table58[[#This Row],[GDP]]</f>
        <v>-5.1832542461451518E-2</v>
      </c>
      <c r="L91" s="37">
        <f>Table58[[#This Row],[Government]]/Table58[[#This Row],[GDP]]</f>
        <v>0.33438980015267883</v>
      </c>
      <c r="N91" s="58">
        <f>SUM(Table58[[#This Row],[PC%]:[G%]])</f>
        <v>1.0448751794226672</v>
      </c>
      <c r="O91" s="25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35">
      <c r="A92" s="45">
        <v>25020</v>
      </c>
      <c r="B92" s="63">
        <f>VLOOKUP(A92,'U.S. GDP'!A:B,2,)</f>
        <v>4828.8919999999998</v>
      </c>
      <c r="C92" s="63">
        <f>VLOOKUP(A92,PersonalConsumption!A:B,2,)</f>
        <v>2947.7840000000001</v>
      </c>
      <c r="D92" s="63">
        <f>VLOOKUP(A92,PrivateInvestment!A:B,2,)</f>
        <v>574.53899999999999</v>
      </c>
      <c r="E92" s="63">
        <f>VLOOKUP(A92,Exports!A:B,2,)</f>
        <v>180.63499999999999</v>
      </c>
      <c r="F92" s="63">
        <f>VLOOKUP(A92,Imports!A:B,2,)</f>
        <v>263.29599999999999</v>
      </c>
      <c r="G92" s="63">
        <f>VLOOKUP(A92,Government!A:B,2,)</f>
        <v>1607.115</v>
      </c>
      <c r="H92" s="37">
        <f>Table58[[#This Row],[Personal Consumption]]/Table58[[#This Row],[GDP]]</f>
        <v>0.61044728273069682</v>
      </c>
      <c r="I92" s="37">
        <f>Table58[[#This Row],[Private Investment]]/Table58[[#This Row],[GDP]]</f>
        <v>0.11897946775367932</v>
      </c>
      <c r="J92" s="37">
        <f>Table58[[#This Row],[Exports]]/Table58[[#This Row],[GDP]]</f>
        <v>3.7407131905207239E-2</v>
      </c>
      <c r="K92" s="37">
        <f>-Table58[[#This Row],[Imports]]/Table58[[#This Row],[GDP]]</f>
        <v>-5.452513744353777E-2</v>
      </c>
      <c r="L92" s="37">
        <f>Table58[[#This Row],[Government]]/Table58[[#This Row],[GDP]]</f>
        <v>0.33281237186501583</v>
      </c>
      <c r="N92" s="58">
        <f>SUM(Table58[[#This Row],[PC%]:[G%]])</f>
        <v>1.0451211168110615</v>
      </c>
      <c r="O92" s="25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35">
      <c r="A93" s="45">
        <v>25112</v>
      </c>
      <c r="B93" s="63">
        <f>VLOOKUP(A93,'U.S. GDP'!A:B,2,)</f>
        <v>4847.8850000000002</v>
      </c>
      <c r="C93" s="63">
        <f>VLOOKUP(A93,PersonalConsumption!A:B,2,)</f>
        <v>2961.0810000000001</v>
      </c>
      <c r="D93" s="63">
        <f>VLOOKUP(A93,PrivateInvestment!A:B,2,)</f>
        <v>580.78899999999999</v>
      </c>
      <c r="E93" s="63">
        <f>VLOOKUP(A93,Exports!A:B,2,)</f>
        <v>176.62100000000001</v>
      </c>
      <c r="F93" s="63">
        <f>VLOOKUP(A93,Imports!A:B,2,)</f>
        <v>261.077</v>
      </c>
      <c r="G93" s="63">
        <f>VLOOKUP(A93,Government!A:B,2,)</f>
        <v>1608.5730000000001</v>
      </c>
      <c r="H93" s="37">
        <f>Table58[[#This Row],[Personal Consumption]]/Table58[[#This Row],[GDP]]</f>
        <v>0.61079852347982677</v>
      </c>
      <c r="I93" s="37">
        <f>Table58[[#This Row],[Private Investment]]/Table58[[#This Row],[GDP]]</f>
        <v>0.11980255307211288</v>
      </c>
      <c r="J93" s="37">
        <f>Table58[[#This Row],[Exports]]/Table58[[#This Row],[GDP]]</f>
        <v>3.6432588644326337E-2</v>
      </c>
      <c r="K93" s="37">
        <f>-Table58[[#This Row],[Imports]]/Table58[[#This Row],[GDP]]</f>
        <v>-5.3853793974073229E-2</v>
      </c>
      <c r="L93" s="37">
        <f>Table58[[#This Row],[Government]]/Table58[[#This Row],[GDP]]</f>
        <v>0.33180923227345532</v>
      </c>
      <c r="N93" s="58">
        <f>SUM(Table58[[#This Row],[PC%]:[G%]])</f>
        <v>1.044989103495648</v>
      </c>
      <c r="O93" s="25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35">
      <c r="A94" s="45">
        <v>25204</v>
      </c>
      <c r="B94" s="63">
        <f>VLOOKUP(A94,'U.S. GDP'!A:B,2,)</f>
        <v>4923.76</v>
      </c>
      <c r="C94" s="63">
        <f>VLOOKUP(A94,PersonalConsumption!A:B,2,)</f>
        <v>2993.913</v>
      </c>
      <c r="D94" s="63">
        <f>VLOOKUP(A94,PrivateInvestment!A:B,2,)</f>
        <v>614.98900000000003</v>
      </c>
      <c r="E94" s="63">
        <f>VLOOKUP(A94,Exports!A:B,2,)</f>
        <v>156.09</v>
      </c>
      <c r="F94" s="63">
        <f>VLOOKUP(A94,Imports!A:B,2,)</f>
        <v>236.452</v>
      </c>
      <c r="G94" s="63">
        <f>VLOOKUP(A94,Government!A:B,2,)</f>
        <v>1612.2190000000001</v>
      </c>
      <c r="H94" s="37">
        <f>Table58[[#This Row],[Personal Consumption]]/Table58[[#This Row],[GDP]]</f>
        <v>0.6080542106032788</v>
      </c>
      <c r="I94" s="37">
        <f>Table58[[#This Row],[Private Investment]]/Table58[[#This Row],[GDP]]</f>
        <v>0.12490231042942791</v>
      </c>
      <c r="J94" s="37">
        <f>Table58[[#This Row],[Exports]]/Table58[[#This Row],[GDP]]</f>
        <v>3.1701382683152715E-2</v>
      </c>
      <c r="K94" s="37">
        <f>-Table58[[#This Row],[Imports]]/Table58[[#This Row],[GDP]]</f>
        <v>-4.8022649357401657E-2</v>
      </c>
      <c r="L94" s="37">
        <f>Table58[[#This Row],[Government]]/Table58[[#This Row],[GDP]]</f>
        <v>0.3274365525533332</v>
      </c>
      <c r="N94" s="58">
        <f>SUM(Table58[[#This Row],[PC%]:[G%]])</f>
        <v>1.0440718069117909</v>
      </c>
      <c r="O94" s="25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35">
      <c r="A95" s="45">
        <v>25294</v>
      </c>
      <c r="B95" s="63">
        <f>VLOOKUP(A95,'U.S. GDP'!A:B,2,)</f>
        <v>4938.7280000000001</v>
      </c>
      <c r="C95" s="63">
        <f>VLOOKUP(A95,PersonalConsumption!A:B,2,)</f>
        <v>3013.2269999999999</v>
      </c>
      <c r="D95" s="63">
        <f>VLOOKUP(A95,PrivateInvestment!A:B,2,)</f>
        <v>611.36599999999999</v>
      </c>
      <c r="E95" s="63">
        <f>VLOOKUP(A95,Exports!A:B,2,)</f>
        <v>190.297</v>
      </c>
      <c r="F95" s="63">
        <f>VLOOKUP(A95,Imports!A:B,2,)</f>
        <v>283.101</v>
      </c>
      <c r="G95" s="63">
        <f>VLOOKUP(A95,Government!A:B,2,)</f>
        <v>1607.192</v>
      </c>
      <c r="H95" s="37">
        <f>Table58[[#This Row],[Personal Consumption]]/Table58[[#This Row],[GDP]]</f>
        <v>0.61012208001736479</v>
      </c>
      <c r="I95" s="37">
        <f>Table58[[#This Row],[Private Investment]]/Table58[[#This Row],[GDP]]</f>
        <v>0.12379017431209008</v>
      </c>
      <c r="J95" s="37">
        <f>Table58[[#This Row],[Exports]]/Table58[[#This Row],[GDP]]</f>
        <v>3.853158141124597E-2</v>
      </c>
      <c r="K95" s="37">
        <f>-Table58[[#This Row],[Imports]]/Table58[[#This Row],[GDP]]</f>
        <v>-5.7322654740248905E-2</v>
      </c>
      <c r="L95" s="37">
        <f>Table58[[#This Row],[Government]]/Table58[[#This Row],[GDP]]</f>
        <v>0.32542630410097501</v>
      </c>
      <c r="N95" s="58">
        <f>SUM(Table58[[#This Row],[PC%]:[G%]])</f>
        <v>1.0405474851014269</v>
      </c>
      <c r="O95" s="25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35">
      <c r="A96" s="45">
        <v>25385</v>
      </c>
      <c r="B96" s="63">
        <f>VLOOKUP(A96,'U.S. GDP'!A:B,2,)</f>
        <v>4971.3490000000002</v>
      </c>
      <c r="C96" s="63">
        <f>VLOOKUP(A96,PersonalConsumption!A:B,2,)</f>
        <v>3027.9180000000001</v>
      </c>
      <c r="D96" s="63">
        <f>VLOOKUP(A96,PrivateInvestment!A:B,2,)</f>
        <v>623.77800000000002</v>
      </c>
      <c r="E96" s="63">
        <f>VLOOKUP(A96,Exports!A:B,2,)</f>
        <v>187.11199999999999</v>
      </c>
      <c r="F96" s="63">
        <f>VLOOKUP(A96,Imports!A:B,2,)</f>
        <v>279.43299999999999</v>
      </c>
      <c r="G96" s="63">
        <f>VLOOKUP(A96,Government!A:B,2,)</f>
        <v>1610.451</v>
      </c>
      <c r="H96" s="37">
        <f>Table58[[#This Row],[Personal Consumption]]/Table58[[#This Row],[GDP]]</f>
        <v>0.60907371419709222</v>
      </c>
      <c r="I96" s="37">
        <f>Table58[[#This Row],[Private Investment]]/Table58[[#This Row],[GDP]]</f>
        <v>0.12547459452152726</v>
      </c>
      <c r="J96" s="37">
        <f>Table58[[#This Row],[Exports]]/Table58[[#This Row],[GDP]]</f>
        <v>3.7638073689857617E-2</v>
      </c>
      <c r="K96" s="37">
        <f>-Table58[[#This Row],[Imports]]/Table58[[#This Row],[GDP]]</f>
        <v>-5.6208687018352563E-2</v>
      </c>
      <c r="L96" s="37">
        <f>Table58[[#This Row],[Government]]/Table58[[#This Row],[GDP]]</f>
        <v>0.3239464781088594</v>
      </c>
      <c r="N96" s="58">
        <f>SUM(Table58[[#This Row],[PC%]:[G%]])</f>
        <v>1.0399241734989839</v>
      </c>
      <c r="O96" s="25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35">
      <c r="A97" s="45">
        <v>25477</v>
      </c>
      <c r="B97" s="63">
        <f>VLOOKUP(A97,'U.S. GDP'!A:B,2,)</f>
        <v>4947.1040000000003</v>
      </c>
      <c r="C97" s="63">
        <f>VLOOKUP(A97,PersonalConsumption!A:B,2,)</f>
        <v>3052.1179999999999</v>
      </c>
      <c r="D97" s="63">
        <f>VLOOKUP(A97,PrivateInvestment!A:B,2,)</f>
        <v>593.65899999999999</v>
      </c>
      <c r="E97" s="63">
        <f>VLOOKUP(A97,Exports!A:B,2,)</f>
        <v>192.00700000000001</v>
      </c>
      <c r="F97" s="63">
        <f>VLOOKUP(A97,Imports!A:B,2,)</f>
        <v>276.363</v>
      </c>
      <c r="G97" s="63">
        <f>VLOOKUP(A97,Government!A:B,2,)</f>
        <v>1588.788</v>
      </c>
      <c r="H97" s="37">
        <f>Table58[[#This Row],[Personal Consumption]]/Table58[[#This Row],[GDP]]</f>
        <v>0.6169504421172467</v>
      </c>
      <c r="I97" s="37">
        <f>Table58[[#This Row],[Private Investment]]/Table58[[#This Row],[GDP]]</f>
        <v>0.12000131794278025</v>
      </c>
      <c r="J97" s="37">
        <f>Table58[[#This Row],[Exports]]/Table58[[#This Row],[GDP]]</f>
        <v>3.8811999909441966E-2</v>
      </c>
      <c r="K97" s="37">
        <f>-Table58[[#This Row],[Imports]]/Table58[[#This Row],[GDP]]</f>
        <v>-5.5863592113689138E-2</v>
      </c>
      <c r="L97" s="37">
        <f>Table58[[#This Row],[Government]]/Table58[[#This Row],[GDP]]</f>
        <v>0.3211551647185909</v>
      </c>
      <c r="N97" s="58">
        <f>SUM(Table58[[#This Row],[PC%]:[G%]])</f>
        <v>1.0410553325743706</v>
      </c>
      <c r="O97" s="25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35">
      <c r="A98" s="45">
        <v>25569</v>
      </c>
      <c r="B98" s="63">
        <f>VLOOKUP(A98,'U.S. GDP'!A:B,2,)</f>
        <v>4939.759</v>
      </c>
      <c r="C98" s="63">
        <f>VLOOKUP(A98,PersonalConsumption!A:B,2,)</f>
        <v>3071.056</v>
      </c>
      <c r="D98" s="63">
        <f>VLOOKUP(A98,PrivateInvestment!A:B,2,)</f>
        <v>575.95299999999997</v>
      </c>
      <c r="E98" s="63">
        <f>VLOOKUP(A98,Exports!A:B,2,)</f>
        <v>194.54</v>
      </c>
      <c r="F98" s="63">
        <f>VLOOKUP(A98,Imports!A:B,2,)</f>
        <v>275.45800000000003</v>
      </c>
      <c r="G98" s="63">
        <f>VLOOKUP(A98,Government!A:B,2,)</f>
        <v>1581.1469999999999</v>
      </c>
      <c r="H98" s="37">
        <f>Table58[[#This Row],[Personal Consumption]]/Table58[[#This Row],[GDP]]</f>
        <v>0.62170158503684092</v>
      </c>
      <c r="I98" s="37">
        <f>Table58[[#This Row],[Private Investment]]/Table58[[#This Row],[GDP]]</f>
        <v>0.11659536426777095</v>
      </c>
      <c r="J98" s="37">
        <f>Table58[[#This Row],[Exports]]/Table58[[#This Row],[GDP]]</f>
        <v>3.9382488093042595E-2</v>
      </c>
      <c r="K98" s="37">
        <f>-Table58[[#This Row],[Imports]]/Table58[[#This Row],[GDP]]</f>
        <v>-5.5763449188513045E-2</v>
      </c>
      <c r="L98" s="37">
        <f>Table58[[#This Row],[Government]]/Table58[[#This Row],[GDP]]</f>
        <v>0.32008585843965259</v>
      </c>
      <c r="N98" s="58">
        <f>SUM(Table58[[#This Row],[PC%]:[G%]])</f>
        <v>1.0420018466487939</v>
      </c>
      <c r="O98" s="25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35">
      <c r="A99" s="45">
        <v>25659</v>
      </c>
      <c r="B99" s="63">
        <f>VLOOKUP(A99,'U.S. GDP'!A:B,2,)</f>
        <v>4946.7700000000004</v>
      </c>
      <c r="C99" s="63">
        <f>VLOOKUP(A99,PersonalConsumption!A:B,2,)</f>
        <v>3084.9679999999998</v>
      </c>
      <c r="D99" s="63">
        <f>VLOOKUP(A99,PrivateInvestment!A:B,2,)</f>
        <v>577.20500000000004</v>
      </c>
      <c r="E99" s="63">
        <f>VLOOKUP(A99,Exports!A:B,2,)</f>
        <v>202.078</v>
      </c>
      <c r="F99" s="63">
        <f>VLOOKUP(A99,Imports!A:B,2,)</f>
        <v>280.90199999999999</v>
      </c>
      <c r="G99" s="63">
        <f>VLOOKUP(A99,Government!A:B,2,)</f>
        <v>1562.7639999999999</v>
      </c>
      <c r="H99" s="37">
        <f>Table58[[#This Row],[Personal Consumption]]/Table58[[#This Row],[GDP]]</f>
        <v>0.62363279473272448</v>
      </c>
      <c r="I99" s="37">
        <f>Table58[[#This Row],[Private Investment]]/Table58[[#This Row],[GDP]]</f>
        <v>0.11668320944778107</v>
      </c>
      <c r="J99" s="37">
        <f>Table58[[#This Row],[Exports]]/Table58[[#This Row],[GDP]]</f>
        <v>4.085049436298837E-2</v>
      </c>
      <c r="K99" s="37">
        <f>-Table58[[#This Row],[Imports]]/Table58[[#This Row],[GDP]]</f>
        <v>-5.6784932390226341E-2</v>
      </c>
      <c r="L99" s="37">
        <f>Table58[[#This Row],[Government]]/Table58[[#This Row],[GDP]]</f>
        <v>0.31591604218510255</v>
      </c>
      <c r="N99" s="58">
        <f>SUM(Table58[[#This Row],[PC%]:[G%]])</f>
        <v>1.0402976083383701</v>
      </c>
      <c r="O99" s="25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35">
      <c r="A100" s="45">
        <v>25750</v>
      </c>
      <c r="B100" s="63">
        <f>VLOOKUP(A100,'U.S. GDP'!A:B,2,)</f>
        <v>4992.357</v>
      </c>
      <c r="C100" s="63">
        <f>VLOOKUP(A100,PersonalConsumption!A:B,2,)</f>
        <v>3112.0140000000001</v>
      </c>
      <c r="D100" s="63">
        <f>VLOOKUP(A100,PrivateInvestment!A:B,2,)</f>
        <v>586.59799999999996</v>
      </c>
      <c r="E100" s="63">
        <f>VLOOKUP(A100,Exports!A:B,2,)</f>
        <v>202.887</v>
      </c>
      <c r="F100" s="63">
        <f>VLOOKUP(A100,Imports!A:B,2,)</f>
        <v>280.25799999999998</v>
      </c>
      <c r="G100" s="63">
        <f>VLOOKUP(A100,Government!A:B,2,)</f>
        <v>1569.37</v>
      </c>
      <c r="H100" s="37">
        <f>Table58[[#This Row],[Personal Consumption]]/Table58[[#This Row],[GDP]]</f>
        <v>0.62335566146411403</v>
      </c>
      <c r="I100" s="37">
        <f>Table58[[#This Row],[Private Investment]]/Table58[[#This Row],[GDP]]</f>
        <v>0.11749920929132271</v>
      </c>
      <c r="J100" s="37">
        <f>Table58[[#This Row],[Exports]]/Table58[[#This Row],[GDP]]</f>
        <v>4.0639521572675995E-2</v>
      </c>
      <c r="K100" s="37">
        <f>-Table58[[#This Row],[Imports]]/Table58[[#This Row],[GDP]]</f>
        <v>-5.6137411647444277E-2</v>
      </c>
      <c r="L100" s="37">
        <f>Table58[[#This Row],[Government]]/Table58[[#This Row],[GDP]]</f>
        <v>0.31435452232282263</v>
      </c>
      <c r="N100" s="58">
        <f>SUM(Table58[[#This Row],[PC%]:[G%]])</f>
        <v>1.0397115030034911</v>
      </c>
      <c r="O100" s="25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35">
      <c r="A101" s="45">
        <v>25842</v>
      </c>
      <c r="B101" s="63">
        <f>VLOOKUP(A101,'U.S. GDP'!A:B,2,)</f>
        <v>4938.857</v>
      </c>
      <c r="C101" s="63">
        <f>VLOOKUP(A101,PersonalConsumption!A:B,2,)</f>
        <v>3103.5650000000001</v>
      </c>
      <c r="D101" s="63">
        <f>VLOOKUP(A101,PrivateInvestment!A:B,2,)</f>
        <v>555.45399999999995</v>
      </c>
      <c r="E101" s="63">
        <f>VLOOKUP(A101,Exports!A:B,2,)</f>
        <v>203.30799999999999</v>
      </c>
      <c r="F101" s="63">
        <f>VLOOKUP(A101,Imports!A:B,2,)</f>
        <v>284.60399999999998</v>
      </c>
      <c r="G101" s="63">
        <f>VLOOKUP(A101,Government!A:B,2,)</f>
        <v>1570.1010000000001</v>
      </c>
      <c r="H101" s="37">
        <f>Table58[[#This Row],[Personal Consumption]]/Table58[[#This Row],[GDP]]</f>
        <v>0.62839742069875681</v>
      </c>
      <c r="I101" s="37">
        <f>Table58[[#This Row],[Private Investment]]/Table58[[#This Row],[GDP]]</f>
        <v>0.11246610298698666</v>
      </c>
      <c r="J101" s="37">
        <f>Table58[[#This Row],[Exports]]/Table58[[#This Row],[GDP]]</f>
        <v>4.1164990199149314E-2</v>
      </c>
      <c r="K101" s="37">
        <f>-Table58[[#This Row],[Imports]]/Table58[[#This Row],[GDP]]</f>
        <v>-5.762547893166374E-2</v>
      </c>
      <c r="L101" s="37">
        <f>Table58[[#This Row],[Government]]/Table58[[#This Row],[GDP]]</f>
        <v>0.31790776691854006</v>
      </c>
      <c r="N101" s="58">
        <f>SUM(Table58[[#This Row],[PC%]:[G%]])</f>
        <v>1.0423108018717691</v>
      </c>
      <c r="O101" s="25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35">
      <c r="A102" s="45">
        <v>25934</v>
      </c>
      <c r="B102" s="63">
        <f>VLOOKUP(A102,'U.S. GDP'!A:B,2,)</f>
        <v>5072.9960000000001</v>
      </c>
      <c r="C102" s="63">
        <f>VLOOKUP(A102,PersonalConsumption!A:B,2,)</f>
        <v>3163.1390000000001</v>
      </c>
      <c r="D102" s="63">
        <f>VLOOKUP(A102,PrivateInvestment!A:B,2,)</f>
        <v>620.21199999999999</v>
      </c>
      <c r="E102" s="63">
        <f>VLOOKUP(A102,Exports!A:B,2,)</f>
        <v>205.16399999999999</v>
      </c>
      <c r="F102" s="63">
        <f>VLOOKUP(A102,Imports!A:B,2,)</f>
        <v>281.24900000000002</v>
      </c>
      <c r="G102" s="63">
        <f>VLOOKUP(A102,Government!A:B,2,)</f>
        <v>1547.1389999999999</v>
      </c>
      <c r="H102" s="37">
        <f>Table58[[#This Row],[Personal Consumption]]/Table58[[#This Row],[GDP]]</f>
        <v>0.62352483621118571</v>
      </c>
      <c r="I102" s="37">
        <f>Table58[[#This Row],[Private Investment]]/Table58[[#This Row],[GDP]]</f>
        <v>0.12225753775480998</v>
      </c>
      <c r="J102" s="37">
        <f>Table58[[#This Row],[Exports]]/Table58[[#This Row],[GDP]]</f>
        <v>4.0442373697909477E-2</v>
      </c>
      <c r="K102" s="37">
        <f>-Table58[[#This Row],[Imports]]/Table58[[#This Row],[GDP]]</f>
        <v>-5.5440414303500343E-2</v>
      </c>
      <c r="L102" s="37">
        <f>Table58[[#This Row],[Government]]/Table58[[#This Row],[GDP]]</f>
        <v>0.30497540309513349</v>
      </c>
      <c r="N102" s="58">
        <f>SUM(Table58[[#This Row],[PC%]:[G%]])</f>
        <v>1.0357597364555384</v>
      </c>
      <c r="O102" s="25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35">
      <c r="A103" s="45">
        <v>26024</v>
      </c>
      <c r="B103" s="63">
        <f>VLOOKUP(A103,'U.S. GDP'!A:B,2,)</f>
        <v>5100.4470000000001</v>
      </c>
      <c r="C103" s="63">
        <f>VLOOKUP(A103,PersonalConsumption!A:B,2,)</f>
        <v>3192.21</v>
      </c>
      <c r="D103" s="63">
        <f>VLOOKUP(A103,PrivateInvestment!A:B,2,)</f>
        <v>637.81100000000004</v>
      </c>
      <c r="E103" s="63">
        <f>VLOOKUP(A103,Exports!A:B,2,)</f>
        <v>203.64699999999999</v>
      </c>
      <c r="F103" s="63">
        <f>VLOOKUP(A103,Imports!A:B,2,)</f>
        <v>302.46600000000001</v>
      </c>
      <c r="G103" s="63">
        <f>VLOOKUP(A103,Government!A:B,2,)</f>
        <v>1543.5840000000001</v>
      </c>
      <c r="H103" s="37">
        <f>Table58[[#This Row],[Personal Consumption]]/Table58[[#This Row],[GDP]]</f>
        <v>0.62586867386329081</v>
      </c>
      <c r="I103" s="37">
        <f>Table58[[#This Row],[Private Investment]]/Table58[[#This Row],[GDP]]</f>
        <v>0.12505002012568703</v>
      </c>
      <c r="J103" s="37">
        <f>Table58[[#This Row],[Exports]]/Table58[[#This Row],[GDP]]</f>
        <v>3.9927284804645552E-2</v>
      </c>
      <c r="K103" s="37">
        <f>-Table58[[#This Row],[Imports]]/Table58[[#This Row],[GDP]]</f>
        <v>-5.9301861189813364E-2</v>
      </c>
      <c r="L103" s="37">
        <f>Table58[[#This Row],[Government]]/Table58[[#This Row],[GDP]]</f>
        <v>0.30263700416845818</v>
      </c>
      <c r="N103" s="58">
        <f>SUM(Table58[[#This Row],[PC%]:[G%]])</f>
        <v>1.0341811217722681</v>
      </c>
      <c r="O103" s="25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35">
      <c r="A104" s="45">
        <v>26115</v>
      </c>
      <c r="B104" s="63">
        <f>VLOOKUP(A104,'U.S. GDP'!A:B,2,)</f>
        <v>5142.4219999999996</v>
      </c>
      <c r="C104" s="63">
        <f>VLOOKUP(A104,PersonalConsumption!A:B,2,)</f>
        <v>3217.6610000000001</v>
      </c>
      <c r="D104" s="63">
        <f>VLOOKUP(A104,PrivateInvestment!A:B,2,)</f>
        <v>645.54899999999998</v>
      </c>
      <c r="E104" s="63">
        <f>VLOOKUP(A104,Exports!A:B,2,)</f>
        <v>213.827</v>
      </c>
      <c r="F104" s="63">
        <f>VLOOKUP(A104,Imports!A:B,2,)</f>
        <v>309.15199999999999</v>
      </c>
      <c r="G104" s="63">
        <f>VLOOKUP(A104,Government!A:B,2,)</f>
        <v>1542.778</v>
      </c>
      <c r="H104" s="37">
        <f>Table58[[#This Row],[Personal Consumption]]/Table58[[#This Row],[GDP]]</f>
        <v>0.62570924751021995</v>
      </c>
      <c r="I104" s="37">
        <f>Table58[[#This Row],[Private Investment]]/Table58[[#This Row],[GDP]]</f>
        <v>0.12553403824112452</v>
      </c>
      <c r="J104" s="37">
        <f>Table58[[#This Row],[Exports]]/Table58[[#This Row],[GDP]]</f>
        <v>4.1580990436024118E-2</v>
      </c>
      <c r="K104" s="37">
        <f>-Table58[[#This Row],[Imports]]/Table58[[#This Row],[GDP]]</f>
        <v>-6.0117975537596881E-2</v>
      </c>
      <c r="L104" s="37">
        <f>Table58[[#This Row],[Government]]/Table58[[#This Row],[GDP]]</f>
        <v>0.30000999529015709</v>
      </c>
      <c r="N104" s="58">
        <f>SUM(Table58[[#This Row],[PC%]:[G%]])</f>
        <v>1.0327162959399288</v>
      </c>
      <c r="O104" s="25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35">
      <c r="A105" s="45">
        <v>26207</v>
      </c>
      <c r="B105" s="63">
        <f>VLOOKUP(A105,'U.S. GDP'!A:B,2,)</f>
        <v>5154.5469999999996</v>
      </c>
      <c r="C105" s="63">
        <f>VLOOKUP(A105,PersonalConsumption!A:B,2,)</f>
        <v>3271.05</v>
      </c>
      <c r="D105" s="63">
        <f>VLOOKUP(A105,PrivateInvestment!A:B,2,)</f>
        <v>628.16499999999996</v>
      </c>
      <c r="E105" s="63">
        <f>VLOOKUP(A105,Exports!A:B,2,)</f>
        <v>194.08799999999999</v>
      </c>
      <c r="F105" s="63">
        <f>VLOOKUP(A105,Imports!A:B,2,)</f>
        <v>288.197</v>
      </c>
      <c r="G105" s="63">
        <f>VLOOKUP(A105,Government!A:B,2,)</f>
        <v>1531.9359999999999</v>
      </c>
      <c r="H105" s="37">
        <f>Table58[[#This Row],[Personal Consumption]]/Table58[[#This Row],[GDP]]</f>
        <v>0.6345950478286454</v>
      </c>
      <c r="I105" s="37">
        <f>Table58[[#This Row],[Private Investment]]/Table58[[#This Row],[GDP]]</f>
        <v>0.12186618921119548</v>
      </c>
      <c r="J105" s="37">
        <f>Table58[[#This Row],[Exports]]/Table58[[#This Row],[GDP]]</f>
        <v>3.7653745324273888E-2</v>
      </c>
      <c r="K105" s="37">
        <f>-Table58[[#This Row],[Imports]]/Table58[[#This Row],[GDP]]</f>
        <v>-5.5911217804396784E-2</v>
      </c>
      <c r="L105" s="37">
        <f>Table58[[#This Row],[Government]]/Table58[[#This Row],[GDP]]</f>
        <v>0.29720089854646781</v>
      </c>
      <c r="N105" s="58">
        <f>SUM(Table58[[#This Row],[PC%]:[G%]])</f>
        <v>1.0354046631061857</v>
      </c>
      <c r="O105" s="25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35">
      <c r="A106" s="45">
        <v>26299</v>
      </c>
      <c r="B106" s="63">
        <f>VLOOKUP(A106,'U.S. GDP'!A:B,2,)</f>
        <v>5249.3370000000004</v>
      </c>
      <c r="C106" s="63">
        <f>VLOOKUP(A106,PersonalConsumption!A:B,2,)</f>
        <v>3314.2220000000002</v>
      </c>
      <c r="D106" s="63">
        <f>VLOOKUP(A106,PrivateInvestment!A:B,2,)</f>
        <v>669.55799999999999</v>
      </c>
      <c r="E106" s="63">
        <f>VLOOKUP(A106,Exports!A:B,2,)</f>
        <v>216.149</v>
      </c>
      <c r="F106" s="63">
        <f>VLOOKUP(A106,Imports!A:B,2,)</f>
        <v>330.31700000000001</v>
      </c>
      <c r="G106" s="63">
        <f>VLOOKUP(A106,Government!A:B,2,)</f>
        <v>1540.394</v>
      </c>
      <c r="H106" s="37">
        <f>Table58[[#This Row],[Personal Consumption]]/Table58[[#This Row],[GDP]]</f>
        <v>0.63136011271518666</v>
      </c>
      <c r="I106" s="37">
        <f>Table58[[#This Row],[Private Investment]]/Table58[[#This Row],[GDP]]</f>
        <v>0.12755096500758095</v>
      </c>
      <c r="J106" s="37">
        <f>Table58[[#This Row],[Exports]]/Table58[[#This Row],[GDP]]</f>
        <v>4.1176438091134172E-2</v>
      </c>
      <c r="K106" s="37">
        <f>-Table58[[#This Row],[Imports]]/Table58[[#This Row],[GDP]]</f>
        <v>-6.2925470397499725E-2</v>
      </c>
      <c r="L106" s="37">
        <f>Table58[[#This Row],[Government]]/Table58[[#This Row],[GDP]]</f>
        <v>0.29344543891923874</v>
      </c>
      <c r="N106" s="58">
        <f>SUM(Table58[[#This Row],[PC%]:[G%]])</f>
        <v>1.0306074843356408</v>
      </c>
      <c r="O106" s="25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35">
      <c r="A107" s="45">
        <v>26390</v>
      </c>
      <c r="B107" s="63">
        <f>VLOOKUP(A107,'U.S. GDP'!A:B,2,)</f>
        <v>5368.4849999999997</v>
      </c>
      <c r="C107" s="63">
        <f>VLOOKUP(A107,PersonalConsumption!A:B,2,)</f>
        <v>3377.3139999999999</v>
      </c>
      <c r="D107" s="63">
        <f>VLOOKUP(A107,PrivateInvestment!A:B,2,)</f>
        <v>707.58900000000006</v>
      </c>
      <c r="E107" s="63">
        <f>VLOOKUP(A107,Exports!A:B,2,)</f>
        <v>209.84200000000001</v>
      </c>
      <c r="F107" s="63">
        <f>VLOOKUP(A107,Imports!A:B,2,)</f>
        <v>318.58100000000002</v>
      </c>
      <c r="G107" s="63">
        <f>VLOOKUP(A107,Government!A:B,2,)</f>
        <v>1546.5930000000001</v>
      </c>
      <c r="H107" s="37">
        <f>Table58[[#This Row],[Personal Consumption]]/Table58[[#This Row],[GDP]]</f>
        <v>0.62910001611255317</v>
      </c>
      <c r="I107" s="37">
        <f>Table58[[#This Row],[Private Investment]]/Table58[[#This Row],[GDP]]</f>
        <v>0.13180422409674239</v>
      </c>
      <c r="J107" s="37">
        <f>Table58[[#This Row],[Exports]]/Table58[[#This Row],[GDP]]</f>
        <v>3.9087750082192653E-2</v>
      </c>
      <c r="K107" s="37">
        <f>-Table58[[#This Row],[Imports]]/Table58[[#This Row],[GDP]]</f>
        <v>-5.9342812730220913E-2</v>
      </c>
      <c r="L107" s="37">
        <f>Table58[[#This Row],[Government]]/Table58[[#This Row],[GDP]]</f>
        <v>0.28808742131159909</v>
      </c>
      <c r="N107" s="58">
        <f>SUM(Table58[[#This Row],[PC%]:[G%]])</f>
        <v>1.0287365988728665</v>
      </c>
      <c r="O107" s="25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35">
      <c r="A108" s="45">
        <v>26481</v>
      </c>
      <c r="B108" s="63">
        <f>VLOOKUP(A108,'U.S. GDP'!A:B,2,)</f>
        <v>5419.1840000000002</v>
      </c>
      <c r="C108" s="63">
        <f>VLOOKUP(A108,PersonalConsumption!A:B,2,)</f>
        <v>3429.3620000000001</v>
      </c>
      <c r="D108" s="63">
        <f>VLOOKUP(A108,PrivateInvestment!A:B,2,)</f>
        <v>717.63800000000003</v>
      </c>
      <c r="E108" s="63">
        <f>VLOOKUP(A108,Exports!A:B,2,)</f>
        <v>222.49299999999999</v>
      </c>
      <c r="F108" s="63">
        <f>VLOOKUP(A108,Imports!A:B,2,)</f>
        <v>325.21199999999999</v>
      </c>
      <c r="G108" s="63">
        <f>VLOOKUP(A108,Government!A:B,2,)</f>
        <v>1517.1389999999999</v>
      </c>
      <c r="H108" s="37">
        <f>Table58[[#This Row],[Personal Consumption]]/Table58[[#This Row],[GDP]]</f>
        <v>0.63281888933832109</v>
      </c>
      <c r="I108" s="37">
        <f>Table58[[#This Row],[Private Investment]]/Table58[[#This Row],[GDP]]</f>
        <v>0.13242547217440856</v>
      </c>
      <c r="J108" s="37">
        <f>Table58[[#This Row],[Exports]]/Table58[[#This Row],[GDP]]</f>
        <v>4.1056550211249515E-2</v>
      </c>
      <c r="K108" s="37">
        <f>-Table58[[#This Row],[Imports]]/Table58[[#This Row],[GDP]]</f>
        <v>-6.0011248926037569E-2</v>
      </c>
      <c r="L108" s="37">
        <f>Table58[[#This Row],[Government]]/Table58[[#This Row],[GDP]]</f>
        <v>0.2799570931712228</v>
      </c>
      <c r="N108" s="58">
        <f>SUM(Table58[[#This Row],[PC%]:[G%]])</f>
        <v>1.0262467559691644</v>
      </c>
      <c r="O108" s="25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35">
      <c r="A109" s="45">
        <v>26573</v>
      </c>
      <c r="B109" s="63">
        <f>VLOOKUP(A109,'U.S. GDP'!A:B,2,)</f>
        <v>5509.9260000000004</v>
      </c>
      <c r="C109" s="63">
        <f>VLOOKUP(A109,PersonalConsumption!A:B,2,)</f>
        <v>3509.8380000000002</v>
      </c>
      <c r="D109" s="63">
        <f>VLOOKUP(A109,PrivateInvestment!A:B,2,)</f>
        <v>722.13800000000003</v>
      </c>
      <c r="E109" s="63">
        <f>VLOOKUP(A109,Exports!A:B,2,)</f>
        <v>231.90199999999999</v>
      </c>
      <c r="F109" s="63">
        <f>VLOOKUP(A109,Imports!A:B,2,)</f>
        <v>339.86200000000002</v>
      </c>
      <c r="G109" s="63">
        <f>VLOOKUP(A109,Government!A:B,2,)</f>
        <v>1529.691</v>
      </c>
      <c r="H109" s="37">
        <f>Table58[[#This Row],[Personal Consumption]]/Table58[[#This Row],[GDP]]</f>
        <v>0.63700274740531904</v>
      </c>
      <c r="I109" s="37">
        <f>Table58[[#This Row],[Private Investment]]/Table58[[#This Row],[GDP]]</f>
        <v>0.13106128830042363</v>
      </c>
      <c r="J109" s="37">
        <f>Table58[[#This Row],[Exports]]/Table58[[#This Row],[GDP]]</f>
        <v>4.2088042561733131E-2</v>
      </c>
      <c r="K109" s="37">
        <f>-Table58[[#This Row],[Imports]]/Table58[[#This Row],[GDP]]</f>
        <v>-6.1681772132692887E-2</v>
      </c>
      <c r="L109" s="37">
        <f>Table58[[#This Row],[Government]]/Table58[[#This Row],[GDP]]</f>
        <v>0.27762459967701925</v>
      </c>
      <c r="N109" s="58">
        <f>SUM(Table58[[#This Row],[PC%]:[G%]])</f>
        <v>1.0260949058118021</v>
      </c>
      <c r="O109" s="25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35">
      <c r="A110" s="45">
        <v>26665</v>
      </c>
      <c r="B110" s="63">
        <f>VLOOKUP(A110,'U.S. GDP'!A:B,2,)</f>
        <v>5646.2860000000001</v>
      </c>
      <c r="C110" s="63">
        <f>VLOOKUP(A110,PersonalConsumption!A:B,2,)</f>
        <v>3573.9180000000001</v>
      </c>
      <c r="D110" s="63">
        <f>VLOOKUP(A110,PrivateInvestment!A:B,2,)</f>
        <v>764.45799999999997</v>
      </c>
      <c r="E110" s="63">
        <f>VLOOKUP(A110,Exports!A:B,2,)</f>
        <v>248.86699999999999</v>
      </c>
      <c r="F110" s="63">
        <f>VLOOKUP(A110,Imports!A:B,2,)</f>
        <v>355.56599999999997</v>
      </c>
      <c r="G110" s="63">
        <f>VLOOKUP(A110,Government!A:B,2,)</f>
        <v>1542.8610000000001</v>
      </c>
      <c r="H110" s="37">
        <f>Table58[[#This Row],[Personal Consumption]]/Table58[[#This Row],[GDP]]</f>
        <v>0.63296793679951746</v>
      </c>
      <c r="I110" s="37">
        <f>Table58[[#This Row],[Private Investment]]/Table58[[#This Row],[GDP]]</f>
        <v>0.13539129969682726</v>
      </c>
      <c r="J110" s="37">
        <f>Table58[[#This Row],[Exports]]/Table58[[#This Row],[GDP]]</f>
        <v>4.4076229932383866E-2</v>
      </c>
      <c r="K110" s="37">
        <f>-Table58[[#This Row],[Imports]]/Table58[[#This Row],[GDP]]</f>
        <v>-6.2973430676377354E-2</v>
      </c>
      <c r="L110" s="37">
        <f>Table58[[#This Row],[Government]]/Table58[[#This Row],[GDP]]</f>
        <v>0.27325236447462986</v>
      </c>
      <c r="N110" s="58">
        <f>SUM(Table58[[#This Row],[PC%]:[G%]])</f>
        <v>1.022714400226981</v>
      </c>
      <c r="O110" s="25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35">
      <c r="A111" s="45">
        <v>26755</v>
      </c>
      <c r="B111" s="63">
        <f>VLOOKUP(A111,'U.S. GDP'!A:B,2,)</f>
        <v>5707.7550000000001</v>
      </c>
      <c r="C111" s="63">
        <f>VLOOKUP(A111,PersonalConsumption!A:B,2,)</f>
        <v>3572.3069999999998</v>
      </c>
      <c r="D111" s="63">
        <f>VLOOKUP(A111,PrivateInvestment!A:B,2,)</f>
        <v>797.04399999999998</v>
      </c>
      <c r="E111" s="63">
        <f>VLOOKUP(A111,Exports!A:B,2,)</f>
        <v>260.85599999999999</v>
      </c>
      <c r="F111" s="63">
        <f>VLOOKUP(A111,Imports!A:B,2,)</f>
        <v>345.31799999999998</v>
      </c>
      <c r="G111" s="63">
        <f>VLOOKUP(A111,Government!A:B,2,)</f>
        <v>1531.9880000000001</v>
      </c>
      <c r="H111" s="37">
        <f>Table58[[#This Row],[Personal Consumption]]/Table58[[#This Row],[GDP]]</f>
        <v>0.62586901505057591</v>
      </c>
      <c r="I111" s="37">
        <f>Table58[[#This Row],[Private Investment]]/Table58[[#This Row],[GDP]]</f>
        <v>0.13964229368639683</v>
      </c>
      <c r="J111" s="37">
        <f>Table58[[#This Row],[Exports]]/Table58[[#This Row],[GDP]]</f>
        <v>4.5702031709489985E-2</v>
      </c>
      <c r="K111" s="37">
        <f>-Table58[[#This Row],[Imports]]/Table58[[#This Row],[GDP]]</f>
        <v>-6.049979370172686E-2</v>
      </c>
      <c r="L111" s="37">
        <f>Table58[[#This Row],[Government]]/Table58[[#This Row],[GDP]]</f>
        <v>0.26840465296776056</v>
      </c>
      <c r="N111" s="58">
        <f>SUM(Table58[[#This Row],[PC%]:[G%]])</f>
        <v>1.0191181997124963</v>
      </c>
      <c r="O111" s="25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35">
      <c r="A112" s="45">
        <v>26846</v>
      </c>
      <c r="B112" s="63">
        <f>VLOOKUP(A112,'U.S. GDP'!A:B,2,)</f>
        <v>5677.7380000000003</v>
      </c>
      <c r="C112" s="63">
        <f>VLOOKUP(A112,PersonalConsumption!A:B,2,)</f>
        <v>3584.8809999999999</v>
      </c>
      <c r="D112" s="63">
        <f>VLOOKUP(A112,PrivateInvestment!A:B,2,)</f>
        <v>768.14300000000003</v>
      </c>
      <c r="E112" s="63">
        <f>VLOOKUP(A112,Exports!A:B,2,)</f>
        <v>261.73500000000001</v>
      </c>
      <c r="F112" s="63">
        <f>VLOOKUP(A112,Imports!A:B,2,)</f>
        <v>335.77800000000002</v>
      </c>
      <c r="G112" s="63">
        <f>VLOOKUP(A112,Government!A:B,2,)</f>
        <v>1513.9649999999999</v>
      </c>
      <c r="H112" s="37">
        <f>Table58[[#This Row],[Personal Consumption]]/Table58[[#This Row],[GDP]]</f>
        <v>0.63139246650690817</v>
      </c>
      <c r="I112" s="37">
        <f>Table58[[#This Row],[Private Investment]]/Table58[[#This Row],[GDP]]</f>
        <v>0.13529032160342727</v>
      </c>
      <c r="J112" s="37">
        <f>Table58[[#This Row],[Exports]]/Table58[[#This Row],[GDP]]</f>
        <v>4.6098463860079486E-2</v>
      </c>
      <c r="K112" s="37">
        <f>-Table58[[#This Row],[Imports]]/Table58[[#This Row],[GDP]]</f>
        <v>-5.9139396710450536E-2</v>
      </c>
      <c r="L112" s="37">
        <f>Table58[[#This Row],[Government]]/Table58[[#This Row],[GDP]]</f>
        <v>0.26664932407941327</v>
      </c>
      <c r="N112" s="58">
        <f>SUM(Table58[[#This Row],[PC%]:[G%]])</f>
        <v>1.0202911793393776</v>
      </c>
      <c r="O112" s="25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35">
      <c r="A113" s="45">
        <v>26938</v>
      </c>
      <c r="B113" s="63">
        <f>VLOOKUP(A113,'U.S. GDP'!A:B,2,)</f>
        <v>5731.6319999999996</v>
      </c>
      <c r="C113" s="63">
        <f>VLOOKUP(A113,PersonalConsumption!A:B,2,)</f>
        <v>3574.1880000000001</v>
      </c>
      <c r="D113" s="63">
        <f>VLOOKUP(A113,PrivateInvestment!A:B,2,)</f>
        <v>795.50400000000002</v>
      </c>
      <c r="E113" s="63">
        <f>VLOOKUP(A113,Exports!A:B,2,)</f>
        <v>274.61</v>
      </c>
      <c r="F113" s="63">
        <f>VLOOKUP(A113,Imports!A:B,2,)</f>
        <v>338.28399999999999</v>
      </c>
      <c r="G113" s="63">
        <f>VLOOKUP(A113,Government!A:B,2,)</f>
        <v>1525.325</v>
      </c>
      <c r="H113" s="37">
        <f>Table58[[#This Row],[Personal Consumption]]/Table58[[#This Row],[GDP]]</f>
        <v>0.62358993040725574</v>
      </c>
      <c r="I113" s="37">
        <f>Table58[[#This Row],[Private Investment]]/Table58[[#This Row],[GDP]]</f>
        <v>0.13879188335887582</v>
      </c>
      <c r="J113" s="37">
        <f>Table58[[#This Row],[Exports]]/Table58[[#This Row],[GDP]]</f>
        <v>4.7911310426070629E-2</v>
      </c>
      <c r="K113" s="37">
        <f>-Table58[[#This Row],[Imports]]/Table58[[#This Row],[GDP]]</f>
        <v>-5.9020537257102344E-2</v>
      </c>
      <c r="L113" s="37">
        <f>Table58[[#This Row],[Government]]/Table58[[#This Row],[GDP]]</f>
        <v>0.26612402889787762</v>
      </c>
      <c r="N113" s="58">
        <f>SUM(Table58[[#This Row],[PC%]:[G%]])</f>
        <v>1.0173966158329775</v>
      </c>
      <c r="O113" s="25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35">
      <c r="A114" s="45">
        <v>27030</v>
      </c>
      <c r="B114" s="63">
        <f>VLOOKUP(A114,'U.S. GDP'!A:B,2,)</f>
        <v>5682.3530000000001</v>
      </c>
      <c r="C114" s="63">
        <f>VLOOKUP(A114,PersonalConsumption!A:B,2,)</f>
        <v>3542.2109999999998</v>
      </c>
      <c r="D114" s="63">
        <f>VLOOKUP(A114,PrivateInvestment!A:B,2,)</f>
        <v>750.07600000000002</v>
      </c>
      <c r="E114" s="63">
        <f>VLOOKUP(A114,Exports!A:B,2,)</f>
        <v>278.17099999999999</v>
      </c>
      <c r="F114" s="63">
        <f>VLOOKUP(A114,Imports!A:B,2,)</f>
        <v>326.81</v>
      </c>
      <c r="G114" s="63">
        <f>VLOOKUP(A114,Government!A:B,2,)</f>
        <v>1552.8779999999999</v>
      </c>
      <c r="H114" s="37">
        <f>Table58[[#This Row],[Personal Consumption]]/Table58[[#This Row],[GDP]]</f>
        <v>0.62337045938539892</v>
      </c>
      <c r="I114" s="37">
        <f>Table58[[#This Row],[Private Investment]]/Table58[[#This Row],[GDP]]</f>
        <v>0.13200095101448292</v>
      </c>
      <c r="J114" s="37">
        <f>Table58[[#This Row],[Exports]]/Table58[[#This Row],[GDP]]</f>
        <v>4.8953488106071551E-2</v>
      </c>
      <c r="K114" s="37">
        <f>-Table58[[#This Row],[Imports]]/Table58[[#This Row],[GDP]]</f>
        <v>-5.7513146402555421E-2</v>
      </c>
      <c r="L114" s="37">
        <f>Table58[[#This Row],[Government]]/Table58[[#This Row],[GDP]]</f>
        <v>0.27328080462442228</v>
      </c>
      <c r="N114" s="58">
        <f>SUM(Table58[[#This Row],[PC%]:[G%]])</f>
        <v>1.0200925567278203</v>
      </c>
      <c r="O114" s="25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35">
      <c r="A115" s="45">
        <v>27120</v>
      </c>
      <c r="B115" s="63">
        <f>VLOOKUP(A115,'U.S. GDP'!A:B,2,)</f>
        <v>5695.8590000000004</v>
      </c>
      <c r="C115" s="63">
        <f>VLOOKUP(A115,PersonalConsumption!A:B,2,)</f>
        <v>3554.9659999999999</v>
      </c>
      <c r="D115" s="63">
        <f>VLOOKUP(A115,PrivateInvestment!A:B,2,)</f>
        <v>747.08199999999999</v>
      </c>
      <c r="E115" s="63">
        <f>VLOOKUP(A115,Exports!A:B,2,)</f>
        <v>291.73500000000001</v>
      </c>
      <c r="F115" s="63">
        <f>VLOOKUP(A115,Imports!A:B,2,)</f>
        <v>344.12299999999999</v>
      </c>
      <c r="G115" s="63">
        <f>VLOOKUP(A115,Government!A:B,2,)</f>
        <v>1560.6569999999999</v>
      </c>
      <c r="H115" s="37">
        <f>Table58[[#This Row],[Personal Consumption]]/Table58[[#This Row],[GDP]]</f>
        <v>0.62413167179875761</v>
      </c>
      <c r="I115" s="37">
        <f>Table58[[#This Row],[Private Investment]]/Table58[[#This Row],[GDP]]</f>
        <v>0.13116230580848295</v>
      </c>
      <c r="J115" s="37">
        <f>Table58[[#This Row],[Exports]]/Table58[[#This Row],[GDP]]</f>
        <v>5.1218788948251701E-2</v>
      </c>
      <c r="K115" s="37">
        <f>-Table58[[#This Row],[Imports]]/Table58[[#This Row],[GDP]]</f>
        <v>-6.0416348087268305E-2</v>
      </c>
      <c r="L115" s="37">
        <f>Table58[[#This Row],[Government]]/Table58[[#This Row],[GDP]]</f>
        <v>0.27399853121364132</v>
      </c>
      <c r="N115" s="58">
        <f>SUM(Table58[[#This Row],[PC%]:[G%]])</f>
        <v>1.0200949496818654</v>
      </c>
      <c r="O115" s="25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35">
      <c r="A116" s="45">
        <v>27211</v>
      </c>
      <c r="B116" s="63">
        <f>VLOOKUP(A116,'U.S. GDP'!A:B,2,)</f>
        <v>5642.0249999999996</v>
      </c>
      <c r="C116" s="63">
        <f>VLOOKUP(A116,PersonalConsumption!A:B,2,)</f>
        <v>3570.2359999999999</v>
      </c>
      <c r="D116" s="63">
        <f>VLOOKUP(A116,PrivateInvestment!A:B,2,)</f>
        <v>708.36199999999997</v>
      </c>
      <c r="E116" s="63">
        <f>VLOOKUP(A116,Exports!A:B,2,)</f>
        <v>276.01799999999997</v>
      </c>
      <c r="F116" s="63">
        <f>VLOOKUP(A116,Imports!A:B,2,)</f>
        <v>338.10899999999998</v>
      </c>
      <c r="G116" s="63">
        <f>VLOOKUP(A116,Government!A:B,2,)</f>
        <v>1563.7660000000001</v>
      </c>
      <c r="H116" s="37">
        <f>Table58[[#This Row],[Personal Consumption]]/Table58[[#This Row],[GDP]]</f>
        <v>0.6327933676295302</v>
      </c>
      <c r="I116" s="37">
        <f>Table58[[#This Row],[Private Investment]]/Table58[[#This Row],[GDP]]</f>
        <v>0.12555102113159725</v>
      </c>
      <c r="J116" s="37">
        <f>Table58[[#This Row],[Exports]]/Table58[[#This Row],[GDP]]</f>
        <v>4.8921796695335452E-2</v>
      </c>
      <c r="K116" s="37">
        <f>-Table58[[#This Row],[Imports]]/Table58[[#This Row],[GDP]]</f>
        <v>-5.9926887952463877E-2</v>
      </c>
      <c r="L116" s="37">
        <f>Table58[[#This Row],[Government]]/Table58[[#This Row],[GDP]]</f>
        <v>0.27716396152090789</v>
      </c>
      <c r="N116" s="58">
        <f>SUM(Table58[[#This Row],[PC%]:[G%]])</f>
        <v>1.0245032590249068</v>
      </c>
      <c r="O116" s="25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35">
      <c r="A117" s="45">
        <v>27303</v>
      </c>
      <c r="B117" s="63">
        <f>VLOOKUP(A117,'U.S. GDP'!A:B,2,)</f>
        <v>5620.1260000000002</v>
      </c>
      <c r="C117" s="63">
        <f>VLOOKUP(A117,PersonalConsumption!A:B,2,)</f>
        <v>3518.05</v>
      </c>
      <c r="D117" s="63">
        <f>VLOOKUP(A117,PrivateInvestment!A:B,2,)</f>
        <v>712.66099999999994</v>
      </c>
      <c r="E117" s="63">
        <f>VLOOKUP(A117,Exports!A:B,2,)</f>
        <v>283.22800000000001</v>
      </c>
      <c r="F117" s="63">
        <f>VLOOKUP(A117,Imports!A:B,2,)</f>
        <v>334.75400000000002</v>
      </c>
      <c r="G117" s="63">
        <f>VLOOKUP(A117,Government!A:B,2,)</f>
        <v>1571.26</v>
      </c>
      <c r="H117" s="37">
        <f>Table58[[#This Row],[Personal Consumption]]/Table58[[#This Row],[GDP]]</f>
        <v>0.6259735102024403</v>
      </c>
      <c r="I117" s="37">
        <f>Table58[[#This Row],[Private Investment]]/Table58[[#This Row],[GDP]]</f>
        <v>0.12680516415468263</v>
      </c>
      <c r="J117" s="37">
        <f>Table58[[#This Row],[Exports]]/Table58[[#This Row],[GDP]]</f>
        <v>5.0395311421843565E-2</v>
      </c>
      <c r="K117" s="37">
        <f>-Table58[[#This Row],[Imports]]/Table58[[#This Row],[GDP]]</f>
        <v>-5.9563433275339382E-2</v>
      </c>
      <c r="L117" s="37">
        <f>Table58[[#This Row],[Government]]/Table58[[#This Row],[GDP]]</f>
        <v>0.27957736178868586</v>
      </c>
      <c r="N117" s="58">
        <f>SUM(Table58[[#This Row],[PC%]:[G%]])</f>
        <v>1.023187914292313</v>
      </c>
      <c r="O117" s="25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35">
      <c r="A118" s="45">
        <v>27395</v>
      </c>
      <c r="B118" s="63">
        <f>VLOOKUP(A118,'U.S. GDP'!A:B,2,)</f>
        <v>5551.7129999999997</v>
      </c>
      <c r="C118" s="63">
        <f>VLOOKUP(A118,PersonalConsumption!A:B,2,)</f>
        <v>3547.5569999999998</v>
      </c>
      <c r="D118" s="63">
        <f>VLOOKUP(A118,PrivateInvestment!A:B,2,)</f>
        <v>597.86599999999999</v>
      </c>
      <c r="E118" s="63">
        <f>VLOOKUP(A118,Exports!A:B,2,)</f>
        <v>285.20400000000001</v>
      </c>
      <c r="F118" s="63">
        <f>VLOOKUP(A118,Imports!A:B,2,)</f>
        <v>301.16399999999999</v>
      </c>
      <c r="G118" s="63">
        <f>VLOOKUP(A118,Government!A:B,2,)</f>
        <v>1588.3720000000001</v>
      </c>
      <c r="H118" s="37">
        <f>Table58[[#This Row],[Personal Consumption]]/Table58[[#This Row],[GDP]]</f>
        <v>0.63900223228398156</v>
      </c>
      <c r="I118" s="37">
        <f>Table58[[#This Row],[Private Investment]]/Table58[[#This Row],[GDP]]</f>
        <v>0.10769036511793748</v>
      </c>
      <c r="J118" s="37">
        <f>Table58[[#This Row],[Exports]]/Table58[[#This Row],[GDP]]</f>
        <v>5.137225213190956E-2</v>
      </c>
      <c r="K118" s="37">
        <f>-Table58[[#This Row],[Imports]]/Table58[[#This Row],[GDP]]</f>
        <v>-5.4247040508037789E-2</v>
      </c>
      <c r="L118" s="37">
        <f>Table58[[#This Row],[Government]]/Table58[[#This Row],[GDP]]</f>
        <v>0.28610484727866881</v>
      </c>
      <c r="N118" s="58">
        <f>SUM(Table58[[#This Row],[PC%]:[G%]])</f>
        <v>1.0299226563044597</v>
      </c>
      <c r="O118" s="25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35">
      <c r="A119" s="45">
        <v>27485</v>
      </c>
      <c r="B119" s="63">
        <f>VLOOKUP(A119,'U.S. GDP'!A:B,2,)</f>
        <v>5591.3819999999996</v>
      </c>
      <c r="C119" s="63">
        <f>VLOOKUP(A119,PersonalConsumption!A:B,2,)</f>
        <v>3605.9090000000001</v>
      </c>
      <c r="D119" s="63">
        <f>VLOOKUP(A119,PrivateInvestment!A:B,2,)</f>
        <v>580.06700000000001</v>
      </c>
      <c r="E119" s="63">
        <f>VLOOKUP(A119,Exports!A:B,2,)</f>
        <v>276.88900000000001</v>
      </c>
      <c r="F119" s="63">
        <f>VLOOKUP(A119,Imports!A:B,2,)</f>
        <v>277.065</v>
      </c>
      <c r="G119" s="63">
        <f>VLOOKUP(A119,Government!A:B,2,)</f>
        <v>1574.9480000000001</v>
      </c>
      <c r="H119" s="37">
        <f>Table58[[#This Row],[Personal Consumption]]/Table58[[#This Row],[GDP]]</f>
        <v>0.64490478382625271</v>
      </c>
      <c r="I119" s="37">
        <f>Table58[[#This Row],[Private Investment]]/Table58[[#This Row],[GDP]]</f>
        <v>0.10374304599471115</v>
      </c>
      <c r="J119" s="37">
        <f>Table58[[#This Row],[Exports]]/Table58[[#This Row],[GDP]]</f>
        <v>4.9520673064369421E-2</v>
      </c>
      <c r="K119" s="37">
        <f>-Table58[[#This Row],[Imports]]/Table58[[#This Row],[GDP]]</f>
        <v>-4.9552150076671568E-2</v>
      </c>
      <c r="L119" s="37">
        <f>Table58[[#This Row],[Government]]/Table58[[#This Row],[GDP]]</f>
        <v>0.28167419074568689</v>
      </c>
      <c r="N119" s="58">
        <f>SUM(Table58[[#This Row],[PC%]:[G%]])</f>
        <v>1.0302905435543486</v>
      </c>
      <c r="O119" s="25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35">
      <c r="A120" s="45">
        <v>27576</v>
      </c>
      <c r="B120" s="63">
        <f>VLOOKUP(A120,'U.S. GDP'!A:B,2,)</f>
        <v>5687.0870000000004</v>
      </c>
      <c r="C120" s="63">
        <f>VLOOKUP(A120,PersonalConsumption!A:B,2,)</f>
        <v>3657.1579999999999</v>
      </c>
      <c r="D120" s="63">
        <f>VLOOKUP(A120,PrivateInvestment!A:B,2,)</f>
        <v>625.03700000000003</v>
      </c>
      <c r="E120" s="63">
        <f>VLOOKUP(A120,Exports!A:B,2,)</f>
        <v>272.21800000000002</v>
      </c>
      <c r="F120" s="63">
        <f>VLOOKUP(A120,Imports!A:B,2,)</f>
        <v>300.09800000000001</v>
      </c>
      <c r="G120" s="63">
        <f>VLOOKUP(A120,Government!A:B,2,)</f>
        <v>1604.3689999999999</v>
      </c>
      <c r="H120" s="37">
        <f>Table58[[#This Row],[Personal Consumption]]/Table58[[#This Row],[GDP]]</f>
        <v>0.64306348751126885</v>
      </c>
      <c r="I120" s="37">
        <f>Table58[[#This Row],[Private Investment]]/Table58[[#This Row],[GDP]]</f>
        <v>0.10990459614913575</v>
      </c>
      <c r="J120" s="37">
        <f>Table58[[#This Row],[Exports]]/Table58[[#This Row],[GDP]]</f>
        <v>4.7865981301147671E-2</v>
      </c>
      <c r="K120" s="37">
        <f>-Table58[[#This Row],[Imports]]/Table58[[#This Row],[GDP]]</f>
        <v>-5.2768315307995112E-2</v>
      </c>
      <c r="L120" s="37">
        <f>Table58[[#This Row],[Government]]/Table58[[#This Row],[GDP]]</f>
        <v>0.28210734247603381</v>
      </c>
      <c r="N120" s="58">
        <f>SUM(Table58[[#This Row],[PC%]:[G%]])</f>
        <v>1.0301730921295911</v>
      </c>
      <c r="O120" s="25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35">
      <c r="A121" s="45">
        <v>27668</v>
      </c>
      <c r="B121" s="63">
        <f>VLOOKUP(A121,'U.S. GDP'!A:B,2,)</f>
        <v>5763.665</v>
      </c>
      <c r="C121" s="63">
        <f>VLOOKUP(A121,PersonalConsumption!A:B,2,)</f>
        <v>3696.4850000000001</v>
      </c>
      <c r="D121" s="63">
        <f>VLOOKUP(A121,PrivateInvestment!A:B,2,)</f>
        <v>642.48400000000004</v>
      </c>
      <c r="E121" s="63">
        <f>VLOOKUP(A121,Exports!A:B,2,)</f>
        <v>287.60899999999998</v>
      </c>
      <c r="F121" s="63">
        <f>VLOOKUP(A121,Imports!A:B,2,)</f>
        <v>316.11700000000002</v>
      </c>
      <c r="G121" s="63">
        <f>VLOOKUP(A121,Government!A:B,2,)</f>
        <v>1618.424</v>
      </c>
      <c r="H121" s="37">
        <f>Table58[[#This Row],[Personal Consumption]]/Table58[[#This Row],[GDP]]</f>
        <v>0.64134279143565776</v>
      </c>
      <c r="I121" s="37">
        <f>Table58[[#This Row],[Private Investment]]/Table58[[#This Row],[GDP]]</f>
        <v>0.11147143354098478</v>
      </c>
      <c r="J121" s="37">
        <f>Table58[[#This Row],[Exports]]/Table58[[#This Row],[GDP]]</f>
        <v>4.9900367214263837E-2</v>
      </c>
      <c r="K121" s="37">
        <f>-Table58[[#This Row],[Imports]]/Table58[[#This Row],[GDP]]</f>
        <v>-5.4846525604801806E-2</v>
      </c>
      <c r="L121" s="37">
        <f>Table58[[#This Row],[Government]]/Table58[[#This Row],[GDP]]</f>
        <v>0.28079772158860727</v>
      </c>
      <c r="N121" s="58">
        <f>SUM(Table58[[#This Row],[PC%]:[G%]])</f>
        <v>1.0286657881747119</v>
      </c>
      <c r="O121" s="25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35">
      <c r="A122" s="45">
        <v>27760</v>
      </c>
      <c r="B122" s="63">
        <f>VLOOKUP(A122,'U.S. GDP'!A:B,2,)</f>
        <v>5893.2759999999998</v>
      </c>
      <c r="C122" s="63">
        <f>VLOOKUP(A122,PersonalConsumption!A:B,2,)</f>
        <v>3770.3910000000001</v>
      </c>
      <c r="D122" s="63">
        <f>VLOOKUP(A122,PrivateInvestment!A:B,2,)</f>
        <v>704.47500000000002</v>
      </c>
      <c r="E122" s="63">
        <f>VLOOKUP(A122,Exports!A:B,2,)</f>
        <v>285.62400000000002</v>
      </c>
      <c r="F122" s="63">
        <f>VLOOKUP(A122,Imports!A:B,2,)</f>
        <v>335.92099999999999</v>
      </c>
      <c r="G122" s="63">
        <f>VLOOKUP(A122,Government!A:B,2,)</f>
        <v>1620.97</v>
      </c>
      <c r="H122" s="37">
        <f>Table58[[#This Row],[Personal Consumption]]/Table58[[#This Row],[GDP]]</f>
        <v>0.63977845259580579</v>
      </c>
      <c r="I122" s="37">
        <f>Table58[[#This Row],[Private Investment]]/Table58[[#This Row],[GDP]]</f>
        <v>0.11953877605596616</v>
      </c>
      <c r="J122" s="37">
        <f>Table58[[#This Row],[Exports]]/Table58[[#This Row],[GDP]]</f>
        <v>4.8466082362339728E-2</v>
      </c>
      <c r="K122" s="37">
        <f>-Table58[[#This Row],[Imports]]/Table58[[#This Row],[GDP]]</f>
        <v>-5.7000724215190327E-2</v>
      </c>
      <c r="L122" s="37">
        <f>Table58[[#This Row],[Government]]/Table58[[#This Row],[GDP]]</f>
        <v>0.27505414645436599</v>
      </c>
      <c r="N122" s="58">
        <f>SUM(Table58[[#This Row],[PC%]:[G%]])</f>
        <v>1.0258367332532874</v>
      </c>
      <c r="O122" s="25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35">
      <c r="A123" s="45">
        <v>27851</v>
      </c>
      <c r="B123" s="63">
        <f>VLOOKUP(A123,'U.S. GDP'!A:B,2,)</f>
        <v>5936.5150000000003</v>
      </c>
      <c r="C123" s="63">
        <f>VLOOKUP(A123,PersonalConsumption!A:B,2,)</f>
        <v>3805.0810000000001</v>
      </c>
      <c r="D123" s="63">
        <f>VLOOKUP(A123,PrivateInvestment!A:B,2,)</f>
        <v>732.35799999999995</v>
      </c>
      <c r="E123" s="63">
        <f>VLOOKUP(A123,Exports!A:B,2,)</f>
        <v>288.50299999999999</v>
      </c>
      <c r="F123" s="63">
        <f>VLOOKUP(A123,Imports!A:B,2,)</f>
        <v>350.47</v>
      </c>
      <c r="G123" s="63">
        <f>VLOOKUP(A123,Government!A:B,2,)</f>
        <v>1602.934</v>
      </c>
      <c r="H123" s="37">
        <f>Table58[[#This Row],[Personal Consumption]]/Table58[[#This Row],[GDP]]</f>
        <v>0.64096207960394269</v>
      </c>
      <c r="I123" s="37">
        <f>Table58[[#This Row],[Private Investment]]/Table58[[#This Row],[GDP]]</f>
        <v>0.12336497086253466</v>
      </c>
      <c r="J123" s="37">
        <f>Table58[[#This Row],[Exports]]/Table58[[#This Row],[GDP]]</f>
        <v>4.8598041106608841E-2</v>
      </c>
      <c r="K123" s="37">
        <f>-Table58[[#This Row],[Imports]]/Table58[[#This Row],[GDP]]</f>
        <v>-5.9036320130581667E-2</v>
      </c>
      <c r="L123" s="37">
        <f>Table58[[#This Row],[Government]]/Table58[[#This Row],[GDP]]</f>
        <v>0.27001262525235764</v>
      </c>
      <c r="N123" s="58">
        <f>SUM(Table58[[#This Row],[PC%]:[G%]])</f>
        <v>1.023901396694862</v>
      </c>
      <c r="O123" s="25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35">
      <c r="A124" s="45">
        <v>27942</v>
      </c>
      <c r="B124" s="63">
        <f>VLOOKUP(A124,'U.S. GDP'!A:B,2,)</f>
        <v>5969.0889999999999</v>
      </c>
      <c r="C124" s="63">
        <f>VLOOKUP(A124,PersonalConsumption!A:B,2,)</f>
        <v>3845.1439999999998</v>
      </c>
      <c r="D124" s="63">
        <f>VLOOKUP(A124,PrivateInvestment!A:B,2,)</f>
        <v>734.91</v>
      </c>
      <c r="E124" s="63">
        <f>VLOOKUP(A124,Exports!A:B,2,)</f>
        <v>296.88600000000002</v>
      </c>
      <c r="F124" s="63">
        <f>VLOOKUP(A124,Imports!A:B,2,)</f>
        <v>364.76799999999997</v>
      </c>
      <c r="G124" s="63">
        <f>VLOOKUP(A124,Government!A:B,2,)</f>
        <v>1598.2429999999999</v>
      </c>
      <c r="H124" s="37">
        <f>Table58[[#This Row],[Personal Consumption]]/Table58[[#This Row],[GDP]]</f>
        <v>0.64417602082997927</v>
      </c>
      <c r="I124" s="37">
        <f>Table58[[#This Row],[Private Investment]]/Table58[[#This Row],[GDP]]</f>
        <v>0.12311929006252043</v>
      </c>
      <c r="J124" s="37">
        <f>Table58[[#This Row],[Exports]]/Table58[[#This Row],[GDP]]</f>
        <v>4.9737237960432494E-2</v>
      </c>
      <c r="K124" s="37">
        <f>-Table58[[#This Row],[Imports]]/Table58[[#This Row],[GDP]]</f>
        <v>-6.1109492587562354E-2</v>
      </c>
      <c r="L124" s="37">
        <f>Table58[[#This Row],[Government]]/Table58[[#This Row],[GDP]]</f>
        <v>0.26775325346966683</v>
      </c>
      <c r="N124" s="58">
        <f>SUM(Table58[[#This Row],[PC%]:[G%]])</f>
        <v>1.0236763097350368</v>
      </c>
      <c r="O124" s="25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35">
      <c r="A125" s="45">
        <v>28034</v>
      </c>
      <c r="B125" s="63">
        <f>VLOOKUP(A125,'U.S. GDP'!A:B,2,)</f>
        <v>6012.3559999999998</v>
      </c>
      <c r="C125" s="63">
        <f>VLOOKUP(A125,PersonalConsumption!A:B,2,)</f>
        <v>3895.0340000000001</v>
      </c>
      <c r="D125" s="63">
        <f>VLOOKUP(A125,PrivateInvestment!A:B,2,)</f>
        <v>740.40800000000002</v>
      </c>
      <c r="E125" s="63">
        <f>VLOOKUP(A125,Exports!A:B,2,)</f>
        <v>299.89800000000002</v>
      </c>
      <c r="F125" s="63">
        <f>VLOOKUP(A125,Imports!A:B,2,)</f>
        <v>376.84100000000001</v>
      </c>
      <c r="G125" s="63">
        <f>VLOOKUP(A125,Government!A:B,2,)</f>
        <v>1597.2639999999999</v>
      </c>
      <c r="H125" s="37">
        <f>Table58[[#This Row],[Personal Consumption]]/Table58[[#This Row],[GDP]]</f>
        <v>0.64783821849537859</v>
      </c>
      <c r="I125" s="37">
        <f>Table58[[#This Row],[Private Investment]]/Table58[[#This Row],[GDP]]</f>
        <v>0.12314773110574291</v>
      </c>
      <c r="J125" s="37">
        <f>Table58[[#This Row],[Exports]]/Table58[[#This Row],[GDP]]</f>
        <v>4.9880279876973362E-2</v>
      </c>
      <c r="K125" s="37">
        <f>-Table58[[#This Row],[Imports]]/Table58[[#This Row],[GDP]]</f>
        <v>-6.2677758935099651E-2</v>
      </c>
      <c r="L125" s="37">
        <f>Table58[[#This Row],[Government]]/Table58[[#This Row],[GDP]]</f>
        <v>0.26566357680749442</v>
      </c>
      <c r="N125" s="58">
        <f>SUM(Table58[[#This Row],[PC%]:[G%]])</f>
        <v>1.0238520473504897</v>
      </c>
      <c r="O125" s="25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35">
      <c r="A126" s="45">
        <v>28126</v>
      </c>
      <c r="B126" s="63">
        <f>VLOOKUP(A126,'U.S. GDP'!A:B,2,)</f>
        <v>6083.3909999999996</v>
      </c>
      <c r="C126" s="63">
        <f>VLOOKUP(A126,PersonalConsumption!A:B,2,)</f>
        <v>3940.944</v>
      </c>
      <c r="D126" s="63">
        <f>VLOOKUP(A126,PrivateInvestment!A:B,2,)</f>
        <v>774.71100000000001</v>
      </c>
      <c r="E126" s="63">
        <f>VLOOKUP(A126,Exports!A:B,2,)</f>
        <v>295.072</v>
      </c>
      <c r="F126" s="63">
        <f>VLOOKUP(A126,Imports!A:B,2,)</f>
        <v>394.68</v>
      </c>
      <c r="G126" s="63">
        <f>VLOOKUP(A126,Government!A:B,2,)</f>
        <v>1610.8420000000001</v>
      </c>
      <c r="H126" s="37">
        <f>Table58[[#This Row],[Personal Consumption]]/Table58[[#This Row],[GDP]]</f>
        <v>0.6478202699777148</v>
      </c>
      <c r="I126" s="37">
        <f>Table58[[#This Row],[Private Investment]]/Table58[[#This Row],[GDP]]</f>
        <v>0.12734854623021929</v>
      </c>
      <c r="J126" s="37">
        <f>Table58[[#This Row],[Exports]]/Table58[[#This Row],[GDP]]</f>
        <v>4.8504526505036422E-2</v>
      </c>
      <c r="K126" s="37">
        <f>-Table58[[#This Row],[Imports]]/Table58[[#This Row],[GDP]]</f>
        <v>-6.4878289098958139E-2</v>
      </c>
      <c r="L126" s="37">
        <f>Table58[[#This Row],[Government]]/Table58[[#This Row],[GDP]]</f>
        <v>0.26479343510880693</v>
      </c>
      <c r="N126" s="58">
        <f>SUM(Table58[[#This Row],[PC%]:[G%]])</f>
        <v>1.0235884887228193</v>
      </c>
      <c r="O126" s="25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35">
      <c r="A127" s="45">
        <v>28216</v>
      </c>
      <c r="B127" s="63">
        <f>VLOOKUP(A127,'U.S. GDP'!A:B,2,)</f>
        <v>6201.6589999999997</v>
      </c>
      <c r="C127" s="63">
        <f>VLOOKUP(A127,PersonalConsumption!A:B,2,)</f>
        <v>3962.3139999999999</v>
      </c>
      <c r="D127" s="63">
        <f>VLOOKUP(A127,PrivateInvestment!A:B,2,)</f>
        <v>830.25099999999998</v>
      </c>
      <c r="E127" s="63">
        <f>VLOOKUP(A127,Exports!A:B,2,)</f>
        <v>303.024</v>
      </c>
      <c r="F127" s="63">
        <f>VLOOKUP(A127,Imports!A:B,2,)</f>
        <v>398.31900000000002</v>
      </c>
      <c r="G127" s="63">
        <f>VLOOKUP(A127,Government!A:B,2,)</f>
        <v>1625.58</v>
      </c>
      <c r="H127" s="37">
        <f>Table58[[#This Row],[Personal Consumption]]/Table58[[#This Row],[GDP]]</f>
        <v>0.63891194275596253</v>
      </c>
      <c r="I127" s="37">
        <f>Table58[[#This Row],[Private Investment]]/Table58[[#This Row],[GDP]]</f>
        <v>0.13387562908570111</v>
      </c>
      <c r="J127" s="37">
        <f>Table58[[#This Row],[Exports]]/Table58[[#This Row],[GDP]]</f>
        <v>4.8861764247276417E-2</v>
      </c>
      <c r="K127" s="37">
        <f>-Table58[[#This Row],[Imports]]/Table58[[#This Row],[GDP]]</f>
        <v>-6.4227813880124662E-2</v>
      </c>
      <c r="L127" s="37">
        <f>Table58[[#This Row],[Government]]/Table58[[#This Row],[GDP]]</f>
        <v>0.26212018429262235</v>
      </c>
      <c r="N127" s="58">
        <f>SUM(Table58[[#This Row],[PC%]:[G%]])</f>
        <v>1.0195417065014378</v>
      </c>
      <c r="O127" s="25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35">
      <c r="A128" s="45">
        <v>28307</v>
      </c>
      <c r="B128" s="63">
        <f>VLOOKUP(A128,'U.S. GDP'!A:B,2,)</f>
        <v>6313.5590000000002</v>
      </c>
      <c r="C128" s="63">
        <f>VLOOKUP(A128,PersonalConsumption!A:B,2,)</f>
        <v>3999.779</v>
      </c>
      <c r="D128" s="63">
        <f>VLOOKUP(A128,PrivateInvestment!A:B,2,)</f>
        <v>872.26400000000001</v>
      </c>
      <c r="E128" s="63">
        <f>VLOOKUP(A128,Exports!A:B,2,)</f>
        <v>305.375</v>
      </c>
      <c r="F128" s="63">
        <f>VLOOKUP(A128,Imports!A:B,2,)</f>
        <v>392.76799999999997</v>
      </c>
      <c r="G128" s="63">
        <f>VLOOKUP(A128,Government!A:B,2,)</f>
        <v>1632.1079999999999</v>
      </c>
      <c r="H128" s="37">
        <f>Table58[[#This Row],[Personal Consumption]]/Table58[[#This Row],[GDP]]</f>
        <v>0.63352207526689774</v>
      </c>
      <c r="I128" s="37">
        <f>Table58[[#This Row],[Private Investment]]/Table58[[#This Row],[GDP]]</f>
        <v>0.1381572580536588</v>
      </c>
      <c r="J128" s="37">
        <f>Table58[[#This Row],[Exports]]/Table58[[#This Row],[GDP]]</f>
        <v>4.8368123272468033E-2</v>
      </c>
      <c r="K128" s="37">
        <f>-Table58[[#This Row],[Imports]]/Table58[[#This Row],[GDP]]</f>
        <v>-6.2210236730186566E-2</v>
      </c>
      <c r="L128" s="37">
        <f>Table58[[#This Row],[Government]]/Table58[[#This Row],[GDP]]</f>
        <v>0.25850839439371676</v>
      </c>
      <c r="N128" s="58">
        <f>SUM(Table58[[#This Row],[PC%]:[G%]])</f>
        <v>1.0163456142565548</v>
      </c>
      <c r="O128" s="25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35">
      <c r="A129" s="45">
        <v>28399</v>
      </c>
      <c r="B129" s="63">
        <f>VLOOKUP(A129,'U.S. GDP'!A:B,2,)</f>
        <v>6313.6970000000001</v>
      </c>
      <c r="C129" s="63">
        <f>VLOOKUP(A129,PersonalConsumption!A:B,2,)</f>
        <v>4059.9180000000001</v>
      </c>
      <c r="D129" s="63">
        <f>VLOOKUP(A129,PrivateInvestment!A:B,2,)</f>
        <v>850.38300000000004</v>
      </c>
      <c r="E129" s="63">
        <f>VLOOKUP(A129,Exports!A:B,2,)</f>
        <v>295.584</v>
      </c>
      <c r="F129" s="63">
        <f>VLOOKUP(A129,Imports!A:B,2,)</f>
        <v>398.34199999999998</v>
      </c>
      <c r="G129" s="63">
        <f>VLOOKUP(A129,Government!A:B,2,)</f>
        <v>1628.2159999999999</v>
      </c>
      <c r="H129" s="37">
        <f>Table58[[#This Row],[Personal Consumption]]/Table58[[#This Row],[GDP]]</f>
        <v>0.64303339232148771</v>
      </c>
      <c r="I129" s="37">
        <f>Table58[[#This Row],[Private Investment]]/Table58[[#This Row],[GDP]]</f>
        <v>0.13468859845507317</v>
      </c>
      <c r="J129" s="37">
        <f>Table58[[#This Row],[Exports]]/Table58[[#This Row],[GDP]]</f>
        <v>4.6816310633848918E-2</v>
      </c>
      <c r="K129" s="37">
        <f>-Table58[[#This Row],[Imports]]/Table58[[#This Row],[GDP]]</f>
        <v>-6.3091719479094421E-2</v>
      </c>
      <c r="L129" s="37">
        <f>Table58[[#This Row],[Government]]/Table58[[#This Row],[GDP]]</f>
        <v>0.2578863065490789</v>
      </c>
      <c r="N129" s="58">
        <f>SUM(Table58[[#This Row],[PC%]:[G%]])</f>
        <v>1.0193328884803943</v>
      </c>
      <c r="O129" s="25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35">
      <c r="A130" s="45">
        <v>28491</v>
      </c>
      <c r="B130" s="63">
        <f>VLOOKUP(A130,'U.S. GDP'!A:B,2,)</f>
        <v>6333.848</v>
      </c>
      <c r="C130" s="63">
        <f>VLOOKUP(A130,PersonalConsumption!A:B,2,)</f>
        <v>4082.7260000000001</v>
      </c>
      <c r="D130" s="63">
        <f>VLOOKUP(A130,PrivateInvestment!A:B,2,)</f>
        <v>866.95699999999999</v>
      </c>
      <c r="E130" s="63">
        <f>VLOOKUP(A130,Exports!A:B,2,)</f>
        <v>302.56299999999999</v>
      </c>
      <c r="F130" s="63">
        <f>VLOOKUP(A130,Imports!A:B,2,)</f>
        <v>425.07</v>
      </c>
      <c r="G130" s="63">
        <f>VLOOKUP(A130,Government!A:B,2,)</f>
        <v>1628.6310000000001</v>
      </c>
      <c r="H130" s="37">
        <f>Table58[[#This Row],[Personal Consumption]]/Table58[[#This Row],[GDP]]</f>
        <v>0.64458856606599968</v>
      </c>
      <c r="I130" s="37">
        <f>Table58[[#This Row],[Private Investment]]/Table58[[#This Row],[GDP]]</f>
        <v>0.13687682432543377</v>
      </c>
      <c r="J130" s="37">
        <f>Table58[[#This Row],[Exports]]/Table58[[#This Row],[GDP]]</f>
        <v>4.7769223385215429E-2</v>
      </c>
      <c r="K130" s="37">
        <f>-Table58[[#This Row],[Imports]]/Table58[[#This Row],[GDP]]</f>
        <v>-6.7110862148886424E-2</v>
      </c>
      <c r="L130" s="37">
        <f>Table58[[#This Row],[Government]]/Table58[[#This Row],[GDP]]</f>
        <v>0.25713136785094937</v>
      </c>
      <c r="N130" s="58">
        <f>SUM(Table58[[#This Row],[PC%]:[G%]])</f>
        <v>1.0192551194787118</v>
      </c>
      <c r="O130" s="25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35">
      <c r="A131" s="45">
        <v>28581</v>
      </c>
      <c r="B131" s="63">
        <f>VLOOKUP(A131,'U.S. GDP'!A:B,2,)</f>
        <v>6578.6049999999996</v>
      </c>
      <c r="C131" s="63">
        <f>VLOOKUP(A131,PersonalConsumption!A:B,2,)</f>
        <v>4170.01</v>
      </c>
      <c r="D131" s="63">
        <f>VLOOKUP(A131,PrivateInvestment!A:B,2,)</f>
        <v>923.26599999999996</v>
      </c>
      <c r="E131" s="63">
        <f>VLOOKUP(A131,Exports!A:B,2,)</f>
        <v>334.10599999999999</v>
      </c>
      <c r="F131" s="63">
        <f>VLOOKUP(A131,Imports!A:B,2,)</f>
        <v>426.41899999999998</v>
      </c>
      <c r="G131" s="63">
        <f>VLOOKUP(A131,Government!A:B,2,)</f>
        <v>1669.4770000000001</v>
      </c>
      <c r="H131" s="37">
        <f>Table58[[#This Row],[Personal Consumption]]/Table58[[#This Row],[GDP]]</f>
        <v>0.63387450682933544</v>
      </c>
      <c r="I131" s="37">
        <f>Table58[[#This Row],[Private Investment]]/Table58[[#This Row],[GDP]]</f>
        <v>0.14034373548799481</v>
      </c>
      <c r="J131" s="37">
        <f>Table58[[#This Row],[Exports]]/Table58[[#This Row],[GDP]]</f>
        <v>5.0786754942727219E-2</v>
      </c>
      <c r="K131" s="37">
        <f>-Table58[[#This Row],[Imports]]/Table58[[#This Row],[GDP]]</f>
        <v>-6.481906118394401E-2</v>
      </c>
      <c r="L131" s="37">
        <f>Table58[[#This Row],[Government]]/Table58[[#This Row],[GDP]]</f>
        <v>0.25377371038388841</v>
      </c>
      <c r="N131" s="58">
        <f>SUM(Table58[[#This Row],[PC%]:[G%]])</f>
        <v>1.0139596464600018</v>
      </c>
      <c r="O131" s="25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35">
      <c r="A132" s="45">
        <v>28672</v>
      </c>
      <c r="B132" s="63">
        <f>VLOOKUP(A132,'U.S. GDP'!A:B,2,)</f>
        <v>6644.7539999999999</v>
      </c>
      <c r="C132" s="63">
        <f>VLOOKUP(A132,PersonalConsumption!A:B,2,)</f>
        <v>4187.5200000000004</v>
      </c>
      <c r="D132" s="63">
        <f>VLOOKUP(A132,PrivateInvestment!A:B,2,)</f>
        <v>950.16600000000005</v>
      </c>
      <c r="E132" s="63">
        <f>VLOOKUP(A132,Exports!A:B,2,)</f>
        <v>337.77199999999999</v>
      </c>
      <c r="F132" s="63">
        <f>VLOOKUP(A132,Imports!A:B,2,)</f>
        <v>431.99299999999999</v>
      </c>
      <c r="G132" s="63">
        <f>VLOOKUP(A132,Government!A:B,2,)</f>
        <v>1684.9</v>
      </c>
      <c r="H132" s="37">
        <f>Table58[[#This Row],[Personal Consumption]]/Table58[[#This Row],[GDP]]</f>
        <v>0.63019940241580052</v>
      </c>
      <c r="I132" s="37">
        <f>Table58[[#This Row],[Private Investment]]/Table58[[#This Row],[GDP]]</f>
        <v>0.14299490996957903</v>
      </c>
      <c r="J132" s="37">
        <f>Table58[[#This Row],[Exports]]/Table58[[#This Row],[GDP]]</f>
        <v>5.0832882601823934E-2</v>
      </c>
      <c r="K132" s="37">
        <f>-Table58[[#This Row],[Imports]]/Table58[[#This Row],[GDP]]</f>
        <v>-6.5012640046569065E-2</v>
      </c>
      <c r="L132" s="37">
        <f>Table58[[#This Row],[Government]]/Table58[[#This Row],[GDP]]</f>
        <v>0.25356845415195206</v>
      </c>
      <c r="N132" s="58">
        <f>SUM(Table58[[#This Row],[PC%]:[G%]])</f>
        <v>1.0125830090925865</v>
      </c>
      <c r="O132" s="25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35">
      <c r="A133" s="45">
        <v>28764</v>
      </c>
      <c r="B133" s="63">
        <f>VLOOKUP(A133,'U.S. GDP'!A:B,2,)</f>
        <v>6734.0690000000004</v>
      </c>
      <c r="C133" s="63">
        <f>VLOOKUP(A133,PersonalConsumption!A:B,2,)</f>
        <v>4221.3100000000004</v>
      </c>
      <c r="D133" s="63">
        <f>VLOOKUP(A133,PrivateInvestment!A:B,2,)</f>
        <v>972.13900000000001</v>
      </c>
      <c r="E133" s="63">
        <f>VLOOKUP(A133,Exports!A:B,2,)</f>
        <v>351.178</v>
      </c>
      <c r="F133" s="63">
        <f>VLOOKUP(A133,Imports!A:B,2,)</f>
        <v>437.92399999999998</v>
      </c>
      <c r="G133" s="63">
        <f>VLOOKUP(A133,Government!A:B,2,)</f>
        <v>1700.067</v>
      </c>
      <c r="H133" s="37">
        <f>Table58[[#This Row],[Personal Consumption]]/Table58[[#This Row],[GDP]]</f>
        <v>0.62685873875067222</v>
      </c>
      <c r="I133" s="37">
        <f>Table58[[#This Row],[Private Investment]]/Table58[[#This Row],[GDP]]</f>
        <v>0.14436130666317792</v>
      </c>
      <c r="J133" s="37">
        <f>Table58[[#This Row],[Exports]]/Table58[[#This Row],[GDP]]</f>
        <v>5.2149450800103171E-2</v>
      </c>
      <c r="K133" s="37">
        <f>-Table58[[#This Row],[Imports]]/Table58[[#This Row],[GDP]]</f>
        <v>-6.5031112689816511E-2</v>
      </c>
      <c r="L133" s="37">
        <f>Table58[[#This Row],[Government]]/Table58[[#This Row],[GDP]]</f>
        <v>0.25245761515066151</v>
      </c>
      <c r="N133" s="58">
        <f>SUM(Table58[[#This Row],[PC%]:[G%]])</f>
        <v>1.0107959986747983</v>
      </c>
      <c r="O133" s="25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35">
      <c r="A134" s="45">
        <v>28856</v>
      </c>
      <c r="B134" s="63">
        <f>VLOOKUP(A134,'U.S. GDP'!A:B,2,)</f>
        <v>6746.1760000000004</v>
      </c>
      <c r="C134" s="63">
        <f>VLOOKUP(A134,PersonalConsumption!A:B,2,)</f>
        <v>4243.1729999999998</v>
      </c>
      <c r="D134" s="63">
        <f>VLOOKUP(A134,PrivateInvestment!A:B,2,)</f>
        <v>973.75400000000002</v>
      </c>
      <c r="E134" s="63">
        <f>VLOOKUP(A134,Exports!A:B,2,)</f>
        <v>351.45299999999997</v>
      </c>
      <c r="F134" s="63">
        <f>VLOOKUP(A134,Imports!A:B,2,)</f>
        <v>436.73399999999998</v>
      </c>
      <c r="G134" s="63">
        <f>VLOOKUP(A134,Government!A:B,2,)</f>
        <v>1683.258</v>
      </c>
      <c r="H134" s="37">
        <f>Table58[[#This Row],[Personal Consumption]]/Table58[[#This Row],[GDP]]</f>
        <v>0.62897454795131336</v>
      </c>
      <c r="I134" s="37">
        <f>Table58[[#This Row],[Private Investment]]/Table58[[#This Row],[GDP]]</f>
        <v>0.14434162405487197</v>
      </c>
      <c r="J134" s="37">
        <f>Table58[[#This Row],[Exports]]/Table58[[#This Row],[GDP]]</f>
        <v>5.2096624813820443E-2</v>
      </c>
      <c r="K134" s="37">
        <f>-Table58[[#This Row],[Imports]]/Table58[[#This Row],[GDP]]</f>
        <v>-6.4738008614065201E-2</v>
      </c>
      <c r="L134" s="37">
        <f>Table58[[#This Row],[Government]]/Table58[[#This Row],[GDP]]</f>
        <v>0.24951290923924901</v>
      </c>
      <c r="N134" s="58">
        <f>SUM(Table58[[#This Row],[PC%]:[G%]])</f>
        <v>1.0101876974451895</v>
      </c>
      <c r="O134" s="25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35">
      <c r="A135" s="45">
        <v>28946</v>
      </c>
      <c r="B135" s="63">
        <f>VLOOKUP(A135,'U.S. GDP'!A:B,2,)</f>
        <v>6753.3890000000001</v>
      </c>
      <c r="C135" s="63">
        <f>VLOOKUP(A135,PersonalConsumption!A:B,2,)</f>
        <v>4240.4189999999999</v>
      </c>
      <c r="D135" s="63">
        <f>VLOOKUP(A135,PrivateInvestment!A:B,2,)</f>
        <v>972.87699999999995</v>
      </c>
      <c r="E135" s="63">
        <f>VLOOKUP(A135,Exports!A:B,2,)</f>
        <v>352.36900000000003</v>
      </c>
      <c r="F135" s="63">
        <f>VLOOKUP(A135,Imports!A:B,2,)</f>
        <v>439.09199999999998</v>
      </c>
      <c r="G135" s="63">
        <f>VLOOKUP(A135,Government!A:B,2,)</f>
        <v>1699.6590000000001</v>
      </c>
      <c r="H135" s="37">
        <f>Table58[[#This Row],[Personal Consumption]]/Table58[[#This Row],[GDP]]</f>
        <v>0.627894972435321</v>
      </c>
      <c r="I135" s="37">
        <f>Table58[[#This Row],[Private Investment]]/Table58[[#This Row],[GDP]]</f>
        <v>0.1440575983406257</v>
      </c>
      <c r="J135" s="37">
        <f>Table58[[#This Row],[Exports]]/Table58[[#This Row],[GDP]]</f>
        <v>5.2176618287499803E-2</v>
      </c>
      <c r="K135" s="37">
        <f>-Table58[[#This Row],[Imports]]/Table58[[#This Row],[GDP]]</f>
        <v>-6.5018022803069689E-2</v>
      </c>
      <c r="L135" s="37">
        <f>Table58[[#This Row],[Government]]/Table58[[#This Row],[GDP]]</f>
        <v>0.25167497385386806</v>
      </c>
      <c r="N135" s="58">
        <f>SUM(Table58[[#This Row],[PC%]:[G%]])</f>
        <v>1.0107861401142448</v>
      </c>
      <c r="O135" s="25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35">
      <c r="A136" s="45">
        <v>29037</v>
      </c>
      <c r="B136" s="63">
        <f>VLOOKUP(A136,'U.S. GDP'!A:B,2,)</f>
        <v>6803.558</v>
      </c>
      <c r="C136" s="63">
        <f>VLOOKUP(A136,PersonalConsumption!A:B,2,)</f>
        <v>4281.6819999999998</v>
      </c>
      <c r="D136" s="63">
        <f>VLOOKUP(A136,PrivateInvestment!A:B,2,)</f>
        <v>956.49300000000005</v>
      </c>
      <c r="E136" s="63">
        <f>VLOOKUP(A136,Exports!A:B,2,)</f>
        <v>365.05</v>
      </c>
      <c r="F136" s="63">
        <f>VLOOKUP(A136,Imports!A:B,2,)</f>
        <v>432.38600000000002</v>
      </c>
      <c r="G136" s="63">
        <f>VLOOKUP(A136,Government!A:B,2,)</f>
        <v>1704.624</v>
      </c>
      <c r="H136" s="37">
        <f>Table58[[#This Row],[Personal Consumption]]/Table58[[#This Row],[GDP]]</f>
        <v>0.62932983006832599</v>
      </c>
      <c r="I136" s="37">
        <f>Table58[[#This Row],[Private Investment]]/Table58[[#This Row],[GDP]]</f>
        <v>0.14058717512219343</v>
      </c>
      <c r="J136" s="37">
        <f>Table58[[#This Row],[Exports]]/Table58[[#This Row],[GDP]]</f>
        <v>5.3655748947829943E-2</v>
      </c>
      <c r="K136" s="37">
        <f>-Table58[[#This Row],[Imports]]/Table58[[#This Row],[GDP]]</f>
        <v>-6.3552923338053416E-2</v>
      </c>
      <c r="L136" s="37">
        <f>Table58[[#This Row],[Government]]/Table58[[#This Row],[GDP]]</f>
        <v>0.25054890397054014</v>
      </c>
      <c r="N136" s="58">
        <f>SUM(Table58[[#This Row],[PC%]:[G%]])</f>
        <v>1.0105687347708361</v>
      </c>
      <c r="O136" s="25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35">
      <c r="A137" s="45">
        <v>29129</v>
      </c>
      <c r="B137" s="63">
        <f>VLOOKUP(A137,'U.S. GDP'!A:B,2,)</f>
        <v>6820.5720000000001</v>
      </c>
      <c r="C137" s="63">
        <f>VLOOKUP(A137,PersonalConsumption!A:B,2,)</f>
        <v>4292.335</v>
      </c>
      <c r="D137" s="63">
        <f>VLOOKUP(A137,PrivateInvestment!A:B,2,)</f>
        <v>939.52599999999995</v>
      </c>
      <c r="E137" s="63">
        <f>VLOOKUP(A137,Exports!A:B,2,)</f>
        <v>388.01900000000001</v>
      </c>
      <c r="F137" s="63">
        <f>VLOOKUP(A137,Imports!A:B,2,)</f>
        <v>441.81599999999997</v>
      </c>
      <c r="G137" s="63">
        <f>VLOOKUP(A137,Government!A:B,2,)</f>
        <v>1715.85</v>
      </c>
      <c r="H137" s="37">
        <f>Table58[[#This Row],[Personal Consumption]]/Table58[[#This Row],[GDP]]</f>
        <v>0.62932185159837029</v>
      </c>
      <c r="I137" s="37">
        <f>Table58[[#This Row],[Private Investment]]/Table58[[#This Row],[GDP]]</f>
        <v>0.13774885742720697</v>
      </c>
      <c r="J137" s="37">
        <f>Table58[[#This Row],[Exports]]/Table58[[#This Row],[GDP]]</f>
        <v>5.6889510146656323E-2</v>
      </c>
      <c r="K137" s="37">
        <f>-Table58[[#This Row],[Imports]]/Table58[[#This Row],[GDP]]</f>
        <v>-6.4776971784771126E-2</v>
      </c>
      <c r="L137" s="37">
        <f>Table58[[#This Row],[Government]]/Table58[[#This Row],[GDP]]</f>
        <v>0.25156980968751591</v>
      </c>
      <c r="N137" s="58">
        <f>SUM(Table58[[#This Row],[PC%]:[G%]])</f>
        <v>1.0107530570749783</v>
      </c>
      <c r="O137" s="25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35">
      <c r="A138" s="45">
        <v>29221</v>
      </c>
      <c r="B138" s="63">
        <f>VLOOKUP(A138,'U.S. GDP'!A:B,2,)</f>
        <v>6842.0240000000003</v>
      </c>
      <c r="C138" s="63">
        <f>VLOOKUP(A138,PersonalConsumption!A:B,2,)</f>
        <v>4286.2</v>
      </c>
      <c r="D138" s="63">
        <f>VLOOKUP(A138,PrivateInvestment!A:B,2,)</f>
        <v>933.101</v>
      </c>
      <c r="E138" s="63">
        <f>VLOOKUP(A138,Exports!A:B,2,)</f>
        <v>398.84800000000001</v>
      </c>
      <c r="F138" s="63">
        <f>VLOOKUP(A138,Imports!A:B,2,)</f>
        <v>442.11700000000002</v>
      </c>
      <c r="G138" s="63">
        <f>VLOOKUP(A138,Government!A:B,2,)</f>
        <v>1741.0340000000001</v>
      </c>
      <c r="H138" s="37">
        <f>Table58[[#This Row],[Personal Consumption]]/Table58[[#This Row],[GDP]]</f>
        <v>0.62645205570749229</v>
      </c>
      <c r="I138" s="37">
        <f>Table58[[#This Row],[Private Investment]]/Table58[[#This Row],[GDP]]</f>
        <v>0.13637791975006225</v>
      </c>
      <c r="J138" s="37">
        <f>Table58[[#This Row],[Exports]]/Table58[[#This Row],[GDP]]</f>
        <v>5.8293861582479102E-2</v>
      </c>
      <c r="K138" s="37">
        <f>-Table58[[#This Row],[Imports]]/Table58[[#This Row],[GDP]]</f>
        <v>-6.4617867461441228E-2</v>
      </c>
      <c r="L138" s="37">
        <f>Table58[[#This Row],[Government]]/Table58[[#This Row],[GDP]]</f>
        <v>0.25446183760828667</v>
      </c>
      <c r="N138" s="58">
        <f>SUM(Table58[[#This Row],[PC%]:[G%]])</f>
        <v>1.0109678071868791</v>
      </c>
      <c r="O138" s="25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35">
      <c r="A139" s="45">
        <v>29312</v>
      </c>
      <c r="B139" s="63">
        <f>VLOOKUP(A139,'U.S. GDP'!A:B,2,)</f>
        <v>6701.0460000000003</v>
      </c>
      <c r="C139" s="63">
        <f>VLOOKUP(A139,PersonalConsumption!A:B,2,)</f>
        <v>4189.6710000000003</v>
      </c>
      <c r="D139" s="63">
        <f>VLOOKUP(A139,PrivateInvestment!A:B,2,)</f>
        <v>853.76</v>
      </c>
      <c r="E139" s="63">
        <f>VLOOKUP(A139,Exports!A:B,2,)</f>
        <v>406.36700000000002</v>
      </c>
      <c r="F139" s="63">
        <f>VLOOKUP(A139,Imports!A:B,2,)</f>
        <v>410.012</v>
      </c>
      <c r="G139" s="63">
        <f>VLOOKUP(A139,Government!A:B,2,)</f>
        <v>1744.4559999999999</v>
      </c>
      <c r="H139" s="37">
        <f>Table58[[#This Row],[Personal Consumption]]/Table58[[#This Row],[GDP]]</f>
        <v>0.62522641987534489</v>
      </c>
      <c r="I139" s="37">
        <f>Table58[[#This Row],[Private Investment]]/Table58[[#This Row],[GDP]]</f>
        <v>0.12740697497077322</v>
      </c>
      <c r="J139" s="37">
        <f>Table58[[#This Row],[Exports]]/Table58[[#This Row],[GDP]]</f>
        <v>6.0642323601419836E-2</v>
      </c>
      <c r="K139" s="37">
        <f>-Table58[[#This Row],[Imports]]/Table58[[#This Row],[GDP]]</f>
        <v>-6.1186268531808315E-2</v>
      </c>
      <c r="L139" s="37">
        <f>Table58[[#This Row],[Government]]/Table58[[#This Row],[GDP]]</f>
        <v>0.26032592523614967</v>
      </c>
      <c r="N139" s="58">
        <f>SUM(Table58[[#This Row],[PC%]:[G%]])</f>
        <v>1.0124153751518794</v>
      </c>
      <c r="O139" s="25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35">
      <c r="A140" s="45">
        <v>29403</v>
      </c>
      <c r="B140" s="63">
        <f>VLOOKUP(A140,'U.S. GDP'!A:B,2,)</f>
        <v>6693.0820000000003</v>
      </c>
      <c r="C140" s="63">
        <f>VLOOKUP(A140,PersonalConsumption!A:B,2,)</f>
        <v>4235.6289999999999</v>
      </c>
      <c r="D140" s="63">
        <f>VLOOKUP(A140,PrivateInvestment!A:B,2,)</f>
        <v>797.41099999999994</v>
      </c>
      <c r="E140" s="63">
        <f>VLOOKUP(A140,Exports!A:B,2,)</f>
        <v>405.50099999999998</v>
      </c>
      <c r="F140" s="63">
        <f>VLOOKUP(A140,Imports!A:B,2,)</f>
        <v>380.50700000000001</v>
      </c>
      <c r="G140" s="63">
        <f>VLOOKUP(A140,Government!A:B,2,)</f>
        <v>1720.713</v>
      </c>
      <c r="H140" s="37">
        <f>Table58[[#This Row],[Personal Consumption]]/Table58[[#This Row],[GDP]]</f>
        <v>0.63283686050761068</v>
      </c>
      <c r="I140" s="37">
        <f>Table58[[#This Row],[Private Investment]]/Table58[[#This Row],[GDP]]</f>
        <v>0.11913958322937025</v>
      </c>
      <c r="J140" s="37">
        <f>Table58[[#This Row],[Exports]]/Table58[[#This Row],[GDP]]</f>
        <v>6.058509368329866E-2</v>
      </c>
      <c r="K140" s="37">
        <f>-Table58[[#This Row],[Imports]]/Table58[[#This Row],[GDP]]</f>
        <v>-5.6850790114329988E-2</v>
      </c>
      <c r="L140" s="37">
        <f>Table58[[#This Row],[Government]]/Table58[[#This Row],[GDP]]</f>
        <v>0.25708828907220915</v>
      </c>
      <c r="N140" s="58">
        <f>SUM(Table58[[#This Row],[PC%]:[G%]])</f>
        <v>1.0127990363781587</v>
      </c>
      <c r="O140" s="25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35">
      <c r="A141" s="45">
        <v>29495</v>
      </c>
      <c r="B141" s="63">
        <f>VLOOKUP(A141,'U.S. GDP'!A:B,2,)</f>
        <v>6817.9030000000002</v>
      </c>
      <c r="C141" s="63">
        <f>VLOOKUP(A141,PersonalConsumption!A:B,2,)</f>
        <v>4292.8559999999998</v>
      </c>
      <c r="D141" s="63">
        <f>VLOOKUP(A141,PrivateInvestment!A:B,2,)</f>
        <v>871.73299999999995</v>
      </c>
      <c r="E141" s="63">
        <f>VLOOKUP(A141,Exports!A:B,2,)</f>
        <v>403.04500000000002</v>
      </c>
      <c r="F141" s="63">
        <f>VLOOKUP(A141,Imports!A:B,2,)</f>
        <v>400.911</v>
      </c>
      <c r="G141" s="63">
        <f>VLOOKUP(A141,Government!A:B,2,)</f>
        <v>1720.3340000000001</v>
      </c>
      <c r="H141" s="37">
        <f>Table58[[#This Row],[Personal Consumption]]/Table58[[#This Row],[GDP]]</f>
        <v>0.62964462826766521</v>
      </c>
      <c r="I141" s="37">
        <f>Table58[[#This Row],[Private Investment]]/Table58[[#This Row],[GDP]]</f>
        <v>0.12785940193047626</v>
      </c>
      <c r="J141" s="37">
        <f>Table58[[#This Row],[Exports]]/Table58[[#This Row],[GDP]]</f>
        <v>5.9115684104041964E-2</v>
      </c>
      <c r="K141" s="37">
        <f>-Table58[[#This Row],[Imports]]/Table58[[#This Row],[GDP]]</f>
        <v>-5.8802684637783785E-2</v>
      </c>
      <c r="L141" s="37">
        <f>Table58[[#This Row],[Government]]/Table58[[#This Row],[GDP]]</f>
        <v>0.25232597178340616</v>
      </c>
      <c r="N141" s="58">
        <f>SUM(Table58[[#This Row],[PC%]:[G%]])</f>
        <v>1.0101430014478059</v>
      </c>
      <c r="O141" s="25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35">
      <c r="A142" s="45">
        <v>29587</v>
      </c>
      <c r="B142" s="63">
        <f>VLOOKUP(A142,'U.S. GDP'!A:B,2,)</f>
        <v>6951.4949999999999</v>
      </c>
      <c r="C142" s="63">
        <f>VLOOKUP(A142,PersonalConsumption!A:B,2,)</f>
        <v>4307.2370000000001</v>
      </c>
      <c r="D142" s="63">
        <f>VLOOKUP(A142,PrivateInvestment!A:B,2,)</f>
        <v>952.41800000000001</v>
      </c>
      <c r="E142" s="63">
        <f>VLOOKUP(A142,Exports!A:B,2,)</f>
        <v>410.625</v>
      </c>
      <c r="F142" s="63">
        <f>VLOOKUP(A142,Imports!A:B,2,)</f>
        <v>418.02199999999999</v>
      </c>
      <c r="G142" s="63">
        <f>VLOOKUP(A142,Government!A:B,2,)</f>
        <v>1743.3430000000001</v>
      </c>
      <c r="H142" s="37">
        <f>Table58[[#This Row],[Personal Consumption]]/Table58[[#This Row],[GDP]]</f>
        <v>0.61961304726537247</v>
      </c>
      <c r="I142" s="37">
        <f>Table58[[#This Row],[Private Investment]]/Table58[[#This Row],[GDP]]</f>
        <v>0.13700908941170209</v>
      </c>
      <c r="J142" s="37">
        <f>Table58[[#This Row],[Exports]]/Table58[[#This Row],[GDP]]</f>
        <v>5.9070027382598998E-2</v>
      </c>
      <c r="K142" s="37">
        <f>-Table58[[#This Row],[Imports]]/Table58[[#This Row],[GDP]]</f>
        <v>-6.0134115035686567E-2</v>
      </c>
      <c r="L142" s="37">
        <f>Table58[[#This Row],[Government]]/Table58[[#This Row],[GDP]]</f>
        <v>0.25078677320490056</v>
      </c>
      <c r="N142" s="58">
        <f>SUM(Table58[[#This Row],[PC%]:[G%]])</f>
        <v>1.0063448222288875</v>
      </c>
      <c r="O142" s="25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35">
      <c r="A143" s="45">
        <v>29677</v>
      </c>
      <c r="B143" s="63">
        <f>VLOOKUP(A143,'U.S. GDP'!A:B,2,)</f>
        <v>6899.98</v>
      </c>
      <c r="C143" s="63">
        <f>VLOOKUP(A143,PersonalConsumption!A:B,2,)</f>
        <v>4307.55</v>
      </c>
      <c r="D143" s="63">
        <f>VLOOKUP(A143,PrivateInvestment!A:B,2,)</f>
        <v>912.94500000000005</v>
      </c>
      <c r="E143" s="63">
        <f>VLOOKUP(A143,Exports!A:B,2,)</f>
        <v>412.84500000000003</v>
      </c>
      <c r="F143" s="63">
        <f>VLOOKUP(A143,Imports!A:B,2,)</f>
        <v>418.63900000000001</v>
      </c>
      <c r="G143" s="63">
        <f>VLOOKUP(A143,Government!A:B,2,)</f>
        <v>1746.6949999999999</v>
      </c>
      <c r="H143" s="37">
        <f>Table58[[#This Row],[Personal Consumption]]/Table58[[#This Row],[GDP]]</f>
        <v>0.62428441821570502</v>
      </c>
      <c r="I143" s="37">
        <f>Table58[[#This Row],[Private Investment]]/Table58[[#This Row],[GDP]]</f>
        <v>0.1323112530760959</v>
      </c>
      <c r="J143" s="37">
        <f>Table58[[#This Row],[Exports]]/Table58[[#This Row],[GDP]]</f>
        <v>5.9832782124006167E-2</v>
      </c>
      <c r="K143" s="37">
        <f>-Table58[[#This Row],[Imports]]/Table58[[#This Row],[GDP]]</f>
        <v>-6.0672494702883203E-2</v>
      </c>
      <c r="L143" s="37">
        <f>Table58[[#This Row],[Government]]/Table58[[#This Row],[GDP]]</f>
        <v>0.25314493665199028</v>
      </c>
      <c r="N143" s="58">
        <f>SUM(Table58[[#This Row],[PC%]:[G%]])</f>
        <v>1.0089008953649141</v>
      </c>
      <c r="O143" s="25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35">
      <c r="A144" s="45">
        <v>29768</v>
      </c>
      <c r="B144" s="63">
        <f>VLOOKUP(A144,'U.S. GDP'!A:B,2,)</f>
        <v>6982.6090000000004</v>
      </c>
      <c r="C144" s="63">
        <f>VLOOKUP(A144,PersonalConsumption!A:B,2,)</f>
        <v>4327.4759999999997</v>
      </c>
      <c r="D144" s="63">
        <f>VLOOKUP(A144,PrivateInvestment!A:B,2,)</f>
        <v>964.40099999999995</v>
      </c>
      <c r="E144" s="63">
        <f>VLOOKUP(A144,Exports!A:B,2,)</f>
        <v>404.05</v>
      </c>
      <c r="F144" s="63">
        <f>VLOOKUP(A144,Imports!A:B,2,)</f>
        <v>413.84699999999998</v>
      </c>
      <c r="G144" s="63">
        <f>VLOOKUP(A144,Government!A:B,2,)</f>
        <v>1740.68</v>
      </c>
      <c r="H144" s="37">
        <f>Table58[[#This Row],[Personal Consumption]]/Table58[[#This Row],[GDP]]</f>
        <v>0.61975058319891596</v>
      </c>
      <c r="I144" s="37">
        <f>Table58[[#This Row],[Private Investment]]/Table58[[#This Row],[GDP]]</f>
        <v>0.13811470755415345</v>
      </c>
      <c r="J144" s="37">
        <f>Table58[[#This Row],[Exports]]/Table58[[#This Row],[GDP]]</f>
        <v>5.7865190504007881E-2</v>
      </c>
      <c r="K144" s="37">
        <f>-Table58[[#This Row],[Imports]]/Table58[[#This Row],[GDP]]</f>
        <v>-5.9268247728034025E-2</v>
      </c>
      <c r="L144" s="37">
        <f>Table58[[#This Row],[Government]]/Table58[[#This Row],[GDP]]</f>
        <v>0.24928790943327916</v>
      </c>
      <c r="N144" s="58">
        <f>SUM(Table58[[#This Row],[PC%]:[G%]])</f>
        <v>1.0057501429623223</v>
      </c>
      <c r="O144" s="25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35">
      <c r="A145" s="45">
        <v>29860</v>
      </c>
      <c r="B145" s="63">
        <f>VLOOKUP(A145,'U.S. GDP'!A:B,2,)</f>
        <v>6906.5290000000005</v>
      </c>
      <c r="C145" s="63">
        <f>VLOOKUP(A145,PersonalConsumption!A:B,2,)</f>
        <v>4297.875</v>
      </c>
      <c r="D145" s="63">
        <f>VLOOKUP(A145,PrivateInvestment!A:B,2,)</f>
        <v>930.44</v>
      </c>
      <c r="E145" s="63">
        <f>VLOOKUP(A145,Exports!A:B,2,)</f>
        <v>405.90499999999997</v>
      </c>
      <c r="F145" s="63">
        <f>VLOOKUP(A145,Imports!A:B,2,)</f>
        <v>425.69600000000003</v>
      </c>
      <c r="G145" s="63">
        <f>VLOOKUP(A145,Government!A:B,2,)</f>
        <v>1762.8040000000001</v>
      </c>
      <c r="H145" s="37">
        <f>Table58[[#This Row],[Personal Consumption]]/Table58[[#This Row],[GDP]]</f>
        <v>0.62229160262702143</v>
      </c>
      <c r="I145" s="37">
        <f>Table58[[#This Row],[Private Investment]]/Table58[[#This Row],[GDP]]</f>
        <v>0.13471890149161758</v>
      </c>
      <c r="J145" s="37">
        <f>Table58[[#This Row],[Exports]]/Table58[[#This Row],[GDP]]</f>
        <v>5.8771200410510108E-2</v>
      </c>
      <c r="K145" s="37">
        <f>-Table58[[#This Row],[Imports]]/Table58[[#This Row],[GDP]]</f>
        <v>-6.1636749805872096E-2</v>
      </c>
      <c r="L145" s="37">
        <f>Table58[[#This Row],[Government]]/Table58[[#This Row],[GDP]]</f>
        <v>0.25523732688301171</v>
      </c>
      <c r="N145" s="58">
        <f>SUM(Table58[[#This Row],[PC%]:[G%]])</f>
        <v>1.0093822816062887</v>
      </c>
      <c r="O145" s="25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35">
      <c r="A146" s="45">
        <v>29952</v>
      </c>
      <c r="B146" s="63">
        <f>VLOOKUP(A146,'U.S. GDP'!A:B,2,)</f>
        <v>6799.2330000000002</v>
      </c>
      <c r="C146" s="63">
        <f>VLOOKUP(A146,PersonalConsumption!A:B,2,)</f>
        <v>4329.5330000000004</v>
      </c>
      <c r="D146" s="63">
        <f>VLOOKUP(A146,PrivateInvestment!A:B,2,)</f>
        <v>842.42899999999997</v>
      </c>
      <c r="E146" s="63">
        <f>VLOOKUP(A146,Exports!A:B,2,)</f>
        <v>388.28899999999999</v>
      </c>
      <c r="F146" s="63">
        <f>VLOOKUP(A146,Imports!A:B,2,)</f>
        <v>413.53899999999999</v>
      </c>
      <c r="G146" s="63">
        <f>VLOOKUP(A146,Government!A:B,2,)</f>
        <v>1760.84</v>
      </c>
      <c r="H146" s="37">
        <f>Table58[[#This Row],[Personal Consumption]]/Table58[[#This Row],[GDP]]</f>
        <v>0.63676785307989892</v>
      </c>
      <c r="I146" s="37">
        <f>Table58[[#This Row],[Private Investment]]/Table58[[#This Row],[GDP]]</f>
        <v>0.12390059290511149</v>
      </c>
      <c r="J146" s="37">
        <f>Table58[[#This Row],[Exports]]/Table58[[#This Row],[GDP]]</f>
        <v>5.7107764949370018E-2</v>
      </c>
      <c r="K146" s="37">
        <f>-Table58[[#This Row],[Imports]]/Table58[[#This Row],[GDP]]</f>
        <v>-6.0821419121833295E-2</v>
      </c>
      <c r="L146" s="37">
        <f>Table58[[#This Row],[Government]]/Table58[[#This Row],[GDP]]</f>
        <v>0.25897626982337563</v>
      </c>
      <c r="N146" s="58">
        <f>SUM(Table58[[#This Row],[PC%]:[G%]])</f>
        <v>1.0159310616359227</v>
      </c>
      <c r="O146" s="25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35">
      <c r="A147" s="45">
        <v>30042</v>
      </c>
      <c r="B147" s="63">
        <f>VLOOKUP(A147,'U.S. GDP'!A:B,2,)</f>
        <v>6830.2510000000002</v>
      </c>
      <c r="C147" s="63">
        <f>VLOOKUP(A147,PersonalConsumption!A:B,2,)</f>
        <v>4342.7209999999995</v>
      </c>
      <c r="D147" s="63">
        <f>VLOOKUP(A147,PrivateInvestment!A:B,2,)</f>
        <v>841.78899999999999</v>
      </c>
      <c r="E147" s="63">
        <f>VLOOKUP(A147,Exports!A:B,2,)</f>
        <v>390.60500000000002</v>
      </c>
      <c r="F147" s="63">
        <f>VLOOKUP(A147,Imports!A:B,2,)</f>
        <v>406.76799999999997</v>
      </c>
      <c r="G147" s="63">
        <f>VLOOKUP(A147,Government!A:B,2,)</f>
        <v>1767.5319999999999</v>
      </c>
      <c r="H147" s="37">
        <f>Table58[[#This Row],[Personal Consumption]]/Table58[[#This Row],[GDP]]</f>
        <v>0.6358069417946719</v>
      </c>
      <c r="I147" s="37">
        <f>Table58[[#This Row],[Private Investment]]/Table58[[#This Row],[GDP]]</f>
        <v>0.12324422631027761</v>
      </c>
      <c r="J147" s="37">
        <f>Table58[[#This Row],[Exports]]/Table58[[#This Row],[GDP]]</f>
        <v>5.7187503065407111E-2</v>
      </c>
      <c r="K147" s="37">
        <f>-Table58[[#This Row],[Imports]]/Table58[[#This Row],[GDP]]</f>
        <v>-5.9553887551130988E-2</v>
      </c>
      <c r="L147" s="37">
        <f>Table58[[#This Row],[Government]]/Table58[[#This Row],[GDP]]</f>
        <v>0.25877994820395323</v>
      </c>
      <c r="N147" s="58">
        <f>SUM(Table58[[#This Row],[PC%]:[G%]])</f>
        <v>1.0154647318231789</v>
      </c>
      <c r="O147" s="25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35">
      <c r="A148" s="45">
        <v>30133</v>
      </c>
      <c r="B148" s="63">
        <f>VLOOKUP(A148,'U.S. GDP'!A:B,2,)</f>
        <v>6804.1390000000001</v>
      </c>
      <c r="C148" s="63">
        <f>VLOOKUP(A148,PersonalConsumption!A:B,2,)</f>
        <v>4371.8329999999996</v>
      </c>
      <c r="D148" s="63">
        <f>VLOOKUP(A148,PrivateInvestment!A:B,2,)</f>
        <v>834.07500000000005</v>
      </c>
      <c r="E148" s="63">
        <f>VLOOKUP(A148,Exports!A:B,2,)</f>
        <v>373.28300000000002</v>
      </c>
      <c r="F148" s="63">
        <f>VLOOKUP(A148,Imports!A:B,2,)</f>
        <v>425.63499999999999</v>
      </c>
      <c r="G148" s="63">
        <f>VLOOKUP(A148,Government!A:B,2,)</f>
        <v>1781.703</v>
      </c>
      <c r="H148" s="37">
        <f>Table58[[#This Row],[Personal Consumption]]/Table58[[#This Row],[GDP]]</f>
        <v>0.64252552747673142</v>
      </c>
      <c r="I148" s="37">
        <f>Table58[[#This Row],[Private Investment]]/Table58[[#This Row],[GDP]]</f>
        <v>0.12258347455864732</v>
      </c>
      <c r="J148" s="37">
        <f>Table58[[#This Row],[Exports]]/Table58[[#This Row],[GDP]]</f>
        <v>5.4861166122561575E-2</v>
      </c>
      <c r="K148" s="37">
        <f>-Table58[[#This Row],[Imports]]/Table58[[#This Row],[GDP]]</f>
        <v>-6.2555306409819086E-2</v>
      </c>
      <c r="L148" s="37">
        <f>Table58[[#This Row],[Government]]/Table58[[#This Row],[GDP]]</f>
        <v>0.26185576161803864</v>
      </c>
      <c r="N148" s="58">
        <f>SUM(Table58[[#This Row],[PC%]:[G%]])</f>
        <v>1.0192706233661599</v>
      </c>
      <c r="O148" s="25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35">
      <c r="A149" s="45">
        <v>30225</v>
      </c>
      <c r="B149" s="63">
        <f>VLOOKUP(A149,'U.S. GDP'!A:B,2,)</f>
        <v>6806.857</v>
      </c>
      <c r="C149" s="63">
        <f>VLOOKUP(A149,PersonalConsumption!A:B,2,)</f>
        <v>4448.4139999999998</v>
      </c>
      <c r="D149" s="63">
        <f>VLOOKUP(A149,PrivateInvestment!A:B,2,)</f>
        <v>769.60199999999998</v>
      </c>
      <c r="E149" s="63">
        <f>VLOOKUP(A149,Exports!A:B,2,)</f>
        <v>356.178</v>
      </c>
      <c r="F149" s="63">
        <f>VLOOKUP(A149,Imports!A:B,2,)</f>
        <v>408.92899999999997</v>
      </c>
      <c r="G149" s="63">
        <f>VLOOKUP(A149,Government!A:B,2,)</f>
        <v>1809.171</v>
      </c>
      <c r="H149" s="37">
        <f>Table58[[#This Row],[Personal Consumption]]/Table58[[#This Row],[GDP]]</f>
        <v>0.65351953184854628</v>
      </c>
      <c r="I149" s="37">
        <f>Table58[[#This Row],[Private Investment]]/Table58[[#This Row],[GDP]]</f>
        <v>0.11306275421975223</v>
      </c>
      <c r="J149" s="37">
        <f>Table58[[#This Row],[Exports]]/Table58[[#This Row],[GDP]]</f>
        <v>5.2326352676426137E-2</v>
      </c>
      <c r="K149" s="37">
        <f>-Table58[[#This Row],[Imports]]/Table58[[#This Row],[GDP]]</f>
        <v>-6.0076038030474267E-2</v>
      </c>
      <c r="L149" s="37">
        <f>Table58[[#This Row],[Government]]/Table58[[#This Row],[GDP]]</f>
        <v>0.26578654436254501</v>
      </c>
      <c r="N149" s="58">
        <f>SUM(Table58[[#This Row],[PC%]:[G%]])</f>
        <v>1.0246191450767954</v>
      </c>
      <c r="O149" s="25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35">
      <c r="A150" s="45">
        <v>30317</v>
      </c>
      <c r="B150" s="63">
        <f>VLOOKUP(A150,'U.S. GDP'!A:B,2,)</f>
        <v>6896.5609999999997</v>
      </c>
      <c r="C150" s="63">
        <f>VLOOKUP(A150,PersonalConsumption!A:B,2,)</f>
        <v>4492.3950000000004</v>
      </c>
      <c r="D150" s="63">
        <f>VLOOKUP(A150,PrivateInvestment!A:B,2,)</f>
        <v>796.26599999999996</v>
      </c>
      <c r="E150" s="63">
        <f>VLOOKUP(A150,Exports!A:B,2,)</f>
        <v>361.923</v>
      </c>
      <c r="F150" s="63">
        <f>VLOOKUP(A150,Imports!A:B,2,)</f>
        <v>418.30099999999999</v>
      </c>
      <c r="G150" s="63">
        <f>VLOOKUP(A150,Government!A:B,2,)</f>
        <v>1826.558</v>
      </c>
      <c r="H150" s="37">
        <f>Table58[[#This Row],[Personal Consumption]]/Table58[[#This Row],[GDP]]</f>
        <v>0.65139639887184364</v>
      </c>
      <c r="I150" s="37">
        <f>Table58[[#This Row],[Private Investment]]/Table58[[#This Row],[GDP]]</f>
        <v>0.11545841470843221</v>
      </c>
      <c r="J150" s="37">
        <f>Table58[[#This Row],[Exports]]/Table58[[#This Row],[GDP]]</f>
        <v>5.2478764416061863E-2</v>
      </c>
      <c r="K150" s="37">
        <f>-Table58[[#This Row],[Imports]]/Table58[[#This Row],[GDP]]</f>
        <v>-6.06535634209572E-2</v>
      </c>
      <c r="L150" s="37">
        <f>Table58[[#This Row],[Government]]/Table58[[#This Row],[GDP]]</f>
        <v>0.26485055377600519</v>
      </c>
      <c r="N150" s="58">
        <f>SUM(Table58[[#This Row],[PC%]:[G%]])</f>
        <v>1.0235305683513858</v>
      </c>
      <c r="O150" s="25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35">
      <c r="A151" s="45">
        <v>30407</v>
      </c>
      <c r="B151" s="63">
        <f>VLOOKUP(A151,'U.S. GDP'!A:B,2,)</f>
        <v>7053.5</v>
      </c>
      <c r="C151" s="63">
        <f>VLOOKUP(A151,PersonalConsumption!A:B,2,)</f>
        <v>4583.8729999999996</v>
      </c>
      <c r="D151" s="63">
        <f>VLOOKUP(A151,PrivateInvestment!A:B,2,)</f>
        <v>866.78399999999999</v>
      </c>
      <c r="E151" s="63">
        <f>VLOOKUP(A151,Exports!A:B,2,)</f>
        <v>363.00599999999997</v>
      </c>
      <c r="F151" s="63">
        <f>VLOOKUP(A151,Imports!A:B,2,)</f>
        <v>450.46499999999997</v>
      </c>
      <c r="G151" s="63">
        <f>VLOOKUP(A151,Government!A:B,2,)</f>
        <v>1841.6079999999999</v>
      </c>
      <c r="H151" s="37">
        <f>Table58[[#This Row],[Personal Consumption]]/Table58[[#This Row],[GDP]]</f>
        <v>0.6498721202240022</v>
      </c>
      <c r="I151" s="37">
        <f>Table58[[#This Row],[Private Investment]]/Table58[[#This Row],[GDP]]</f>
        <v>0.12288707733749202</v>
      </c>
      <c r="J151" s="37">
        <f>Table58[[#This Row],[Exports]]/Table58[[#This Row],[GDP]]</f>
        <v>5.1464662933295525E-2</v>
      </c>
      <c r="K151" s="37">
        <f>-Table58[[#This Row],[Imports]]/Table58[[#This Row],[GDP]]</f>
        <v>-6.3864039129510164E-2</v>
      </c>
      <c r="L151" s="37">
        <f>Table58[[#This Row],[Government]]/Table58[[#This Row],[GDP]]</f>
        <v>0.26109137307719571</v>
      </c>
      <c r="N151" s="58">
        <f>SUM(Table58[[#This Row],[PC%]:[G%]])</f>
        <v>1.0214511944424753</v>
      </c>
      <c r="O151" s="25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35">
      <c r="A152" s="45">
        <v>30498</v>
      </c>
      <c r="B152" s="63">
        <f>VLOOKUP(A152,'U.S. GDP'!A:B,2,)</f>
        <v>7194.5039999999999</v>
      </c>
      <c r="C152" s="63">
        <f>VLOOKUP(A152,PersonalConsumption!A:B,2,)</f>
        <v>4666.07</v>
      </c>
      <c r="D152" s="63">
        <f>VLOOKUP(A152,PrivateInvestment!A:B,2,)</f>
        <v>921.05100000000004</v>
      </c>
      <c r="E152" s="63">
        <f>VLOOKUP(A152,Exports!A:B,2,)</f>
        <v>368.46300000000002</v>
      </c>
      <c r="F152" s="63">
        <f>VLOOKUP(A152,Imports!A:B,2,)</f>
        <v>485.55599999999998</v>
      </c>
      <c r="G152" s="63">
        <f>VLOOKUP(A152,Government!A:B,2,)</f>
        <v>1873.396</v>
      </c>
      <c r="H152" s="37">
        <f>Table58[[#This Row],[Personal Consumption]]/Table58[[#This Row],[GDP]]</f>
        <v>0.64856034550818231</v>
      </c>
      <c r="I152" s="37">
        <f>Table58[[#This Row],[Private Investment]]/Table58[[#This Row],[GDP]]</f>
        <v>0.12802147305776743</v>
      </c>
      <c r="J152" s="37">
        <f>Table58[[#This Row],[Exports]]/Table58[[#This Row],[GDP]]</f>
        <v>5.1214510409612675E-2</v>
      </c>
      <c r="K152" s="37">
        <f>-Table58[[#This Row],[Imports]]/Table58[[#This Row],[GDP]]</f>
        <v>-6.7489850585947267E-2</v>
      </c>
      <c r="L152" s="37">
        <f>Table58[[#This Row],[Government]]/Table58[[#This Row],[GDP]]</f>
        <v>0.26039265528242111</v>
      </c>
      <c r="N152" s="58">
        <f>SUM(Table58[[#This Row],[PC%]:[G%]])</f>
        <v>1.0206991336720364</v>
      </c>
      <c r="O152" s="25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35">
      <c r="A153" s="45">
        <v>30590</v>
      </c>
      <c r="B153" s="63">
        <f>VLOOKUP(A153,'U.S. GDP'!A:B,2,)</f>
        <v>7344.5969999999998</v>
      </c>
      <c r="C153" s="63">
        <f>VLOOKUP(A153,PersonalConsumption!A:B,2,)</f>
        <v>4740.4269999999997</v>
      </c>
      <c r="D153" s="63">
        <f>VLOOKUP(A153,PrivateInvestment!A:B,2,)</f>
        <v>1010.654</v>
      </c>
      <c r="E153" s="63">
        <f>VLOOKUP(A153,Exports!A:B,2,)</f>
        <v>375.87799999999999</v>
      </c>
      <c r="F153" s="63">
        <f>VLOOKUP(A153,Imports!A:B,2,)</f>
        <v>509.375</v>
      </c>
      <c r="G153" s="63">
        <f>VLOOKUP(A153,Government!A:B,2,)</f>
        <v>1843.4169999999999</v>
      </c>
      <c r="H153" s="37">
        <f>Table58[[#This Row],[Personal Consumption]]/Table58[[#This Row],[GDP]]</f>
        <v>0.64543051170813048</v>
      </c>
      <c r="I153" s="37">
        <f>Table58[[#This Row],[Private Investment]]/Table58[[#This Row],[GDP]]</f>
        <v>0.13760509936760315</v>
      </c>
      <c r="J153" s="37">
        <f>Table58[[#This Row],[Exports]]/Table58[[#This Row],[GDP]]</f>
        <v>5.1177484618965478E-2</v>
      </c>
      <c r="K153" s="37">
        <f>-Table58[[#This Row],[Imports]]/Table58[[#This Row],[GDP]]</f>
        <v>-6.9353703137149669E-2</v>
      </c>
      <c r="L153" s="37">
        <f>Table58[[#This Row],[Government]]/Table58[[#This Row],[GDP]]</f>
        <v>0.25098953693442949</v>
      </c>
      <c r="N153" s="58">
        <f>SUM(Table58[[#This Row],[PC%]:[G%]])</f>
        <v>1.0158489294919788</v>
      </c>
      <c r="O153" s="25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35">
      <c r="A154" s="45">
        <v>30682</v>
      </c>
      <c r="B154" s="63">
        <f>VLOOKUP(A154,'U.S. GDP'!A:B,2,)</f>
        <v>7488.1670000000004</v>
      </c>
      <c r="C154" s="63">
        <f>VLOOKUP(A154,PersonalConsumption!A:B,2,)</f>
        <v>4779.7669999999998</v>
      </c>
      <c r="D154" s="63">
        <f>VLOOKUP(A154,PrivateInvestment!A:B,2,)</f>
        <v>1108.328</v>
      </c>
      <c r="E154" s="63">
        <f>VLOOKUP(A154,Exports!A:B,2,)</f>
        <v>383.72300000000001</v>
      </c>
      <c r="F154" s="63">
        <f>VLOOKUP(A154,Imports!A:B,2,)</f>
        <v>550.32399999999996</v>
      </c>
      <c r="G154" s="63">
        <f>VLOOKUP(A154,Government!A:B,2,)</f>
        <v>1862.9549999999999</v>
      </c>
      <c r="H154" s="37">
        <f>Table58[[#This Row],[Personal Consumption]]/Table58[[#This Row],[GDP]]</f>
        <v>0.63830934860293576</v>
      </c>
      <c r="I154" s="37">
        <f>Table58[[#This Row],[Private Investment]]/Table58[[#This Row],[GDP]]</f>
        <v>0.14801058790489047</v>
      </c>
      <c r="J154" s="37">
        <f>Table58[[#This Row],[Exports]]/Table58[[#This Row],[GDP]]</f>
        <v>5.1243915900914067E-2</v>
      </c>
      <c r="K154" s="37">
        <f>-Table58[[#This Row],[Imports]]/Table58[[#This Row],[GDP]]</f>
        <v>-7.3492484876472433E-2</v>
      </c>
      <c r="L154" s="37">
        <f>Table58[[#This Row],[Government]]/Table58[[#This Row],[GDP]]</f>
        <v>0.24878651878356878</v>
      </c>
      <c r="N154" s="58">
        <f>SUM(Table58[[#This Row],[PC%]:[G%]])</f>
        <v>1.0128578863158366</v>
      </c>
      <c r="O154" s="25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35">
      <c r="A155" s="45">
        <v>30773</v>
      </c>
      <c r="B155" s="63">
        <f>VLOOKUP(A155,'U.S. GDP'!A:B,2,)</f>
        <v>7617.5469999999996</v>
      </c>
      <c r="C155" s="63">
        <f>VLOOKUP(A155,PersonalConsumption!A:B,2,)</f>
        <v>4846.7309999999998</v>
      </c>
      <c r="D155" s="63">
        <f>VLOOKUP(A155,PrivateInvestment!A:B,2,)</f>
        <v>1144.3710000000001</v>
      </c>
      <c r="E155" s="63">
        <f>VLOOKUP(A155,Exports!A:B,2,)</f>
        <v>393.26</v>
      </c>
      <c r="F155" s="63">
        <f>VLOOKUP(A155,Imports!A:B,2,)</f>
        <v>573.37699999999995</v>
      </c>
      <c r="G155" s="63">
        <f>VLOOKUP(A155,Government!A:B,2,)</f>
        <v>1903.424</v>
      </c>
      <c r="H155" s="37">
        <f>Table58[[#This Row],[Personal Consumption]]/Table58[[#This Row],[GDP]]</f>
        <v>0.63625875888918049</v>
      </c>
      <c r="I155" s="37">
        <f>Table58[[#This Row],[Private Investment]]/Table58[[#This Row],[GDP]]</f>
        <v>0.15022828214909606</v>
      </c>
      <c r="J155" s="37">
        <f>Table58[[#This Row],[Exports]]/Table58[[#This Row],[GDP]]</f>
        <v>5.1625542973348246E-2</v>
      </c>
      <c r="K155" s="37">
        <f>-Table58[[#This Row],[Imports]]/Table58[[#This Row],[GDP]]</f>
        <v>-7.5270556256495688E-2</v>
      </c>
      <c r="L155" s="37">
        <f>Table58[[#This Row],[Government]]/Table58[[#This Row],[GDP]]</f>
        <v>0.24987361417002088</v>
      </c>
      <c r="N155" s="58">
        <f>SUM(Table58[[#This Row],[PC%]:[G%]])</f>
        <v>1.01271564192515</v>
      </c>
      <c r="O155" s="25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35">
      <c r="A156" s="45">
        <v>30864</v>
      </c>
      <c r="B156" s="63">
        <f>VLOOKUP(A156,'U.S. GDP'!A:B,2,)</f>
        <v>7690.9849999999997</v>
      </c>
      <c r="C156" s="63">
        <f>VLOOKUP(A156,PersonalConsumption!A:B,2,)</f>
        <v>4882.6760000000004</v>
      </c>
      <c r="D156" s="63">
        <f>VLOOKUP(A156,PrivateInvestment!A:B,2,)</f>
        <v>1169.136</v>
      </c>
      <c r="E156" s="63">
        <f>VLOOKUP(A156,Exports!A:B,2,)</f>
        <v>401.94799999999998</v>
      </c>
      <c r="F156" s="63">
        <f>VLOOKUP(A156,Imports!A:B,2,)</f>
        <v>588.22</v>
      </c>
      <c r="G156" s="63">
        <f>VLOOKUP(A156,Government!A:B,2,)</f>
        <v>1918.8330000000001</v>
      </c>
      <c r="H156" s="37">
        <f>Table58[[#This Row],[Personal Consumption]]/Table58[[#This Row],[GDP]]</f>
        <v>0.63485704366865892</v>
      </c>
      <c r="I156" s="37">
        <f>Table58[[#This Row],[Private Investment]]/Table58[[#This Row],[GDP]]</f>
        <v>0.15201381877613857</v>
      </c>
      <c r="J156" s="37">
        <f>Table58[[#This Row],[Exports]]/Table58[[#This Row],[GDP]]</f>
        <v>5.226222648984493E-2</v>
      </c>
      <c r="K156" s="37">
        <f>-Table58[[#This Row],[Imports]]/Table58[[#This Row],[GDP]]</f>
        <v>-7.6481751037090831E-2</v>
      </c>
      <c r="L156" s="37">
        <f>Table58[[#This Row],[Government]]/Table58[[#This Row],[GDP]]</f>
        <v>0.24949119001012227</v>
      </c>
      <c r="N156" s="58">
        <f>SUM(Table58[[#This Row],[PC%]:[G%]])</f>
        <v>1.0121425279076739</v>
      </c>
      <c r="O156" s="25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35">
      <c r="A157" s="45">
        <v>30956</v>
      </c>
      <c r="B157" s="63">
        <f>VLOOKUP(A157,'U.S. GDP'!A:B,2,)</f>
        <v>7754.1170000000002</v>
      </c>
      <c r="C157" s="63">
        <f>VLOOKUP(A157,PersonalConsumption!A:B,2,)</f>
        <v>4945.9260000000004</v>
      </c>
      <c r="D157" s="63">
        <f>VLOOKUP(A157,PrivateInvestment!A:B,2,)</f>
        <v>1153.971</v>
      </c>
      <c r="E157" s="63">
        <f>VLOOKUP(A157,Exports!A:B,2,)</f>
        <v>410.12599999999998</v>
      </c>
      <c r="F157" s="63">
        <f>VLOOKUP(A157,Imports!A:B,2,)</f>
        <v>605.46100000000001</v>
      </c>
      <c r="G157" s="63">
        <f>VLOOKUP(A157,Government!A:B,2,)</f>
        <v>1959.1210000000001</v>
      </c>
      <c r="H157" s="37">
        <f>Table58[[#This Row],[Personal Consumption]]/Table58[[#This Row],[GDP]]</f>
        <v>0.63784516019038662</v>
      </c>
      <c r="I157" s="37">
        <f>Table58[[#This Row],[Private Investment]]/Table58[[#This Row],[GDP]]</f>
        <v>0.14882042661982015</v>
      </c>
      <c r="J157" s="37">
        <f>Table58[[#This Row],[Exports]]/Table58[[#This Row],[GDP]]</f>
        <v>5.2891386601466028E-2</v>
      </c>
      <c r="K157" s="37">
        <f>-Table58[[#This Row],[Imports]]/Table58[[#This Row],[GDP]]</f>
        <v>-7.8082520550051021E-2</v>
      </c>
      <c r="L157" s="37">
        <f>Table58[[#This Row],[Government]]/Table58[[#This Row],[GDP]]</f>
        <v>0.25265558928244186</v>
      </c>
      <c r="N157" s="58">
        <f>SUM(Table58[[#This Row],[PC%]:[G%]])</f>
        <v>1.0141300421440635</v>
      </c>
      <c r="O157" s="25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35">
      <c r="A158" s="45">
        <v>31048</v>
      </c>
      <c r="B158" s="63">
        <f>VLOOKUP(A158,'U.S. GDP'!A:B,2,)</f>
        <v>7829.26</v>
      </c>
      <c r="C158" s="63">
        <f>VLOOKUP(A158,PersonalConsumption!A:B,2,)</f>
        <v>5029.9589999999998</v>
      </c>
      <c r="D158" s="63">
        <f>VLOOKUP(A158,PrivateInvestment!A:B,2,)</f>
        <v>1122.3309999999999</v>
      </c>
      <c r="E158" s="63">
        <f>VLOOKUP(A158,Exports!A:B,2,)</f>
        <v>411.214</v>
      </c>
      <c r="F158" s="63">
        <f>VLOOKUP(A158,Imports!A:B,2,)</f>
        <v>592.10799999999995</v>
      </c>
      <c r="G158" s="63">
        <f>VLOOKUP(A158,Government!A:B,2,)</f>
        <v>1980.4580000000001</v>
      </c>
      <c r="H158" s="37">
        <f>Table58[[#This Row],[Personal Consumption]]/Table58[[#This Row],[GDP]]</f>
        <v>0.64245650291342982</v>
      </c>
      <c r="I158" s="37">
        <f>Table58[[#This Row],[Private Investment]]/Table58[[#This Row],[GDP]]</f>
        <v>0.14335084030930126</v>
      </c>
      <c r="J158" s="37">
        <f>Table58[[#This Row],[Exports]]/Table58[[#This Row],[GDP]]</f>
        <v>5.2522716067674335E-2</v>
      </c>
      <c r="K158" s="37">
        <f>-Table58[[#This Row],[Imports]]/Table58[[#This Row],[GDP]]</f>
        <v>-7.5627581661612972E-2</v>
      </c>
      <c r="L158" s="37">
        <f>Table58[[#This Row],[Government]]/Table58[[#This Row],[GDP]]</f>
        <v>0.25295596263248377</v>
      </c>
      <c r="N158" s="58">
        <f>SUM(Table58[[#This Row],[PC%]:[G%]])</f>
        <v>1.0156584402612761</v>
      </c>
      <c r="O158" s="25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35">
      <c r="A159" s="45">
        <v>31138</v>
      </c>
      <c r="B159" s="63">
        <f>VLOOKUP(A159,'U.S. GDP'!A:B,2,)</f>
        <v>7898.1940000000004</v>
      </c>
      <c r="C159" s="63">
        <f>VLOOKUP(A159,PersonalConsumption!A:B,2,)</f>
        <v>5076.1360000000004</v>
      </c>
      <c r="D159" s="63">
        <f>VLOOKUP(A159,PrivateInvestment!A:B,2,)</f>
        <v>1141.4469999999999</v>
      </c>
      <c r="E159" s="63">
        <f>VLOOKUP(A159,Exports!A:B,2,)</f>
        <v>410.33199999999999</v>
      </c>
      <c r="F159" s="63">
        <f>VLOOKUP(A159,Imports!A:B,2,)</f>
        <v>621.20100000000002</v>
      </c>
      <c r="G159" s="63">
        <f>VLOOKUP(A159,Government!A:B,2,)</f>
        <v>2024.41</v>
      </c>
      <c r="H159" s="37">
        <f>Table58[[#This Row],[Personal Consumption]]/Table58[[#This Row],[GDP]]</f>
        <v>0.64269578589738363</v>
      </c>
      <c r="I159" s="37">
        <f>Table58[[#This Row],[Private Investment]]/Table58[[#This Row],[GDP]]</f>
        <v>0.14452000039502699</v>
      </c>
      <c r="J159" s="37">
        <f>Table58[[#This Row],[Exports]]/Table58[[#This Row],[GDP]]</f>
        <v>5.1952636260897106E-2</v>
      </c>
      <c r="K159" s="37">
        <f>-Table58[[#This Row],[Imports]]/Table58[[#This Row],[GDP]]</f>
        <v>-7.865101819479238E-2</v>
      </c>
      <c r="L159" s="37">
        <f>Table58[[#This Row],[Government]]/Table58[[#This Row],[GDP]]</f>
        <v>0.25631302548405371</v>
      </c>
      <c r="N159" s="58">
        <f>SUM(Table58[[#This Row],[PC%]:[G%]])</f>
        <v>1.016830429842569</v>
      </c>
      <c r="O159" s="25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35">
      <c r="A160" s="45">
        <v>31229</v>
      </c>
      <c r="B160" s="63">
        <f>VLOOKUP(A160,'U.S. GDP'!A:B,2,)</f>
        <v>8018.8090000000002</v>
      </c>
      <c r="C160" s="63">
        <f>VLOOKUP(A160,PersonalConsumption!A:B,2,)</f>
        <v>5172.55</v>
      </c>
      <c r="D160" s="63">
        <f>VLOOKUP(A160,PrivateInvestment!A:B,2,)</f>
        <v>1133.665</v>
      </c>
      <c r="E160" s="63">
        <f>VLOOKUP(A160,Exports!A:B,2,)</f>
        <v>404.34699999999998</v>
      </c>
      <c r="F160" s="63">
        <f>VLOOKUP(A160,Imports!A:B,2,)</f>
        <v>615.19200000000001</v>
      </c>
      <c r="G160" s="63">
        <f>VLOOKUP(A160,Government!A:B,2,)</f>
        <v>2070.5500000000002</v>
      </c>
      <c r="H160" s="37">
        <f>Table58[[#This Row],[Personal Consumption]]/Table58[[#This Row],[GDP]]</f>
        <v>0.64505215175969399</v>
      </c>
      <c r="I160" s="37">
        <f>Table58[[#This Row],[Private Investment]]/Table58[[#This Row],[GDP]]</f>
        <v>0.14137573297979786</v>
      </c>
      <c r="J160" s="37">
        <f>Table58[[#This Row],[Exports]]/Table58[[#This Row],[GDP]]</f>
        <v>5.0424819945206326E-2</v>
      </c>
      <c r="K160" s="37">
        <f>-Table58[[#This Row],[Imports]]/Table58[[#This Row],[GDP]]</f>
        <v>-7.6718624922977957E-2</v>
      </c>
      <c r="L160" s="37">
        <f>Table58[[#This Row],[Government]]/Table58[[#This Row],[GDP]]</f>
        <v>0.25821166210593122</v>
      </c>
      <c r="N160" s="58">
        <f>SUM(Table58[[#This Row],[PC%]:[G%]])</f>
        <v>1.0183457418676514</v>
      </c>
      <c r="O160" s="25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35">
      <c r="A161" s="45">
        <v>31321</v>
      </c>
      <c r="B161" s="63">
        <f>VLOOKUP(A161,'U.S. GDP'!A:B,2,)</f>
        <v>8078.415</v>
      </c>
      <c r="C161" s="63">
        <f>VLOOKUP(A161,PersonalConsumption!A:B,2,)</f>
        <v>5183.741</v>
      </c>
      <c r="D161" s="63">
        <f>VLOOKUP(A161,PrivateInvestment!A:B,2,)</f>
        <v>1175.45</v>
      </c>
      <c r="E161" s="63">
        <f>VLOOKUP(A161,Exports!A:B,2,)</f>
        <v>416.411</v>
      </c>
      <c r="F161" s="63">
        <f>VLOOKUP(A161,Imports!A:B,2,)</f>
        <v>639.26700000000005</v>
      </c>
      <c r="G161" s="63">
        <f>VLOOKUP(A161,Government!A:B,2,)</f>
        <v>2079.0859999999998</v>
      </c>
      <c r="H161" s="37">
        <f>Table58[[#This Row],[Personal Consumption]]/Table58[[#This Row],[GDP]]</f>
        <v>0.64167797767260037</v>
      </c>
      <c r="I161" s="37">
        <f>Table58[[#This Row],[Private Investment]]/Table58[[#This Row],[GDP]]</f>
        <v>0.14550502790460754</v>
      </c>
      <c r="J161" s="37">
        <f>Table58[[#This Row],[Exports]]/Table58[[#This Row],[GDP]]</f>
        <v>5.1546126313144348E-2</v>
      </c>
      <c r="K161" s="37">
        <f>-Table58[[#This Row],[Imports]]/Table58[[#This Row],[GDP]]</f>
        <v>-7.9132725912199373E-2</v>
      </c>
      <c r="L161" s="37">
        <f>Table58[[#This Row],[Government]]/Table58[[#This Row],[GDP]]</f>
        <v>0.25736310897620385</v>
      </c>
      <c r="N161" s="58">
        <f>SUM(Table58[[#This Row],[PC%]:[G%]])</f>
        <v>1.0169595149543569</v>
      </c>
      <c r="O161" s="25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35">
      <c r="A162" s="45">
        <v>31413</v>
      </c>
      <c r="B162" s="63">
        <f>VLOOKUP(A162,'U.S. GDP'!A:B,2,)</f>
        <v>8153.8289999999997</v>
      </c>
      <c r="C162" s="63">
        <f>VLOOKUP(A162,PersonalConsumption!A:B,2,)</f>
        <v>5229.0410000000002</v>
      </c>
      <c r="D162" s="63">
        <f>VLOOKUP(A162,PrivateInvestment!A:B,2,)</f>
        <v>1175.105</v>
      </c>
      <c r="E162" s="63">
        <f>VLOOKUP(A162,Exports!A:B,2,)</f>
        <v>429.45299999999997</v>
      </c>
      <c r="F162" s="63">
        <f>VLOOKUP(A162,Imports!A:B,2,)</f>
        <v>638.62900000000002</v>
      </c>
      <c r="G162" s="63">
        <f>VLOOKUP(A162,Government!A:B,2,)</f>
        <v>2095.5120000000002</v>
      </c>
      <c r="H162" s="37">
        <f>Table58[[#This Row],[Personal Consumption]]/Table58[[#This Row],[GDP]]</f>
        <v>0.64129883027961465</v>
      </c>
      <c r="I162" s="37">
        <f>Table58[[#This Row],[Private Investment]]/Table58[[#This Row],[GDP]]</f>
        <v>0.14411695413283748</v>
      </c>
      <c r="J162" s="37">
        <f>Table58[[#This Row],[Exports]]/Table58[[#This Row],[GDP]]</f>
        <v>5.2668874954331271E-2</v>
      </c>
      <c r="K162" s="37">
        <f>-Table58[[#This Row],[Imports]]/Table58[[#This Row],[GDP]]</f>
        <v>-7.8322589301296361E-2</v>
      </c>
      <c r="L162" s="37">
        <f>Table58[[#This Row],[Government]]/Table58[[#This Row],[GDP]]</f>
        <v>0.25699729538110255</v>
      </c>
      <c r="N162" s="58">
        <f>SUM(Table58[[#This Row],[PC%]:[G%]])</f>
        <v>1.0167593654465896</v>
      </c>
      <c r="O162" s="25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35">
      <c r="A163" s="45">
        <v>31503</v>
      </c>
      <c r="B163" s="63">
        <f>VLOOKUP(A163,'U.S. GDP'!A:B,2,)</f>
        <v>8190.5519999999997</v>
      </c>
      <c r="C163" s="63">
        <f>VLOOKUP(A163,PersonalConsumption!A:B,2,)</f>
        <v>5286.0190000000002</v>
      </c>
      <c r="D163" s="63">
        <f>VLOOKUP(A163,PrivateInvestment!A:B,2,)</f>
        <v>1154.5889999999999</v>
      </c>
      <c r="E163" s="63">
        <f>VLOOKUP(A163,Exports!A:B,2,)</f>
        <v>434.077</v>
      </c>
      <c r="F163" s="63">
        <f>VLOOKUP(A163,Imports!A:B,2,)</f>
        <v>665.80100000000004</v>
      </c>
      <c r="G163" s="63">
        <f>VLOOKUP(A163,Government!A:B,2,)</f>
        <v>2139.194</v>
      </c>
      <c r="H163" s="37">
        <f>Table58[[#This Row],[Personal Consumption]]/Table58[[#This Row],[GDP]]</f>
        <v>0.64538006717984342</v>
      </c>
      <c r="I163" s="37">
        <f>Table58[[#This Row],[Private Investment]]/Table58[[#This Row],[GDP]]</f>
        <v>0.14096595687323638</v>
      </c>
      <c r="J163" s="37">
        <f>Table58[[#This Row],[Exports]]/Table58[[#This Row],[GDP]]</f>
        <v>5.2997282722825036E-2</v>
      </c>
      <c r="K163" s="37">
        <f>-Table58[[#This Row],[Imports]]/Table58[[#This Row],[GDP]]</f>
        <v>-8.1288904581766908E-2</v>
      </c>
      <c r="L163" s="37">
        <f>Table58[[#This Row],[Government]]/Table58[[#This Row],[GDP]]</f>
        <v>0.2611782453734498</v>
      </c>
      <c r="N163" s="58">
        <f>SUM(Table58[[#This Row],[PC%]:[G%]])</f>
        <v>1.0192326475675877</v>
      </c>
      <c r="O163" s="25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35">
      <c r="A164" s="45">
        <v>31594</v>
      </c>
      <c r="B164" s="63">
        <f>VLOOKUP(A164,'U.S. GDP'!A:B,2,)</f>
        <v>8268.9349999999995</v>
      </c>
      <c r="C164" s="63">
        <f>VLOOKUP(A164,PersonalConsumption!A:B,2,)</f>
        <v>5379.527</v>
      </c>
      <c r="D164" s="63">
        <f>VLOOKUP(A164,PrivateInvestment!A:B,2,)</f>
        <v>1123.5319999999999</v>
      </c>
      <c r="E164" s="63">
        <f>VLOOKUP(A164,Exports!A:B,2,)</f>
        <v>444.012</v>
      </c>
      <c r="F164" s="63">
        <f>VLOOKUP(A164,Imports!A:B,2,)</f>
        <v>684.25599999999997</v>
      </c>
      <c r="G164" s="63">
        <f>VLOOKUP(A164,Government!A:B,2,)</f>
        <v>2185.7890000000002</v>
      </c>
      <c r="H164" s="37">
        <f>Table58[[#This Row],[Personal Consumption]]/Table58[[#This Row],[GDP]]</f>
        <v>0.65057072041320929</v>
      </c>
      <c r="I164" s="37">
        <f>Table58[[#This Row],[Private Investment]]/Table58[[#This Row],[GDP]]</f>
        <v>0.13587384590639545</v>
      </c>
      <c r="J164" s="37">
        <f>Table58[[#This Row],[Exports]]/Table58[[#This Row],[GDP]]</f>
        <v>5.3696395001290982E-2</v>
      </c>
      <c r="K164" s="37">
        <f>-Table58[[#This Row],[Imports]]/Table58[[#This Row],[GDP]]</f>
        <v>-8.2750196972161474E-2</v>
      </c>
      <c r="L164" s="37">
        <f>Table58[[#This Row],[Government]]/Table58[[#This Row],[GDP]]</f>
        <v>0.26433742676656674</v>
      </c>
      <c r="N164" s="58">
        <f>SUM(Table58[[#This Row],[PC%]:[G%]])</f>
        <v>1.0217281911153009</v>
      </c>
      <c r="O164" s="25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35">
      <c r="A165" s="45">
        <v>31686</v>
      </c>
      <c r="B165" s="63">
        <f>VLOOKUP(A165,'U.S. GDP'!A:B,2,)</f>
        <v>8313.3379999999997</v>
      </c>
      <c r="C165" s="63">
        <f>VLOOKUP(A165,PersonalConsumption!A:B,2,)</f>
        <v>5412.5150000000003</v>
      </c>
      <c r="D165" s="63">
        <f>VLOOKUP(A165,PrivateInvestment!A:B,2,)</f>
        <v>1126.895</v>
      </c>
      <c r="E165" s="63">
        <f>VLOOKUP(A165,Exports!A:B,2,)</f>
        <v>460.6</v>
      </c>
      <c r="F165" s="63">
        <f>VLOOKUP(A165,Imports!A:B,2,)</f>
        <v>689.56700000000001</v>
      </c>
      <c r="G165" s="63">
        <f>VLOOKUP(A165,Government!A:B,2,)</f>
        <v>2176.7570000000001</v>
      </c>
      <c r="H165" s="37">
        <f>Table58[[#This Row],[Personal Consumption]]/Table58[[#This Row],[GDP]]</f>
        <v>0.65106398897771278</v>
      </c>
      <c r="I165" s="37">
        <f>Table58[[#This Row],[Private Investment]]/Table58[[#This Row],[GDP]]</f>
        <v>0.13555265045159959</v>
      </c>
      <c r="J165" s="37">
        <f>Table58[[#This Row],[Exports]]/Table58[[#This Row],[GDP]]</f>
        <v>5.5404940831228086E-2</v>
      </c>
      <c r="K165" s="37">
        <f>-Table58[[#This Row],[Imports]]/Table58[[#This Row],[GDP]]</f>
        <v>-8.2947066509264991E-2</v>
      </c>
      <c r="L165" s="37">
        <f>Table58[[#This Row],[Government]]/Table58[[#This Row],[GDP]]</f>
        <v>0.26183910722744586</v>
      </c>
      <c r="N165" s="58">
        <f>SUM(Table58[[#This Row],[PC%]:[G%]])</f>
        <v>1.0209136209787213</v>
      </c>
      <c r="O165" s="25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35">
      <c r="A166" s="45">
        <v>31778</v>
      </c>
      <c r="B166" s="63">
        <f>VLOOKUP(A166,'U.S. GDP'!A:B,2,)</f>
        <v>8375.2739999999994</v>
      </c>
      <c r="C166" s="63">
        <f>VLOOKUP(A166,PersonalConsumption!A:B,2,)</f>
        <v>5417.9040000000005</v>
      </c>
      <c r="D166" s="63">
        <f>VLOOKUP(A166,PrivateInvestment!A:B,2,)</f>
        <v>1157.306</v>
      </c>
      <c r="E166" s="63">
        <f>VLOOKUP(A166,Exports!A:B,2,)</f>
        <v>461.01</v>
      </c>
      <c r="F166" s="63">
        <f>VLOOKUP(A166,Imports!A:B,2,)</f>
        <v>685.524</v>
      </c>
      <c r="G166" s="63">
        <f>VLOOKUP(A166,Government!A:B,2,)</f>
        <v>2189.5230000000001</v>
      </c>
      <c r="H166" s="37">
        <f>Table58[[#This Row],[Personal Consumption]]/Table58[[#This Row],[GDP]]</f>
        <v>0.6468927464343257</v>
      </c>
      <c r="I166" s="37">
        <f>Table58[[#This Row],[Private Investment]]/Table58[[#This Row],[GDP]]</f>
        <v>0.13818127024859128</v>
      </c>
      <c r="J166" s="37">
        <f>Table58[[#This Row],[Exports]]/Table58[[#This Row],[GDP]]</f>
        <v>5.5044169301207341E-2</v>
      </c>
      <c r="K166" s="37">
        <f>-Table58[[#This Row],[Imports]]/Table58[[#This Row],[GDP]]</f>
        <v>-8.1850934070933093E-2</v>
      </c>
      <c r="L166" s="37">
        <f>Table58[[#This Row],[Government]]/Table58[[#This Row],[GDP]]</f>
        <v>0.26142702913361404</v>
      </c>
      <c r="N166" s="58">
        <f>SUM(Table58[[#This Row],[PC%]:[G%]])</f>
        <v>1.0196942810468053</v>
      </c>
      <c r="O166" s="25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35">
      <c r="A167" s="45">
        <v>31868</v>
      </c>
      <c r="B167" s="63">
        <f>VLOOKUP(A167,'U.S. GDP'!A:B,2,)</f>
        <v>8465.6299999999992</v>
      </c>
      <c r="C167" s="63">
        <f>VLOOKUP(A167,PersonalConsumption!A:B,2,)</f>
        <v>5491.8370000000004</v>
      </c>
      <c r="D167" s="63">
        <f>VLOOKUP(A167,PrivateInvestment!A:B,2,)</f>
        <v>1157.9090000000001</v>
      </c>
      <c r="E167" s="63">
        <f>VLOOKUP(A167,Exports!A:B,2,)</f>
        <v>480.00299999999999</v>
      </c>
      <c r="F167" s="63">
        <f>VLOOKUP(A167,Imports!A:B,2,)</f>
        <v>702.67499999999995</v>
      </c>
      <c r="G167" s="63">
        <f>VLOOKUP(A167,Government!A:B,2,)</f>
        <v>2206.5</v>
      </c>
      <c r="H167" s="37">
        <f>Table58[[#This Row],[Personal Consumption]]/Table58[[#This Row],[GDP]]</f>
        <v>0.64872159543944174</v>
      </c>
      <c r="I167" s="37">
        <f>Table58[[#This Row],[Private Investment]]/Table58[[#This Row],[GDP]]</f>
        <v>0.13677765269684597</v>
      </c>
      <c r="J167" s="37">
        <f>Table58[[#This Row],[Exports]]/Table58[[#This Row],[GDP]]</f>
        <v>5.6700210143840447E-2</v>
      </c>
      <c r="K167" s="37">
        <f>-Table58[[#This Row],[Imports]]/Table58[[#This Row],[GDP]]</f>
        <v>-8.3003273235423711E-2</v>
      </c>
      <c r="L167" s="37">
        <f>Table58[[#This Row],[Government]]/Table58[[#This Row],[GDP]]</f>
        <v>0.26064214949153225</v>
      </c>
      <c r="N167" s="58">
        <f>SUM(Table58[[#This Row],[PC%]:[G%]])</f>
        <v>1.0198383345362367</v>
      </c>
      <c r="O167" s="25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35">
      <c r="A168" s="45">
        <v>31959</v>
      </c>
      <c r="B168" s="63">
        <f>VLOOKUP(A168,'U.S. GDP'!A:B,2,)</f>
        <v>8539.0750000000007</v>
      </c>
      <c r="C168" s="63">
        <f>VLOOKUP(A168,PersonalConsumption!A:B,2,)</f>
        <v>5554.5119999999997</v>
      </c>
      <c r="D168" s="63">
        <f>VLOOKUP(A168,PrivateInvestment!A:B,2,)</f>
        <v>1158.077</v>
      </c>
      <c r="E168" s="63">
        <f>VLOOKUP(A168,Exports!A:B,2,)</f>
        <v>500.839</v>
      </c>
      <c r="F168" s="63">
        <f>VLOOKUP(A168,Imports!A:B,2,)</f>
        <v>716.37199999999996</v>
      </c>
      <c r="G168" s="63">
        <f>VLOOKUP(A168,Government!A:B,2,)</f>
        <v>2208.8180000000002</v>
      </c>
      <c r="H168" s="37">
        <f>Table58[[#This Row],[Personal Consumption]]/Table58[[#This Row],[GDP]]</f>
        <v>0.65048169737354444</v>
      </c>
      <c r="I168" s="37">
        <f>Table58[[#This Row],[Private Investment]]/Table58[[#This Row],[GDP]]</f>
        <v>0.13562089570591662</v>
      </c>
      <c r="J168" s="37">
        <f>Table58[[#This Row],[Exports]]/Table58[[#This Row],[GDP]]</f>
        <v>5.8652605815032656E-2</v>
      </c>
      <c r="K168" s="37">
        <f>-Table58[[#This Row],[Imports]]/Table58[[#This Row],[GDP]]</f>
        <v>-8.3893395947453306E-2</v>
      </c>
      <c r="L168" s="37">
        <f>Table58[[#This Row],[Government]]/Table58[[#This Row],[GDP]]</f>
        <v>0.25867181164236175</v>
      </c>
      <c r="N168" s="58">
        <f>SUM(Table58[[#This Row],[PC%]:[G%]])</f>
        <v>1.0195336145894021</v>
      </c>
      <c r="O168" s="25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35">
      <c r="A169" s="45">
        <v>32051</v>
      </c>
      <c r="B169" s="63">
        <f>VLOOKUP(A169,'U.S. GDP'!A:B,2,)</f>
        <v>8685.6939999999995</v>
      </c>
      <c r="C169" s="63">
        <f>VLOOKUP(A169,PersonalConsumption!A:B,2,)</f>
        <v>5566.2629999999999</v>
      </c>
      <c r="D169" s="63">
        <f>VLOOKUP(A169,PrivateInvestment!A:B,2,)</f>
        <v>1236.9860000000001</v>
      </c>
      <c r="E169" s="63">
        <f>VLOOKUP(A169,Exports!A:B,2,)</f>
        <v>519.52300000000002</v>
      </c>
      <c r="F169" s="63">
        <f>VLOOKUP(A169,Imports!A:B,2,)</f>
        <v>732.84500000000003</v>
      </c>
      <c r="G169" s="63">
        <f>VLOOKUP(A169,Government!A:B,2,)</f>
        <v>2241.9340000000002</v>
      </c>
      <c r="H169" s="37">
        <f>Table58[[#This Row],[Personal Consumption]]/Table58[[#This Row],[GDP]]</f>
        <v>0.64085414475803548</v>
      </c>
      <c r="I169" s="37">
        <f>Table58[[#This Row],[Private Investment]]/Table58[[#This Row],[GDP]]</f>
        <v>0.14241648393323553</v>
      </c>
      <c r="J169" s="37">
        <f>Table58[[#This Row],[Exports]]/Table58[[#This Row],[GDP]]</f>
        <v>5.9813642985810926E-2</v>
      </c>
      <c r="K169" s="37">
        <f>-Table58[[#This Row],[Imports]]/Table58[[#This Row],[GDP]]</f>
        <v>-8.4373799030912217E-2</v>
      </c>
      <c r="L169" s="37">
        <f>Table58[[#This Row],[Government]]/Table58[[#This Row],[GDP]]</f>
        <v>0.25811800415718078</v>
      </c>
      <c r="N169" s="58">
        <f>SUM(Table58[[#This Row],[PC%]:[G%]])</f>
        <v>1.0168284768033504</v>
      </c>
      <c r="O169" s="25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35">
      <c r="A170" s="45">
        <v>32143</v>
      </c>
      <c r="B170" s="63">
        <f>VLOOKUP(A170,'U.S. GDP'!A:B,2,)</f>
        <v>8730.5689999999995</v>
      </c>
      <c r="C170" s="63">
        <f>VLOOKUP(A170,PersonalConsumption!A:B,2,)</f>
        <v>5664.5929999999998</v>
      </c>
      <c r="D170" s="63">
        <f>VLOOKUP(A170,PrivateInvestment!A:B,2,)</f>
        <v>1177.604</v>
      </c>
      <c r="E170" s="63">
        <f>VLOOKUP(A170,Exports!A:B,2,)</f>
        <v>548.37300000000005</v>
      </c>
      <c r="F170" s="63">
        <f>VLOOKUP(A170,Imports!A:B,2,)</f>
        <v>729.39300000000003</v>
      </c>
      <c r="G170" s="63">
        <f>VLOOKUP(A170,Government!A:B,2,)</f>
        <v>2223.2289999999998</v>
      </c>
      <c r="H170" s="37">
        <f>Table58[[#This Row],[Personal Consumption]]/Table58[[#This Row],[GDP]]</f>
        <v>0.64882288886325734</v>
      </c>
      <c r="I170" s="37">
        <f>Table58[[#This Row],[Private Investment]]/Table58[[#This Row],[GDP]]</f>
        <v>0.13488284669647535</v>
      </c>
      <c r="J170" s="37">
        <f>Table58[[#This Row],[Exports]]/Table58[[#This Row],[GDP]]</f>
        <v>6.2810682785967339E-2</v>
      </c>
      <c r="K170" s="37">
        <f>-Table58[[#This Row],[Imports]]/Table58[[#This Row],[GDP]]</f>
        <v>-8.3544726580821946E-2</v>
      </c>
      <c r="L170" s="37">
        <f>Table58[[#This Row],[Government]]/Table58[[#This Row],[GDP]]</f>
        <v>0.25464880925859473</v>
      </c>
      <c r="N170" s="58">
        <f>SUM(Table58[[#This Row],[PC%]:[G%]])</f>
        <v>1.0176205010234729</v>
      </c>
      <c r="O170" s="25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35">
      <c r="A171" s="45">
        <v>32234</v>
      </c>
      <c r="B171" s="63">
        <f>VLOOKUP(A171,'U.S. GDP'!A:B,2,)</f>
        <v>8845.2800000000007</v>
      </c>
      <c r="C171" s="63">
        <f>VLOOKUP(A171,PersonalConsumption!A:B,2,)</f>
        <v>5706.4139999999998</v>
      </c>
      <c r="D171" s="63">
        <f>VLOOKUP(A171,PrivateInvestment!A:B,2,)</f>
        <v>1205.662</v>
      </c>
      <c r="E171" s="63">
        <f>VLOOKUP(A171,Exports!A:B,2,)</f>
        <v>563.74099999999999</v>
      </c>
      <c r="F171" s="63">
        <f>VLOOKUP(A171,Imports!A:B,2,)</f>
        <v>720.99199999999996</v>
      </c>
      <c r="G171" s="63">
        <f>VLOOKUP(A171,Government!A:B,2,)</f>
        <v>2229.8679999999999</v>
      </c>
      <c r="H171" s="37">
        <f>Table58[[#This Row],[Personal Consumption]]/Table58[[#This Row],[GDP]]</f>
        <v>0.64513661523433963</v>
      </c>
      <c r="I171" s="37">
        <f>Table58[[#This Row],[Private Investment]]/Table58[[#This Row],[GDP]]</f>
        <v>0.13630569071866577</v>
      </c>
      <c r="J171" s="37">
        <f>Table58[[#This Row],[Exports]]/Table58[[#This Row],[GDP]]</f>
        <v>6.3733539243528745E-2</v>
      </c>
      <c r="K171" s="37">
        <f>-Table58[[#This Row],[Imports]]/Table58[[#This Row],[GDP]]</f>
        <v>-8.1511495396414807E-2</v>
      </c>
      <c r="L171" s="37">
        <f>Table58[[#This Row],[Government]]/Table58[[#This Row],[GDP]]</f>
        <v>0.25209693757574658</v>
      </c>
      <c r="N171" s="58">
        <f>SUM(Table58[[#This Row],[PC%]:[G%]])</f>
        <v>1.0157612873758659</v>
      </c>
      <c r="O171" s="25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35">
      <c r="A172" s="45">
        <v>32325</v>
      </c>
      <c r="B172" s="63">
        <f>VLOOKUP(A172,'U.S. GDP'!A:B,2,)</f>
        <v>8897.107</v>
      </c>
      <c r="C172" s="63">
        <f>VLOOKUP(A172,PersonalConsumption!A:B,2,)</f>
        <v>5757.12</v>
      </c>
      <c r="D172" s="63">
        <f>VLOOKUP(A172,PrivateInvestment!A:B,2,)</f>
        <v>1212.3599999999999</v>
      </c>
      <c r="E172" s="63">
        <f>VLOOKUP(A172,Exports!A:B,2,)</f>
        <v>574.85</v>
      </c>
      <c r="F172" s="63">
        <f>VLOOKUP(A172,Imports!A:B,2,)</f>
        <v>738.00300000000004</v>
      </c>
      <c r="G172" s="63">
        <f>VLOOKUP(A172,Government!A:B,2,)</f>
        <v>2230.13</v>
      </c>
      <c r="H172" s="37">
        <f>Table58[[#This Row],[Personal Consumption]]/Table58[[#This Row],[GDP]]</f>
        <v>0.6470777523525344</v>
      </c>
      <c r="I172" s="37">
        <f>Table58[[#This Row],[Private Investment]]/Table58[[#This Row],[GDP]]</f>
        <v>0.13626451834287256</v>
      </c>
      <c r="J172" s="37">
        <f>Table58[[#This Row],[Exports]]/Table58[[#This Row],[GDP]]</f>
        <v>6.4610889809462793E-2</v>
      </c>
      <c r="K172" s="37">
        <f>-Table58[[#This Row],[Imports]]/Table58[[#This Row],[GDP]]</f>
        <v>-8.2948648364013167E-2</v>
      </c>
      <c r="L172" s="37">
        <f>Table58[[#This Row],[Government]]/Table58[[#This Row],[GDP]]</f>
        <v>0.25065788238806164</v>
      </c>
      <c r="N172" s="58">
        <f>SUM(Table58[[#This Row],[PC%]:[G%]])</f>
        <v>1.0156623945289183</v>
      </c>
      <c r="O172" s="25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35">
      <c r="A173" s="45">
        <v>32417</v>
      </c>
      <c r="B173" s="63">
        <f>VLOOKUP(A173,'U.S. GDP'!A:B,2,)</f>
        <v>9015.6610000000001</v>
      </c>
      <c r="C173" s="63">
        <f>VLOOKUP(A173,PersonalConsumption!A:B,2,)</f>
        <v>5822.5789999999997</v>
      </c>
      <c r="D173" s="63">
        <f>VLOOKUP(A173,PrivateInvestment!A:B,2,)</f>
        <v>1230.8610000000001</v>
      </c>
      <c r="E173" s="63">
        <f>VLOOKUP(A173,Exports!A:B,2,)</f>
        <v>592.39499999999998</v>
      </c>
      <c r="F173" s="63">
        <f>VLOOKUP(A173,Imports!A:B,2,)</f>
        <v>760.48400000000004</v>
      </c>
      <c r="G173" s="63">
        <f>VLOOKUP(A173,Government!A:B,2,)</f>
        <v>2273.404</v>
      </c>
      <c r="H173" s="37">
        <f>Table58[[#This Row],[Personal Consumption]]/Table58[[#This Row],[GDP]]</f>
        <v>0.64582940729470639</v>
      </c>
      <c r="I173" s="37">
        <f>Table58[[#This Row],[Private Investment]]/Table58[[#This Row],[GDP]]</f>
        <v>0.13652476507268851</v>
      </c>
      <c r="J173" s="37">
        <f>Table58[[#This Row],[Exports]]/Table58[[#This Row],[GDP]]</f>
        <v>6.5707328614063906E-2</v>
      </c>
      <c r="K173" s="37">
        <f>-Table58[[#This Row],[Imports]]/Table58[[#This Row],[GDP]]</f>
        <v>-8.4351441341904934E-2</v>
      </c>
      <c r="L173" s="37">
        <f>Table58[[#This Row],[Government]]/Table58[[#This Row],[GDP]]</f>
        <v>0.25216165514652777</v>
      </c>
      <c r="N173" s="58">
        <f>SUM(Table58[[#This Row],[PC%]:[G%]])</f>
        <v>1.0158717147860816</v>
      </c>
      <c r="O173" s="25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35">
      <c r="A174" s="45">
        <v>32509</v>
      </c>
      <c r="B174" s="63">
        <f>VLOOKUP(A174,'U.S. GDP'!A:B,2,)</f>
        <v>9107.3140000000003</v>
      </c>
      <c r="C174" s="63">
        <f>VLOOKUP(A174,PersonalConsumption!A:B,2,)</f>
        <v>5849.5919999999996</v>
      </c>
      <c r="D174" s="63">
        <f>VLOOKUP(A174,PrivateInvestment!A:B,2,)</f>
        <v>1272.6379999999999</v>
      </c>
      <c r="E174" s="63">
        <f>VLOOKUP(A174,Exports!A:B,2,)</f>
        <v>610.08799999999997</v>
      </c>
      <c r="F174" s="63">
        <f>VLOOKUP(A174,Imports!A:B,2,)</f>
        <v>764.02099999999996</v>
      </c>
      <c r="G174" s="63">
        <f>VLOOKUP(A174,Government!A:B,2,)</f>
        <v>2263.4110000000001</v>
      </c>
      <c r="H174" s="37">
        <f>Table58[[#This Row],[Personal Consumption]]/Table58[[#This Row],[GDP]]</f>
        <v>0.64229607104795106</v>
      </c>
      <c r="I174" s="37">
        <f>Table58[[#This Row],[Private Investment]]/Table58[[#This Row],[GDP]]</f>
        <v>0.13973801715851675</v>
      </c>
      <c r="J174" s="37">
        <f>Table58[[#This Row],[Exports]]/Table58[[#This Row],[GDP]]</f>
        <v>6.6988796037997581E-2</v>
      </c>
      <c r="K174" s="37">
        <f>-Table58[[#This Row],[Imports]]/Table58[[#This Row],[GDP]]</f>
        <v>-8.3890925469353519E-2</v>
      </c>
      <c r="L174" s="37">
        <f>Table58[[#This Row],[Government]]/Table58[[#This Row],[GDP]]</f>
        <v>0.24852673356820681</v>
      </c>
      <c r="N174" s="58">
        <f>SUM(Table58[[#This Row],[PC%]:[G%]])</f>
        <v>1.0136586923433186</v>
      </c>
      <c r="O174" s="25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35">
      <c r="A175" s="45">
        <v>32599</v>
      </c>
      <c r="B175" s="63">
        <f>VLOOKUP(A175,'U.S. GDP'!A:B,2,)</f>
        <v>9176.8269999999993</v>
      </c>
      <c r="C175" s="63">
        <f>VLOOKUP(A175,PersonalConsumption!A:B,2,)</f>
        <v>5876.8959999999997</v>
      </c>
      <c r="D175" s="63">
        <f>VLOOKUP(A175,PrivateInvestment!A:B,2,)</f>
        <v>1260.328</v>
      </c>
      <c r="E175" s="63">
        <f>VLOOKUP(A175,Exports!A:B,2,)</f>
        <v>636.79999999999995</v>
      </c>
      <c r="F175" s="63">
        <f>VLOOKUP(A175,Imports!A:B,2,)</f>
        <v>767.64300000000003</v>
      </c>
      <c r="G175" s="63">
        <f>VLOOKUP(A175,Government!A:B,2,)</f>
        <v>2298.2249999999999</v>
      </c>
      <c r="H175" s="37">
        <f>Table58[[#This Row],[Personal Consumption]]/Table58[[#This Row],[GDP]]</f>
        <v>0.64040610115021235</v>
      </c>
      <c r="I175" s="37">
        <f>Table58[[#This Row],[Private Investment]]/Table58[[#This Row],[GDP]]</f>
        <v>0.13733810172077998</v>
      </c>
      <c r="J175" s="37">
        <f>Table58[[#This Row],[Exports]]/Table58[[#This Row],[GDP]]</f>
        <v>6.9392176620524715E-2</v>
      </c>
      <c r="K175" s="37">
        <f>-Table58[[#This Row],[Imports]]/Table58[[#This Row],[GDP]]</f>
        <v>-8.365015489558647E-2</v>
      </c>
      <c r="L175" s="37">
        <f>Table58[[#This Row],[Government]]/Table58[[#This Row],[GDP]]</f>
        <v>0.25043786921122085</v>
      </c>
      <c r="N175" s="58">
        <f>SUM(Table58[[#This Row],[PC%]:[G%]])</f>
        <v>1.0139240938071514</v>
      </c>
      <c r="O175" s="25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35">
      <c r="A176" s="45">
        <v>32690</v>
      </c>
      <c r="B176" s="63">
        <f>VLOOKUP(A176,'U.S. GDP'!A:B,2,)</f>
        <v>9244.8160000000007</v>
      </c>
      <c r="C176" s="63">
        <f>VLOOKUP(A176,PersonalConsumption!A:B,2,)</f>
        <v>5933.79</v>
      </c>
      <c r="D176" s="63">
        <f>VLOOKUP(A176,PrivateInvestment!A:B,2,)</f>
        <v>1249.0119999999999</v>
      </c>
      <c r="E176" s="63">
        <f>VLOOKUP(A176,Exports!A:B,2,)</f>
        <v>643.30499999999995</v>
      </c>
      <c r="F176" s="63">
        <f>VLOOKUP(A176,Imports!A:B,2,)</f>
        <v>766.59900000000005</v>
      </c>
      <c r="G176" s="63">
        <f>VLOOKUP(A176,Government!A:B,2,)</f>
        <v>2318.902</v>
      </c>
      <c r="H176" s="37">
        <f>Table58[[#This Row],[Personal Consumption]]/Table58[[#This Row],[GDP]]</f>
        <v>0.64185052466160486</v>
      </c>
      <c r="I176" s="37">
        <f>Table58[[#This Row],[Private Investment]]/Table58[[#This Row],[GDP]]</f>
        <v>0.13510404101065937</v>
      </c>
      <c r="J176" s="37">
        <f>Table58[[#This Row],[Exports]]/Table58[[#This Row],[GDP]]</f>
        <v>6.9585484448798099E-2</v>
      </c>
      <c r="K176" s="37">
        <f>-Table58[[#This Row],[Imports]]/Table58[[#This Row],[GDP]]</f>
        <v>-8.2922039768017014E-2</v>
      </c>
      <c r="L176" s="37">
        <f>Table58[[#This Row],[Government]]/Table58[[#This Row],[GDP]]</f>
        <v>0.25083268287870736</v>
      </c>
      <c r="N176" s="58">
        <f>SUM(Table58[[#This Row],[PC%]:[G%]])</f>
        <v>1.0144506932317527</v>
      </c>
      <c r="O176" s="25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35">
      <c r="A177" s="45">
        <v>32782</v>
      </c>
      <c r="B177" s="63">
        <f>VLOOKUP(A177,'U.S. GDP'!A:B,2,)</f>
        <v>9263.0329999999994</v>
      </c>
      <c r="C177" s="63">
        <f>VLOOKUP(A177,PersonalConsumption!A:B,2,)</f>
        <v>5959.58</v>
      </c>
      <c r="D177" s="63">
        <f>VLOOKUP(A177,PrivateInvestment!A:B,2,)</f>
        <v>1239.7470000000001</v>
      </c>
      <c r="E177" s="63">
        <f>VLOOKUP(A177,Exports!A:B,2,)</f>
        <v>653.04300000000001</v>
      </c>
      <c r="F177" s="63">
        <f>VLOOKUP(A177,Imports!A:B,2,)</f>
        <v>780.46900000000005</v>
      </c>
      <c r="G177" s="63">
        <f>VLOOKUP(A177,Government!A:B,2,)</f>
        <v>2330.5340000000001</v>
      </c>
      <c r="H177" s="37">
        <f>Table58[[#This Row],[Personal Consumption]]/Table58[[#This Row],[GDP]]</f>
        <v>0.64337242456115618</v>
      </c>
      <c r="I177" s="37">
        <f>Table58[[#This Row],[Private Investment]]/Table58[[#This Row],[GDP]]</f>
        <v>0.13383812839703801</v>
      </c>
      <c r="J177" s="37">
        <f>Table58[[#This Row],[Exports]]/Table58[[#This Row],[GDP]]</f>
        <v>7.0499910774365168E-2</v>
      </c>
      <c r="K177" s="37">
        <f>-Table58[[#This Row],[Imports]]/Table58[[#This Row],[GDP]]</f>
        <v>-8.4256312160390673E-2</v>
      </c>
      <c r="L177" s="37">
        <f>Table58[[#This Row],[Government]]/Table58[[#This Row],[GDP]]</f>
        <v>0.25159513088207719</v>
      </c>
      <c r="N177" s="58">
        <f>SUM(Table58[[#This Row],[PC%]:[G%]])</f>
        <v>1.0150492824542459</v>
      </c>
      <c r="O177" s="25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35">
      <c r="A178" s="45">
        <v>32874</v>
      </c>
      <c r="B178" s="63">
        <f>VLOOKUP(A178,'U.S. GDP'!A:B,2,)</f>
        <v>9364.259</v>
      </c>
      <c r="C178" s="63">
        <f>VLOOKUP(A178,PersonalConsumption!A:B,2,)</f>
        <v>6009.7349999999997</v>
      </c>
      <c r="D178" s="63">
        <f>VLOOKUP(A178,PrivateInvestment!A:B,2,)</f>
        <v>1252.058</v>
      </c>
      <c r="E178" s="63">
        <f>VLOOKUP(A178,Exports!A:B,2,)</f>
        <v>681.404</v>
      </c>
      <c r="F178" s="63">
        <f>VLOOKUP(A178,Imports!A:B,2,)</f>
        <v>805.21900000000005</v>
      </c>
      <c r="G178" s="63">
        <f>VLOOKUP(A178,Government!A:B,2,)</f>
        <v>2367.8000000000002</v>
      </c>
      <c r="H178" s="37">
        <f>Table58[[#This Row],[Personal Consumption]]/Table58[[#This Row],[GDP]]</f>
        <v>0.64177368438869531</v>
      </c>
      <c r="I178" s="37">
        <f>Table58[[#This Row],[Private Investment]]/Table58[[#This Row],[GDP]]</f>
        <v>0.13370604123615121</v>
      </c>
      <c r="J178" s="37">
        <f>Table58[[#This Row],[Exports]]/Table58[[#This Row],[GDP]]</f>
        <v>7.2766462354362474E-2</v>
      </c>
      <c r="K178" s="37">
        <f>-Table58[[#This Row],[Imports]]/Table58[[#This Row],[GDP]]</f>
        <v>-8.5988544315145493E-2</v>
      </c>
      <c r="L178" s="37">
        <f>Table58[[#This Row],[Government]]/Table58[[#This Row],[GDP]]</f>
        <v>0.25285503102808243</v>
      </c>
      <c r="N178" s="58">
        <f>SUM(Table58[[#This Row],[PC%]:[G%]])</f>
        <v>1.0151126746921459</v>
      </c>
      <c r="O178" s="25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35">
      <c r="A179" s="45">
        <v>32964</v>
      </c>
      <c r="B179" s="63">
        <f>VLOOKUP(A179,'U.S. GDP'!A:B,2,)</f>
        <v>9398.2430000000004</v>
      </c>
      <c r="C179" s="63">
        <f>VLOOKUP(A179,PersonalConsumption!A:B,2,)</f>
        <v>6028.0410000000002</v>
      </c>
      <c r="D179" s="63">
        <f>VLOOKUP(A179,PrivateInvestment!A:B,2,)</f>
        <v>1252.4490000000001</v>
      </c>
      <c r="E179" s="63">
        <f>VLOOKUP(A179,Exports!A:B,2,)</f>
        <v>689.87800000000004</v>
      </c>
      <c r="F179" s="63">
        <f>VLOOKUP(A179,Imports!A:B,2,)</f>
        <v>803.86800000000005</v>
      </c>
      <c r="G179" s="63">
        <f>VLOOKUP(A179,Government!A:B,2,)</f>
        <v>2371.5329999999999</v>
      </c>
      <c r="H179" s="37">
        <f>Table58[[#This Row],[Personal Consumption]]/Table58[[#This Row],[GDP]]</f>
        <v>0.64140084481748338</v>
      </c>
      <c r="I179" s="37">
        <f>Table58[[#This Row],[Private Investment]]/Table58[[#This Row],[GDP]]</f>
        <v>0.13326416437625629</v>
      </c>
      <c r="J179" s="37">
        <f>Table58[[#This Row],[Exports]]/Table58[[#This Row],[GDP]]</f>
        <v>7.3404997082965398E-2</v>
      </c>
      <c r="K179" s="37">
        <f>-Table58[[#This Row],[Imports]]/Table58[[#This Row],[GDP]]</f>
        <v>-8.5533859892748046E-2</v>
      </c>
      <c r="L179" s="37">
        <f>Table58[[#This Row],[Government]]/Table58[[#This Row],[GDP]]</f>
        <v>0.25233791039452796</v>
      </c>
      <c r="N179" s="58">
        <f>SUM(Table58[[#This Row],[PC%]:[G%]])</f>
        <v>1.0148740567784851</v>
      </c>
      <c r="O179" s="25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35">
      <c r="A180" s="45">
        <v>33055</v>
      </c>
      <c r="B180" s="63">
        <f>VLOOKUP(A180,'U.S. GDP'!A:B,2,)</f>
        <v>9404.4940000000006</v>
      </c>
      <c r="C180" s="63">
        <f>VLOOKUP(A180,PersonalConsumption!A:B,2,)</f>
        <v>6051.9219999999996</v>
      </c>
      <c r="D180" s="63">
        <f>VLOOKUP(A180,PrivateInvestment!A:B,2,)</f>
        <v>1228.17</v>
      </c>
      <c r="E180" s="63">
        <f>VLOOKUP(A180,Exports!A:B,2,)</f>
        <v>695.09900000000005</v>
      </c>
      <c r="F180" s="63">
        <f>VLOOKUP(A180,Imports!A:B,2,)</f>
        <v>800.62199999999996</v>
      </c>
      <c r="G180" s="63">
        <f>VLOOKUP(A180,Government!A:B,2,)</f>
        <v>2375.306</v>
      </c>
      <c r="H180" s="37">
        <f>Table58[[#This Row],[Personal Consumption]]/Table58[[#This Row],[GDP]]</f>
        <v>0.64351383498144599</v>
      </c>
      <c r="I180" s="37">
        <f>Table58[[#This Row],[Private Investment]]/Table58[[#This Row],[GDP]]</f>
        <v>0.13059394795722129</v>
      </c>
      <c r="J180" s="37">
        <f>Table58[[#This Row],[Exports]]/Table58[[#This Row],[GDP]]</f>
        <v>7.3911366204284887E-2</v>
      </c>
      <c r="K180" s="37">
        <f>-Table58[[#This Row],[Imports]]/Table58[[#This Row],[GDP]]</f>
        <v>-8.5131852920529258E-2</v>
      </c>
      <c r="L180" s="37">
        <f>Table58[[#This Row],[Government]]/Table58[[#This Row],[GDP]]</f>
        <v>0.25257137704591015</v>
      </c>
      <c r="N180" s="58">
        <f>SUM(Table58[[#This Row],[PC%]:[G%]])</f>
        <v>1.0154586732683331</v>
      </c>
      <c r="O180" s="25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35">
      <c r="A181" s="45">
        <v>33147</v>
      </c>
      <c r="B181" s="63">
        <f>VLOOKUP(A181,'U.S. GDP'!A:B,2,)</f>
        <v>9318.8760000000002</v>
      </c>
      <c r="C181" s="63">
        <f>VLOOKUP(A181,PersonalConsumption!A:B,2,)</f>
        <v>6005.8819999999996</v>
      </c>
      <c r="D181" s="63">
        <f>VLOOKUP(A181,PrivateInvestment!A:B,2,)</f>
        <v>1159.4639999999999</v>
      </c>
      <c r="E181" s="63">
        <f>VLOOKUP(A181,Exports!A:B,2,)</f>
        <v>701.21900000000005</v>
      </c>
      <c r="F181" s="63">
        <f>VLOOKUP(A181,Imports!A:B,2,)</f>
        <v>779.15099999999995</v>
      </c>
      <c r="G181" s="63">
        <f>VLOOKUP(A181,Government!A:B,2,)</f>
        <v>2391.1880000000001</v>
      </c>
      <c r="H181" s="37">
        <f>Table58[[#This Row],[Personal Consumption]]/Table58[[#This Row],[GDP]]</f>
        <v>0.64448566543862151</v>
      </c>
      <c r="I181" s="37">
        <f>Table58[[#This Row],[Private Investment]]/Table58[[#This Row],[GDP]]</f>
        <v>0.12442101386476222</v>
      </c>
      <c r="J181" s="37">
        <f>Table58[[#This Row],[Exports]]/Table58[[#This Row],[GDP]]</f>
        <v>7.5247165001444377E-2</v>
      </c>
      <c r="K181" s="37">
        <f>-Table58[[#This Row],[Imports]]/Table58[[#This Row],[GDP]]</f>
        <v>-8.3609976138753206E-2</v>
      </c>
      <c r="L181" s="37">
        <f>Table58[[#This Row],[Government]]/Table58[[#This Row],[GDP]]</f>
        <v>0.25659618177127802</v>
      </c>
      <c r="N181" s="58">
        <f>SUM(Table58[[#This Row],[PC%]:[G%]])</f>
        <v>1.0171400499373529</v>
      </c>
      <c r="O181" s="25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35">
      <c r="A182" s="45">
        <v>33239</v>
      </c>
      <c r="B182" s="63">
        <f>VLOOKUP(A182,'U.S. GDP'!A:B,2,)</f>
        <v>9275.2759999999998</v>
      </c>
      <c r="C182" s="63">
        <f>VLOOKUP(A182,PersonalConsumption!A:B,2,)</f>
        <v>5983.2979999999998</v>
      </c>
      <c r="D182" s="63">
        <f>VLOOKUP(A182,PrivateInvestment!A:B,2,)</f>
        <v>1120.884</v>
      </c>
      <c r="E182" s="63">
        <f>VLOOKUP(A182,Exports!A:B,2,)</f>
        <v>705.50300000000004</v>
      </c>
      <c r="F182" s="63">
        <f>VLOOKUP(A182,Imports!A:B,2,)</f>
        <v>770.27200000000005</v>
      </c>
      <c r="G182" s="63">
        <f>VLOOKUP(A182,Government!A:B,2,)</f>
        <v>2405.4470000000001</v>
      </c>
      <c r="H182" s="37">
        <f>Table58[[#This Row],[Personal Consumption]]/Table58[[#This Row],[GDP]]</f>
        <v>0.64508031890371775</v>
      </c>
      <c r="I182" s="37">
        <f>Table58[[#This Row],[Private Investment]]/Table58[[#This Row],[GDP]]</f>
        <v>0.12084643087709736</v>
      </c>
      <c r="J182" s="37">
        <f>Table58[[#This Row],[Exports]]/Table58[[#This Row],[GDP]]</f>
        <v>7.606275004646762E-2</v>
      </c>
      <c r="K182" s="37">
        <f>-Table58[[#This Row],[Imports]]/Table58[[#This Row],[GDP]]</f>
        <v>-8.3045722844258221E-2</v>
      </c>
      <c r="L182" s="37">
        <f>Table58[[#This Row],[Government]]/Table58[[#This Row],[GDP]]</f>
        <v>0.25933966816728687</v>
      </c>
      <c r="N182" s="58">
        <f>SUM(Table58[[#This Row],[PC%]:[G%]])</f>
        <v>1.0182834451503113</v>
      </c>
      <c r="O182" s="25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35">
      <c r="A183" s="45">
        <v>33329</v>
      </c>
      <c r="B183" s="63">
        <f>VLOOKUP(A183,'U.S. GDP'!A:B,2,)</f>
        <v>9347.5969999999998</v>
      </c>
      <c r="C183" s="63">
        <f>VLOOKUP(A183,PersonalConsumption!A:B,2,)</f>
        <v>6032.8850000000002</v>
      </c>
      <c r="D183" s="63">
        <f>VLOOKUP(A183,PrivateInvestment!A:B,2,)</f>
        <v>1120.8800000000001</v>
      </c>
      <c r="E183" s="63">
        <f>VLOOKUP(A183,Exports!A:B,2,)</f>
        <v>731.22500000000002</v>
      </c>
      <c r="F183" s="63">
        <f>VLOOKUP(A183,Imports!A:B,2,)</f>
        <v>783.96299999999997</v>
      </c>
      <c r="G183" s="63">
        <f>VLOOKUP(A183,Government!A:B,2,)</f>
        <v>2415.232</v>
      </c>
      <c r="H183" s="37">
        <f>Table58[[#This Row],[Personal Consumption]]/Table58[[#This Row],[GDP]]</f>
        <v>0.64539421200978175</v>
      </c>
      <c r="I183" s="37">
        <f>Table58[[#This Row],[Private Investment]]/Table58[[#This Row],[GDP]]</f>
        <v>0.11991103168012059</v>
      </c>
      <c r="J183" s="37">
        <f>Table58[[#This Row],[Exports]]/Table58[[#This Row],[GDP]]</f>
        <v>7.8225986849882384E-2</v>
      </c>
      <c r="K183" s="37">
        <f>-Table58[[#This Row],[Imports]]/Table58[[#This Row],[GDP]]</f>
        <v>-8.3867864650134141E-2</v>
      </c>
      <c r="L183" s="37">
        <f>Table58[[#This Row],[Government]]/Table58[[#This Row],[GDP]]</f>
        <v>0.25837998792630879</v>
      </c>
      <c r="N183" s="58">
        <f>SUM(Table58[[#This Row],[PC%]:[G%]])</f>
        <v>1.0180433538159592</v>
      </c>
      <c r="O183" s="25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35">
      <c r="A184" s="45">
        <v>33420</v>
      </c>
      <c r="B184" s="63">
        <f>VLOOKUP(A184,'U.S. GDP'!A:B,2,)</f>
        <v>9394.8340000000007</v>
      </c>
      <c r="C184" s="63">
        <f>VLOOKUP(A184,PersonalConsumption!A:B,2,)</f>
        <v>6062.9639999999999</v>
      </c>
      <c r="D184" s="63">
        <f>VLOOKUP(A184,PrivateInvestment!A:B,2,)</f>
        <v>1143.0730000000001</v>
      </c>
      <c r="E184" s="63">
        <f>VLOOKUP(A184,Exports!A:B,2,)</f>
        <v>748.53599999999994</v>
      </c>
      <c r="F184" s="63">
        <f>VLOOKUP(A184,Imports!A:B,2,)</f>
        <v>806.02499999999998</v>
      </c>
      <c r="G184" s="63">
        <f>VLOOKUP(A184,Government!A:B,2,)</f>
        <v>2408.4670000000001</v>
      </c>
      <c r="H184" s="37">
        <f>Table58[[#This Row],[Personal Consumption]]/Table58[[#This Row],[GDP]]</f>
        <v>0.64535083855659392</v>
      </c>
      <c r="I184" s="37">
        <f>Table58[[#This Row],[Private Investment]]/Table58[[#This Row],[GDP]]</f>
        <v>0.12167037757133335</v>
      </c>
      <c r="J184" s="37">
        <f>Table58[[#This Row],[Exports]]/Table58[[#This Row],[GDP]]</f>
        <v>7.9675276859601768E-2</v>
      </c>
      <c r="K184" s="37">
        <f>-Table58[[#This Row],[Imports]]/Table58[[#This Row],[GDP]]</f>
        <v>-8.5794490887225891E-2</v>
      </c>
      <c r="L184" s="37">
        <f>Table58[[#This Row],[Government]]/Table58[[#This Row],[GDP]]</f>
        <v>0.25636078295795328</v>
      </c>
      <c r="N184" s="58">
        <f>SUM(Table58[[#This Row],[PC%]:[G%]])</f>
        <v>1.0172627850582563</v>
      </c>
      <c r="O184" s="25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35">
      <c r="A185" s="45">
        <v>33512</v>
      </c>
      <c r="B185" s="63">
        <f>VLOOKUP(A185,'U.S. GDP'!A:B,2,)</f>
        <v>9427.5810000000001</v>
      </c>
      <c r="C185" s="63">
        <f>VLOOKUP(A185,PersonalConsumption!A:B,2,)</f>
        <v>6059.93</v>
      </c>
      <c r="D185" s="63">
        <f>VLOOKUP(A185,PrivateInvestment!A:B,2,)</f>
        <v>1183.605</v>
      </c>
      <c r="E185" s="63">
        <f>VLOOKUP(A185,Exports!A:B,2,)</f>
        <v>765.39099999999996</v>
      </c>
      <c r="F185" s="63">
        <f>VLOOKUP(A185,Imports!A:B,2,)</f>
        <v>823.83100000000002</v>
      </c>
      <c r="G185" s="63">
        <f>VLOOKUP(A185,Government!A:B,2,)</f>
        <v>2390.8440000000001</v>
      </c>
      <c r="H185" s="37">
        <f>Table58[[#This Row],[Personal Consumption]]/Table58[[#This Row],[GDP]]</f>
        <v>0.64278737037634581</v>
      </c>
      <c r="I185" s="37">
        <f>Table58[[#This Row],[Private Investment]]/Table58[[#This Row],[GDP]]</f>
        <v>0.12554705178348508</v>
      </c>
      <c r="J185" s="37">
        <f>Table58[[#This Row],[Exports]]/Table58[[#This Row],[GDP]]</f>
        <v>8.1186361591589609E-2</v>
      </c>
      <c r="K185" s="37">
        <f>-Table58[[#This Row],[Imports]]/Table58[[#This Row],[GDP]]</f>
        <v>-8.7385194568999194E-2</v>
      </c>
      <c r="L185" s="37">
        <f>Table58[[#This Row],[Government]]/Table58[[#This Row],[GDP]]</f>
        <v>0.25360100326902524</v>
      </c>
      <c r="N185" s="58">
        <f>SUM(Table58[[#This Row],[PC%]:[G%]])</f>
        <v>1.0157365924514465</v>
      </c>
      <c r="O185" s="25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35">
      <c r="A186" s="45">
        <v>33604</v>
      </c>
      <c r="B186" s="63">
        <f>VLOOKUP(A186,'U.S. GDP'!A:B,2,)</f>
        <v>9540.4439999999995</v>
      </c>
      <c r="C186" s="63">
        <f>VLOOKUP(A186,PersonalConsumption!A:B,2,)</f>
        <v>6173.393</v>
      </c>
      <c r="D186" s="63">
        <f>VLOOKUP(A186,PrivateInvestment!A:B,2,)</f>
        <v>1161.74</v>
      </c>
      <c r="E186" s="63">
        <f>VLOOKUP(A186,Exports!A:B,2,)</f>
        <v>779.22799999999995</v>
      </c>
      <c r="F186" s="63">
        <f>VLOOKUP(A186,Imports!A:B,2,)</f>
        <v>829.81500000000005</v>
      </c>
      <c r="G186" s="63">
        <f>VLOOKUP(A186,Government!A:B,2,)</f>
        <v>2412.0329999999999</v>
      </c>
      <c r="H186" s="37">
        <f>Table58[[#This Row],[Personal Consumption]]/Table58[[#This Row],[GDP]]</f>
        <v>0.6470760689963696</v>
      </c>
      <c r="I186" s="37">
        <f>Table58[[#This Row],[Private Investment]]/Table58[[#This Row],[GDP]]</f>
        <v>0.12177001405804594</v>
      </c>
      <c r="J186" s="37">
        <f>Table58[[#This Row],[Exports]]/Table58[[#This Row],[GDP]]</f>
        <v>8.167628257133526E-2</v>
      </c>
      <c r="K186" s="37">
        <f>-Table58[[#This Row],[Imports]]/Table58[[#This Row],[GDP]]</f>
        <v>-8.6978656339264729E-2</v>
      </c>
      <c r="L186" s="37">
        <f>Table58[[#This Row],[Government]]/Table58[[#This Row],[GDP]]</f>
        <v>0.25282188124577848</v>
      </c>
      <c r="N186" s="58">
        <f>SUM(Table58[[#This Row],[PC%]:[G%]])</f>
        <v>1.0163655905322646</v>
      </c>
      <c r="O186" s="25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35">
      <c r="A187" s="45">
        <v>33695</v>
      </c>
      <c r="B187" s="63">
        <f>VLOOKUP(A187,'U.S. GDP'!A:B,2,)</f>
        <v>9643.893</v>
      </c>
      <c r="C187" s="63">
        <f>VLOOKUP(A187,PersonalConsumption!A:B,2,)</f>
        <v>6215.3</v>
      </c>
      <c r="D187" s="63">
        <f>VLOOKUP(A187,PrivateInvestment!A:B,2,)</f>
        <v>1227.44</v>
      </c>
      <c r="E187" s="63">
        <f>VLOOKUP(A187,Exports!A:B,2,)</f>
        <v>779.59900000000005</v>
      </c>
      <c r="F187" s="63">
        <f>VLOOKUP(A187,Imports!A:B,2,)</f>
        <v>843.45699999999999</v>
      </c>
      <c r="G187" s="63">
        <f>VLOOKUP(A187,Government!A:B,2,)</f>
        <v>2407.3690000000001</v>
      </c>
      <c r="H187" s="37">
        <f>Table58[[#This Row],[Personal Consumption]]/Table58[[#This Row],[GDP]]</f>
        <v>0.64448039811308566</v>
      </c>
      <c r="I187" s="37">
        <f>Table58[[#This Row],[Private Investment]]/Table58[[#This Row],[GDP]]</f>
        <v>0.12727640176016056</v>
      </c>
      <c r="J187" s="37">
        <f>Table58[[#This Row],[Exports]]/Table58[[#This Row],[GDP]]</f>
        <v>8.0838619839519163E-2</v>
      </c>
      <c r="K187" s="37">
        <f>-Table58[[#This Row],[Imports]]/Table58[[#This Row],[GDP]]</f>
        <v>-8.7460219643664641E-2</v>
      </c>
      <c r="L187" s="37">
        <f>Table58[[#This Row],[Government]]/Table58[[#This Row],[GDP]]</f>
        <v>0.24962626607325486</v>
      </c>
      <c r="N187" s="58">
        <f>SUM(Table58[[#This Row],[PC%]:[G%]])</f>
        <v>1.0147614661423554</v>
      </c>
      <c r="O187" s="25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35">
      <c r="A188" s="45">
        <v>33786</v>
      </c>
      <c r="B188" s="63">
        <f>VLOOKUP(A188,'U.S. GDP'!A:B,2,)</f>
        <v>9739.1849999999995</v>
      </c>
      <c r="C188" s="63">
        <f>VLOOKUP(A188,PersonalConsumption!A:B,2,)</f>
        <v>6281.9229999999998</v>
      </c>
      <c r="D188" s="63">
        <f>VLOOKUP(A188,PrivateInvestment!A:B,2,)</f>
        <v>1237.1969999999999</v>
      </c>
      <c r="E188" s="63">
        <f>VLOOKUP(A188,Exports!A:B,2,)</f>
        <v>796.12</v>
      </c>
      <c r="F188" s="63">
        <f>VLOOKUP(A188,Imports!A:B,2,)</f>
        <v>856.75300000000004</v>
      </c>
      <c r="G188" s="63">
        <f>VLOOKUP(A188,Government!A:B,2,)</f>
        <v>2422.703</v>
      </c>
      <c r="H188" s="37">
        <f>Table58[[#This Row],[Personal Consumption]]/Table58[[#This Row],[GDP]]</f>
        <v>0.64501526565107858</v>
      </c>
      <c r="I188" s="37">
        <f>Table58[[#This Row],[Private Investment]]/Table58[[#This Row],[GDP]]</f>
        <v>0.12703290881115822</v>
      </c>
      <c r="J188" s="37">
        <f>Table58[[#This Row],[Exports]]/Table58[[#This Row],[GDP]]</f>
        <v>8.1744006300321845E-2</v>
      </c>
      <c r="K188" s="37">
        <f>-Table58[[#This Row],[Imports]]/Table58[[#This Row],[GDP]]</f>
        <v>-8.7969681241294839E-2</v>
      </c>
      <c r="L188" s="37">
        <f>Table58[[#This Row],[Government]]/Table58[[#This Row],[GDP]]</f>
        <v>0.24875828932297725</v>
      </c>
      <c r="N188" s="58">
        <f>SUM(Table58[[#This Row],[PC%]:[G%]])</f>
        <v>1.0145807888442411</v>
      </c>
      <c r="O188" s="25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35">
      <c r="A189" s="45">
        <v>33878</v>
      </c>
      <c r="B189" s="63">
        <f>VLOOKUP(A189,'U.S. GDP'!A:B,2,)</f>
        <v>9840.7530000000006</v>
      </c>
      <c r="C189" s="63">
        <f>VLOOKUP(A189,PersonalConsumption!A:B,2,)</f>
        <v>6356.7960000000003</v>
      </c>
      <c r="D189" s="63">
        <f>VLOOKUP(A189,PrivateInvestment!A:B,2,)</f>
        <v>1274.9449999999999</v>
      </c>
      <c r="E189" s="63">
        <f>VLOOKUP(A189,Exports!A:B,2,)</f>
        <v>800.11</v>
      </c>
      <c r="F189" s="63">
        <f>VLOOKUP(A189,Imports!A:B,2,)</f>
        <v>877.26300000000003</v>
      </c>
      <c r="G189" s="63">
        <f>VLOOKUP(A189,Government!A:B,2,)</f>
        <v>2422.424</v>
      </c>
      <c r="H189" s="37">
        <f>Table58[[#This Row],[Personal Consumption]]/Table58[[#This Row],[GDP]]</f>
        <v>0.64596642147201544</v>
      </c>
      <c r="I189" s="37">
        <f>Table58[[#This Row],[Private Investment]]/Table58[[#This Row],[GDP]]</f>
        <v>0.12955766697934598</v>
      </c>
      <c r="J189" s="37">
        <f>Table58[[#This Row],[Exports]]/Table58[[#This Row],[GDP]]</f>
        <v>8.1305769995446489E-2</v>
      </c>
      <c r="K189" s="37">
        <f>-Table58[[#This Row],[Imports]]/Table58[[#This Row],[GDP]]</f>
        <v>-8.9145922065110253E-2</v>
      </c>
      <c r="L189" s="37">
        <f>Table58[[#This Row],[Government]]/Table58[[#This Row],[GDP]]</f>
        <v>0.24616246338059697</v>
      </c>
      <c r="N189" s="58">
        <f>SUM(Table58[[#This Row],[PC%]:[G%]])</f>
        <v>1.0138463997622946</v>
      </c>
      <c r="O189" s="25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35">
      <c r="A190" s="45">
        <v>33970</v>
      </c>
      <c r="B190" s="63">
        <f>VLOOKUP(A190,'U.S. GDP'!A:B,2,)</f>
        <v>9857.1849999999995</v>
      </c>
      <c r="C190" s="63">
        <f>VLOOKUP(A190,PersonalConsumption!A:B,2,)</f>
        <v>6381.1679999999997</v>
      </c>
      <c r="D190" s="63">
        <f>VLOOKUP(A190,PrivateInvestment!A:B,2,)</f>
        <v>1305.0029999999999</v>
      </c>
      <c r="E190" s="63">
        <f>VLOOKUP(A190,Exports!A:B,2,)</f>
        <v>801.89599999999996</v>
      </c>
      <c r="F190" s="63">
        <f>VLOOKUP(A190,Imports!A:B,2,)</f>
        <v>896.25699999999995</v>
      </c>
      <c r="G190" s="63">
        <f>VLOOKUP(A190,Government!A:B,2,)</f>
        <v>2392.3710000000001</v>
      </c>
      <c r="H190" s="37">
        <f>Table58[[#This Row],[Personal Consumption]]/Table58[[#This Row],[GDP]]</f>
        <v>0.64736210185768051</v>
      </c>
      <c r="I190" s="37">
        <f>Table58[[#This Row],[Private Investment]]/Table58[[#This Row],[GDP]]</f>
        <v>0.13239104267597696</v>
      </c>
      <c r="J190" s="37">
        <f>Table58[[#This Row],[Exports]]/Table58[[#This Row],[GDP]]</f>
        <v>8.1351420309145051E-2</v>
      </c>
      <c r="K190" s="37">
        <f>-Table58[[#This Row],[Imports]]/Table58[[#This Row],[GDP]]</f>
        <v>-9.0924234454359945E-2</v>
      </c>
      <c r="L190" s="37">
        <f>Table58[[#This Row],[Government]]/Table58[[#This Row],[GDP]]</f>
        <v>0.24270326670342499</v>
      </c>
      <c r="N190" s="58">
        <f>SUM(Table58[[#This Row],[PC%]:[G%]])</f>
        <v>1.0128835970918675</v>
      </c>
      <c r="O190" s="25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35">
      <c r="A191" s="45">
        <v>34060</v>
      </c>
      <c r="B191" s="63">
        <f>VLOOKUP(A191,'U.S. GDP'!A:B,2,)</f>
        <v>9914.5650000000005</v>
      </c>
      <c r="C191" s="63">
        <f>VLOOKUP(A191,PersonalConsumption!A:B,2,)</f>
        <v>6439.2110000000002</v>
      </c>
      <c r="D191" s="63">
        <f>VLOOKUP(A191,PrivateInvestment!A:B,2,)</f>
        <v>1312.511</v>
      </c>
      <c r="E191" s="63">
        <f>VLOOKUP(A191,Exports!A:B,2,)</f>
        <v>811.48</v>
      </c>
      <c r="F191" s="63">
        <f>VLOOKUP(A191,Imports!A:B,2,)</f>
        <v>914.774</v>
      </c>
      <c r="G191" s="63">
        <f>VLOOKUP(A191,Government!A:B,2,)</f>
        <v>2392.585</v>
      </c>
      <c r="H191" s="37">
        <f>Table58[[#This Row],[Personal Consumption]]/Table58[[#This Row],[GDP]]</f>
        <v>0.64946984562610666</v>
      </c>
      <c r="I191" s="37">
        <f>Table58[[#This Row],[Private Investment]]/Table58[[#This Row],[GDP]]</f>
        <v>0.13238210652711438</v>
      </c>
      <c r="J191" s="37">
        <f>Table58[[#This Row],[Exports]]/Table58[[#This Row],[GDP]]</f>
        <v>8.184726208361133E-2</v>
      </c>
      <c r="K191" s="37">
        <f>-Table58[[#This Row],[Imports]]/Table58[[#This Row],[GDP]]</f>
        <v>-9.2265671766739138E-2</v>
      </c>
      <c r="L191" s="37">
        <f>Table58[[#This Row],[Government]]/Table58[[#This Row],[GDP]]</f>
        <v>0.24132021929353431</v>
      </c>
      <c r="N191" s="58">
        <f>SUM(Table58[[#This Row],[PC%]:[G%]])</f>
        <v>1.0127537617636275</v>
      </c>
      <c r="O191" s="25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35">
      <c r="A192" s="45">
        <v>34151</v>
      </c>
      <c r="B192" s="63">
        <f>VLOOKUP(A192,'U.S. GDP'!A:B,2,)</f>
        <v>9961.8729999999996</v>
      </c>
      <c r="C192" s="63">
        <f>VLOOKUP(A192,PersonalConsumption!A:B,2,)</f>
        <v>6510.8739999999998</v>
      </c>
      <c r="D192" s="63">
        <f>VLOOKUP(A192,PrivateInvestment!A:B,2,)</f>
        <v>1303.597</v>
      </c>
      <c r="E192" s="63">
        <f>VLOOKUP(A192,Exports!A:B,2,)</f>
        <v>809.29899999999998</v>
      </c>
      <c r="F192" s="63">
        <f>VLOOKUP(A192,Imports!A:B,2,)</f>
        <v>926.82100000000003</v>
      </c>
      <c r="G192" s="63">
        <f>VLOOKUP(A192,Government!A:B,2,)</f>
        <v>2395.9870000000001</v>
      </c>
      <c r="H192" s="37">
        <f>Table58[[#This Row],[Personal Consumption]]/Table58[[#This Row],[GDP]]</f>
        <v>0.65357930180398804</v>
      </c>
      <c r="I192" s="37">
        <f>Table58[[#This Row],[Private Investment]]/Table58[[#This Row],[GDP]]</f>
        <v>0.130858624678311</v>
      </c>
      <c r="J192" s="37">
        <f>Table58[[#This Row],[Exports]]/Table58[[#This Row],[GDP]]</f>
        <v>8.1239642384519459E-2</v>
      </c>
      <c r="K192" s="37">
        <f>-Table58[[#This Row],[Imports]]/Table58[[#This Row],[GDP]]</f>
        <v>-9.3036821489292237E-2</v>
      </c>
      <c r="L192" s="37">
        <f>Table58[[#This Row],[Government]]/Table58[[#This Row],[GDP]]</f>
        <v>0.24051571426377349</v>
      </c>
      <c r="N192" s="58">
        <f>SUM(Table58[[#This Row],[PC%]:[G%]])</f>
        <v>1.0131564616412998</v>
      </c>
      <c r="O192" s="25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35">
      <c r="A193" s="45">
        <v>34243</v>
      </c>
      <c r="B193" s="63">
        <f>VLOOKUP(A193,'U.S. GDP'!A:B,2,)</f>
        <v>10097.361999999999</v>
      </c>
      <c r="C193" s="63">
        <f>VLOOKUP(A193,PersonalConsumption!A:B,2,)</f>
        <v>6568.0280000000002</v>
      </c>
      <c r="D193" s="63">
        <f>VLOOKUP(A193,PrivateInvestment!A:B,2,)</f>
        <v>1372.097</v>
      </c>
      <c r="E193" s="63">
        <f>VLOOKUP(A193,Exports!A:B,2,)</f>
        <v>835.38400000000001</v>
      </c>
      <c r="F193" s="63">
        <f>VLOOKUP(A193,Imports!A:B,2,)</f>
        <v>964.05499999999995</v>
      </c>
      <c r="G193" s="63">
        <f>VLOOKUP(A193,Government!A:B,2,)</f>
        <v>2404.4470000000001</v>
      </c>
      <c r="H193" s="37">
        <f>Table58[[#This Row],[Personal Consumption]]/Table58[[#This Row],[GDP]]</f>
        <v>0.6504696969366851</v>
      </c>
      <c r="I193" s="37">
        <f>Table58[[#This Row],[Private Investment]]/Table58[[#This Row],[GDP]]</f>
        <v>0.13588668010516014</v>
      </c>
      <c r="J193" s="37">
        <f>Table58[[#This Row],[Exports]]/Table58[[#This Row],[GDP]]</f>
        <v>8.2732895978177276E-2</v>
      </c>
      <c r="K193" s="37">
        <f>-Table58[[#This Row],[Imports]]/Table58[[#This Row],[GDP]]</f>
        <v>-9.5475927276847158E-2</v>
      </c>
      <c r="L193" s="37">
        <f>Table58[[#This Row],[Government]]/Table58[[#This Row],[GDP]]</f>
        <v>0.23812625515456418</v>
      </c>
      <c r="N193" s="58">
        <f>SUM(Table58[[#This Row],[PC%]:[G%]])</f>
        <v>1.0117396008977395</v>
      </c>
      <c r="O193" s="25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35">
      <c r="A194" s="45">
        <v>34335</v>
      </c>
      <c r="B194" s="63">
        <f>VLOOKUP(A194,'U.S. GDP'!A:B,2,)</f>
        <v>10195.338</v>
      </c>
      <c r="C194" s="63">
        <f>VLOOKUP(A194,PersonalConsumption!A:B,2,)</f>
        <v>6643.1509999999998</v>
      </c>
      <c r="D194" s="63">
        <f>VLOOKUP(A194,PrivateInvestment!A:B,2,)</f>
        <v>1424.36</v>
      </c>
      <c r="E194" s="63">
        <f>VLOOKUP(A194,Exports!A:B,2,)</f>
        <v>843.58399999999995</v>
      </c>
      <c r="F194" s="63">
        <f>VLOOKUP(A194,Imports!A:B,2,)</f>
        <v>986.51400000000001</v>
      </c>
      <c r="G194" s="63">
        <f>VLOOKUP(A194,Government!A:B,2,)</f>
        <v>2374.6979999999999</v>
      </c>
      <c r="H194" s="37">
        <f>Table58[[#This Row],[Personal Consumption]]/Table58[[#This Row],[GDP]]</f>
        <v>0.65158712737135349</v>
      </c>
      <c r="I194" s="37">
        <f>Table58[[#This Row],[Private Investment]]/Table58[[#This Row],[GDP]]</f>
        <v>0.1397069915681069</v>
      </c>
      <c r="J194" s="37">
        <f>Table58[[#This Row],[Exports]]/Table58[[#This Row],[GDP]]</f>
        <v>8.2742131746882733E-2</v>
      </c>
      <c r="K194" s="37">
        <f>-Table58[[#This Row],[Imports]]/Table58[[#This Row],[GDP]]</f>
        <v>-9.6761284422350685E-2</v>
      </c>
      <c r="L194" s="37">
        <f>Table58[[#This Row],[Government]]/Table58[[#This Row],[GDP]]</f>
        <v>0.23291998754724952</v>
      </c>
      <c r="N194" s="58">
        <f>SUM(Table58[[#This Row],[PC%]:[G%]])</f>
        <v>1.010194953811242</v>
      </c>
      <c r="O194" s="25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35">
      <c r="A195" s="45">
        <v>34425</v>
      </c>
      <c r="B195" s="63">
        <f>VLOOKUP(A195,'U.S. GDP'!A:B,2,)</f>
        <v>10333.495000000001</v>
      </c>
      <c r="C195" s="63">
        <f>VLOOKUP(A195,PersonalConsumption!A:B,2,)</f>
        <v>6694.8389999999999</v>
      </c>
      <c r="D195" s="63">
        <f>VLOOKUP(A195,PrivateInvestment!A:B,2,)</f>
        <v>1494.4110000000001</v>
      </c>
      <c r="E195" s="63">
        <f>VLOOKUP(A195,Exports!A:B,2,)</f>
        <v>872.06500000000005</v>
      </c>
      <c r="F195" s="63">
        <f>VLOOKUP(A195,Imports!A:B,2,)</f>
        <v>1023.272</v>
      </c>
      <c r="G195" s="63">
        <f>VLOOKUP(A195,Government!A:B,2,)</f>
        <v>2386.451</v>
      </c>
      <c r="H195" s="37">
        <f>Table58[[#This Row],[Personal Consumption]]/Table58[[#This Row],[GDP]]</f>
        <v>0.64787750901316543</v>
      </c>
      <c r="I195" s="37">
        <f>Table58[[#This Row],[Private Investment]]/Table58[[#This Row],[GDP]]</f>
        <v>0.14461815678045037</v>
      </c>
      <c r="J195" s="37">
        <f>Table58[[#This Row],[Exports]]/Table58[[#This Row],[GDP]]</f>
        <v>8.4392066769277962E-2</v>
      </c>
      <c r="K195" s="37">
        <f>-Table58[[#This Row],[Imports]]/Table58[[#This Row],[GDP]]</f>
        <v>-9.9024773322094792E-2</v>
      </c>
      <c r="L195" s="37">
        <f>Table58[[#This Row],[Government]]/Table58[[#This Row],[GDP]]</f>
        <v>0.23094325782322436</v>
      </c>
      <c r="N195" s="58">
        <f>SUM(Table58[[#This Row],[PC%]:[G%]])</f>
        <v>1.0088062170640233</v>
      </c>
      <c r="O195" s="25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35">
      <c r="A196" s="45">
        <v>34516</v>
      </c>
      <c r="B196" s="63">
        <f>VLOOKUP(A196,'U.S. GDP'!A:B,2,)</f>
        <v>10393.897999999999</v>
      </c>
      <c r="C196" s="63">
        <f>VLOOKUP(A196,PersonalConsumption!A:B,2,)</f>
        <v>6745.8869999999997</v>
      </c>
      <c r="D196" s="63">
        <f>VLOOKUP(A196,PrivateInvestment!A:B,2,)</f>
        <v>1469.999</v>
      </c>
      <c r="E196" s="63">
        <f>VLOOKUP(A196,Exports!A:B,2,)</f>
        <v>904.70500000000004</v>
      </c>
      <c r="F196" s="63">
        <f>VLOOKUP(A196,Imports!A:B,2,)</f>
        <v>1052.047</v>
      </c>
      <c r="G196" s="63">
        <f>VLOOKUP(A196,Government!A:B,2,)</f>
        <v>2426.6790000000001</v>
      </c>
      <c r="H196" s="37">
        <f>Table58[[#This Row],[Personal Consumption]]/Table58[[#This Row],[GDP]]</f>
        <v>0.64902378299267516</v>
      </c>
      <c r="I196" s="37">
        <f>Table58[[#This Row],[Private Investment]]/Table58[[#This Row],[GDP]]</f>
        <v>0.1414290384608354</v>
      </c>
      <c r="J196" s="37">
        <f>Table58[[#This Row],[Exports]]/Table58[[#This Row],[GDP]]</f>
        <v>8.7041935566425616E-2</v>
      </c>
      <c r="K196" s="37">
        <f>-Table58[[#This Row],[Imports]]/Table58[[#This Row],[GDP]]</f>
        <v>-0.1012177529546663</v>
      </c>
      <c r="L196" s="37">
        <f>Table58[[#This Row],[Government]]/Table58[[#This Row],[GDP]]</f>
        <v>0.2334715041459903</v>
      </c>
      <c r="N196" s="58">
        <f>SUM(Table58[[#This Row],[PC%]:[G%]])</f>
        <v>1.0097485082112603</v>
      </c>
      <c r="O196" s="25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35">
      <c r="A197" s="45">
        <v>34608</v>
      </c>
      <c r="B197" s="63">
        <f>VLOOKUP(A197,'U.S. GDP'!A:B,2,)</f>
        <v>10512.962</v>
      </c>
      <c r="C197" s="63">
        <f>VLOOKUP(A197,PersonalConsumption!A:B,2,)</f>
        <v>6818.8190000000004</v>
      </c>
      <c r="D197" s="63">
        <f>VLOOKUP(A197,PrivateInvestment!A:B,2,)</f>
        <v>1530.4760000000001</v>
      </c>
      <c r="E197" s="63">
        <f>VLOOKUP(A197,Exports!A:B,2,)</f>
        <v>925.58900000000006</v>
      </c>
      <c r="F197" s="63">
        <f>VLOOKUP(A197,Imports!A:B,2,)</f>
        <v>1081.6469999999999</v>
      </c>
      <c r="G197" s="63">
        <f>VLOOKUP(A197,Government!A:B,2,)</f>
        <v>2405.5650000000001</v>
      </c>
      <c r="H197" s="37">
        <f>Table58[[#This Row],[Personal Consumption]]/Table58[[#This Row],[GDP]]</f>
        <v>0.64861063894266913</v>
      </c>
      <c r="I197" s="37">
        <f>Table58[[#This Row],[Private Investment]]/Table58[[#This Row],[GDP]]</f>
        <v>0.14557990412216845</v>
      </c>
      <c r="J197" s="37">
        <f>Table58[[#This Row],[Exports]]/Table58[[#This Row],[GDP]]</f>
        <v>8.804264678213429E-2</v>
      </c>
      <c r="K197" s="37">
        <f>-Table58[[#This Row],[Imports]]/Table58[[#This Row],[GDP]]</f>
        <v>-0.10288698846243333</v>
      </c>
      <c r="L197" s="37">
        <f>Table58[[#This Row],[Government]]/Table58[[#This Row],[GDP]]</f>
        <v>0.22881895701706143</v>
      </c>
      <c r="N197" s="58">
        <f>SUM(Table58[[#This Row],[PC%]:[G%]])</f>
        <v>1.0081651584015998</v>
      </c>
      <c r="O197" s="25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35">
      <c r="A198" s="45">
        <v>34700</v>
      </c>
      <c r="B198" s="63">
        <f>VLOOKUP(A198,'U.S. GDP'!A:B,2,)</f>
        <v>10550.251</v>
      </c>
      <c r="C198" s="63">
        <f>VLOOKUP(A198,PersonalConsumption!A:B,2,)</f>
        <v>6835.7910000000002</v>
      </c>
      <c r="D198" s="63">
        <f>VLOOKUP(A198,PrivateInvestment!A:B,2,)</f>
        <v>1546.548</v>
      </c>
      <c r="E198" s="63">
        <f>VLOOKUP(A198,Exports!A:B,2,)</f>
        <v>943.41800000000001</v>
      </c>
      <c r="F198" s="63">
        <f>VLOOKUP(A198,Imports!A:B,2,)</f>
        <v>1105.3800000000001</v>
      </c>
      <c r="G198" s="63">
        <f>VLOOKUP(A198,Government!A:B,2,)</f>
        <v>2413.98</v>
      </c>
      <c r="H198" s="37">
        <f>Table58[[#This Row],[Personal Consumption]]/Table58[[#This Row],[GDP]]</f>
        <v>0.64792685974959274</v>
      </c>
      <c r="I198" s="37">
        <f>Table58[[#This Row],[Private Investment]]/Table58[[#This Row],[GDP]]</f>
        <v>0.14658873992666147</v>
      </c>
      <c r="J198" s="37">
        <f>Table58[[#This Row],[Exports]]/Table58[[#This Row],[GDP]]</f>
        <v>8.9421379643005644E-2</v>
      </c>
      <c r="K198" s="37">
        <f>-Table58[[#This Row],[Imports]]/Table58[[#This Row],[GDP]]</f>
        <v>-0.10477286274990046</v>
      </c>
      <c r="L198" s="37">
        <f>Table58[[#This Row],[Government]]/Table58[[#This Row],[GDP]]</f>
        <v>0.22880782646782527</v>
      </c>
      <c r="N198" s="58">
        <f>SUM(Table58[[#This Row],[PC%]:[G%]])</f>
        <v>1.0079719430371847</v>
      </c>
      <c r="O198" s="25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35">
      <c r="A199" s="45">
        <v>34790</v>
      </c>
      <c r="B199" s="63">
        <f>VLOOKUP(A199,'U.S. GDP'!A:B,2,)</f>
        <v>10581.723</v>
      </c>
      <c r="C199" s="63">
        <f>VLOOKUP(A199,PersonalConsumption!A:B,2,)</f>
        <v>6895.7179999999998</v>
      </c>
      <c r="D199" s="63">
        <f>VLOOKUP(A199,PrivateInvestment!A:B,2,)</f>
        <v>1514.4259999999999</v>
      </c>
      <c r="E199" s="63">
        <f>VLOOKUP(A199,Exports!A:B,2,)</f>
        <v>956.64700000000005</v>
      </c>
      <c r="F199" s="63">
        <f>VLOOKUP(A199,Imports!A:B,2,)</f>
        <v>1115.8779999999999</v>
      </c>
      <c r="G199" s="63">
        <f>VLOOKUP(A199,Government!A:B,2,)</f>
        <v>2422.0909999999999</v>
      </c>
      <c r="H199" s="37">
        <f>Table58[[#This Row],[Personal Consumption]]/Table58[[#This Row],[GDP]]</f>
        <v>0.6516630609211751</v>
      </c>
      <c r="I199" s="37">
        <f>Table58[[#This Row],[Private Investment]]/Table58[[#This Row],[GDP]]</f>
        <v>0.14311714642312975</v>
      </c>
      <c r="J199" s="37">
        <f>Table58[[#This Row],[Exports]]/Table58[[#This Row],[GDP]]</f>
        <v>9.0405598407745133E-2</v>
      </c>
      <c r="K199" s="37">
        <f>-Table58[[#This Row],[Imports]]/Table58[[#This Row],[GDP]]</f>
        <v>-0.10545333685260896</v>
      </c>
      <c r="L199" s="37">
        <f>Table58[[#This Row],[Government]]/Table58[[#This Row],[GDP]]</f>
        <v>0.22889382003290012</v>
      </c>
      <c r="N199" s="58">
        <f>SUM(Table58[[#This Row],[PC%]:[G%]])</f>
        <v>1.0086262889323412</v>
      </c>
      <c r="O199" s="25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35">
      <c r="A200" s="45">
        <v>34881</v>
      </c>
      <c r="B200" s="63">
        <f>VLOOKUP(A200,'U.S. GDP'!A:B,2,)</f>
        <v>10671.737999999999</v>
      </c>
      <c r="C200" s="63">
        <f>VLOOKUP(A200,PersonalConsumption!A:B,2,)</f>
        <v>6958.21</v>
      </c>
      <c r="D200" s="63">
        <f>VLOOKUP(A200,PrivateInvestment!A:B,2,)</f>
        <v>1505.3989999999999</v>
      </c>
      <c r="E200" s="63">
        <f>VLOOKUP(A200,Exports!A:B,2,)</f>
        <v>998.04600000000005</v>
      </c>
      <c r="F200" s="63">
        <f>VLOOKUP(A200,Imports!A:B,2,)</f>
        <v>1119.712</v>
      </c>
      <c r="G200" s="63">
        <f>VLOOKUP(A200,Government!A:B,2,)</f>
        <v>2415.7359999999999</v>
      </c>
      <c r="H200" s="37">
        <f>Table58[[#This Row],[Personal Consumption]]/Table58[[#This Row],[GDP]]</f>
        <v>0.65202219169923403</v>
      </c>
      <c r="I200" s="37">
        <f>Table58[[#This Row],[Private Investment]]/Table58[[#This Row],[GDP]]</f>
        <v>0.14106408909214224</v>
      </c>
      <c r="J200" s="37">
        <f>Table58[[#This Row],[Exports]]/Table58[[#This Row],[GDP]]</f>
        <v>9.3522348468450048E-2</v>
      </c>
      <c r="K200" s="37">
        <f>-Table58[[#This Row],[Imports]]/Table58[[#This Row],[GDP]]</f>
        <v>-0.10492311561621923</v>
      </c>
      <c r="L200" s="37">
        <f>Table58[[#This Row],[Government]]/Table58[[#This Row],[GDP]]</f>
        <v>0.2263676263416512</v>
      </c>
      <c r="N200" s="58">
        <f>SUM(Table58[[#This Row],[PC%]:[G%]])</f>
        <v>1.0080531399852584</v>
      </c>
      <c r="O200" s="25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35">
      <c r="A201" s="45">
        <v>34973</v>
      </c>
      <c r="B201" s="63">
        <f>VLOOKUP(A201,'U.S. GDP'!A:B,2,)</f>
        <v>10744.203</v>
      </c>
      <c r="C201" s="63">
        <f>VLOOKUP(A201,PersonalConsumption!A:B,2,)</f>
        <v>7006.7470000000003</v>
      </c>
      <c r="D201" s="63">
        <f>VLOOKUP(A201,PrivateInvestment!A:B,2,)</f>
        <v>1542.7850000000001</v>
      </c>
      <c r="E201" s="63">
        <f>VLOOKUP(A201,Exports!A:B,2,)</f>
        <v>1012.295</v>
      </c>
      <c r="F201" s="63">
        <f>VLOOKUP(A201,Imports!A:B,2,)</f>
        <v>1134.0239999999999</v>
      </c>
      <c r="G201" s="63">
        <f>VLOOKUP(A201,Government!A:B,2,)</f>
        <v>2390.46</v>
      </c>
      <c r="H201" s="37">
        <f>Table58[[#This Row],[Personal Consumption]]/Table58[[#This Row],[GDP]]</f>
        <v>0.65214209001821732</v>
      </c>
      <c r="I201" s="37">
        <f>Table58[[#This Row],[Private Investment]]/Table58[[#This Row],[GDP]]</f>
        <v>0.14359231671255654</v>
      </c>
      <c r="J201" s="37">
        <f>Table58[[#This Row],[Exports]]/Table58[[#This Row],[GDP]]</f>
        <v>9.4217784232111024E-2</v>
      </c>
      <c r="K201" s="37">
        <f>-Table58[[#This Row],[Imports]]/Table58[[#This Row],[GDP]]</f>
        <v>-0.10554752176592344</v>
      </c>
      <c r="L201" s="37">
        <f>Table58[[#This Row],[Government]]/Table58[[#This Row],[GDP]]</f>
        <v>0.2224883502294214</v>
      </c>
      <c r="N201" s="58">
        <f>SUM(Table58[[#This Row],[PC%]:[G%]])</f>
        <v>1.006893019426383</v>
      </c>
      <c r="O201" s="25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35">
      <c r="A202" s="45">
        <v>35065</v>
      </c>
      <c r="B202" s="63">
        <f>VLOOKUP(A202,'U.S. GDP'!A:B,2,)</f>
        <v>10824.674000000001</v>
      </c>
      <c r="C202" s="63">
        <f>VLOOKUP(A202,PersonalConsumption!A:B,2,)</f>
        <v>7071.3689999999997</v>
      </c>
      <c r="D202" s="63">
        <f>VLOOKUP(A202,PrivateInvestment!A:B,2,)</f>
        <v>1567.56</v>
      </c>
      <c r="E202" s="63">
        <f>VLOOKUP(A202,Exports!A:B,2,)</f>
        <v>1024.482</v>
      </c>
      <c r="F202" s="63">
        <f>VLOOKUP(A202,Imports!A:B,2,)</f>
        <v>1170.8879999999999</v>
      </c>
      <c r="G202" s="63">
        <f>VLOOKUP(A202,Government!A:B,2,)</f>
        <v>2406.2280000000001</v>
      </c>
      <c r="H202" s="37">
        <f>Table58[[#This Row],[Personal Consumption]]/Table58[[#This Row],[GDP]]</f>
        <v>0.65326392277494905</v>
      </c>
      <c r="I202" s="37">
        <f>Table58[[#This Row],[Private Investment]]/Table58[[#This Row],[GDP]]</f>
        <v>0.14481359900538343</v>
      </c>
      <c r="J202" s="37">
        <f>Table58[[#This Row],[Exports]]/Table58[[#This Row],[GDP]]</f>
        <v>9.4643219740382006E-2</v>
      </c>
      <c r="K202" s="37">
        <f>-Table58[[#This Row],[Imports]]/Table58[[#This Row],[GDP]]</f>
        <v>-0.10816843075366518</v>
      </c>
      <c r="L202" s="37">
        <f>Table58[[#This Row],[Government]]/Table58[[#This Row],[GDP]]</f>
        <v>0.2222910362011826</v>
      </c>
      <c r="N202" s="58">
        <f>SUM(Table58[[#This Row],[PC%]:[G%]])</f>
        <v>1.0068433469682319</v>
      </c>
      <c r="O202" s="25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35">
      <c r="A203" s="45">
        <v>35156</v>
      </c>
      <c r="B203" s="63">
        <f>VLOOKUP(A203,'U.S. GDP'!A:B,2,)</f>
        <v>11005.217000000001</v>
      </c>
      <c r="C203" s="63">
        <f>VLOOKUP(A203,PersonalConsumption!A:B,2,)</f>
        <v>7147.4409999999998</v>
      </c>
      <c r="D203" s="63">
        <f>VLOOKUP(A203,PrivateInvestment!A:B,2,)</f>
        <v>1642.8820000000001</v>
      </c>
      <c r="E203" s="63">
        <f>VLOOKUP(A203,Exports!A:B,2,)</f>
        <v>1041.134</v>
      </c>
      <c r="F203" s="63">
        <f>VLOOKUP(A203,Imports!A:B,2,)</f>
        <v>1197.0920000000001</v>
      </c>
      <c r="G203" s="63">
        <f>VLOOKUP(A203,Government!A:B,2,)</f>
        <v>2436.1979999999999</v>
      </c>
      <c r="H203" s="37">
        <f>Table58[[#This Row],[Personal Consumption]]/Table58[[#This Row],[GDP]]</f>
        <v>0.64945934278260931</v>
      </c>
      <c r="I203" s="37">
        <f>Table58[[#This Row],[Private Investment]]/Table58[[#This Row],[GDP]]</f>
        <v>0.14928210865810279</v>
      </c>
      <c r="J203" s="37">
        <f>Table58[[#This Row],[Exports]]/Table58[[#This Row],[GDP]]</f>
        <v>9.4603677510402565E-2</v>
      </c>
      <c r="K203" s="37">
        <f>-Table58[[#This Row],[Imports]]/Table58[[#This Row],[GDP]]</f>
        <v>-0.10877495645928655</v>
      </c>
      <c r="L203" s="37">
        <f>Table58[[#This Row],[Government]]/Table58[[#This Row],[GDP]]</f>
        <v>0.22136755685962392</v>
      </c>
      <c r="N203" s="58">
        <f>SUM(Table58[[#This Row],[PC%]:[G%]])</f>
        <v>1.005937729351452</v>
      </c>
      <c r="O203" s="25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35">
      <c r="A204" s="45">
        <v>35247</v>
      </c>
      <c r="B204" s="63">
        <f>VLOOKUP(A204,'U.S. GDP'!A:B,2,)</f>
        <v>11103.934999999999</v>
      </c>
      <c r="C204" s="63">
        <f>VLOOKUP(A204,PersonalConsumption!A:B,2,)</f>
        <v>7190.7129999999997</v>
      </c>
      <c r="D204" s="63">
        <f>VLOOKUP(A204,PrivateInvestment!A:B,2,)</f>
        <v>1717.51</v>
      </c>
      <c r="E204" s="63">
        <f>VLOOKUP(A204,Exports!A:B,2,)</f>
        <v>1049.548</v>
      </c>
      <c r="F204" s="63">
        <f>VLOOKUP(A204,Imports!A:B,2,)</f>
        <v>1235.904</v>
      </c>
      <c r="G204" s="63">
        <f>VLOOKUP(A204,Government!A:B,2,)</f>
        <v>2436.1819999999998</v>
      </c>
      <c r="H204" s="37">
        <f>Table58[[#This Row],[Personal Consumption]]/Table58[[#This Row],[GDP]]</f>
        <v>0.64758241110020909</v>
      </c>
      <c r="I204" s="37">
        <f>Table58[[#This Row],[Private Investment]]/Table58[[#This Row],[GDP]]</f>
        <v>0.15467579736372736</v>
      </c>
      <c r="J204" s="37">
        <f>Table58[[#This Row],[Exports]]/Table58[[#This Row],[GDP]]</f>
        <v>9.4520365978367132E-2</v>
      </c>
      <c r="K204" s="37">
        <f>-Table58[[#This Row],[Imports]]/Table58[[#This Row],[GDP]]</f>
        <v>-0.11130324520091302</v>
      </c>
      <c r="L204" s="37">
        <f>Table58[[#This Row],[Government]]/Table58[[#This Row],[GDP]]</f>
        <v>0.219398078248837</v>
      </c>
      <c r="N204" s="58">
        <f>SUM(Table58[[#This Row],[PC%]:[G%]])</f>
        <v>1.0048734074902275</v>
      </c>
      <c r="O204" s="25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35">
      <c r="A205" s="45">
        <v>35339</v>
      </c>
      <c r="B205" s="63">
        <f>VLOOKUP(A205,'U.S. GDP'!A:B,2,)</f>
        <v>11219.237999999999</v>
      </c>
      <c r="C205" s="63">
        <f>VLOOKUP(A205,PersonalConsumption!A:B,2,)</f>
        <v>7247.9870000000001</v>
      </c>
      <c r="D205" s="63">
        <f>VLOOKUP(A205,PrivateInvestment!A:B,2,)</f>
        <v>1715.2449999999999</v>
      </c>
      <c r="E205" s="63">
        <f>VLOOKUP(A205,Exports!A:B,2,)</f>
        <v>1114.9749999999999</v>
      </c>
      <c r="F205" s="63">
        <f>VLOOKUP(A205,Imports!A:B,2,)</f>
        <v>1260.278</v>
      </c>
      <c r="G205" s="63">
        <f>VLOOKUP(A205,Government!A:B,2,)</f>
        <v>2452.9940000000001</v>
      </c>
      <c r="H205" s="37">
        <f>Table58[[#This Row],[Personal Consumption]]/Table58[[#This Row],[GDP]]</f>
        <v>0.64603202106952362</v>
      </c>
      <c r="I205" s="37">
        <f>Table58[[#This Row],[Private Investment]]/Table58[[#This Row],[GDP]]</f>
        <v>0.15288426896728638</v>
      </c>
      <c r="J205" s="37">
        <f>Table58[[#This Row],[Exports]]/Table58[[#This Row],[GDP]]</f>
        <v>9.9380635298047873E-2</v>
      </c>
      <c r="K205" s="37">
        <f>-Table58[[#This Row],[Imports]]/Table58[[#This Row],[GDP]]</f>
        <v>-0.11233187138021318</v>
      </c>
      <c r="L205" s="37">
        <f>Table58[[#This Row],[Government]]/Table58[[#This Row],[GDP]]</f>
        <v>0.21864176515374753</v>
      </c>
      <c r="N205" s="58">
        <f>SUM(Table58[[#This Row],[PC%]:[G%]])</f>
        <v>1.0046068191083921</v>
      </c>
      <c r="O205" s="25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35">
      <c r="A206" s="45">
        <v>35431</v>
      </c>
      <c r="B206" s="63">
        <f>VLOOKUP(A206,'U.S. GDP'!A:B,2,)</f>
        <v>11291.665000000001</v>
      </c>
      <c r="C206" s="63">
        <f>VLOOKUP(A206,PersonalConsumption!A:B,2,)</f>
        <v>7324.3879999999999</v>
      </c>
      <c r="D206" s="63">
        <f>VLOOKUP(A206,PrivateInvestment!A:B,2,)</f>
        <v>1749.8789999999999</v>
      </c>
      <c r="E206" s="63">
        <f>VLOOKUP(A206,Exports!A:B,2,)</f>
        <v>1136.155</v>
      </c>
      <c r="F206" s="63">
        <f>VLOOKUP(A206,Imports!A:B,2,)</f>
        <v>1314.106</v>
      </c>
      <c r="G206" s="63">
        <f>VLOOKUP(A206,Government!A:B,2,)</f>
        <v>2440.2449999999999</v>
      </c>
      <c r="H206" s="37">
        <f>Table58[[#This Row],[Personal Consumption]]/Table58[[#This Row],[GDP]]</f>
        <v>0.64865438356522265</v>
      </c>
      <c r="I206" s="37">
        <f>Table58[[#This Row],[Private Investment]]/Table58[[#This Row],[GDP]]</f>
        <v>0.15497085682226666</v>
      </c>
      <c r="J206" s="37">
        <f>Table58[[#This Row],[Exports]]/Table58[[#This Row],[GDP]]</f>
        <v>0.10061890784042919</v>
      </c>
      <c r="K206" s="37">
        <f>-Table58[[#This Row],[Imports]]/Table58[[#This Row],[GDP]]</f>
        <v>-0.11637840832153627</v>
      </c>
      <c r="L206" s="37">
        <f>Table58[[#This Row],[Government]]/Table58[[#This Row],[GDP]]</f>
        <v>0.21611029020078082</v>
      </c>
      <c r="N206" s="58">
        <f>SUM(Table58[[#This Row],[PC%]:[G%]])</f>
        <v>1.003976030107163</v>
      </c>
      <c r="O206" s="25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35">
      <c r="A207" s="45">
        <v>35521</v>
      </c>
      <c r="B207" s="63">
        <f>VLOOKUP(A207,'U.S. GDP'!A:B,2,)</f>
        <v>11479.33</v>
      </c>
      <c r="C207" s="63">
        <f>VLOOKUP(A207,PersonalConsumption!A:B,2,)</f>
        <v>7357.3620000000001</v>
      </c>
      <c r="D207" s="63">
        <f>VLOOKUP(A207,PrivateInvestment!A:B,2,)</f>
        <v>1856.9559999999999</v>
      </c>
      <c r="E207" s="63">
        <f>VLOOKUP(A207,Exports!A:B,2,)</f>
        <v>1181.5740000000001</v>
      </c>
      <c r="F207" s="63">
        <f>VLOOKUP(A207,Imports!A:B,2,)</f>
        <v>1358.212</v>
      </c>
      <c r="G207" s="63">
        <f>VLOOKUP(A207,Government!A:B,2,)</f>
        <v>2471.8670000000002</v>
      </c>
      <c r="H207" s="37">
        <f>Table58[[#This Row],[Personal Consumption]]/Table58[[#This Row],[GDP]]</f>
        <v>0.64092259739897717</v>
      </c>
      <c r="I207" s="37">
        <f>Table58[[#This Row],[Private Investment]]/Table58[[#This Row],[GDP]]</f>
        <v>0.16176519012869217</v>
      </c>
      <c r="J207" s="37">
        <f>Table58[[#This Row],[Exports]]/Table58[[#This Row],[GDP]]</f>
        <v>0.10293057173197391</v>
      </c>
      <c r="K207" s="37">
        <f>-Table58[[#This Row],[Imports]]/Table58[[#This Row],[GDP]]</f>
        <v>-0.11831805514781786</v>
      </c>
      <c r="L207" s="37">
        <f>Table58[[#This Row],[Government]]/Table58[[#This Row],[GDP]]</f>
        <v>0.21533199237237716</v>
      </c>
      <c r="N207" s="58">
        <f>SUM(Table58[[#This Row],[PC%]:[G%]])</f>
        <v>1.0026322964842025</v>
      </c>
      <c r="O207" s="25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35">
      <c r="A208" s="45">
        <v>35612</v>
      </c>
      <c r="B208" s="63">
        <f>VLOOKUP(A208,'U.S. GDP'!A:B,2,)</f>
        <v>11622.911</v>
      </c>
      <c r="C208" s="63">
        <f>VLOOKUP(A208,PersonalConsumption!A:B,2,)</f>
        <v>7482.7129999999997</v>
      </c>
      <c r="D208" s="63">
        <f>VLOOKUP(A208,PrivateInvestment!A:B,2,)</f>
        <v>1882.9549999999999</v>
      </c>
      <c r="E208" s="63">
        <f>VLOOKUP(A208,Exports!A:B,2,)</f>
        <v>1208.942</v>
      </c>
      <c r="F208" s="63">
        <f>VLOOKUP(A208,Imports!A:B,2,)</f>
        <v>1408.2639999999999</v>
      </c>
      <c r="G208" s="63">
        <f>VLOOKUP(A208,Government!A:B,2,)</f>
        <v>2483.31</v>
      </c>
      <c r="H208" s="37">
        <f>Table58[[#This Row],[Personal Consumption]]/Table58[[#This Row],[GDP]]</f>
        <v>0.64378992491639997</v>
      </c>
      <c r="I208" s="37">
        <f>Table58[[#This Row],[Private Investment]]/Table58[[#This Row],[GDP]]</f>
        <v>0.16200373555299527</v>
      </c>
      <c r="J208" s="37">
        <f>Table58[[#This Row],[Exports]]/Table58[[#This Row],[GDP]]</f>
        <v>0.10401370190307746</v>
      </c>
      <c r="K208" s="37">
        <f>-Table58[[#This Row],[Imports]]/Table58[[#This Row],[GDP]]</f>
        <v>-0.12116276206537242</v>
      </c>
      <c r="L208" s="37">
        <f>Table58[[#This Row],[Government]]/Table58[[#This Row],[GDP]]</f>
        <v>0.21365645835195674</v>
      </c>
      <c r="N208" s="58">
        <f>SUM(Table58[[#This Row],[PC%]:[G%]])</f>
        <v>1.0023010586590571</v>
      </c>
      <c r="O208" s="25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35">
      <c r="A209" s="45">
        <v>35704</v>
      </c>
      <c r="B209" s="63">
        <f>VLOOKUP(A209,'U.S. GDP'!A:B,2,)</f>
        <v>11722.722</v>
      </c>
      <c r="C209" s="63">
        <f>VLOOKUP(A209,PersonalConsumption!A:B,2,)</f>
        <v>7572.1469999999999</v>
      </c>
      <c r="D209" s="63">
        <f>VLOOKUP(A209,PrivateInvestment!A:B,2,)</f>
        <v>1911.048</v>
      </c>
      <c r="E209" s="63">
        <f>VLOOKUP(A209,Exports!A:B,2,)</f>
        <v>1207.259</v>
      </c>
      <c r="F209" s="63">
        <f>VLOOKUP(A209,Imports!A:B,2,)</f>
        <v>1438.655</v>
      </c>
      <c r="G209" s="63">
        <f>VLOOKUP(A209,Government!A:B,2,)</f>
        <v>2495.7719999999999</v>
      </c>
      <c r="H209" s="37">
        <f>Table58[[#This Row],[Personal Consumption]]/Table58[[#This Row],[GDP]]</f>
        <v>0.64593760732362326</v>
      </c>
      <c r="I209" s="37">
        <f>Table58[[#This Row],[Private Investment]]/Table58[[#This Row],[GDP]]</f>
        <v>0.16302084106404638</v>
      </c>
      <c r="J209" s="37">
        <f>Table58[[#This Row],[Exports]]/Table58[[#This Row],[GDP]]</f>
        <v>0.10298452867857824</v>
      </c>
      <c r="K209" s="37">
        <f>-Table58[[#This Row],[Imports]]/Table58[[#This Row],[GDP]]</f>
        <v>-0.12272363022854249</v>
      </c>
      <c r="L209" s="37">
        <f>Table58[[#This Row],[Government]]/Table58[[#This Row],[GDP]]</f>
        <v>0.2129003826926886</v>
      </c>
      <c r="N209" s="58">
        <f>SUM(Table58[[#This Row],[PC%]:[G%]])</f>
        <v>1.0021197295303939</v>
      </c>
      <c r="O209" s="25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35">
      <c r="A210" s="45">
        <v>35796</v>
      </c>
      <c r="B210" s="63">
        <f>VLOOKUP(A210,'U.S. GDP'!A:B,2,)</f>
        <v>11839.876</v>
      </c>
      <c r="C210" s="63">
        <f>VLOOKUP(A210,PersonalConsumption!A:B,2,)</f>
        <v>7648.741</v>
      </c>
      <c r="D210" s="63">
        <f>VLOOKUP(A210,PrivateInvestment!A:B,2,)</f>
        <v>1994.375</v>
      </c>
      <c r="E210" s="63">
        <f>VLOOKUP(A210,Exports!A:B,2,)</f>
        <v>1212.914</v>
      </c>
      <c r="F210" s="63">
        <f>VLOOKUP(A210,Imports!A:B,2,)</f>
        <v>1492.6130000000001</v>
      </c>
      <c r="G210" s="63">
        <f>VLOOKUP(A210,Government!A:B,2,)</f>
        <v>2486.8409999999999</v>
      </c>
      <c r="H210" s="37">
        <f>Table58[[#This Row],[Personal Consumption]]/Table58[[#This Row],[GDP]]</f>
        <v>0.64601529610614161</v>
      </c>
      <c r="I210" s="37">
        <f>Table58[[#This Row],[Private Investment]]/Table58[[#This Row],[GDP]]</f>
        <v>0.16844559858566086</v>
      </c>
      <c r="J210" s="37">
        <f>Table58[[#This Row],[Exports]]/Table58[[#This Row],[GDP]]</f>
        <v>0.10244313369498126</v>
      </c>
      <c r="K210" s="37">
        <f>-Table58[[#This Row],[Imports]]/Table58[[#This Row],[GDP]]</f>
        <v>-0.12606660745433482</v>
      </c>
      <c r="L210" s="37">
        <f>Table58[[#This Row],[Government]]/Table58[[#This Row],[GDP]]</f>
        <v>0.21003944635906657</v>
      </c>
      <c r="N210" s="58">
        <f>SUM(Table58[[#This Row],[PC%]:[G%]])</f>
        <v>1.0008768672915154</v>
      </c>
      <c r="O210" s="25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35">
      <c r="A211" s="45">
        <v>35886</v>
      </c>
      <c r="B211" s="63">
        <f>VLOOKUP(A211,'U.S. GDP'!A:B,2,)</f>
        <v>11949.492</v>
      </c>
      <c r="C211" s="63">
        <f>VLOOKUP(A211,PersonalConsumption!A:B,2,)</f>
        <v>7783.43</v>
      </c>
      <c r="D211" s="63">
        <f>VLOOKUP(A211,PrivateInvestment!A:B,2,)</f>
        <v>1982.058</v>
      </c>
      <c r="E211" s="63">
        <f>VLOOKUP(A211,Exports!A:B,2,)</f>
        <v>1199.5250000000001</v>
      </c>
      <c r="F211" s="63">
        <f>VLOOKUP(A211,Imports!A:B,2,)</f>
        <v>1526.8219999999999</v>
      </c>
      <c r="G211" s="63">
        <f>VLOOKUP(A211,Government!A:B,2,)</f>
        <v>2530.3649999999998</v>
      </c>
      <c r="H211" s="37">
        <f>Table58[[#This Row],[Personal Consumption]]/Table58[[#This Row],[GDP]]</f>
        <v>0.651360744038324</v>
      </c>
      <c r="I211" s="37">
        <f>Table58[[#This Row],[Private Investment]]/Table58[[#This Row],[GDP]]</f>
        <v>0.16586964533722437</v>
      </c>
      <c r="J211" s="37">
        <f>Table58[[#This Row],[Exports]]/Table58[[#This Row],[GDP]]</f>
        <v>0.10038292841235427</v>
      </c>
      <c r="K211" s="37">
        <f>-Table58[[#This Row],[Imports]]/Table58[[#This Row],[GDP]]</f>
        <v>-0.12777296306822081</v>
      </c>
      <c r="L211" s="37">
        <f>Table58[[#This Row],[Government]]/Table58[[#This Row],[GDP]]</f>
        <v>0.21175502690825684</v>
      </c>
      <c r="N211" s="58">
        <f>SUM(Table58[[#This Row],[PC%]:[G%]])</f>
        <v>1.0015953816279386</v>
      </c>
      <c r="O211" s="25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35">
      <c r="A212" s="45">
        <v>35977</v>
      </c>
      <c r="B212" s="63">
        <f>VLOOKUP(A212,'U.S. GDP'!A:B,2,)</f>
        <v>12099.191000000001</v>
      </c>
      <c r="C212" s="63">
        <f>VLOOKUP(A212,PersonalConsumption!A:B,2,)</f>
        <v>7884.9290000000001</v>
      </c>
      <c r="D212" s="63">
        <f>VLOOKUP(A212,PrivateInvestment!A:B,2,)</f>
        <v>2033.0150000000001</v>
      </c>
      <c r="E212" s="63">
        <f>VLOOKUP(A212,Exports!A:B,2,)</f>
        <v>1193.9449999999999</v>
      </c>
      <c r="F212" s="63">
        <f>VLOOKUP(A212,Imports!A:B,2,)</f>
        <v>1547.423</v>
      </c>
      <c r="G212" s="63">
        <f>VLOOKUP(A212,Government!A:B,2,)</f>
        <v>2549.4259999999999</v>
      </c>
      <c r="H212" s="37">
        <f>Table58[[#This Row],[Personal Consumption]]/Table58[[#This Row],[GDP]]</f>
        <v>0.65169059650351824</v>
      </c>
      <c r="I212" s="37">
        <f>Table58[[#This Row],[Private Investment]]/Table58[[#This Row],[GDP]]</f>
        <v>0.16802900293085712</v>
      </c>
      <c r="J212" s="37">
        <f>Table58[[#This Row],[Exports]]/Table58[[#This Row],[GDP]]</f>
        <v>9.8679738174229981E-2</v>
      </c>
      <c r="K212" s="37">
        <f>-Table58[[#This Row],[Imports]]/Table58[[#This Row],[GDP]]</f>
        <v>-0.12789474932662853</v>
      </c>
      <c r="L212" s="37">
        <f>Table58[[#This Row],[Government]]/Table58[[#This Row],[GDP]]</f>
        <v>0.21071045163267527</v>
      </c>
      <c r="N212" s="58">
        <f>SUM(Table58[[#This Row],[PC%]:[G%]])</f>
        <v>1.001215039914652</v>
      </c>
      <c r="O212" s="25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35">
      <c r="A213" s="45">
        <v>36069</v>
      </c>
      <c r="B213" s="63">
        <f>VLOOKUP(A213,'U.S. GDP'!A:B,2,)</f>
        <v>12294.736999999999</v>
      </c>
      <c r="C213" s="63">
        <f>VLOOKUP(A213,PersonalConsumption!A:B,2,)</f>
        <v>7998.8419999999996</v>
      </c>
      <c r="D213" s="63">
        <f>VLOOKUP(A213,PrivateInvestment!A:B,2,)</f>
        <v>2095.7600000000002</v>
      </c>
      <c r="E213" s="63">
        <f>VLOOKUP(A213,Exports!A:B,2,)</f>
        <v>1238.1189999999999</v>
      </c>
      <c r="F213" s="63">
        <f>VLOOKUP(A213,Imports!A:B,2,)</f>
        <v>1597.5070000000001</v>
      </c>
      <c r="G213" s="63">
        <f>VLOOKUP(A213,Government!A:B,2,)</f>
        <v>2564.473</v>
      </c>
      <c r="H213" s="37">
        <f>Table58[[#This Row],[Personal Consumption]]/Table58[[#This Row],[GDP]]</f>
        <v>0.65059073650782451</v>
      </c>
      <c r="I213" s="37">
        <f>Table58[[#This Row],[Private Investment]]/Table58[[#This Row],[GDP]]</f>
        <v>0.17045992931772355</v>
      </c>
      <c r="J213" s="37">
        <f>Table58[[#This Row],[Exports]]/Table58[[#This Row],[GDP]]</f>
        <v>0.10070317079576407</v>
      </c>
      <c r="K213" s="37">
        <f>-Table58[[#This Row],[Imports]]/Table58[[#This Row],[GDP]]</f>
        <v>-0.12993421494091334</v>
      </c>
      <c r="L213" s="37">
        <f>Table58[[#This Row],[Government]]/Table58[[#This Row],[GDP]]</f>
        <v>0.20858298961580066</v>
      </c>
      <c r="N213" s="58">
        <f>SUM(Table58[[#This Row],[PC%]:[G%]])</f>
        <v>1.0004026112961995</v>
      </c>
      <c r="O213" s="25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35">
      <c r="A214" s="45">
        <v>36161</v>
      </c>
      <c r="B214" s="63">
        <f>VLOOKUP(A214,'U.S. GDP'!A:B,2,)</f>
        <v>12410.778</v>
      </c>
      <c r="C214" s="63">
        <f>VLOOKUP(A214,PersonalConsumption!A:B,2,)</f>
        <v>8080.9960000000001</v>
      </c>
      <c r="D214" s="63">
        <f>VLOOKUP(A214,PrivateInvestment!A:B,2,)</f>
        <v>2153.308</v>
      </c>
      <c r="E214" s="63">
        <f>VLOOKUP(A214,Exports!A:B,2,)</f>
        <v>1234.528</v>
      </c>
      <c r="F214" s="63">
        <f>VLOOKUP(A214,Imports!A:B,2,)</f>
        <v>1642.6469999999999</v>
      </c>
      <c r="G214" s="63">
        <f>VLOOKUP(A214,Government!A:B,2,)</f>
        <v>2582.8870000000002</v>
      </c>
      <c r="H214" s="37">
        <f>Table58[[#This Row],[Personal Consumption]]/Table58[[#This Row],[GDP]]</f>
        <v>0.65112727018402872</v>
      </c>
      <c r="I214" s="37">
        <f>Table58[[#This Row],[Private Investment]]/Table58[[#This Row],[GDP]]</f>
        <v>0.17350306322456174</v>
      </c>
      <c r="J214" s="37">
        <f>Table58[[#This Row],[Exports]]/Table58[[#This Row],[GDP]]</f>
        <v>9.9472249040309962E-2</v>
      </c>
      <c r="K214" s="37">
        <f>-Table58[[#This Row],[Imports]]/Table58[[#This Row],[GDP]]</f>
        <v>-0.13235648885186729</v>
      </c>
      <c r="L214" s="37">
        <f>Table58[[#This Row],[Government]]/Table58[[#This Row],[GDP]]</f>
        <v>0.20811644523816317</v>
      </c>
      <c r="N214" s="58">
        <f>SUM(Table58[[#This Row],[PC%]:[G%]])</f>
        <v>0.99986253883519627</v>
      </c>
      <c r="O214" s="25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35">
      <c r="A215" s="45">
        <v>36251</v>
      </c>
      <c r="B215" s="63">
        <f>VLOOKUP(A215,'U.S. GDP'!A:B,2,)</f>
        <v>12514.407999999999</v>
      </c>
      <c r="C215" s="63">
        <f>VLOOKUP(A215,PersonalConsumption!A:B,2,)</f>
        <v>8204.75</v>
      </c>
      <c r="D215" s="63">
        <f>VLOOKUP(A215,PrivateInvestment!A:B,2,)</f>
        <v>2154.652</v>
      </c>
      <c r="E215" s="63">
        <f>VLOOKUP(A215,Exports!A:B,2,)</f>
        <v>1249.6110000000001</v>
      </c>
      <c r="F215" s="63">
        <f>VLOOKUP(A215,Imports!A:B,2,)</f>
        <v>1689.8230000000001</v>
      </c>
      <c r="G215" s="63">
        <f>VLOOKUP(A215,Government!A:B,2,)</f>
        <v>2592.2179999999998</v>
      </c>
      <c r="H215" s="37">
        <f>Table58[[#This Row],[Personal Consumption]]/Table58[[#This Row],[GDP]]</f>
        <v>0.65562430120545856</v>
      </c>
      <c r="I215" s="37">
        <f>Table58[[#This Row],[Private Investment]]/Table58[[#This Row],[GDP]]</f>
        <v>0.17217370569986212</v>
      </c>
      <c r="J215" s="37">
        <f>Table58[[#This Row],[Exports]]/Table58[[#This Row],[GDP]]</f>
        <v>9.9853784533794981E-2</v>
      </c>
      <c r="K215" s="37">
        <f>-Table58[[#This Row],[Imports]]/Table58[[#This Row],[GDP]]</f>
        <v>-0.13503019879166478</v>
      </c>
      <c r="L215" s="37">
        <f>Table58[[#This Row],[Government]]/Table58[[#This Row],[GDP]]</f>
        <v>0.20713868366765731</v>
      </c>
      <c r="N215" s="58">
        <f>SUM(Table58[[#This Row],[PC%]:[G%]])</f>
        <v>0.99976027631510822</v>
      </c>
      <c r="O215" s="25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35">
      <c r="A216" s="45">
        <v>36342</v>
      </c>
      <c r="B216" s="63">
        <f>VLOOKUP(A216,'U.S. GDP'!A:B,2,)</f>
        <v>12679.977000000001</v>
      </c>
      <c r="C216" s="63">
        <f>VLOOKUP(A216,PersonalConsumption!A:B,2,)</f>
        <v>8296.9879999999994</v>
      </c>
      <c r="D216" s="63">
        <f>VLOOKUP(A216,PrivateInvestment!A:B,2,)</f>
        <v>2213.7730000000001</v>
      </c>
      <c r="E216" s="63">
        <f>VLOOKUP(A216,Exports!A:B,2,)</f>
        <v>1287.1600000000001</v>
      </c>
      <c r="F216" s="63">
        <f>VLOOKUP(A216,Imports!A:B,2,)</f>
        <v>1750.9110000000001</v>
      </c>
      <c r="G216" s="63">
        <f>VLOOKUP(A216,Government!A:B,2,)</f>
        <v>2623.4229999999998</v>
      </c>
      <c r="H216" s="37">
        <f>Table58[[#This Row],[Personal Consumption]]/Table58[[#This Row],[GDP]]</f>
        <v>0.65433777995023168</v>
      </c>
      <c r="I216" s="37">
        <f>Table58[[#This Row],[Private Investment]]/Table58[[#This Row],[GDP]]</f>
        <v>0.17458809270710823</v>
      </c>
      <c r="J216" s="37">
        <f>Table58[[#This Row],[Exports]]/Table58[[#This Row],[GDP]]</f>
        <v>0.10151122513865758</v>
      </c>
      <c r="K216" s="37">
        <f>-Table58[[#This Row],[Imports]]/Table58[[#This Row],[GDP]]</f>
        <v>-0.13808471419151627</v>
      </c>
      <c r="L216" s="37">
        <f>Table58[[#This Row],[Government]]/Table58[[#This Row],[GDP]]</f>
        <v>0.20689493364222977</v>
      </c>
      <c r="N216" s="58">
        <f>SUM(Table58[[#This Row],[PC%]:[G%]])</f>
        <v>0.99924731724671101</v>
      </c>
      <c r="O216" s="25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35">
      <c r="A217" s="45">
        <v>36434</v>
      </c>
      <c r="B217" s="63">
        <f>VLOOKUP(A217,'U.S. GDP'!A:B,2,)</f>
        <v>12888.281000000001</v>
      </c>
      <c r="C217" s="63">
        <f>VLOOKUP(A217,PersonalConsumption!A:B,2,)</f>
        <v>8418.3490000000002</v>
      </c>
      <c r="D217" s="63">
        <f>VLOOKUP(A217,PrivateInvestment!A:B,2,)</f>
        <v>2273.0949999999998</v>
      </c>
      <c r="E217" s="63">
        <f>VLOOKUP(A217,Exports!A:B,2,)</f>
        <v>1314.6369999999999</v>
      </c>
      <c r="F217" s="63">
        <f>VLOOKUP(A217,Imports!A:B,2,)</f>
        <v>1795.6969999999999</v>
      </c>
      <c r="G217" s="63">
        <f>VLOOKUP(A217,Government!A:B,2,)</f>
        <v>2664.2359999999999</v>
      </c>
      <c r="H217" s="37">
        <f>Table58[[#This Row],[Personal Consumption]]/Table58[[#This Row],[GDP]]</f>
        <v>0.65317857362048515</v>
      </c>
      <c r="I217" s="37">
        <f>Table58[[#This Row],[Private Investment]]/Table58[[#This Row],[GDP]]</f>
        <v>0.17636913720301409</v>
      </c>
      <c r="J217" s="37">
        <f>Table58[[#This Row],[Exports]]/Table58[[#This Row],[GDP]]</f>
        <v>0.10200250910109733</v>
      </c>
      <c r="K217" s="37">
        <f>-Table58[[#This Row],[Imports]]/Table58[[#This Row],[GDP]]</f>
        <v>-0.13932789019730402</v>
      </c>
      <c r="L217" s="37">
        <f>Table58[[#This Row],[Government]]/Table58[[#This Row],[GDP]]</f>
        <v>0.20671771510878756</v>
      </c>
      <c r="N217" s="58">
        <f>SUM(Table58[[#This Row],[PC%]:[G%]])</f>
        <v>0.99894004483608012</v>
      </c>
      <c r="O217" s="25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35">
      <c r="A218" s="45">
        <v>36526</v>
      </c>
      <c r="B218" s="63">
        <f>VLOOKUP(A218,'U.S. GDP'!A:B,2,)</f>
        <v>12935.252</v>
      </c>
      <c r="C218" s="63">
        <f>VLOOKUP(A218,PersonalConsumption!A:B,2,)</f>
        <v>8545.6389999999992</v>
      </c>
      <c r="D218" s="63">
        <f>VLOOKUP(A218,PrivateInvestment!A:B,2,)</f>
        <v>2257.1089999999999</v>
      </c>
      <c r="E218" s="63">
        <f>VLOOKUP(A218,Exports!A:B,2,)</f>
        <v>1333.6659999999999</v>
      </c>
      <c r="F218" s="63">
        <f>VLOOKUP(A218,Imports!A:B,2,)</f>
        <v>1863.4880000000001</v>
      </c>
      <c r="G218" s="63">
        <f>VLOOKUP(A218,Government!A:B,2,)</f>
        <v>2645.3229999999999</v>
      </c>
      <c r="H218" s="37">
        <f>Table58[[#This Row],[Personal Consumption]]/Table58[[#This Row],[GDP]]</f>
        <v>0.66064727614119922</v>
      </c>
      <c r="I218" s="37">
        <f>Table58[[#This Row],[Private Investment]]/Table58[[#This Row],[GDP]]</f>
        <v>0.1744928510090101</v>
      </c>
      <c r="J218" s="37">
        <f>Table58[[#This Row],[Exports]]/Table58[[#This Row],[GDP]]</f>
        <v>0.1031032097403282</v>
      </c>
      <c r="K218" s="37">
        <f>-Table58[[#This Row],[Imports]]/Table58[[#This Row],[GDP]]</f>
        <v>-0.14406275192783255</v>
      </c>
      <c r="L218" s="37">
        <f>Table58[[#This Row],[Government]]/Table58[[#This Row],[GDP]]</f>
        <v>0.20450494509113543</v>
      </c>
      <c r="N218" s="58">
        <f>SUM(Table58[[#This Row],[PC%]:[G%]])</f>
        <v>0.99868553005384042</v>
      </c>
      <c r="O218" s="25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35">
      <c r="A219" s="45">
        <v>36617</v>
      </c>
      <c r="B219" s="63">
        <f>VLOOKUP(A219,'U.S. GDP'!A:B,2,)</f>
        <v>13170.749</v>
      </c>
      <c r="C219" s="63">
        <f>VLOOKUP(A219,PersonalConsumption!A:B,2,)</f>
        <v>8625.4349999999995</v>
      </c>
      <c r="D219" s="63">
        <f>VLOOKUP(A219,PrivateInvestment!A:B,2,)</f>
        <v>2390.7330000000002</v>
      </c>
      <c r="E219" s="63">
        <f>VLOOKUP(A219,Exports!A:B,2,)</f>
        <v>1374.2919999999999</v>
      </c>
      <c r="F219" s="63">
        <f>VLOOKUP(A219,Imports!A:B,2,)</f>
        <v>1922.854</v>
      </c>
      <c r="G219" s="63">
        <f>VLOOKUP(A219,Government!A:B,2,)</f>
        <v>2671.3980000000001</v>
      </c>
      <c r="H219" s="37">
        <f>Table58[[#This Row],[Personal Consumption]]/Table58[[#This Row],[GDP]]</f>
        <v>0.65489327903826877</v>
      </c>
      <c r="I219" s="37">
        <f>Table58[[#This Row],[Private Investment]]/Table58[[#This Row],[GDP]]</f>
        <v>0.18151837833975881</v>
      </c>
      <c r="J219" s="37">
        <f>Table58[[#This Row],[Exports]]/Table58[[#This Row],[GDP]]</f>
        <v>0.1043442555924496</v>
      </c>
      <c r="K219" s="37">
        <f>-Table58[[#This Row],[Imports]]/Table58[[#This Row],[GDP]]</f>
        <v>-0.14599427868528966</v>
      </c>
      <c r="L219" s="37">
        <f>Table58[[#This Row],[Government]]/Table58[[#This Row],[GDP]]</f>
        <v>0.20282810036088306</v>
      </c>
      <c r="N219" s="58">
        <f>SUM(Table58[[#This Row],[PC%]:[G%]])</f>
        <v>0.99758973464607059</v>
      </c>
      <c r="O219" s="25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35">
      <c r="A220" s="45">
        <v>36708</v>
      </c>
      <c r="B220" s="63">
        <f>VLOOKUP(A220,'U.S. GDP'!A:B,2,)</f>
        <v>13183.89</v>
      </c>
      <c r="C220" s="63">
        <f>VLOOKUP(A220,PersonalConsumption!A:B,2,)</f>
        <v>8708.0740000000005</v>
      </c>
      <c r="D220" s="63">
        <f>VLOOKUP(A220,PrivateInvestment!A:B,2,)</f>
        <v>2367.2739999999999</v>
      </c>
      <c r="E220" s="63">
        <f>VLOOKUP(A220,Exports!A:B,2,)</f>
        <v>1407.33</v>
      </c>
      <c r="F220" s="63">
        <f>VLOOKUP(A220,Imports!A:B,2,)</f>
        <v>1992.04</v>
      </c>
      <c r="G220" s="63">
        <f>VLOOKUP(A220,Government!A:B,2,)</f>
        <v>2660.1390000000001</v>
      </c>
      <c r="H220" s="37">
        <f>Table58[[#This Row],[Personal Consumption]]/Table58[[#This Row],[GDP]]</f>
        <v>0.66050869659865186</v>
      </c>
      <c r="I220" s="37">
        <f>Table58[[#This Row],[Private Investment]]/Table58[[#This Row],[GDP]]</f>
        <v>0.17955808187113212</v>
      </c>
      <c r="J220" s="37">
        <f>Table58[[#This Row],[Exports]]/Table58[[#This Row],[GDP]]</f>
        <v>0.10674618796121631</v>
      </c>
      <c r="K220" s="37">
        <f>-Table58[[#This Row],[Imports]]/Table58[[#This Row],[GDP]]</f>
        <v>-0.15109652765610151</v>
      </c>
      <c r="L220" s="37">
        <f>Table58[[#This Row],[Government]]/Table58[[#This Row],[GDP]]</f>
        <v>0.20177193529375625</v>
      </c>
      <c r="N220" s="58">
        <f>SUM(Table58[[#This Row],[PC%]:[G%]])</f>
        <v>0.99748837406865498</v>
      </c>
      <c r="O220" s="25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35">
      <c r="A221" s="45">
        <v>36800</v>
      </c>
      <c r="B221" s="63">
        <f>VLOOKUP(A221,'U.S. GDP'!A:B,2,)</f>
        <v>13262.25</v>
      </c>
      <c r="C221" s="63">
        <f>VLOOKUP(A221,PersonalConsumption!A:B,2,)</f>
        <v>8784.1550000000007</v>
      </c>
      <c r="D221" s="63">
        <f>VLOOKUP(A221,PrivateInvestment!A:B,2,)</f>
        <v>2371.8090000000002</v>
      </c>
      <c r="E221" s="63">
        <f>VLOOKUP(A221,Exports!A:B,2,)</f>
        <v>1393.3489999999999</v>
      </c>
      <c r="F221" s="63">
        <f>VLOOKUP(A221,Imports!A:B,2,)</f>
        <v>1994.953</v>
      </c>
      <c r="G221" s="63">
        <f>VLOOKUP(A221,Government!A:B,2,)</f>
        <v>2676.4459999999999</v>
      </c>
      <c r="H221" s="37">
        <f>Table58[[#This Row],[Personal Consumption]]/Table58[[#This Row],[GDP]]</f>
        <v>0.66234273973119195</v>
      </c>
      <c r="I221" s="37">
        <f>Table58[[#This Row],[Private Investment]]/Table58[[#This Row],[GDP]]</f>
        <v>0.17883911101057515</v>
      </c>
      <c r="J221" s="37">
        <f>Table58[[#This Row],[Exports]]/Table58[[#This Row],[GDP]]</f>
        <v>0.10506128296480612</v>
      </c>
      <c r="K221" s="37">
        <f>-Table58[[#This Row],[Imports]]/Table58[[#This Row],[GDP]]</f>
        <v>-0.15042341985711324</v>
      </c>
      <c r="L221" s="37">
        <f>Table58[[#This Row],[Government]]/Table58[[#This Row],[GDP]]</f>
        <v>0.2018093460762691</v>
      </c>
      <c r="N221" s="58">
        <f>SUM(Table58[[#This Row],[PC%]:[G%]])</f>
        <v>0.99762905992572903</v>
      </c>
      <c r="O221" s="25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35">
      <c r="A222" s="45">
        <v>36892</v>
      </c>
      <c r="B222" s="63">
        <f>VLOOKUP(A222,'U.S. GDP'!A:B,2,)</f>
        <v>13219.251</v>
      </c>
      <c r="C222" s="63">
        <f>VLOOKUP(A222,PersonalConsumption!A:B,2,)</f>
        <v>8816.0139999999992</v>
      </c>
      <c r="D222" s="63">
        <f>VLOOKUP(A222,PrivateInvestment!A:B,2,)</f>
        <v>2264.2020000000002</v>
      </c>
      <c r="E222" s="63">
        <f>VLOOKUP(A222,Exports!A:B,2,)</f>
        <v>1375.8</v>
      </c>
      <c r="F222" s="63">
        <f>VLOOKUP(A222,Imports!A:B,2,)</f>
        <v>1969.2180000000001</v>
      </c>
      <c r="G222" s="63">
        <f>VLOOKUP(A222,Government!A:B,2,)</f>
        <v>2718.2910000000002</v>
      </c>
      <c r="H222" s="37">
        <f>Table58[[#This Row],[Personal Consumption]]/Table58[[#This Row],[GDP]]</f>
        <v>0.66690722492522447</v>
      </c>
      <c r="I222" s="37">
        <f>Table58[[#This Row],[Private Investment]]/Table58[[#This Row],[GDP]]</f>
        <v>0.17128065727778374</v>
      </c>
      <c r="J222" s="37">
        <f>Table58[[#This Row],[Exports]]/Table58[[#This Row],[GDP]]</f>
        <v>0.10407548808930248</v>
      </c>
      <c r="K222" s="37">
        <f>-Table58[[#This Row],[Imports]]/Table58[[#This Row],[GDP]]</f>
        <v>-0.14896592855374333</v>
      </c>
      <c r="L222" s="37">
        <f>Table58[[#This Row],[Government]]/Table58[[#This Row],[GDP]]</f>
        <v>0.20563124189108747</v>
      </c>
      <c r="N222" s="58">
        <f>SUM(Table58[[#This Row],[PC%]:[G%]])</f>
        <v>0.99892868362965481</v>
      </c>
      <c r="O222" s="25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35">
      <c r="A223" s="45">
        <v>36982</v>
      </c>
      <c r="B223" s="63">
        <f>VLOOKUP(A223,'U.S. GDP'!A:B,2,)</f>
        <v>13301.394</v>
      </c>
      <c r="C223" s="63">
        <f>VLOOKUP(A223,PersonalConsumption!A:B,2,)</f>
        <v>8833.7260000000006</v>
      </c>
      <c r="D223" s="63">
        <f>VLOOKUP(A223,PrivateInvestment!A:B,2,)</f>
        <v>2267.433</v>
      </c>
      <c r="E223" s="63">
        <f>VLOOKUP(A223,Exports!A:B,2,)</f>
        <v>1335.433</v>
      </c>
      <c r="F223" s="63">
        <f>VLOOKUP(A223,Imports!A:B,2,)</f>
        <v>1906.1890000000001</v>
      </c>
      <c r="G223" s="63">
        <f>VLOOKUP(A223,Government!A:B,2,)</f>
        <v>2765.415</v>
      </c>
      <c r="H223" s="37">
        <f>Table58[[#This Row],[Personal Consumption]]/Table58[[#This Row],[GDP]]</f>
        <v>0.6641203170133898</v>
      </c>
      <c r="I223" s="37">
        <f>Table58[[#This Row],[Private Investment]]/Table58[[#This Row],[GDP]]</f>
        <v>0.17046581734215224</v>
      </c>
      <c r="J223" s="37">
        <f>Table58[[#This Row],[Exports]]/Table58[[#This Row],[GDP]]</f>
        <v>0.10039797332520185</v>
      </c>
      <c r="K223" s="37">
        <f>-Table58[[#This Row],[Imports]]/Table58[[#This Row],[GDP]]</f>
        <v>-0.14330746085711016</v>
      </c>
      <c r="L223" s="37">
        <f>Table58[[#This Row],[Government]]/Table58[[#This Row],[GDP]]</f>
        <v>0.20790414899370696</v>
      </c>
      <c r="N223" s="58">
        <f>SUM(Table58[[#This Row],[PC%]:[G%]])</f>
        <v>0.99958079581734083</v>
      </c>
      <c r="O223" s="25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35">
      <c r="A224" s="45">
        <v>37073</v>
      </c>
      <c r="B224" s="63">
        <f>VLOOKUP(A224,'U.S. GDP'!A:B,2,)</f>
        <v>13248.142</v>
      </c>
      <c r="C224" s="63">
        <f>VLOOKUP(A224,PersonalConsumption!A:B,2,)</f>
        <v>8864.4650000000001</v>
      </c>
      <c r="D224" s="63">
        <f>VLOOKUP(A224,PrivateInvestment!A:B,2,)</f>
        <v>2218.37</v>
      </c>
      <c r="E224" s="63">
        <f>VLOOKUP(A224,Exports!A:B,2,)</f>
        <v>1266.999</v>
      </c>
      <c r="F224" s="63">
        <f>VLOOKUP(A224,Imports!A:B,2,)</f>
        <v>1862.95</v>
      </c>
      <c r="G224" s="63">
        <f>VLOOKUP(A224,Government!A:B,2,)</f>
        <v>2762.681</v>
      </c>
      <c r="H224" s="37">
        <f>Table58[[#This Row],[Personal Consumption]]/Table58[[#This Row],[GDP]]</f>
        <v>0.66911005331917484</v>
      </c>
      <c r="I224" s="37">
        <f>Table58[[#This Row],[Private Investment]]/Table58[[#This Row],[GDP]]</f>
        <v>0.16744763152448094</v>
      </c>
      <c r="J224" s="37">
        <f>Table58[[#This Row],[Exports]]/Table58[[#This Row],[GDP]]</f>
        <v>9.5635976727906455E-2</v>
      </c>
      <c r="K224" s="37">
        <f>-Table58[[#This Row],[Imports]]/Table58[[#This Row],[GDP]]</f>
        <v>-0.14061971859903072</v>
      </c>
      <c r="L224" s="37">
        <f>Table58[[#This Row],[Government]]/Table58[[#This Row],[GDP]]</f>
        <v>0.20853346831578345</v>
      </c>
      <c r="N224" s="58">
        <f>SUM(Table58[[#This Row],[PC%]:[G%]])</f>
        <v>1.0001074112883148</v>
      </c>
      <c r="O224" s="25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35">
      <c r="A225" s="45">
        <v>37165</v>
      </c>
      <c r="B225" s="63">
        <f>VLOOKUP(A225,'U.S. GDP'!A:B,2,)</f>
        <v>13284.880999999999</v>
      </c>
      <c r="C225" s="63">
        <f>VLOOKUP(A225,PersonalConsumption!A:B,2,)</f>
        <v>9007.4940000000006</v>
      </c>
      <c r="D225" s="63">
        <f>VLOOKUP(A225,PrivateInvestment!A:B,2,)</f>
        <v>2108.5</v>
      </c>
      <c r="E225" s="63">
        <f>VLOOKUP(A225,Exports!A:B,2,)</f>
        <v>1222.9069999999999</v>
      </c>
      <c r="F225" s="63">
        <f>VLOOKUP(A225,Imports!A:B,2,)</f>
        <v>1843.6559999999999</v>
      </c>
      <c r="G225" s="63">
        <f>VLOOKUP(A225,Government!A:B,2,)</f>
        <v>2808.498</v>
      </c>
      <c r="H225" s="37">
        <f>Table58[[#This Row],[Personal Consumption]]/Table58[[#This Row],[GDP]]</f>
        <v>0.67802594543376049</v>
      </c>
      <c r="I225" s="37">
        <f>Table58[[#This Row],[Private Investment]]/Table58[[#This Row],[GDP]]</f>
        <v>0.15871425570165063</v>
      </c>
      <c r="J225" s="37">
        <f>Table58[[#This Row],[Exports]]/Table58[[#This Row],[GDP]]</f>
        <v>9.2052537015574323E-2</v>
      </c>
      <c r="K225" s="37">
        <f>-Table58[[#This Row],[Imports]]/Table58[[#This Row],[GDP]]</f>
        <v>-0.13877851069949365</v>
      </c>
      <c r="L225" s="37">
        <f>Table58[[#This Row],[Government]]/Table58[[#This Row],[GDP]]</f>
        <v>0.21140558202967721</v>
      </c>
      <c r="N225" s="58">
        <f>SUM(Table58[[#This Row],[PC%]:[G%]])</f>
        <v>1.001419809481169</v>
      </c>
      <c r="O225" s="25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35">
      <c r="A226" s="45">
        <v>37257</v>
      </c>
      <c r="B226" s="63">
        <f>VLOOKUP(A226,'U.S. GDP'!A:B,2,)</f>
        <v>13394.91</v>
      </c>
      <c r="C226" s="63">
        <f>VLOOKUP(A226,PersonalConsumption!A:B,2,)</f>
        <v>9027.5480000000007</v>
      </c>
      <c r="D226" s="63">
        <f>VLOOKUP(A226,PrivateInvestment!A:B,2,)</f>
        <v>2170.7069999999999</v>
      </c>
      <c r="E226" s="63">
        <f>VLOOKUP(A226,Exports!A:B,2,)</f>
        <v>1249.6199999999999</v>
      </c>
      <c r="F226" s="63">
        <f>VLOOKUP(A226,Imports!A:B,2,)</f>
        <v>1896.04</v>
      </c>
      <c r="G226" s="63">
        <f>VLOOKUP(A226,Government!A:B,2,)</f>
        <v>2857.3359999999998</v>
      </c>
      <c r="H226" s="37">
        <f>Table58[[#This Row],[Personal Consumption]]/Table58[[#This Row],[GDP]]</f>
        <v>0.67395361372342188</v>
      </c>
      <c r="I226" s="37">
        <f>Table58[[#This Row],[Private Investment]]/Table58[[#This Row],[GDP]]</f>
        <v>0.16205461626841838</v>
      </c>
      <c r="J226" s="37">
        <f>Table58[[#This Row],[Exports]]/Table58[[#This Row],[GDP]]</f>
        <v>9.3290660407572723E-2</v>
      </c>
      <c r="K226" s="37">
        <f>-Table58[[#This Row],[Imports]]/Table58[[#This Row],[GDP]]</f>
        <v>-0.14154928999149677</v>
      </c>
      <c r="L226" s="37">
        <f>Table58[[#This Row],[Government]]/Table58[[#This Row],[GDP]]</f>
        <v>0.21331505773461709</v>
      </c>
      <c r="N226" s="58">
        <f>SUM(Table58[[#This Row],[PC%]:[G%]])</f>
        <v>1.0010646581425333</v>
      </c>
      <c r="O226" s="25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35">
      <c r="A227" s="45">
        <v>37347</v>
      </c>
      <c r="B227" s="63">
        <f>VLOOKUP(A227,'U.S. GDP'!A:B,2,)</f>
        <v>13477.356</v>
      </c>
      <c r="C227" s="63">
        <f>VLOOKUP(A227,PersonalConsumption!A:B,2,)</f>
        <v>9073.2119999999995</v>
      </c>
      <c r="D227" s="63">
        <f>VLOOKUP(A227,PrivateInvestment!A:B,2,)</f>
        <v>2206.375</v>
      </c>
      <c r="E227" s="63">
        <f>VLOOKUP(A227,Exports!A:B,2,)</f>
        <v>1286.817</v>
      </c>
      <c r="F227" s="63">
        <f>VLOOKUP(A227,Imports!A:B,2,)</f>
        <v>1959.578</v>
      </c>
      <c r="G227" s="63">
        <f>VLOOKUP(A227,Government!A:B,2,)</f>
        <v>2879.2820000000002</v>
      </c>
      <c r="H227" s="37">
        <f>Table58[[#This Row],[Personal Consumption]]/Table58[[#This Row],[GDP]]</f>
        <v>0.67321899043106082</v>
      </c>
      <c r="I227" s="37">
        <f>Table58[[#This Row],[Private Investment]]/Table58[[#This Row],[GDP]]</f>
        <v>0.1637097810579464</v>
      </c>
      <c r="J227" s="37">
        <f>Table58[[#This Row],[Exports]]/Table58[[#This Row],[GDP]]</f>
        <v>9.5479929446102035E-2</v>
      </c>
      <c r="K227" s="37">
        <f>-Table58[[#This Row],[Imports]]/Table58[[#This Row],[GDP]]</f>
        <v>-0.14539780651338438</v>
      </c>
      <c r="L227" s="37">
        <f>Table58[[#This Row],[Government]]/Table58[[#This Row],[GDP]]</f>
        <v>0.21363849111057095</v>
      </c>
      <c r="N227" s="58">
        <f>SUM(Table58[[#This Row],[PC%]:[G%]])</f>
        <v>1.0006493855322958</v>
      </c>
      <c r="O227" s="25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35">
      <c r="A228" s="45">
        <v>37438</v>
      </c>
      <c r="B228" s="63">
        <f>VLOOKUP(A228,'U.S. GDP'!A:B,2,)</f>
        <v>13531.741</v>
      </c>
      <c r="C228" s="63">
        <f>VLOOKUP(A228,PersonalConsumption!A:B,2,)</f>
        <v>9136.7090000000007</v>
      </c>
      <c r="D228" s="63">
        <f>VLOOKUP(A228,PrivateInvestment!A:B,2,)</f>
        <v>2203.1089999999999</v>
      </c>
      <c r="E228" s="63">
        <f>VLOOKUP(A228,Exports!A:B,2,)</f>
        <v>1290.8679999999999</v>
      </c>
      <c r="F228" s="63">
        <f>VLOOKUP(A228,Imports!A:B,2,)</f>
        <v>1984.492</v>
      </c>
      <c r="G228" s="63">
        <f>VLOOKUP(A228,Government!A:B,2,)</f>
        <v>2894.18</v>
      </c>
      <c r="H228" s="37">
        <f>Table58[[#This Row],[Personal Consumption]]/Table58[[#This Row],[GDP]]</f>
        <v>0.67520572556036951</v>
      </c>
      <c r="I228" s="37">
        <f>Table58[[#This Row],[Private Investment]]/Table58[[#This Row],[GDP]]</f>
        <v>0.16281046171368488</v>
      </c>
      <c r="J228" s="37">
        <f>Table58[[#This Row],[Exports]]/Table58[[#This Row],[GDP]]</f>
        <v>9.5395559226266594E-2</v>
      </c>
      <c r="K228" s="37">
        <f>-Table58[[#This Row],[Imports]]/Table58[[#This Row],[GDP]]</f>
        <v>-0.14665459529560904</v>
      </c>
      <c r="L228" s="37">
        <f>Table58[[#This Row],[Government]]/Table58[[#This Row],[GDP]]</f>
        <v>0.21388083026419141</v>
      </c>
      <c r="N228" s="58">
        <f>SUM(Table58[[#This Row],[PC%]:[G%]])</f>
        <v>1.0006379814689035</v>
      </c>
      <c r="O228" s="25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35">
      <c r="A229" s="45">
        <v>37530</v>
      </c>
      <c r="B229" s="63">
        <f>VLOOKUP(A229,'U.S. GDP'!A:B,2,)</f>
        <v>13549.421</v>
      </c>
      <c r="C229" s="63">
        <f>VLOOKUP(A229,PersonalConsumption!A:B,2,)</f>
        <v>9187.527</v>
      </c>
      <c r="D229" s="63">
        <f>VLOOKUP(A229,PrivateInvestment!A:B,2,)</f>
        <v>2201.7489999999998</v>
      </c>
      <c r="E229" s="63">
        <f>VLOOKUP(A229,Exports!A:B,2,)</f>
        <v>1271.796</v>
      </c>
      <c r="F229" s="63">
        <f>VLOOKUP(A229,Imports!A:B,2,)</f>
        <v>2020.124</v>
      </c>
      <c r="G229" s="63">
        <f>VLOOKUP(A229,Government!A:B,2,)</f>
        <v>2915.62</v>
      </c>
      <c r="H229" s="37">
        <f>Table58[[#This Row],[Personal Consumption]]/Table58[[#This Row],[GDP]]</f>
        <v>0.67807524764342331</v>
      </c>
      <c r="I229" s="37">
        <f>Table58[[#This Row],[Private Investment]]/Table58[[#This Row],[GDP]]</f>
        <v>0.1624976447333063</v>
      </c>
      <c r="J229" s="37">
        <f>Table58[[#This Row],[Exports]]/Table58[[#This Row],[GDP]]</f>
        <v>9.3863494240824019E-2</v>
      </c>
      <c r="K229" s="37">
        <f>-Table58[[#This Row],[Imports]]/Table58[[#This Row],[GDP]]</f>
        <v>-0.14909301290438906</v>
      </c>
      <c r="L229" s="37">
        <f>Table58[[#This Row],[Government]]/Table58[[#This Row],[GDP]]</f>
        <v>0.21518410270077221</v>
      </c>
      <c r="N229" s="58">
        <f>SUM(Table58[[#This Row],[PC%]:[G%]])</f>
        <v>1.0005274764139367</v>
      </c>
      <c r="O229" s="25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35">
      <c r="A230" s="45">
        <v>37622</v>
      </c>
      <c r="B230" s="63">
        <f>VLOOKUP(A230,'U.S. GDP'!A:B,2,)</f>
        <v>13619.433999999999</v>
      </c>
      <c r="C230" s="63">
        <f>VLOOKUP(A230,PersonalConsumption!A:B,2,)</f>
        <v>9232.7819999999992</v>
      </c>
      <c r="D230" s="63">
        <f>VLOOKUP(A230,PrivateInvestment!A:B,2,)</f>
        <v>2218.6849999999999</v>
      </c>
      <c r="E230" s="63">
        <f>VLOOKUP(A230,Exports!A:B,2,)</f>
        <v>1267.886</v>
      </c>
      <c r="F230" s="63">
        <f>VLOOKUP(A230,Imports!A:B,2,)</f>
        <v>2011.3309999999999</v>
      </c>
      <c r="G230" s="63">
        <f>VLOOKUP(A230,Government!A:B,2,)</f>
        <v>2917.8670000000002</v>
      </c>
      <c r="H230" s="37">
        <f>Table58[[#This Row],[Personal Consumption]]/Table58[[#This Row],[GDP]]</f>
        <v>0.67791231265557728</v>
      </c>
      <c r="I230" s="37">
        <f>Table58[[#This Row],[Private Investment]]/Table58[[#This Row],[GDP]]</f>
        <v>0.16290581532242823</v>
      </c>
      <c r="J230" s="37">
        <f>Table58[[#This Row],[Exports]]/Table58[[#This Row],[GDP]]</f>
        <v>9.3093883343463468E-2</v>
      </c>
      <c r="K230" s="37">
        <f>-Table58[[#This Row],[Imports]]/Table58[[#This Row],[GDP]]</f>
        <v>-0.14768095355504496</v>
      </c>
      <c r="L230" s="37">
        <f>Table58[[#This Row],[Government]]/Table58[[#This Row],[GDP]]</f>
        <v>0.21424289731864044</v>
      </c>
      <c r="N230" s="58">
        <f>SUM(Table58[[#This Row],[PC%]:[G%]])</f>
        <v>1.0004739550850643</v>
      </c>
      <c r="O230" s="25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35">
      <c r="A231" s="45">
        <v>37712</v>
      </c>
      <c r="B231" s="63">
        <f>VLOOKUP(A231,'U.S. GDP'!A:B,2,)</f>
        <v>13741.107</v>
      </c>
      <c r="C231" s="63">
        <f>VLOOKUP(A231,PersonalConsumption!A:B,2,)</f>
        <v>9338.4950000000008</v>
      </c>
      <c r="D231" s="63">
        <f>VLOOKUP(A231,PrivateInvestment!A:B,2,)</f>
        <v>2233.9969999999998</v>
      </c>
      <c r="E231" s="63">
        <f>VLOOKUP(A231,Exports!A:B,2,)</f>
        <v>1270.133</v>
      </c>
      <c r="F231" s="63">
        <f>VLOOKUP(A231,Imports!A:B,2,)</f>
        <v>2040.6510000000001</v>
      </c>
      <c r="G231" s="63">
        <f>VLOOKUP(A231,Government!A:B,2,)</f>
        <v>2944.7190000000001</v>
      </c>
      <c r="H231" s="37">
        <f>Table58[[#This Row],[Personal Consumption]]/Table58[[#This Row],[GDP]]</f>
        <v>0.67960281511525966</v>
      </c>
      <c r="I231" s="37">
        <f>Table58[[#This Row],[Private Investment]]/Table58[[#This Row],[GDP]]</f>
        <v>0.16257765840845281</v>
      </c>
      <c r="J231" s="37">
        <f>Table58[[#This Row],[Exports]]/Table58[[#This Row],[GDP]]</f>
        <v>9.2433091453257732E-2</v>
      </c>
      <c r="K231" s="37">
        <f>-Table58[[#This Row],[Imports]]/Table58[[#This Row],[GDP]]</f>
        <v>-0.14850703076542524</v>
      </c>
      <c r="L231" s="37">
        <f>Table58[[#This Row],[Government]]/Table58[[#This Row],[GDP]]</f>
        <v>0.21429998325462424</v>
      </c>
      <c r="N231" s="58">
        <f>SUM(Table58[[#This Row],[PC%]:[G%]])</f>
        <v>1.0004065174661692</v>
      </c>
      <c r="O231" s="25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35">
      <c r="A232" s="45">
        <v>37803</v>
      </c>
      <c r="B232" s="63">
        <f>VLOOKUP(A232,'U.S. GDP'!A:B,2,)</f>
        <v>13970.156999999999</v>
      </c>
      <c r="C232" s="63">
        <f>VLOOKUP(A232,PersonalConsumption!A:B,2,)</f>
        <v>9470.5409999999993</v>
      </c>
      <c r="D232" s="63">
        <f>VLOOKUP(A232,PrivateInvestment!A:B,2,)</f>
        <v>2315.3989999999999</v>
      </c>
      <c r="E232" s="63">
        <f>VLOOKUP(A232,Exports!A:B,2,)</f>
        <v>1304.816</v>
      </c>
      <c r="F232" s="63">
        <f>VLOOKUP(A232,Imports!A:B,2,)</f>
        <v>2072.6089999999999</v>
      </c>
      <c r="G232" s="63">
        <f>VLOOKUP(A232,Government!A:B,2,)</f>
        <v>2951.221</v>
      </c>
      <c r="H232" s="37">
        <f>Table58[[#This Row],[Personal Consumption]]/Table58[[#This Row],[GDP]]</f>
        <v>0.67791228115761326</v>
      </c>
      <c r="I232" s="37">
        <f>Table58[[#This Row],[Private Investment]]/Table58[[#This Row],[GDP]]</f>
        <v>0.16573893908278911</v>
      </c>
      <c r="J232" s="37">
        <f>Table58[[#This Row],[Exports]]/Table58[[#This Row],[GDP]]</f>
        <v>9.3400238809055625E-2</v>
      </c>
      <c r="K232" s="37">
        <f>-Table58[[#This Row],[Imports]]/Table58[[#This Row],[GDP]]</f>
        <v>-0.14835975000137794</v>
      </c>
      <c r="L232" s="37">
        <f>Table58[[#This Row],[Government]]/Table58[[#This Row],[GDP]]</f>
        <v>0.21125181341913338</v>
      </c>
      <c r="N232" s="58">
        <f>SUM(Table58[[#This Row],[PC%]:[G%]])</f>
        <v>0.99994352246721352</v>
      </c>
      <c r="O232" s="25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35">
      <c r="A233" s="45">
        <v>37895</v>
      </c>
      <c r="B233" s="63">
        <f>VLOOKUP(A233,'U.S. GDP'!A:B,2,)</f>
        <v>14131.379000000001</v>
      </c>
      <c r="C233" s="63">
        <f>VLOOKUP(A233,PersonalConsumption!A:B,2,)</f>
        <v>9535.741</v>
      </c>
      <c r="D233" s="63">
        <f>VLOOKUP(A233,PrivateInvestment!A:B,2,)</f>
        <v>2393.402</v>
      </c>
      <c r="E233" s="63">
        <f>VLOOKUP(A233,Exports!A:B,2,)</f>
        <v>1363.499</v>
      </c>
      <c r="F233" s="63">
        <f>VLOOKUP(A233,Imports!A:B,2,)</f>
        <v>2138.44</v>
      </c>
      <c r="G233" s="63">
        <f>VLOOKUP(A233,Government!A:B,2,)</f>
        <v>2969.1379999999999</v>
      </c>
      <c r="H233" s="37">
        <f>Table58[[#This Row],[Personal Consumption]]/Table58[[#This Row],[GDP]]</f>
        <v>0.67479196474738945</v>
      </c>
      <c r="I233" s="37">
        <f>Table58[[#This Row],[Private Investment]]/Table58[[#This Row],[GDP]]</f>
        <v>0.16936790103782512</v>
      </c>
      <c r="J233" s="37">
        <f>Table58[[#This Row],[Exports]]/Table58[[#This Row],[GDP]]</f>
        <v>9.6487327952919519E-2</v>
      </c>
      <c r="K233" s="37">
        <f>-Table58[[#This Row],[Imports]]/Table58[[#This Row],[GDP]]</f>
        <v>-0.15132564203394444</v>
      </c>
      <c r="L233" s="37">
        <f>Table58[[#This Row],[Government]]/Table58[[#This Row],[GDP]]</f>
        <v>0.21010957246281484</v>
      </c>
      <c r="N233" s="58">
        <f>SUM(Table58[[#This Row],[PC%]:[G%]])</f>
        <v>0.99943112416700441</v>
      </c>
      <c r="O233" s="25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35">
      <c r="A234" s="45">
        <v>37987</v>
      </c>
      <c r="B234" s="63">
        <f>VLOOKUP(A234,'U.S. GDP'!A:B,2,)</f>
        <v>14212.34</v>
      </c>
      <c r="C234" s="63">
        <f>VLOOKUP(A234,PersonalConsumption!A:B,2,)</f>
        <v>9624.6489999999994</v>
      </c>
      <c r="D234" s="63">
        <f>VLOOKUP(A234,PrivateInvestment!A:B,2,)</f>
        <v>2398.1509999999998</v>
      </c>
      <c r="E234" s="63">
        <f>VLOOKUP(A234,Exports!A:B,2,)</f>
        <v>1394.3109999999999</v>
      </c>
      <c r="F234" s="63">
        <f>VLOOKUP(A234,Imports!A:B,2,)</f>
        <v>2198.3330000000001</v>
      </c>
      <c r="G234" s="63">
        <f>VLOOKUP(A234,Government!A:B,2,)</f>
        <v>2982.7350000000001</v>
      </c>
      <c r="H234" s="37">
        <f>Table58[[#This Row],[Personal Consumption]]/Table58[[#This Row],[GDP]]</f>
        <v>0.67720368355949823</v>
      </c>
      <c r="I234" s="37">
        <f>Table58[[#This Row],[Private Investment]]/Table58[[#This Row],[GDP]]</f>
        <v>0.16873723820285749</v>
      </c>
      <c r="J234" s="37">
        <f>Table58[[#This Row],[Exports]]/Table58[[#This Row],[GDP]]</f>
        <v>9.8105660292393787E-2</v>
      </c>
      <c r="K234" s="37">
        <f>-Table58[[#This Row],[Imports]]/Table58[[#This Row],[GDP]]</f>
        <v>-0.15467776594142837</v>
      </c>
      <c r="L234" s="37">
        <f>Table58[[#This Row],[Government]]/Table58[[#This Row],[GDP]]</f>
        <v>0.20986938111528433</v>
      </c>
      <c r="N234" s="58">
        <f>SUM(Table58[[#This Row],[PC%]:[G%]])</f>
        <v>0.99923819722860541</v>
      </c>
      <c r="O234" s="25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35">
      <c r="A235" s="45">
        <v>38078</v>
      </c>
      <c r="B235" s="63">
        <f>VLOOKUP(A235,'U.S. GDP'!A:B,2,)</f>
        <v>14323.017</v>
      </c>
      <c r="C235" s="63">
        <f>VLOOKUP(A235,PersonalConsumption!A:B,2,)</f>
        <v>9677.1659999999993</v>
      </c>
      <c r="D235" s="63">
        <f>VLOOKUP(A235,PrivateInvestment!A:B,2,)</f>
        <v>2493.9450000000002</v>
      </c>
      <c r="E235" s="63">
        <f>VLOOKUP(A235,Exports!A:B,2,)</f>
        <v>1423.51</v>
      </c>
      <c r="F235" s="63">
        <f>VLOOKUP(A235,Imports!A:B,2,)</f>
        <v>2284.933</v>
      </c>
      <c r="G235" s="63">
        <f>VLOOKUP(A235,Government!A:B,2,)</f>
        <v>2990.8240000000001</v>
      </c>
      <c r="H235" s="37">
        <f>Table58[[#This Row],[Personal Consumption]]/Table58[[#This Row],[GDP]]</f>
        <v>0.67563740237130199</v>
      </c>
      <c r="I235" s="37">
        <f>Table58[[#This Row],[Private Investment]]/Table58[[#This Row],[GDP]]</f>
        <v>0.1741214857177088</v>
      </c>
      <c r="J235" s="37">
        <f>Table58[[#This Row],[Exports]]/Table58[[#This Row],[GDP]]</f>
        <v>9.9386183790747443E-2</v>
      </c>
      <c r="K235" s="37">
        <f>-Table58[[#This Row],[Imports]]/Table58[[#This Row],[GDP]]</f>
        <v>-0.15952875012296641</v>
      </c>
      <c r="L235" s="37">
        <f>Table58[[#This Row],[Government]]/Table58[[#This Row],[GDP]]</f>
        <v>0.20881243106811925</v>
      </c>
      <c r="N235" s="58">
        <f>SUM(Table58[[#This Row],[PC%]:[G%]])</f>
        <v>0.99842875282491117</v>
      </c>
      <c r="O235" s="25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35">
      <c r="A236" s="45">
        <v>38169</v>
      </c>
      <c r="B236" s="63">
        <f>VLOOKUP(A236,'U.S. GDP'!A:B,2,)</f>
        <v>14457.832</v>
      </c>
      <c r="C236" s="63">
        <f>VLOOKUP(A236,PersonalConsumption!A:B,2,)</f>
        <v>9790.8359999999993</v>
      </c>
      <c r="D236" s="63">
        <f>VLOOKUP(A236,PrivateInvestment!A:B,2,)</f>
        <v>2532.6350000000002</v>
      </c>
      <c r="E236" s="63">
        <f>VLOOKUP(A236,Exports!A:B,2,)</f>
        <v>1428.1790000000001</v>
      </c>
      <c r="F236" s="63">
        <f>VLOOKUP(A236,Imports!A:B,2,)</f>
        <v>2316.6039999999998</v>
      </c>
      <c r="G236" s="63">
        <f>VLOOKUP(A236,Government!A:B,2,)</f>
        <v>2996.3339999999998</v>
      </c>
      <c r="H236" s="37">
        <f>Table58[[#This Row],[Personal Consumption]]/Table58[[#This Row],[GDP]]</f>
        <v>0.67719945839735851</v>
      </c>
      <c r="I236" s="37">
        <f>Table58[[#This Row],[Private Investment]]/Table58[[#This Row],[GDP]]</f>
        <v>0.17517391265855076</v>
      </c>
      <c r="J236" s="37">
        <f>Table58[[#This Row],[Exports]]/Table58[[#This Row],[GDP]]</f>
        <v>9.8782376223489107E-2</v>
      </c>
      <c r="K236" s="37">
        <f>-Table58[[#This Row],[Imports]]/Table58[[#This Row],[GDP]]</f>
        <v>-0.16023176918918408</v>
      </c>
      <c r="L236" s="37">
        <f>Table58[[#This Row],[Government]]/Table58[[#This Row],[GDP]]</f>
        <v>0.20724642532850013</v>
      </c>
      <c r="N236" s="58">
        <f>SUM(Table58[[#This Row],[PC%]:[G%]])</f>
        <v>0.99817040341871432</v>
      </c>
      <c r="O236" s="25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35">
      <c r="A237" s="45">
        <v>38261</v>
      </c>
      <c r="B237" s="63">
        <f>VLOOKUP(A237,'U.S. GDP'!A:B,2,)</f>
        <v>14605.594999999999</v>
      </c>
      <c r="C237" s="63">
        <f>VLOOKUP(A237,PersonalConsumption!A:B,2,)</f>
        <v>9901.58</v>
      </c>
      <c r="D237" s="63">
        <f>VLOOKUP(A237,PrivateInvestment!A:B,2,)</f>
        <v>2585.4769999999999</v>
      </c>
      <c r="E237" s="63">
        <f>VLOOKUP(A237,Exports!A:B,2,)</f>
        <v>1462.0809999999999</v>
      </c>
      <c r="F237" s="63">
        <f>VLOOKUP(A237,Imports!A:B,2,)</f>
        <v>2370.5630000000001</v>
      </c>
      <c r="G237" s="63">
        <f>VLOOKUP(A237,Government!A:B,2,)</f>
        <v>2994.627</v>
      </c>
      <c r="H237" s="37">
        <f>Table58[[#This Row],[Personal Consumption]]/Table58[[#This Row],[GDP]]</f>
        <v>0.67793061494584783</v>
      </c>
      <c r="I237" s="37">
        <f>Table58[[#This Row],[Private Investment]]/Table58[[#This Row],[GDP]]</f>
        <v>0.17701962843691066</v>
      </c>
      <c r="J237" s="37">
        <f>Table58[[#This Row],[Exports]]/Table58[[#This Row],[GDP]]</f>
        <v>0.10010417240790259</v>
      </c>
      <c r="K237" s="37">
        <f>-Table58[[#This Row],[Imports]]/Table58[[#This Row],[GDP]]</f>
        <v>-0.16230513032848029</v>
      </c>
      <c r="L237" s="37">
        <f>Table58[[#This Row],[Government]]/Table58[[#This Row],[GDP]]</f>
        <v>0.20503286582984123</v>
      </c>
      <c r="N237" s="58">
        <f>SUM(Table58[[#This Row],[PC%]:[G%]])</f>
        <v>0.99778215129202208</v>
      </c>
      <c r="O237" s="25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35">
      <c r="A238" s="45">
        <v>38353</v>
      </c>
      <c r="B238" s="63">
        <f>VLOOKUP(A238,'U.S. GDP'!A:B,2,)</f>
        <v>14767.846</v>
      </c>
      <c r="C238" s="63">
        <f>VLOOKUP(A238,PersonalConsumption!A:B,2,)</f>
        <v>9964.4959999999992</v>
      </c>
      <c r="D238" s="63">
        <f>VLOOKUP(A238,PrivateInvestment!A:B,2,)</f>
        <v>2658.163</v>
      </c>
      <c r="E238" s="63">
        <f>VLOOKUP(A238,Exports!A:B,2,)</f>
        <v>1489.521</v>
      </c>
      <c r="F238" s="63">
        <f>VLOOKUP(A238,Imports!A:B,2,)</f>
        <v>2390.9850000000001</v>
      </c>
      <c r="G238" s="63">
        <f>VLOOKUP(A238,Government!A:B,2,)</f>
        <v>3009.569</v>
      </c>
      <c r="H238" s="37">
        <f>Table58[[#This Row],[Personal Consumption]]/Table58[[#This Row],[GDP]]</f>
        <v>0.6747426808215633</v>
      </c>
      <c r="I238" s="37">
        <f>Table58[[#This Row],[Private Investment]]/Table58[[#This Row],[GDP]]</f>
        <v>0.17999666302045675</v>
      </c>
      <c r="J238" s="37">
        <f>Table58[[#This Row],[Exports]]/Table58[[#This Row],[GDP]]</f>
        <v>0.10086244127952039</v>
      </c>
      <c r="K238" s="37">
        <f>-Table58[[#This Row],[Imports]]/Table58[[#This Row],[GDP]]</f>
        <v>-0.16190478963553656</v>
      </c>
      <c r="L238" s="37">
        <f>Table58[[#This Row],[Government]]/Table58[[#This Row],[GDP]]</f>
        <v>0.20379200866531247</v>
      </c>
      <c r="N238" s="58">
        <f>SUM(Table58[[#This Row],[PC%]:[G%]])</f>
        <v>0.99748900415131636</v>
      </c>
      <c r="O238" s="25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35">
      <c r="A239" s="45">
        <v>38443</v>
      </c>
      <c r="B239" s="63">
        <f>VLOOKUP(A239,'U.S. GDP'!A:B,2,)</f>
        <v>14839.707</v>
      </c>
      <c r="C239" s="63">
        <f>VLOOKUP(A239,PersonalConsumption!A:B,2,)</f>
        <v>10074.922</v>
      </c>
      <c r="D239" s="63">
        <f>VLOOKUP(A239,PrivateInvestment!A:B,2,)</f>
        <v>2622.7930000000001</v>
      </c>
      <c r="E239" s="63">
        <f>VLOOKUP(A239,Exports!A:B,2,)</f>
        <v>1522.7460000000001</v>
      </c>
      <c r="F239" s="63">
        <f>VLOOKUP(A239,Imports!A:B,2,)</f>
        <v>2422.9949999999999</v>
      </c>
      <c r="G239" s="63">
        <f>VLOOKUP(A239,Government!A:B,2,)</f>
        <v>3007.8310000000001</v>
      </c>
      <c r="H239" s="37">
        <f>Table58[[#This Row],[Personal Consumption]]/Table58[[#This Row],[GDP]]</f>
        <v>0.6789165042139983</v>
      </c>
      <c r="I239" s="37">
        <f>Table58[[#This Row],[Private Investment]]/Table58[[#This Row],[GDP]]</f>
        <v>0.17674156235025396</v>
      </c>
      <c r="J239" s="37">
        <f>Table58[[#This Row],[Exports]]/Table58[[#This Row],[GDP]]</f>
        <v>0.10261294242534573</v>
      </c>
      <c r="K239" s="37">
        <f>-Table58[[#This Row],[Imports]]/Table58[[#This Row],[GDP]]</f>
        <v>-0.16327781943403599</v>
      </c>
      <c r="L239" s="37">
        <f>Table58[[#This Row],[Government]]/Table58[[#This Row],[GDP]]</f>
        <v>0.20268803150897791</v>
      </c>
      <c r="N239" s="58">
        <f>SUM(Table58[[#This Row],[PC%]:[G%]])</f>
        <v>0.99768122106453982</v>
      </c>
      <c r="O239" s="25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35">
      <c r="A240" s="45">
        <v>38534</v>
      </c>
      <c r="B240" s="63">
        <f>VLOOKUP(A240,'U.S. GDP'!A:B,2,)</f>
        <v>14956.290999999999</v>
      </c>
      <c r="C240" s="63">
        <f>VLOOKUP(A240,PersonalConsumption!A:B,2,)</f>
        <v>10158.513000000001</v>
      </c>
      <c r="D240" s="63">
        <f>VLOOKUP(A240,PrivateInvestment!A:B,2,)</f>
        <v>2657.4580000000001</v>
      </c>
      <c r="E240" s="63">
        <f>VLOOKUP(A240,Exports!A:B,2,)</f>
        <v>1522.433</v>
      </c>
      <c r="F240" s="63">
        <f>VLOOKUP(A240,Imports!A:B,2,)</f>
        <v>2436.6010000000001</v>
      </c>
      <c r="G240" s="63">
        <f>VLOOKUP(A240,Government!A:B,2,)</f>
        <v>3017.7730000000001</v>
      </c>
      <c r="H240" s="37">
        <f>Table58[[#This Row],[Personal Consumption]]/Table58[[#This Row],[GDP]]</f>
        <v>0.6792133825157588</v>
      </c>
      <c r="I240" s="37">
        <f>Table58[[#This Row],[Private Investment]]/Table58[[#This Row],[GDP]]</f>
        <v>0.17768161905916383</v>
      </c>
      <c r="J240" s="37">
        <f>Table58[[#This Row],[Exports]]/Table58[[#This Row],[GDP]]</f>
        <v>0.10179214886899433</v>
      </c>
      <c r="K240" s="37">
        <f>-Table58[[#This Row],[Imports]]/Table58[[#This Row],[GDP]]</f>
        <v>-0.16291478950229038</v>
      </c>
      <c r="L240" s="37">
        <f>Table58[[#This Row],[Government]]/Table58[[#This Row],[GDP]]</f>
        <v>0.20177281921032428</v>
      </c>
      <c r="N240" s="58">
        <f>SUM(Table58[[#This Row],[PC%]:[G%]])</f>
        <v>0.99754518015195082</v>
      </c>
      <c r="O240" s="25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35">
      <c r="A241" s="45">
        <v>38626</v>
      </c>
      <c r="B241" s="63">
        <f>VLOOKUP(A241,'U.S. GDP'!A:B,2,)</f>
        <v>15041.232</v>
      </c>
      <c r="C241" s="63">
        <f>VLOOKUP(A241,PersonalConsumption!A:B,2,)</f>
        <v>10177.237999999999</v>
      </c>
      <c r="D241" s="63">
        <f>VLOOKUP(A241,PrivateInvestment!A:B,2,)</f>
        <v>2743.846</v>
      </c>
      <c r="E241" s="63">
        <f>VLOOKUP(A241,Exports!A:B,2,)</f>
        <v>1569.6130000000001</v>
      </c>
      <c r="F241" s="63">
        <f>VLOOKUP(A241,Imports!A:B,2,)</f>
        <v>2515.1320000000001</v>
      </c>
      <c r="G241" s="63">
        <f>VLOOKUP(A241,Government!A:B,2,)</f>
        <v>3020.1329999999998</v>
      </c>
      <c r="H241" s="37">
        <f>Table58[[#This Row],[Personal Consumption]]/Table58[[#This Row],[GDP]]</f>
        <v>0.67662263303963399</v>
      </c>
      <c r="I241" s="37">
        <f>Table58[[#This Row],[Private Investment]]/Table58[[#This Row],[GDP]]</f>
        <v>0.18242162610084067</v>
      </c>
      <c r="J241" s="37">
        <f>Table58[[#This Row],[Exports]]/Table58[[#This Row],[GDP]]</f>
        <v>0.10435401834105079</v>
      </c>
      <c r="K241" s="37">
        <f>-Table58[[#This Row],[Imports]]/Table58[[#This Row],[GDP]]</f>
        <v>-0.16721582381017724</v>
      </c>
      <c r="L241" s="37">
        <f>Table58[[#This Row],[Government]]/Table58[[#This Row],[GDP]]</f>
        <v>0.20079026771211292</v>
      </c>
      <c r="N241" s="58">
        <f>SUM(Table58[[#This Row],[PC%]:[G%]])</f>
        <v>0.99697272138346116</v>
      </c>
      <c r="O241" s="25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35">
      <c r="A242" s="45">
        <v>38718</v>
      </c>
      <c r="B242" s="63">
        <f>VLOOKUP(A242,'U.S. GDP'!A:B,2,)</f>
        <v>15244.088</v>
      </c>
      <c r="C242" s="63">
        <f>VLOOKUP(A242,PersonalConsumption!A:B,2,)</f>
        <v>10288.217000000001</v>
      </c>
      <c r="D242" s="63">
        <f>VLOOKUP(A242,PrivateInvestment!A:B,2,)</f>
        <v>2784.5830000000001</v>
      </c>
      <c r="E242" s="63">
        <f>VLOOKUP(A242,Exports!A:B,2,)</f>
        <v>1633.194</v>
      </c>
      <c r="F242" s="63">
        <f>VLOOKUP(A242,Imports!A:B,2,)</f>
        <v>2566.893</v>
      </c>
      <c r="G242" s="63">
        <f>VLOOKUP(A242,Government!A:B,2,)</f>
        <v>3058.4830000000002</v>
      </c>
      <c r="H242" s="37">
        <f>Table58[[#This Row],[Personal Consumption]]/Table58[[#This Row],[GDP]]</f>
        <v>0.67489881979164645</v>
      </c>
      <c r="I242" s="37">
        <f>Table58[[#This Row],[Private Investment]]/Table58[[#This Row],[GDP]]</f>
        <v>0.18266642123818755</v>
      </c>
      <c r="J242" s="37">
        <f>Table58[[#This Row],[Exports]]/Table58[[#This Row],[GDP]]</f>
        <v>0.10713622225219377</v>
      </c>
      <c r="K242" s="37">
        <f>-Table58[[#This Row],[Imports]]/Table58[[#This Row],[GDP]]</f>
        <v>-0.16838613106930372</v>
      </c>
      <c r="L242" s="37">
        <f>Table58[[#This Row],[Government]]/Table58[[#This Row],[GDP]]</f>
        <v>0.20063404252192721</v>
      </c>
      <c r="N242" s="58">
        <f>SUM(Table58[[#This Row],[PC%]:[G%]])</f>
        <v>0.99694937473465128</v>
      </c>
      <c r="O242" s="25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35">
      <c r="A243" s="45">
        <v>38808</v>
      </c>
      <c r="B243" s="63">
        <f>VLOOKUP(A243,'U.S. GDP'!A:B,2,)</f>
        <v>15281.525</v>
      </c>
      <c r="C243" s="63">
        <f>VLOOKUP(A243,PersonalConsumption!A:B,2,)</f>
        <v>10341.556</v>
      </c>
      <c r="D243" s="63">
        <f>VLOOKUP(A243,PrivateInvestment!A:B,2,)</f>
        <v>2766.6280000000002</v>
      </c>
      <c r="E243" s="63">
        <f>VLOOKUP(A243,Exports!A:B,2,)</f>
        <v>1663.431</v>
      </c>
      <c r="F243" s="63">
        <f>VLOOKUP(A243,Imports!A:B,2,)</f>
        <v>2592.4549999999999</v>
      </c>
      <c r="G243" s="63">
        <f>VLOOKUP(A243,Government!A:B,2,)</f>
        <v>3057.5509999999999</v>
      </c>
      <c r="H243" s="37">
        <f>Table58[[#This Row],[Personal Consumption]]/Table58[[#This Row],[GDP]]</f>
        <v>0.67673586242210781</v>
      </c>
      <c r="I243" s="37">
        <f>Table58[[#This Row],[Private Investment]]/Table58[[#This Row],[GDP]]</f>
        <v>0.18104397303279615</v>
      </c>
      <c r="J243" s="37">
        <f>Table58[[#This Row],[Exports]]/Table58[[#This Row],[GDP]]</f>
        <v>0.10885242146971588</v>
      </c>
      <c r="K243" s="37">
        <f>-Table58[[#This Row],[Imports]]/Table58[[#This Row],[GDP]]</f>
        <v>-0.16964635401244313</v>
      </c>
      <c r="L243" s="37">
        <f>Table58[[#This Row],[Government]]/Table58[[#This Row],[GDP]]</f>
        <v>0.20008153636498974</v>
      </c>
      <c r="N243" s="58">
        <f>SUM(Table58[[#This Row],[PC%]:[G%]])</f>
        <v>0.99706743927716646</v>
      </c>
      <c r="O243" s="25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35">
      <c r="A244" s="45">
        <v>38899</v>
      </c>
      <c r="B244" s="63">
        <f>VLOOKUP(A244,'U.S. GDP'!A:B,2,)</f>
        <v>15304.517</v>
      </c>
      <c r="C244" s="63">
        <f>VLOOKUP(A244,PersonalConsumption!A:B,2,)</f>
        <v>10407.966</v>
      </c>
      <c r="D244" s="63">
        <f>VLOOKUP(A244,PrivateInvestment!A:B,2,)</f>
        <v>2755.9540000000002</v>
      </c>
      <c r="E244" s="63">
        <f>VLOOKUP(A244,Exports!A:B,2,)</f>
        <v>1661.223</v>
      </c>
      <c r="F244" s="63">
        <f>VLOOKUP(A244,Imports!A:B,2,)</f>
        <v>2618.357</v>
      </c>
      <c r="G244" s="63">
        <f>VLOOKUP(A244,Government!A:B,2,)</f>
        <v>3053.11</v>
      </c>
      <c r="H244" s="37">
        <f>Table58[[#This Row],[Personal Consumption]]/Table58[[#This Row],[GDP]]</f>
        <v>0.68005844287670103</v>
      </c>
      <c r="I244" s="37">
        <f>Table58[[#This Row],[Private Investment]]/Table58[[#This Row],[GDP]]</f>
        <v>0.18007454923275268</v>
      </c>
      <c r="J244" s="37">
        <f>Table58[[#This Row],[Exports]]/Table58[[#This Row],[GDP]]</f>
        <v>0.10854462117295174</v>
      </c>
      <c r="K244" s="37">
        <f>-Table58[[#This Row],[Imports]]/Table58[[#This Row],[GDP]]</f>
        <v>-0.17108393554661019</v>
      </c>
      <c r="L244" s="37">
        <f>Table58[[#This Row],[Government]]/Table58[[#This Row],[GDP]]</f>
        <v>0.19949077778802168</v>
      </c>
      <c r="N244" s="58">
        <f>SUM(Table58[[#This Row],[PC%]:[G%]])</f>
        <v>0.99708445552381697</v>
      </c>
      <c r="O244" s="25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35">
      <c r="A245" s="45">
        <v>38991</v>
      </c>
      <c r="B245" s="63">
        <f>VLOOKUP(A245,'U.S. GDP'!A:B,2,)</f>
        <v>15433.643</v>
      </c>
      <c r="C245" s="63">
        <f>VLOOKUP(A245,PersonalConsumption!A:B,2,)</f>
        <v>10507.248</v>
      </c>
      <c r="D245" s="63">
        <f>VLOOKUP(A245,PrivateInvestment!A:B,2,)</f>
        <v>2702.4870000000001</v>
      </c>
      <c r="E245" s="63">
        <f>VLOOKUP(A245,Exports!A:B,2,)</f>
        <v>1724.2629999999999</v>
      </c>
      <c r="F245" s="63">
        <f>VLOOKUP(A245,Imports!A:B,2,)</f>
        <v>2614.9920000000002</v>
      </c>
      <c r="G245" s="63">
        <f>VLOOKUP(A245,Government!A:B,2,)</f>
        <v>3078.2150000000001</v>
      </c>
      <c r="H245" s="37">
        <f>Table58[[#This Row],[Personal Consumption]]/Table58[[#This Row],[GDP]]</f>
        <v>0.68080154504027335</v>
      </c>
      <c r="I245" s="37">
        <f>Table58[[#This Row],[Private Investment]]/Table58[[#This Row],[GDP]]</f>
        <v>0.17510363560955763</v>
      </c>
      <c r="J245" s="37">
        <f>Table58[[#This Row],[Exports]]/Table58[[#This Row],[GDP]]</f>
        <v>0.11172106287543387</v>
      </c>
      <c r="K245" s="37">
        <f>-Table58[[#This Row],[Imports]]/Table58[[#This Row],[GDP]]</f>
        <v>-0.16943452689685773</v>
      </c>
      <c r="L245" s="37">
        <f>Table58[[#This Row],[Government]]/Table58[[#This Row],[GDP]]</f>
        <v>0.19944837391923606</v>
      </c>
      <c r="N245" s="58">
        <f>SUM(Table58[[#This Row],[PC%]:[G%]])</f>
        <v>0.99764009054764324</v>
      </c>
      <c r="O245" s="25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35">
      <c r="A246" s="45">
        <v>39083</v>
      </c>
      <c r="B246" s="63">
        <f>VLOOKUP(A246,'U.S. GDP'!A:B,2,)</f>
        <v>15478.956</v>
      </c>
      <c r="C246" s="63">
        <f>VLOOKUP(A246,PersonalConsumption!A:B,2,)</f>
        <v>10572.053</v>
      </c>
      <c r="D246" s="63">
        <f>VLOOKUP(A246,PrivateInvestment!A:B,2,)</f>
        <v>2683.893</v>
      </c>
      <c r="E246" s="63">
        <f>VLOOKUP(A246,Exports!A:B,2,)</f>
        <v>1758.4490000000001</v>
      </c>
      <c r="F246" s="63">
        <f>VLOOKUP(A246,Imports!A:B,2,)</f>
        <v>2653.058</v>
      </c>
      <c r="G246" s="63">
        <f>VLOOKUP(A246,Government!A:B,2,)</f>
        <v>3082.482</v>
      </c>
      <c r="H246" s="37">
        <f>Table58[[#This Row],[Personal Consumption]]/Table58[[#This Row],[GDP]]</f>
        <v>0.68299522267522439</v>
      </c>
      <c r="I246" s="37">
        <f>Table58[[#This Row],[Private Investment]]/Table58[[#This Row],[GDP]]</f>
        <v>0.17338979450552092</v>
      </c>
      <c r="J246" s="37">
        <f>Table58[[#This Row],[Exports]]/Table58[[#This Row],[GDP]]</f>
        <v>0.11360255820870607</v>
      </c>
      <c r="K246" s="37">
        <f>-Table58[[#This Row],[Imports]]/Table58[[#This Row],[GDP]]</f>
        <v>-0.17139773509272849</v>
      </c>
      <c r="L246" s="37">
        <f>Table58[[#This Row],[Government]]/Table58[[#This Row],[GDP]]</f>
        <v>0.19914017456991284</v>
      </c>
      <c r="N246" s="58">
        <f>SUM(Table58[[#This Row],[PC%]:[G%]])</f>
        <v>0.99773001486663571</v>
      </c>
      <c r="O246" s="25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35">
      <c r="A247" s="45">
        <v>39173</v>
      </c>
      <c r="B247" s="63">
        <f>VLOOKUP(A247,'U.S. GDP'!A:B,2,)</f>
        <v>15577.779</v>
      </c>
      <c r="C247" s="63">
        <f>VLOOKUP(A247,PersonalConsumption!A:B,2,)</f>
        <v>10599.795</v>
      </c>
      <c r="D247" s="63">
        <f>VLOOKUP(A247,PrivateInvestment!A:B,2,)</f>
        <v>2713.4949999999999</v>
      </c>
      <c r="E247" s="63">
        <f>VLOOKUP(A247,Exports!A:B,2,)</f>
        <v>1785.0640000000001</v>
      </c>
      <c r="F247" s="63">
        <f>VLOOKUP(A247,Imports!A:B,2,)</f>
        <v>2667.163</v>
      </c>
      <c r="G247" s="63">
        <f>VLOOKUP(A247,Government!A:B,2,)</f>
        <v>3110.6610000000001</v>
      </c>
      <c r="H247" s="37">
        <f>Table58[[#This Row],[Personal Consumption]]/Table58[[#This Row],[GDP]]</f>
        <v>0.68044327756864442</v>
      </c>
      <c r="I247" s="37">
        <f>Table58[[#This Row],[Private Investment]]/Table58[[#This Row],[GDP]]</f>
        <v>0.17419010758850795</v>
      </c>
      <c r="J247" s="37">
        <f>Table58[[#This Row],[Exports]]/Table58[[#This Row],[GDP]]</f>
        <v>0.11459040470403387</v>
      </c>
      <c r="K247" s="37">
        <f>-Table58[[#This Row],[Imports]]/Table58[[#This Row],[GDP]]</f>
        <v>-0.17121587101729971</v>
      </c>
      <c r="L247" s="37">
        <f>Table58[[#This Row],[Government]]/Table58[[#This Row],[GDP]]</f>
        <v>0.19968578319155766</v>
      </c>
      <c r="N247" s="58">
        <f>SUM(Table58[[#This Row],[PC%]:[G%]])</f>
        <v>0.99769370203544416</v>
      </c>
      <c r="O247" s="25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35">
      <c r="A248" s="45">
        <v>39264</v>
      </c>
      <c r="B248" s="63">
        <f>VLOOKUP(A248,'U.S. GDP'!A:B,2,)</f>
        <v>15671.605</v>
      </c>
      <c r="C248" s="63">
        <f>VLOOKUP(A248,PersonalConsumption!A:B,2,)</f>
        <v>10670.505999999999</v>
      </c>
      <c r="D248" s="63">
        <f>VLOOKUP(A248,PrivateInvestment!A:B,2,)</f>
        <v>2686.1060000000002</v>
      </c>
      <c r="E248" s="63">
        <f>VLOOKUP(A248,Exports!A:B,2,)</f>
        <v>1840.838</v>
      </c>
      <c r="F248" s="63">
        <f>VLOOKUP(A248,Imports!A:B,2,)</f>
        <v>2682.0990000000002</v>
      </c>
      <c r="G248" s="63">
        <f>VLOOKUP(A248,Government!A:B,2,)</f>
        <v>3124.8829999999998</v>
      </c>
      <c r="H248" s="37">
        <f>Table58[[#This Row],[Personal Consumption]]/Table58[[#This Row],[GDP]]</f>
        <v>0.68088150511705725</v>
      </c>
      <c r="I248" s="37">
        <f>Table58[[#This Row],[Private Investment]]/Table58[[#This Row],[GDP]]</f>
        <v>0.17139954714274641</v>
      </c>
      <c r="J248" s="37">
        <f>Table58[[#This Row],[Exports]]/Table58[[#This Row],[GDP]]</f>
        <v>0.11746327194949081</v>
      </c>
      <c r="K248" s="37">
        <f>-Table58[[#This Row],[Imports]]/Table58[[#This Row],[GDP]]</f>
        <v>-0.17114386178058982</v>
      </c>
      <c r="L248" s="37">
        <f>Table58[[#This Row],[Government]]/Table58[[#This Row],[GDP]]</f>
        <v>0.19939776430046571</v>
      </c>
      <c r="N248" s="58">
        <f>SUM(Table58[[#This Row],[PC%]:[G%]])</f>
        <v>0.99799822672917038</v>
      </c>
      <c r="O248" s="25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35">
      <c r="A249" s="45">
        <v>39356</v>
      </c>
      <c r="B249" s="63">
        <f>VLOOKUP(A249,'U.S. GDP'!A:B,2,)</f>
        <v>15767.146000000001</v>
      </c>
      <c r="C249" s="63">
        <f>VLOOKUP(A249,PersonalConsumption!A:B,2,)</f>
        <v>10712.556</v>
      </c>
      <c r="D249" s="63">
        <f>VLOOKUP(A249,PrivateInvestment!A:B,2,)</f>
        <v>2653.056</v>
      </c>
      <c r="E249" s="63">
        <f>VLOOKUP(A249,Exports!A:B,2,)</f>
        <v>1883.0619999999999</v>
      </c>
      <c r="F249" s="63">
        <f>VLOOKUP(A249,Imports!A:B,2,)</f>
        <v>2656.7669999999998</v>
      </c>
      <c r="G249" s="63">
        <f>VLOOKUP(A249,Government!A:B,2,)</f>
        <v>3149.5419999999999</v>
      </c>
      <c r="H249" s="37">
        <f>Table58[[#This Row],[Personal Consumption]]/Table58[[#This Row],[GDP]]</f>
        <v>0.67942264249979034</v>
      </c>
      <c r="I249" s="37">
        <f>Table58[[#This Row],[Private Investment]]/Table58[[#This Row],[GDP]]</f>
        <v>0.16826482103990156</v>
      </c>
      <c r="J249" s="37">
        <f>Table58[[#This Row],[Exports]]/Table58[[#This Row],[GDP]]</f>
        <v>0.11942947696431554</v>
      </c>
      <c r="K249" s="37">
        <f>-Table58[[#This Row],[Imports]]/Table58[[#This Row],[GDP]]</f>
        <v>-0.16850018386333201</v>
      </c>
      <c r="L249" s="37">
        <f>Table58[[#This Row],[Government]]/Table58[[#This Row],[GDP]]</f>
        <v>0.19975346204062547</v>
      </c>
      <c r="N249" s="58">
        <f>SUM(Table58[[#This Row],[PC%]:[G%]])</f>
        <v>0.99837021868130094</v>
      </c>
      <c r="O249" s="25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35">
      <c r="A250" s="45">
        <v>39448</v>
      </c>
      <c r="B250" s="63">
        <f>VLOOKUP(A250,'U.S. GDP'!A:B,2,)</f>
        <v>15702.906000000001</v>
      </c>
      <c r="C250" s="63">
        <f>VLOOKUP(A250,PersonalConsumption!A:B,2,)</f>
        <v>10697.867</v>
      </c>
      <c r="D250" s="63">
        <f>VLOOKUP(A250,PrivateInvestment!A:B,2,)</f>
        <v>2583.2530000000002</v>
      </c>
      <c r="E250" s="63">
        <f>VLOOKUP(A250,Exports!A:B,2,)</f>
        <v>1913.046</v>
      </c>
      <c r="F250" s="63">
        <f>VLOOKUP(A250,Imports!A:B,2,)</f>
        <v>2666.73</v>
      </c>
      <c r="G250" s="63">
        <f>VLOOKUP(A250,Government!A:B,2,)</f>
        <v>3156.9279999999999</v>
      </c>
      <c r="H250" s="37">
        <f>Table58[[#This Row],[Personal Consumption]]/Table58[[#This Row],[GDP]]</f>
        <v>0.68126670311851834</v>
      </c>
      <c r="I250" s="37">
        <f>Table58[[#This Row],[Private Investment]]/Table58[[#This Row],[GDP]]</f>
        <v>0.16450795795376982</v>
      </c>
      <c r="J250" s="37">
        <f>Table58[[#This Row],[Exports]]/Table58[[#This Row],[GDP]]</f>
        <v>0.12182751396461267</v>
      </c>
      <c r="K250" s="37">
        <f>-Table58[[#This Row],[Imports]]/Table58[[#This Row],[GDP]]</f>
        <v>-0.16982398035115284</v>
      </c>
      <c r="L250" s="37">
        <f>Table58[[#This Row],[Government]]/Table58[[#This Row],[GDP]]</f>
        <v>0.20104100476688835</v>
      </c>
      <c r="N250" s="58">
        <f>SUM(Table58[[#This Row],[PC%]:[G%]])</f>
        <v>0.99881919945263631</v>
      </c>
      <c r="O250" s="25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35">
      <c r="A251" s="45">
        <v>39539</v>
      </c>
      <c r="B251" s="63">
        <f>VLOOKUP(A251,'U.S. GDP'!A:B,2,)</f>
        <v>15792.772999999999</v>
      </c>
      <c r="C251" s="63">
        <f>VLOOKUP(A251,PersonalConsumption!A:B,2,)</f>
        <v>10727.347</v>
      </c>
      <c r="D251" s="63">
        <f>VLOOKUP(A251,PrivateInvestment!A:B,2,)</f>
        <v>2536.4029999999998</v>
      </c>
      <c r="E251" s="63">
        <f>VLOOKUP(A251,Exports!A:B,2,)</f>
        <v>1969.204</v>
      </c>
      <c r="F251" s="63">
        <f>VLOOKUP(A251,Imports!A:B,2,)</f>
        <v>2641.498</v>
      </c>
      <c r="G251" s="63">
        <f>VLOOKUP(A251,Government!A:B,2,)</f>
        <v>3184.2579999999998</v>
      </c>
      <c r="H251" s="37">
        <f>Table58[[#This Row],[Personal Consumption]]/Table58[[#This Row],[GDP]]</f>
        <v>0.67925670811579453</v>
      </c>
      <c r="I251" s="37">
        <f>Table58[[#This Row],[Private Investment]]/Table58[[#This Row],[GDP]]</f>
        <v>0.16060529711913163</v>
      </c>
      <c r="J251" s="37">
        <f>Table58[[#This Row],[Exports]]/Table58[[#This Row],[GDP]]</f>
        <v>0.12469019848509189</v>
      </c>
      <c r="K251" s="37">
        <f>-Table58[[#This Row],[Imports]]/Table58[[#This Row],[GDP]]</f>
        <v>-0.16725992325730257</v>
      </c>
      <c r="L251" s="37">
        <f>Table58[[#This Row],[Government]]/Table58[[#This Row],[GDP]]</f>
        <v>0.20162754191426674</v>
      </c>
      <c r="N251" s="58">
        <f>SUM(Table58[[#This Row],[PC%]:[G%]])</f>
        <v>0.99891982237698218</v>
      </c>
      <c r="O251" s="25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35">
      <c r="A252" s="45">
        <v>39630</v>
      </c>
      <c r="B252" s="63">
        <f>VLOOKUP(A252,'U.S. GDP'!A:B,2,)</f>
        <v>15709.562</v>
      </c>
      <c r="C252" s="63">
        <f>VLOOKUP(A252,PersonalConsumption!A:B,2,)</f>
        <v>10644.668</v>
      </c>
      <c r="D252" s="63">
        <f>VLOOKUP(A252,PrivateInvestment!A:B,2,)</f>
        <v>2485.549</v>
      </c>
      <c r="E252" s="63">
        <f>VLOOKUP(A252,Exports!A:B,2,)</f>
        <v>1960.3620000000001</v>
      </c>
      <c r="F252" s="63">
        <f>VLOOKUP(A252,Imports!A:B,2,)</f>
        <v>2608.1610000000001</v>
      </c>
      <c r="G252" s="63">
        <f>VLOOKUP(A252,Government!A:B,2,)</f>
        <v>3210.02</v>
      </c>
      <c r="H252" s="37">
        <f>Table58[[#This Row],[Personal Consumption]]/Table58[[#This Row],[GDP]]</f>
        <v>0.67759164768565794</v>
      </c>
      <c r="I252" s="37">
        <f>Table58[[#This Row],[Private Investment]]/Table58[[#This Row],[GDP]]</f>
        <v>0.15821886058949319</v>
      </c>
      <c r="J252" s="37">
        <f>Table58[[#This Row],[Exports]]/Table58[[#This Row],[GDP]]</f>
        <v>0.12478782030969419</v>
      </c>
      <c r="K252" s="37">
        <f>-Table58[[#This Row],[Imports]]/Table58[[#This Row],[GDP]]</f>
        <v>-0.16602378856902567</v>
      </c>
      <c r="L252" s="37">
        <f>Table58[[#This Row],[Government]]/Table58[[#This Row],[GDP]]</f>
        <v>0.2043354232282224</v>
      </c>
      <c r="N252" s="58">
        <f>SUM(Table58[[#This Row],[PC%]:[G%]])</f>
        <v>0.99890996324404202</v>
      </c>
      <c r="O252" s="25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35">
      <c r="A253" s="45">
        <v>39722</v>
      </c>
      <c r="B253" s="63">
        <f>VLOOKUP(A253,'U.S. GDP'!A:B,2,)</f>
        <v>15366.607</v>
      </c>
      <c r="C253" s="63">
        <f>VLOOKUP(A253,PersonalConsumption!A:B,2,)</f>
        <v>10548.871999999999</v>
      </c>
      <c r="D253" s="63">
        <f>VLOOKUP(A253,PrivateInvestment!A:B,2,)</f>
        <v>2246.4409999999998</v>
      </c>
      <c r="E253" s="63">
        <f>VLOOKUP(A253,Exports!A:B,2,)</f>
        <v>1844.981</v>
      </c>
      <c r="F253" s="63">
        <f>VLOOKUP(A253,Imports!A:B,2,)</f>
        <v>2513.8440000000001</v>
      </c>
      <c r="G253" s="63">
        <f>VLOOKUP(A253,Government!A:B,2,)</f>
        <v>3231.944</v>
      </c>
      <c r="H253" s="37">
        <f>Table58[[#This Row],[Personal Consumption]]/Table58[[#This Row],[GDP]]</f>
        <v>0.68648023600785779</v>
      </c>
      <c r="I253" s="37">
        <f>Table58[[#This Row],[Private Investment]]/Table58[[#This Row],[GDP]]</f>
        <v>0.14618978672390071</v>
      </c>
      <c r="J253" s="37">
        <f>Table58[[#This Row],[Exports]]/Table58[[#This Row],[GDP]]</f>
        <v>0.12006430567268363</v>
      </c>
      <c r="K253" s="37">
        <f>-Table58[[#This Row],[Imports]]/Table58[[#This Row],[GDP]]</f>
        <v>-0.16359135103800079</v>
      </c>
      <c r="L253" s="37">
        <f>Table58[[#This Row],[Government]]/Table58[[#This Row],[GDP]]</f>
        <v>0.21032255201164446</v>
      </c>
      <c r="N253" s="58">
        <f>SUM(Table58[[#This Row],[PC%]:[G%]])</f>
        <v>0.99946552937808586</v>
      </c>
      <c r="O253" s="25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35">
      <c r="A254" s="45">
        <v>39814</v>
      </c>
      <c r="B254" s="63">
        <f>VLOOKUP(A254,'U.S. GDP'!A:B,2,)</f>
        <v>15187.475</v>
      </c>
      <c r="C254" s="63">
        <f>VLOOKUP(A254,PersonalConsumption!A:B,2,)</f>
        <v>10522.083000000001</v>
      </c>
      <c r="D254" s="63">
        <f>VLOOKUP(A254,PrivateInvestment!A:B,2,)</f>
        <v>1986.845</v>
      </c>
      <c r="E254" s="63">
        <f>VLOOKUP(A254,Exports!A:B,2,)</f>
        <v>1697.6369999999999</v>
      </c>
      <c r="F254" s="63">
        <f>VLOOKUP(A254,Imports!A:B,2,)</f>
        <v>2274.895</v>
      </c>
      <c r="G254" s="63">
        <f>VLOOKUP(A254,Government!A:B,2,)</f>
        <v>3268.8180000000002</v>
      </c>
      <c r="H254" s="37">
        <f>Table58[[#This Row],[Personal Consumption]]/Table58[[#This Row],[GDP]]</f>
        <v>0.6928131898159503</v>
      </c>
      <c r="I254" s="37">
        <f>Table58[[#This Row],[Private Investment]]/Table58[[#This Row],[GDP]]</f>
        <v>0.13082128530252723</v>
      </c>
      <c r="J254" s="37">
        <f>Table58[[#This Row],[Exports]]/Table58[[#This Row],[GDP]]</f>
        <v>0.11177875189918007</v>
      </c>
      <c r="K254" s="37">
        <f>-Table58[[#This Row],[Imports]]/Table58[[#This Row],[GDP]]</f>
        <v>-0.14978757166678464</v>
      </c>
      <c r="L254" s="37">
        <f>Table58[[#This Row],[Government]]/Table58[[#This Row],[GDP]]</f>
        <v>0.21523116910480511</v>
      </c>
      <c r="N254" s="58">
        <f>SUM(Table58[[#This Row],[PC%]:[G%]])</f>
        <v>1.0008568244556781</v>
      </c>
      <c r="O254" s="25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35">
      <c r="A255" s="45">
        <v>39904</v>
      </c>
      <c r="B255" s="63">
        <f>VLOOKUP(A255,'U.S. GDP'!A:B,2,)</f>
        <v>15161.772000000001</v>
      </c>
      <c r="C255" s="63">
        <f>VLOOKUP(A255,PersonalConsumption!A:B,2,)</f>
        <v>10470.358</v>
      </c>
      <c r="D255" s="63">
        <f>VLOOKUP(A255,PrivateInvestment!A:B,2,)</f>
        <v>1872.287</v>
      </c>
      <c r="E255" s="63">
        <f>VLOOKUP(A255,Exports!A:B,2,)</f>
        <v>1708.8320000000001</v>
      </c>
      <c r="F255" s="63">
        <f>VLOOKUP(A255,Imports!A:B,2,)</f>
        <v>2182.5010000000002</v>
      </c>
      <c r="G255" s="63">
        <f>VLOOKUP(A255,Government!A:B,2,)</f>
        <v>3316.62</v>
      </c>
      <c r="H255" s="37">
        <f>Table58[[#This Row],[Personal Consumption]]/Table58[[#This Row],[GDP]]</f>
        <v>0.69057614110012999</v>
      </c>
      <c r="I255" s="37">
        <f>Table58[[#This Row],[Private Investment]]/Table58[[#This Row],[GDP]]</f>
        <v>0.12348734699347806</v>
      </c>
      <c r="J255" s="37">
        <f>Table58[[#This Row],[Exports]]/Table58[[#This Row],[GDP]]</f>
        <v>0.11270661503154117</v>
      </c>
      <c r="K255" s="37">
        <f>-Table58[[#This Row],[Imports]]/Table58[[#This Row],[GDP]]</f>
        <v>-0.14394762037049497</v>
      </c>
      <c r="L255" s="37">
        <f>Table58[[#This Row],[Government]]/Table58[[#This Row],[GDP]]</f>
        <v>0.21874883753693167</v>
      </c>
      <c r="N255" s="58">
        <f>SUM(Table58[[#This Row],[PC%]:[G%]])</f>
        <v>1.0015713202915859</v>
      </c>
      <c r="O255" s="25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35">
      <c r="A256" s="45">
        <v>39995</v>
      </c>
      <c r="B256" s="63">
        <f>VLOOKUP(A256,'U.S. GDP'!A:B,2,)</f>
        <v>15216.647000000001</v>
      </c>
      <c r="C256" s="63">
        <f>VLOOKUP(A256,PersonalConsumption!A:B,2,)</f>
        <v>10540.769</v>
      </c>
      <c r="D256" s="63">
        <f>VLOOKUP(A256,PrivateInvestment!A:B,2,)</f>
        <v>1868.0129999999999</v>
      </c>
      <c r="E256" s="63">
        <f>VLOOKUP(A256,Exports!A:B,2,)</f>
        <v>1772.0039999999999</v>
      </c>
      <c r="F256" s="63">
        <f>VLOOKUP(A256,Imports!A:B,2,)</f>
        <v>2272.5349999999999</v>
      </c>
      <c r="G256" s="63">
        <f>VLOOKUP(A256,Government!A:B,2,)</f>
        <v>3325.6819999999998</v>
      </c>
      <c r="H256" s="37">
        <f>Table58[[#This Row],[Personal Consumption]]/Table58[[#This Row],[GDP]]</f>
        <v>0.69271298729608433</v>
      </c>
      <c r="I256" s="37">
        <f>Table58[[#This Row],[Private Investment]]/Table58[[#This Row],[GDP]]</f>
        <v>0.12276114442294678</v>
      </c>
      <c r="J256" s="37">
        <f>Table58[[#This Row],[Exports]]/Table58[[#This Row],[GDP]]</f>
        <v>0.11645167296054117</v>
      </c>
      <c r="K256" s="37">
        <f>-Table58[[#This Row],[Imports]]/Table58[[#This Row],[GDP]]</f>
        <v>-0.14934531897861597</v>
      </c>
      <c r="L256" s="37">
        <f>Table58[[#This Row],[Government]]/Table58[[#This Row],[GDP]]</f>
        <v>0.21855550700492687</v>
      </c>
      <c r="N256" s="58">
        <f>SUM(Table58[[#This Row],[PC%]:[G%]])</f>
        <v>1.0011359927058829</v>
      </c>
      <c r="O256" s="25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35">
      <c r="A257" s="45">
        <v>40087</v>
      </c>
      <c r="B257" s="63">
        <f>VLOOKUP(A257,'U.S. GDP'!A:B,2,)</f>
        <v>15379.155000000001</v>
      </c>
      <c r="C257" s="63">
        <f>VLOOKUP(A257,PersonalConsumption!A:B,2,)</f>
        <v>10529.156000000001</v>
      </c>
      <c r="D257" s="63">
        <f>VLOOKUP(A257,PrivateInvestment!A:B,2,)</f>
        <v>2040.7360000000001</v>
      </c>
      <c r="E257" s="63">
        <f>VLOOKUP(A257,Exports!A:B,2,)</f>
        <v>1871.4849999999999</v>
      </c>
      <c r="F257" s="63">
        <f>VLOOKUP(A257,Imports!A:B,2,)</f>
        <v>2385.0740000000001</v>
      </c>
      <c r="G257" s="63">
        <f>VLOOKUP(A257,Government!A:B,2,)</f>
        <v>3331.645</v>
      </c>
      <c r="H257" s="37">
        <f>Table58[[#This Row],[Personal Consumption]]/Table58[[#This Row],[GDP]]</f>
        <v>0.68463813519013239</v>
      </c>
      <c r="I257" s="37">
        <f>Table58[[#This Row],[Private Investment]]/Table58[[#This Row],[GDP]]</f>
        <v>0.13269493675042615</v>
      </c>
      <c r="J257" s="37">
        <f>Table58[[#This Row],[Exports]]/Table58[[#This Row],[GDP]]</f>
        <v>0.12168971572235275</v>
      </c>
      <c r="K257" s="37">
        <f>-Table58[[#This Row],[Imports]]/Table58[[#This Row],[GDP]]</f>
        <v>-0.15508485349162551</v>
      </c>
      <c r="L257" s="37">
        <f>Table58[[#This Row],[Government]]/Table58[[#This Row],[GDP]]</f>
        <v>0.21663381375634747</v>
      </c>
      <c r="N257" s="58">
        <f>SUM(Table58[[#This Row],[PC%]:[G%]])</f>
        <v>1.0005717479276333</v>
      </c>
      <c r="O257" s="25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35">
      <c r="A258" s="45">
        <v>40179</v>
      </c>
      <c r="B258" s="63">
        <f>VLOOKUP(A258,'U.S. GDP'!A:B,2,)</f>
        <v>15456.058999999999</v>
      </c>
      <c r="C258" s="63">
        <f>VLOOKUP(A258,PersonalConsumption!A:B,2,)</f>
        <v>10590.177</v>
      </c>
      <c r="D258" s="63">
        <f>VLOOKUP(A258,PrivateInvestment!A:B,2,)</f>
        <v>2087.1709999999998</v>
      </c>
      <c r="E258" s="63">
        <f>VLOOKUP(A258,Exports!A:B,2,)</f>
        <v>1916.239</v>
      </c>
      <c r="F258" s="63">
        <f>VLOOKUP(A258,Imports!A:B,2,)</f>
        <v>2448.0439999999999</v>
      </c>
      <c r="G258" s="63">
        <f>VLOOKUP(A258,Government!A:B,2,)</f>
        <v>3317.3470000000002</v>
      </c>
      <c r="H258" s="37">
        <f>Table58[[#This Row],[Personal Consumption]]/Table58[[#This Row],[GDP]]</f>
        <v>0.68517964378888563</v>
      </c>
      <c r="I258" s="37">
        <f>Table58[[#This Row],[Private Investment]]/Table58[[#This Row],[GDP]]</f>
        <v>0.13503901609071239</v>
      </c>
      <c r="J258" s="37">
        <f>Table58[[#This Row],[Exports]]/Table58[[#This Row],[GDP]]</f>
        <v>0.1239797932965965</v>
      </c>
      <c r="K258" s="37">
        <f>-Table58[[#This Row],[Imports]]/Table58[[#This Row],[GDP]]</f>
        <v>-0.15838733534855165</v>
      </c>
      <c r="L258" s="37">
        <f>Table58[[#This Row],[Government]]/Table58[[#This Row],[GDP]]</f>
        <v>0.21463084477097302</v>
      </c>
      <c r="N258" s="58">
        <f>SUM(Table58[[#This Row],[PC%]:[G%]])</f>
        <v>1.0004419625986158</v>
      </c>
      <c r="O258" s="25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35">
      <c r="A259" s="45">
        <v>40269</v>
      </c>
      <c r="B259" s="63">
        <f>VLOOKUP(A259,'U.S. GDP'!A:B,2,)</f>
        <v>15605.628000000001</v>
      </c>
      <c r="C259" s="63">
        <f>VLOOKUP(A259,PersonalConsumption!A:B,2,)</f>
        <v>10685.145</v>
      </c>
      <c r="D259" s="63">
        <f>VLOOKUP(A259,PrivateInvestment!A:B,2,)</f>
        <v>2196.7060000000001</v>
      </c>
      <c r="E259" s="63">
        <f>VLOOKUP(A259,Exports!A:B,2,)</f>
        <v>1958.367</v>
      </c>
      <c r="F259" s="63">
        <f>VLOOKUP(A259,Imports!A:B,2,)</f>
        <v>2559.69</v>
      </c>
      <c r="G259" s="63">
        <f>VLOOKUP(A259,Government!A:B,2,)</f>
        <v>3327.5639999999999</v>
      </c>
      <c r="H259" s="37">
        <f>Table58[[#This Row],[Personal Consumption]]/Table58[[#This Row],[GDP]]</f>
        <v>0.68469817427405033</v>
      </c>
      <c r="I259" s="37">
        <f>Table58[[#This Row],[Private Investment]]/Table58[[#This Row],[GDP]]</f>
        <v>0.14076370396628704</v>
      </c>
      <c r="J259" s="37">
        <f>Table58[[#This Row],[Exports]]/Table58[[#This Row],[GDP]]</f>
        <v>0.1254910728360307</v>
      </c>
      <c r="K259" s="37">
        <f>-Table58[[#This Row],[Imports]]/Table58[[#This Row],[GDP]]</f>
        <v>-0.16402351766939466</v>
      </c>
      <c r="L259" s="37">
        <f>Table58[[#This Row],[Government]]/Table58[[#This Row],[GDP]]</f>
        <v>0.21322845834848811</v>
      </c>
      <c r="N259" s="58">
        <f>SUM(Table58[[#This Row],[PC%]:[G%]])</f>
        <v>1.0001578917554614</v>
      </c>
      <c r="O259" s="25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35">
      <c r="A260" s="45">
        <v>40360</v>
      </c>
      <c r="B260" s="63">
        <f>VLOOKUP(A260,'U.S. GDP'!A:B,2,)</f>
        <v>15726.281999999999</v>
      </c>
      <c r="C260" s="63">
        <f>VLOOKUP(A260,PersonalConsumption!A:B,2,)</f>
        <v>10761.376</v>
      </c>
      <c r="D260" s="63">
        <f>VLOOKUP(A260,PrivateInvestment!A:B,2,)</f>
        <v>2294.672</v>
      </c>
      <c r="E260" s="63">
        <f>VLOOKUP(A260,Exports!A:B,2,)</f>
        <v>2014.232</v>
      </c>
      <c r="F260" s="63">
        <f>VLOOKUP(A260,Imports!A:B,2,)</f>
        <v>2649.1480000000001</v>
      </c>
      <c r="G260" s="63">
        <f>VLOOKUP(A260,Government!A:B,2,)</f>
        <v>3304.078</v>
      </c>
      <c r="H260" s="37">
        <f>Table58[[#This Row],[Personal Consumption]]/Table58[[#This Row],[GDP]]</f>
        <v>0.68429244750920792</v>
      </c>
      <c r="I260" s="37">
        <f>Table58[[#This Row],[Private Investment]]/Table58[[#This Row],[GDP]]</f>
        <v>0.14591319168764746</v>
      </c>
      <c r="J260" s="37">
        <f>Table58[[#This Row],[Exports]]/Table58[[#This Row],[GDP]]</f>
        <v>0.12808062325220926</v>
      </c>
      <c r="K260" s="37">
        <f>-Table58[[#This Row],[Imports]]/Table58[[#This Row],[GDP]]</f>
        <v>-0.16845354801599005</v>
      </c>
      <c r="L260" s="37">
        <f>Table58[[#This Row],[Government]]/Table58[[#This Row],[GDP]]</f>
        <v>0.21009911942314147</v>
      </c>
      <c r="N260" s="58">
        <f>SUM(Table58[[#This Row],[PC%]:[G%]])</f>
        <v>0.99993183385621598</v>
      </c>
      <c r="O260" s="25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35">
      <c r="A261" s="45">
        <v>40452</v>
      </c>
      <c r="B261" s="63">
        <f>VLOOKUP(A261,'U.S. GDP'!A:B,2,)</f>
        <v>15807.995000000001</v>
      </c>
      <c r="C261" s="63">
        <f>VLOOKUP(A261,PersonalConsumption!A:B,2,)</f>
        <v>10827.332</v>
      </c>
      <c r="D261" s="63">
        <f>VLOOKUP(A261,PrivateInvestment!A:B,2,)</f>
        <v>2287.3620000000001</v>
      </c>
      <c r="E261" s="63">
        <f>VLOOKUP(A261,Exports!A:B,2,)</f>
        <v>2069.3490000000002</v>
      </c>
      <c r="F261" s="63">
        <f>VLOOKUP(A261,Imports!A:B,2,)</f>
        <v>2658.8850000000002</v>
      </c>
      <c r="G261" s="63">
        <f>VLOOKUP(A261,Government!A:B,2,)</f>
        <v>3283.0459999999998</v>
      </c>
      <c r="H261" s="37">
        <f>Table58[[#This Row],[Personal Consumption]]/Table58[[#This Row],[GDP]]</f>
        <v>0.68492759518205815</v>
      </c>
      <c r="I261" s="37">
        <f>Table58[[#This Row],[Private Investment]]/Table58[[#This Row],[GDP]]</f>
        <v>0.14469652856038986</v>
      </c>
      <c r="J261" s="37">
        <f>Table58[[#This Row],[Exports]]/Table58[[#This Row],[GDP]]</f>
        <v>0.13090521599987853</v>
      </c>
      <c r="K261" s="37">
        <f>-Table58[[#This Row],[Imports]]/Table58[[#This Row],[GDP]]</f>
        <v>-0.16819875006286378</v>
      </c>
      <c r="L261" s="37">
        <f>Table58[[#This Row],[Government]]/Table58[[#This Row],[GDP]]</f>
        <v>0.20768263147856508</v>
      </c>
      <c r="N261" s="58">
        <f>SUM(Table58[[#This Row],[PC%]:[G%]])</f>
        <v>1.0000132211580277</v>
      </c>
      <c r="O261" s="25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35">
      <c r="A262" s="45">
        <v>40544</v>
      </c>
      <c r="B262" s="63">
        <f>VLOOKUP(A262,'U.S. GDP'!A:B,2,)</f>
        <v>15769.911</v>
      </c>
      <c r="C262" s="63">
        <f>VLOOKUP(A262,PersonalConsumption!A:B,2,)</f>
        <v>10868.689</v>
      </c>
      <c r="D262" s="63">
        <f>VLOOKUP(A262,PrivateInvestment!A:B,2,)</f>
        <v>2244.241</v>
      </c>
      <c r="E262" s="63">
        <f>VLOOKUP(A262,Exports!A:B,2,)</f>
        <v>2087.06</v>
      </c>
      <c r="F262" s="63">
        <f>VLOOKUP(A262,Imports!A:B,2,)</f>
        <v>2671.8719999999998</v>
      </c>
      <c r="G262" s="63">
        <f>VLOOKUP(A262,Government!A:B,2,)</f>
        <v>3242.78</v>
      </c>
      <c r="H262" s="37">
        <f>Table58[[#This Row],[Personal Consumption]]/Table58[[#This Row],[GDP]]</f>
        <v>0.6892042066692704</v>
      </c>
      <c r="I262" s="37">
        <f>Table58[[#This Row],[Private Investment]]/Table58[[#This Row],[GDP]]</f>
        <v>0.14231158311546591</v>
      </c>
      <c r="J262" s="37">
        <f>Table58[[#This Row],[Exports]]/Table58[[#This Row],[GDP]]</f>
        <v>0.13234443745433946</v>
      </c>
      <c r="K262" s="37">
        <f>-Table58[[#This Row],[Imports]]/Table58[[#This Row],[GDP]]</f>
        <v>-0.16942847679990075</v>
      </c>
      <c r="L262" s="37">
        <f>Table58[[#This Row],[Government]]/Table58[[#This Row],[GDP]]</f>
        <v>0.20563083710491456</v>
      </c>
      <c r="N262" s="58">
        <f>SUM(Table58[[#This Row],[PC%]:[G%]])</f>
        <v>1.0000625875440894</v>
      </c>
      <c r="O262" s="25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35">
      <c r="A263" s="45">
        <v>40634</v>
      </c>
      <c r="B263" s="63">
        <f>VLOOKUP(A263,'U.S. GDP'!A:B,2,)</f>
        <v>15876.839</v>
      </c>
      <c r="C263" s="63">
        <f>VLOOKUP(A263,PersonalConsumption!A:B,2,)</f>
        <v>10879.873</v>
      </c>
      <c r="D263" s="63">
        <f>VLOOKUP(A263,PrivateInvestment!A:B,2,)</f>
        <v>2336.0569999999998</v>
      </c>
      <c r="E263" s="63">
        <f>VLOOKUP(A263,Exports!A:B,2,)</f>
        <v>2122.3209999999999</v>
      </c>
      <c r="F263" s="63">
        <f>VLOOKUP(A263,Imports!A:B,2,)</f>
        <v>2681.8649999999998</v>
      </c>
      <c r="G263" s="63">
        <f>VLOOKUP(A263,Government!A:B,2,)</f>
        <v>3220.8159999999998</v>
      </c>
      <c r="H263" s="37">
        <f>Table58[[#This Row],[Personal Consumption]]/Table58[[#This Row],[GDP]]</f>
        <v>0.68526694765878771</v>
      </c>
      <c r="I263" s="37">
        <f>Table58[[#This Row],[Private Investment]]/Table58[[#This Row],[GDP]]</f>
        <v>0.14713615222778287</v>
      </c>
      <c r="J263" s="37">
        <f>Table58[[#This Row],[Exports]]/Table58[[#This Row],[GDP]]</f>
        <v>0.13367402667495715</v>
      </c>
      <c r="K263" s="37">
        <f>-Table58[[#This Row],[Imports]]/Table58[[#This Row],[GDP]]</f>
        <v>-0.16891681020384472</v>
      </c>
      <c r="L263" s="37">
        <f>Table58[[#This Row],[Government]]/Table58[[#This Row],[GDP]]</f>
        <v>0.20286254713548457</v>
      </c>
      <c r="N263" s="58">
        <f>SUM(Table58[[#This Row],[PC%]:[G%]])</f>
        <v>1.0000228634931676</v>
      </c>
      <c r="O263" s="25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35">
      <c r="A264" s="45">
        <v>40725</v>
      </c>
      <c r="B264" s="63">
        <f>VLOOKUP(A264,'U.S. GDP'!A:B,2,)</f>
        <v>15870.683999999999</v>
      </c>
      <c r="C264" s="63">
        <f>VLOOKUP(A264,PersonalConsumption!A:B,2,)</f>
        <v>10912.991</v>
      </c>
      <c r="D264" s="63">
        <f>VLOOKUP(A264,PrivateInvestment!A:B,2,)</f>
        <v>2343.7860000000001</v>
      </c>
      <c r="E264" s="63">
        <f>VLOOKUP(A264,Exports!A:B,2,)</f>
        <v>2151.4740000000002</v>
      </c>
      <c r="F264" s="63">
        <f>VLOOKUP(A264,Imports!A:B,2,)</f>
        <v>2711.6190000000001</v>
      </c>
      <c r="G264" s="63">
        <f>VLOOKUP(A264,Government!A:B,2,)</f>
        <v>3174.8009999999999</v>
      </c>
      <c r="H264" s="37">
        <f>Table58[[#This Row],[Personal Consumption]]/Table58[[#This Row],[GDP]]</f>
        <v>0.68761944979813094</v>
      </c>
      <c r="I264" s="37">
        <f>Table58[[#This Row],[Private Investment]]/Table58[[#This Row],[GDP]]</f>
        <v>0.14768021340479087</v>
      </c>
      <c r="J264" s="37">
        <f>Table58[[#This Row],[Exports]]/Table58[[#This Row],[GDP]]</f>
        <v>0.13556277725648122</v>
      </c>
      <c r="K264" s="37">
        <f>-Table58[[#This Row],[Imports]]/Table58[[#This Row],[GDP]]</f>
        <v>-0.17085709727444642</v>
      </c>
      <c r="L264" s="37">
        <f>Table58[[#This Row],[Government]]/Table58[[#This Row],[GDP]]</f>
        <v>0.20004185074820971</v>
      </c>
      <c r="N264" s="58">
        <f>SUM(Table58[[#This Row],[PC%]:[G%]])</f>
        <v>1.0000471939331663</v>
      </c>
      <c r="O264" s="25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35">
      <c r="A265" s="45">
        <v>40817</v>
      </c>
      <c r="B265" s="63">
        <f>VLOOKUP(A265,'U.S. GDP'!A:B,2,)</f>
        <v>16048.701999999999</v>
      </c>
      <c r="C265" s="63">
        <f>VLOOKUP(A265,PersonalConsumption!A:B,2,)</f>
        <v>10931.828</v>
      </c>
      <c r="D265" s="63">
        <f>VLOOKUP(A265,PrivateInvestment!A:B,2,)</f>
        <v>2524.4290000000001</v>
      </c>
      <c r="E265" s="63">
        <f>VLOOKUP(A265,Exports!A:B,2,)</f>
        <v>2167.652</v>
      </c>
      <c r="F265" s="63">
        <f>VLOOKUP(A265,Imports!A:B,2,)</f>
        <v>2747.221</v>
      </c>
      <c r="G265" s="63">
        <f>VLOOKUP(A265,Government!A:B,2,)</f>
        <v>3172.5349999999999</v>
      </c>
      <c r="H265" s="37">
        <f>Table58[[#This Row],[Personal Consumption]]/Table58[[#This Row],[GDP]]</f>
        <v>0.68116586624887177</v>
      </c>
      <c r="I265" s="37">
        <f>Table58[[#This Row],[Private Investment]]/Table58[[#This Row],[GDP]]</f>
        <v>0.15729801699850868</v>
      </c>
      <c r="J265" s="37">
        <f>Table58[[#This Row],[Exports]]/Table58[[#This Row],[GDP]]</f>
        <v>0.13506712256231065</v>
      </c>
      <c r="K265" s="37">
        <f>-Table58[[#This Row],[Imports]]/Table58[[#This Row],[GDP]]</f>
        <v>-0.17118026118249316</v>
      </c>
      <c r="L265" s="37">
        <f>Table58[[#This Row],[Government]]/Table58[[#This Row],[GDP]]</f>
        <v>0.19768171905740414</v>
      </c>
      <c r="N265" s="58">
        <f>SUM(Table58[[#This Row],[PC%]:[G%]])</f>
        <v>1.0000324636846021</v>
      </c>
      <c r="O265" s="25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35">
      <c r="A266" s="45">
        <v>40909</v>
      </c>
      <c r="B266" s="63">
        <f>VLOOKUP(A266,'U.S. GDP'!A:B,2,)</f>
        <v>16179.968000000001</v>
      </c>
      <c r="C266" s="63">
        <f>VLOOKUP(A266,PersonalConsumption!A:B,2,)</f>
        <v>11010.694</v>
      </c>
      <c r="D266" s="63">
        <f>VLOOKUP(A266,PrivateInvestment!A:B,2,)</f>
        <v>2577.1570000000002</v>
      </c>
      <c r="E266" s="63">
        <f>VLOOKUP(A266,Exports!A:B,2,)</f>
        <v>2194.087</v>
      </c>
      <c r="F266" s="63">
        <f>VLOOKUP(A266,Imports!A:B,2,)</f>
        <v>2760.748</v>
      </c>
      <c r="G266" s="63">
        <f>VLOOKUP(A266,Government!A:B,2,)</f>
        <v>3158.9389999999999</v>
      </c>
      <c r="H266" s="37">
        <f>Table58[[#This Row],[Personal Consumption]]/Table58[[#This Row],[GDP]]</f>
        <v>0.68051395404490289</v>
      </c>
      <c r="I266" s="37">
        <f>Table58[[#This Row],[Private Investment]]/Table58[[#This Row],[GDP]]</f>
        <v>0.15928072292850023</v>
      </c>
      <c r="J266" s="37">
        <f>Table58[[#This Row],[Exports]]/Table58[[#This Row],[GDP]]</f>
        <v>0.13560515076420424</v>
      </c>
      <c r="K266" s="37">
        <f>-Table58[[#This Row],[Imports]]/Table58[[#This Row],[GDP]]</f>
        <v>-0.17062753152540228</v>
      </c>
      <c r="L266" s="37">
        <f>Table58[[#This Row],[Government]]/Table58[[#This Row],[GDP]]</f>
        <v>0.1952376543637169</v>
      </c>
      <c r="N266" s="58">
        <f>SUM(Table58[[#This Row],[PC%]:[G%]])</f>
        <v>1.0000099505759219</v>
      </c>
      <c r="O266" s="25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35">
      <c r="A267" s="45">
        <v>41000</v>
      </c>
      <c r="B267" s="63">
        <f>VLOOKUP(A267,'U.S. GDP'!A:B,2,)</f>
        <v>16253.726000000001</v>
      </c>
      <c r="C267" s="63">
        <f>VLOOKUP(A267,PersonalConsumption!A:B,2,)</f>
        <v>11030.026</v>
      </c>
      <c r="D267" s="63">
        <f>VLOOKUP(A267,PrivateInvestment!A:B,2,)</f>
        <v>2636.4949999999999</v>
      </c>
      <c r="E267" s="63">
        <f>VLOOKUP(A267,Exports!A:B,2,)</f>
        <v>2215.7530000000002</v>
      </c>
      <c r="F267" s="63">
        <f>VLOOKUP(A267,Imports!A:B,2,)</f>
        <v>2771.011</v>
      </c>
      <c r="G267" s="63">
        <f>VLOOKUP(A267,Government!A:B,2,)</f>
        <v>3142.4180000000001</v>
      </c>
      <c r="H267" s="37">
        <f>Table58[[#This Row],[Personal Consumption]]/Table58[[#This Row],[GDP]]</f>
        <v>0.67861522951721964</v>
      </c>
      <c r="I267" s="37">
        <f>Table58[[#This Row],[Private Investment]]/Table58[[#This Row],[GDP]]</f>
        <v>0.16220865295748185</v>
      </c>
      <c r="J267" s="37">
        <f>Table58[[#This Row],[Exports]]/Table58[[#This Row],[GDP]]</f>
        <v>0.13632277300601722</v>
      </c>
      <c r="K267" s="37">
        <f>-Table58[[#This Row],[Imports]]/Table58[[#This Row],[GDP]]</f>
        <v>-0.17048466302434284</v>
      </c>
      <c r="L267" s="37">
        <f>Table58[[#This Row],[Government]]/Table58[[#This Row],[GDP]]</f>
        <v>0.19333523894767268</v>
      </c>
      <c r="N267" s="58">
        <f>SUM(Table58[[#This Row],[PC%]:[G%]])</f>
        <v>0.99999723140404861</v>
      </c>
      <c r="O267" s="25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35">
      <c r="A268" s="45">
        <v>41091</v>
      </c>
      <c r="B268" s="63">
        <f>VLOOKUP(A268,'U.S. GDP'!A:B,2,)</f>
        <v>16282.151</v>
      </c>
      <c r="C268" s="63">
        <f>VLOOKUP(A268,PersonalConsumption!A:B,2,)</f>
        <v>11052.368</v>
      </c>
      <c r="D268" s="63">
        <f>VLOOKUP(A268,PrivateInvestment!A:B,2,)</f>
        <v>2648.4589999999998</v>
      </c>
      <c r="E268" s="63">
        <f>VLOOKUP(A268,Exports!A:B,2,)</f>
        <v>2229.3530000000001</v>
      </c>
      <c r="F268" s="63">
        <f>VLOOKUP(A268,Imports!A:B,2,)</f>
        <v>2785.8829999999998</v>
      </c>
      <c r="G268" s="63">
        <f>VLOOKUP(A268,Government!A:B,2,)</f>
        <v>3137.6640000000002</v>
      </c>
      <c r="H268" s="37">
        <f>Table58[[#This Row],[Personal Consumption]]/Table58[[#This Row],[GDP]]</f>
        <v>0.6788026962776601</v>
      </c>
      <c r="I268" s="37">
        <f>Table58[[#This Row],[Private Investment]]/Table58[[#This Row],[GDP]]</f>
        <v>0.16266026521925758</v>
      </c>
      <c r="J268" s="37">
        <f>Table58[[#This Row],[Exports]]/Table58[[#This Row],[GDP]]</f>
        <v>0.13692005435891119</v>
      </c>
      <c r="K268" s="37">
        <f>-Table58[[#This Row],[Imports]]/Table58[[#This Row],[GDP]]</f>
        <v>-0.17110042770147507</v>
      </c>
      <c r="L268" s="37">
        <f>Table58[[#This Row],[Government]]/Table58[[#This Row],[GDP]]</f>
        <v>0.1927057426257747</v>
      </c>
      <c r="N268" s="58">
        <f>SUM(Table58[[#This Row],[PC%]:[G%]])</f>
        <v>0.9999883307801285</v>
      </c>
      <c r="O268" s="25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35">
      <c r="A269" s="45">
        <v>41183</v>
      </c>
      <c r="B269" s="63">
        <f>VLOOKUP(A269,'U.S. GDP'!A:B,2,)</f>
        <v>16300.035</v>
      </c>
      <c r="C269" s="63">
        <f>VLOOKUP(A269,PersonalConsumption!A:B,2,)</f>
        <v>11096.365</v>
      </c>
      <c r="D269" s="63">
        <f>VLOOKUP(A269,PrivateInvestment!A:B,2,)</f>
        <v>2624.9050000000002</v>
      </c>
      <c r="E269" s="63">
        <f>VLOOKUP(A269,Exports!A:B,2,)</f>
        <v>2231.607</v>
      </c>
      <c r="F269" s="63">
        <f>VLOOKUP(A269,Imports!A:B,2,)</f>
        <v>2759.627</v>
      </c>
      <c r="G269" s="63">
        <f>VLOOKUP(A269,Government!A:B,2,)</f>
        <v>3106.86</v>
      </c>
      <c r="H269" s="37">
        <f>Table58[[#This Row],[Personal Consumption]]/Table58[[#This Row],[GDP]]</f>
        <v>0.68075712720862258</v>
      </c>
      <c r="I269" s="37">
        <f>Table58[[#This Row],[Private Investment]]/Table58[[#This Row],[GDP]]</f>
        <v>0.16103677077994005</v>
      </c>
      <c r="J269" s="37">
        <f>Table58[[#This Row],[Exports]]/Table58[[#This Row],[GDP]]</f>
        <v>0.13690811093350413</v>
      </c>
      <c r="K269" s="37">
        <f>-Table58[[#This Row],[Imports]]/Table58[[#This Row],[GDP]]</f>
        <v>-0.16930190640694942</v>
      </c>
      <c r="L269" s="37">
        <f>Table58[[#This Row],[Government]]/Table58[[#This Row],[GDP]]</f>
        <v>0.19060449870199667</v>
      </c>
      <c r="N269" s="58">
        <f>SUM(Table58[[#This Row],[PC%]:[G%]])</f>
        <v>1.000004601217114</v>
      </c>
      <c r="O269" s="25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35">
      <c r="A270" s="45">
        <v>41275</v>
      </c>
      <c r="B270" s="63">
        <f>VLOOKUP(A270,'U.S. GDP'!A:B,2,)</f>
        <v>16441.485000000001</v>
      </c>
      <c r="C270" s="63">
        <f>VLOOKUP(A270,PersonalConsumption!A:B,2,)</f>
        <v>11155.481</v>
      </c>
      <c r="D270" s="63">
        <f>VLOOKUP(A270,PrivateInvestment!A:B,2,)</f>
        <v>2722.7779999999998</v>
      </c>
      <c r="E270" s="63">
        <f>VLOOKUP(A270,Exports!A:B,2,)</f>
        <v>2242.308</v>
      </c>
      <c r="F270" s="63">
        <f>VLOOKUP(A270,Imports!A:B,2,)</f>
        <v>2757.2649999999999</v>
      </c>
      <c r="G270" s="63">
        <f>VLOOKUP(A270,Government!A:B,2,)</f>
        <v>3078.855</v>
      </c>
      <c r="H270" s="37">
        <f>Table58[[#This Row],[Personal Consumption]]/Table58[[#This Row],[GDP]]</f>
        <v>0.67849595094360393</v>
      </c>
      <c r="I270" s="37">
        <f>Table58[[#This Row],[Private Investment]]/Table58[[#This Row],[GDP]]</f>
        <v>0.16560414098848125</v>
      </c>
      <c r="J270" s="37">
        <f>Table58[[#This Row],[Exports]]/Table58[[#This Row],[GDP]]</f>
        <v>0.1363811115601784</v>
      </c>
      <c r="K270" s="37">
        <f>-Table58[[#This Row],[Imports]]/Table58[[#This Row],[GDP]]</f>
        <v>-0.16770170091083619</v>
      </c>
      <c r="L270" s="37">
        <f>Table58[[#This Row],[Government]]/Table58[[#This Row],[GDP]]</f>
        <v>0.18726136963905632</v>
      </c>
      <c r="N270" s="58">
        <f>SUM(Table58[[#This Row],[PC%]:[G%]])</f>
        <v>1.0000408722204837</v>
      </c>
      <c r="O270" s="25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35">
      <c r="A271" s="45">
        <v>41365</v>
      </c>
      <c r="B271" s="63">
        <f>VLOOKUP(A271,'U.S. GDP'!A:B,2,)</f>
        <v>16464.401999999998</v>
      </c>
      <c r="C271" s="63">
        <f>VLOOKUP(A271,PersonalConsumption!A:B,2,)</f>
        <v>11172.647000000001</v>
      </c>
      <c r="D271" s="63">
        <f>VLOOKUP(A271,PrivateInvestment!A:B,2,)</f>
        <v>2753.2370000000001</v>
      </c>
      <c r="E271" s="63">
        <f>VLOOKUP(A271,Exports!A:B,2,)</f>
        <v>2262.5239999999999</v>
      </c>
      <c r="F271" s="63">
        <f>VLOOKUP(A271,Imports!A:B,2,)</f>
        <v>2797.3</v>
      </c>
      <c r="G271" s="63">
        <f>VLOOKUP(A271,Government!A:B,2,)</f>
        <v>3073.6770000000001</v>
      </c>
      <c r="H271" s="37">
        <f>Table58[[#This Row],[Personal Consumption]]/Table58[[#This Row],[GDP]]</f>
        <v>0.67859415726122341</v>
      </c>
      <c r="I271" s="37">
        <f>Table58[[#This Row],[Private Investment]]/Table58[[#This Row],[GDP]]</f>
        <v>0.16722362585656014</v>
      </c>
      <c r="J271" s="37">
        <f>Table58[[#This Row],[Exports]]/Table58[[#This Row],[GDP]]</f>
        <v>0.13741914221968099</v>
      </c>
      <c r="K271" s="37">
        <f>-Table58[[#This Row],[Imports]]/Table58[[#This Row],[GDP]]</f>
        <v>-0.169899884611661</v>
      </c>
      <c r="L271" s="37">
        <f>Table58[[#This Row],[Government]]/Table58[[#This Row],[GDP]]</f>
        <v>0.18668622158278209</v>
      </c>
      <c r="N271" s="58">
        <f>SUM(Table58[[#This Row],[PC%]:[G%]])</f>
        <v>1.0000232623085856</v>
      </c>
      <c r="O271" s="25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35">
      <c r="A272" s="45">
        <v>41456</v>
      </c>
      <c r="B272" s="63">
        <f>VLOOKUP(A272,'U.S. GDP'!A:B,2,)</f>
        <v>16594.742999999999</v>
      </c>
      <c r="C272" s="63">
        <f>VLOOKUP(A272,PersonalConsumption!A:B,2,)</f>
        <v>11214.416999999999</v>
      </c>
      <c r="D272" s="63">
        <f>VLOOKUP(A272,PrivateInvestment!A:B,2,)</f>
        <v>2859.7510000000002</v>
      </c>
      <c r="E272" s="63">
        <f>VLOOKUP(A272,Exports!A:B,2,)</f>
        <v>2281.9789999999998</v>
      </c>
      <c r="F272" s="63">
        <f>VLOOKUP(A272,Imports!A:B,2,)</f>
        <v>2817.3989999999999</v>
      </c>
      <c r="G272" s="63">
        <f>VLOOKUP(A272,Government!A:B,2,)</f>
        <v>3057.212</v>
      </c>
      <c r="H272" s="37">
        <f>Table58[[#This Row],[Personal Consumption]]/Table58[[#This Row],[GDP]]</f>
        <v>0.67578130013824256</v>
      </c>
      <c r="I272" s="37">
        <f>Table58[[#This Row],[Private Investment]]/Table58[[#This Row],[GDP]]</f>
        <v>0.17232873085169204</v>
      </c>
      <c r="J272" s="37">
        <f>Table58[[#This Row],[Exports]]/Table58[[#This Row],[GDP]]</f>
        <v>0.13751216273731989</v>
      </c>
      <c r="K272" s="37">
        <f>-Table58[[#This Row],[Imports]]/Table58[[#This Row],[GDP]]</f>
        <v>-0.16977659732362232</v>
      </c>
      <c r="L272" s="37">
        <f>Table58[[#This Row],[Government]]/Table58[[#This Row],[GDP]]</f>
        <v>0.18422774007407047</v>
      </c>
      <c r="N272" s="58">
        <f>SUM(Table58[[#This Row],[PC%]:[G%]])</f>
        <v>1.0000733364777026</v>
      </c>
      <c r="O272" s="25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35">
      <c r="A273" s="45">
        <v>41548</v>
      </c>
      <c r="B273" s="63">
        <f>VLOOKUP(A273,'U.S. GDP'!A:B,2,)</f>
        <v>16712.759999999998</v>
      </c>
      <c r="C273" s="63">
        <f>VLOOKUP(A273,PersonalConsumption!A:B,2,)</f>
        <v>11304.3</v>
      </c>
      <c r="D273" s="63">
        <f>VLOOKUP(A273,PrivateInvestment!A:B,2,)</f>
        <v>2870.127</v>
      </c>
      <c r="E273" s="63">
        <f>VLOOKUP(A273,Exports!A:B,2,)</f>
        <v>2347.5790000000002</v>
      </c>
      <c r="F273" s="63">
        <f>VLOOKUP(A273,Imports!A:B,2,)</f>
        <v>2839.6709999999998</v>
      </c>
      <c r="G273" s="63">
        <f>VLOOKUP(A273,Government!A:B,2,)</f>
        <v>3033.1179999999999</v>
      </c>
      <c r="H273" s="37">
        <f>Table58[[#This Row],[Personal Consumption]]/Table58[[#This Row],[GDP]]</f>
        <v>0.67638738305342749</v>
      </c>
      <c r="I273" s="37">
        <f>Table58[[#This Row],[Private Investment]]/Table58[[#This Row],[GDP]]</f>
        <v>0.17173267611094759</v>
      </c>
      <c r="J273" s="37">
        <f>Table58[[#This Row],[Exports]]/Table58[[#This Row],[GDP]]</f>
        <v>0.14046626649338592</v>
      </c>
      <c r="K273" s="37">
        <f>-Table58[[#This Row],[Imports]]/Table58[[#This Row],[GDP]]</f>
        <v>-0.16991035591966858</v>
      </c>
      <c r="L273" s="37">
        <f>Table58[[#This Row],[Government]]/Table58[[#This Row],[GDP]]</f>
        <v>0.18148516462870287</v>
      </c>
      <c r="N273" s="58">
        <f>SUM(Table58[[#This Row],[PC%]:[G%]])</f>
        <v>1.0001611343667951</v>
      </c>
      <c r="O273" s="25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35">
      <c r="A274" s="45">
        <v>41640</v>
      </c>
      <c r="B274" s="63">
        <f>VLOOKUP(A274,'U.S. GDP'!A:B,2,)</f>
        <v>16654.246999999999</v>
      </c>
      <c r="C274" s="63">
        <f>VLOOKUP(A274,PersonalConsumption!A:B,2,)</f>
        <v>11347.636</v>
      </c>
      <c r="D274" s="63">
        <f>VLOOKUP(A274,PrivateInvestment!A:B,2,)</f>
        <v>2838.2869999999998</v>
      </c>
      <c r="E274" s="63">
        <f>VLOOKUP(A274,Exports!A:B,2,)</f>
        <v>2324.808</v>
      </c>
      <c r="F274" s="63">
        <f>VLOOKUP(A274,Imports!A:B,2,)</f>
        <v>2876.337</v>
      </c>
      <c r="G274" s="63">
        <f>VLOOKUP(A274,Government!A:B,2,)</f>
        <v>3020.58</v>
      </c>
      <c r="H274" s="37">
        <f>Table58[[#This Row],[Personal Consumption]]/Table58[[#This Row],[GDP]]</f>
        <v>0.68136590024154209</v>
      </c>
      <c r="I274" s="37">
        <f>Table58[[#This Row],[Private Investment]]/Table58[[#This Row],[GDP]]</f>
        <v>0.17042421671781377</v>
      </c>
      <c r="J274" s="37">
        <f>Table58[[#This Row],[Exports]]/Table58[[#This Row],[GDP]]</f>
        <v>0.13959250154029781</v>
      </c>
      <c r="K274" s="37">
        <f>-Table58[[#This Row],[Imports]]/Table58[[#This Row],[GDP]]</f>
        <v>-0.17270891923243364</v>
      </c>
      <c r="L274" s="37">
        <f>Table58[[#This Row],[Government]]/Table58[[#This Row],[GDP]]</f>
        <v>0.1813699532617716</v>
      </c>
      <c r="N274" s="58">
        <f>SUM(Table58[[#This Row],[PC%]:[G%]])</f>
        <v>1.0000436525289915</v>
      </c>
      <c r="O274" s="25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35">
      <c r="A275" s="45">
        <v>41730</v>
      </c>
      <c r="B275" s="63">
        <f>VLOOKUP(A275,'U.S. GDP'!A:B,2,)</f>
        <v>16868.109</v>
      </c>
      <c r="C275" s="63">
        <f>VLOOKUP(A275,PersonalConsumption!A:B,2,)</f>
        <v>11453.013999999999</v>
      </c>
      <c r="D275" s="63">
        <f>VLOOKUP(A275,PrivateInvestment!A:B,2,)</f>
        <v>2958.0680000000002</v>
      </c>
      <c r="E275" s="63">
        <f>VLOOKUP(A275,Exports!A:B,2,)</f>
        <v>2375.1210000000001</v>
      </c>
      <c r="F275" s="63">
        <f>VLOOKUP(A275,Imports!A:B,2,)</f>
        <v>2941.8389999999999</v>
      </c>
      <c r="G275" s="63">
        <f>VLOOKUP(A275,Government!A:B,2,)</f>
        <v>3024.424</v>
      </c>
      <c r="H275" s="37">
        <f>Table58[[#This Row],[Personal Consumption]]/Table58[[#This Row],[GDP]]</f>
        <v>0.67897438888970896</v>
      </c>
      <c r="I275" s="37">
        <f>Table58[[#This Row],[Private Investment]]/Table58[[#This Row],[GDP]]</f>
        <v>0.17536452959842744</v>
      </c>
      <c r="J275" s="37">
        <f>Table58[[#This Row],[Exports]]/Table58[[#This Row],[GDP]]</f>
        <v>0.14080540978244804</v>
      </c>
      <c r="K275" s="37">
        <f>-Table58[[#This Row],[Imports]]/Table58[[#This Row],[GDP]]</f>
        <v>-0.17440241819637281</v>
      </c>
      <c r="L275" s="37">
        <f>Table58[[#This Row],[Government]]/Table58[[#This Row],[GDP]]</f>
        <v>0.17929834340055545</v>
      </c>
      <c r="N275" s="58">
        <f>SUM(Table58[[#This Row],[PC%]:[G%]])</f>
        <v>1.000040253474767</v>
      </c>
      <c r="O275" s="25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35">
      <c r="A276" s="45">
        <v>41821</v>
      </c>
      <c r="B276" s="63">
        <f>VLOOKUP(A276,'U.S. GDP'!A:B,2,)</f>
        <v>17064.616000000002</v>
      </c>
      <c r="C276" s="63">
        <f>VLOOKUP(A276,PersonalConsumption!A:B,2,)</f>
        <v>11565.682000000001</v>
      </c>
      <c r="D276" s="63">
        <f>VLOOKUP(A276,PrivateInvestment!A:B,2,)</f>
        <v>3018.5819999999999</v>
      </c>
      <c r="E276" s="63">
        <f>VLOOKUP(A276,Exports!A:B,2,)</f>
        <v>2384.779</v>
      </c>
      <c r="F276" s="63">
        <f>VLOOKUP(A276,Imports!A:B,2,)</f>
        <v>2947.3519999999999</v>
      </c>
      <c r="G276" s="63">
        <f>VLOOKUP(A276,Government!A:B,2,)</f>
        <v>3044.694</v>
      </c>
      <c r="H276" s="37">
        <f>Table58[[#This Row],[Personal Consumption]]/Table58[[#This Row],[GDP]]</f>
        <v>0.677758116561193</v>
      </c>
      <c r="I276" s="37">
        <f>Table58[[#This Row],[Private Investment]]/Table58[[#This Row],[GDP]]</f>
        <v>0.17689129365700346</v>
      </c>
      <c r="J276" s="37">
        <f>Table58[[#This Row],[Exports]]/Table58[[#This Row],[GDP]]</f>
        <v>0.13974993635954069</v>
      </c>
      <c r="K276" s="37">
        <f>-Table58[[#This Row],[Imports]]/Table58[[#This Row],[GDP]]</f>
        <v>-0.17271715929617165</v>
      </c>
      <c r="L276" s="37">
        <f>Table58[[#This Row],[Government]]/Table58[[#This Row],[GDP]]</f>
        <v>0.17842147751815801</v>
      </c>
      <c r="N276" s="58">
        <f>SUM(Table58[[#This Row],[PC%]:[G%]])</f>
        <v>1.0001036647997237</v>
      </c>
      <c r="O276" s="25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35">
      <c r="A277" s="45">
        <v>41913</v>
      </c>
      <c r="B277" s="63">
        <f>VLOOKUP(A277,'U.S. GDP'!A:B,2,)</f>
        <v>17141.235000000001</v>
      </c>
      <c r="C277" s="63">
        <f>VLOOKUP(A277,PersonalConsumption!A:B,2,)</f>
        <v>11694.916999999999</v>
      </c>
      <c r="D277" s="63">
        <f>VLOOKUP(A277,PrivateInvestment!A:B,2,)</f>
        <v>3021.857</v>
      </c>
      <c r="E277" s="63">
        <f>VLOOKUP(A277,Exports!A:B,2,)</f>
        <v>2404.4299999999998</v>
      </c>
      <c r="F277" s="63">
        <f>VLOOKUP(A277,Imports!A:B,2,)</f>
        <v>3024.6819999999998</v>
      </c>
      <c r="G277" s="63">
        <f>VLOOKUP(A277,Government!A:B,2,)</f>
        <v>3043.2150000000001</v>
      </c>
      <c r="H277" s="37">
        <f>Table58[[#This Row],[Personal Consumption]]/Table58[[#This Row],[GDP]]</f>
        <v>0.68226805128101908</v>
      </c>
      <c r="I277" s="37">
        <f>Table58[[#This Row],[Private Investment]]/Table58[[#This Row],[GDP]]</f>
        <v>0.17629167326624948</v>
      </c>
      <c r="J277" s="37">
        <f>Table58[[#This Row],[Exports]]/Table58[[#This Row],[GDP]]</f>
        <v>0.1402716898753211</v>
      </c>
      <c r="K277" s="37">
        <f>-Table58[[#This Row],[Imports]]/Table58[[#This Row],[GDP]]</f>
        <v>-0.17645648052780327</v>
      </c>
      <c r="L277" s="37">
        <f>Table58[[#This Row],[Government]]/Table58[[#This Row],[GDP]]</f>
        <v>0.17753767450244981</v>
      </c>
      <c r="N277" s="58">
        <f>SUM(Table58[[#This Row],[PC%]:[G%]])</f>
        <v>0.99991260839723628</v>
      </c>
      <c r="O277" s="25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35">
      <c r="A278" s="45">
        <v>42005</v>
      </c>
      <c r="B278" s="63">
        <f>VLOOKUP(A278,'U.S. GDP'!A:B,2,)</f>
        <v>17280.647000000001</v>
      </c>
      <c r="C278" s="63">
        <f>VLOOKUP(A278,PersonalConsumption!A:B,2,)</f>
        <v>11772.949000000001</v>
      </c>
      <c r="D278" s="63">
        <f>VLOOKUP(A278,PrivateInvestment!A:B,2,)</f>
        <v>3127.2739999999999</v>
      </c>
      <c r="E278" s="63">
        <f>VLOOKUP(A278,Exports!A:B,2,)</f>
        <v>2384.8429999999998</v>
      </c>
      <c r="F278" s="63">
        <f>VLOOKUP(A278,Imports!A:B,2,)</f>
        <v>3068.49</v>
      </c>
      <c r="G278" s="63">
        <f>VLOOKUP(A278,Government!A:B,2,)</f>
        <v>3058.973</v>
      </c>
      <c r="H278" s="37">
        <f>Table58[[#This Row],[Personal Consumption]]/Table58[[#This Row],[GDP]]</f>
        <v>0.68127941042948215</v>
      </c>
      <c r="I278" s="37">
        <f>Table58[[#This Row],[Private Investment]]/Table58[[#This Row],[GDP]]</f>
        <v>0.18096972873758718</v>
      </c>
      <c r="J278" s="37">
        <f>Table58[[#This Row],[Exports]]/Table58[[#This Row],[GDP]]</f>
        <v>0.13800658042491115</v>
      </c>
      <c r="K278" s="37">
        <f>-Table58[[#This Row],[Imports]]/Table58[[#This Row],[GDP]]</f>
        <v>-0.17756800425354441</v>
      </c>
      <c r="L278" s="37">
        <f>Table58[[#This Row],[Government]]/Table58[[#This Row],[GDP]]</f>
        <v>0.17701727255929711</v>
      </c>
      <c r="N278" s="58">
        <f>SUM(Table58[[#This Row],[PC%]:[G%]])</f>
        <v>0.99970498789773332</v>
      </c>
      <c r="O278" s="25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35">
      <c r="A279" s="45">
        <v>42095</v>
      </c>
      <c r="B279" s="63">
        <f>VLOOKUP(A279,'U.S. GDP'!A:B,2,)</f>
        <v>17380.875</v>
      </c>
      <c r="C279" s="63">
        <f>VLOOKUP(A279,PersonalConsumption!A:B,2,)</f>
        <v>11852.652</v>
      </c>
      <c r="D279" s="63">
        <f>VLOOKUP(A279,PrivateInvestment!A:B,2,)</f>
        <v>3136.6880000000001</v>
      </c>
      <c r="E279" s="63">
        <f>VLOOKUP(A279,Exports!A:B,2,)</f>
        <v>2391.145</v>
      </c>
      <c r="F279" s="63">
        <f>VLOOKUP(A279,Imports!A:B,2,)</f>
        <v>3091.0830000000001</v>
      </c>
      <c r="G279" s="63">
        <f>VLOOKUP(A279,Government!A:B,2,)</f>
        <v>3085.0889999999999</v>
      </c>
      <c r="H279" s="37">
        <f>Table58[[#This Row],[Personal Consumption]]/Table58[[#This Row],[GDP]]</f>
        <v>0.68193643875811771</v>
      </c>
      <c r="I279" s="37">
        <f>Table58[[#This Row],[Private Investment]]/Table58[[#This Row],[GDP]]</f>
        <v>0.18046778427438204</v>
      </c>
      <c r="J279" s="37">
        <f>Table58[[#This Row],[Exports]]/Table58[[#This Row],[GDP]]</f>
        <v>0.13757333851143858</v>
      </c>
      <c r="K279" s="37">
        <f>-Table58[[#This Row],[Imports]]/Table58[[#This Row],[GDP]]</f>
        <v>-0.17784392327774062</v>
      </c>
      <c r="L279" s="37">
        <f>Table58[[#This Row],[Government]]/Table58[[#This Row],[GDP]]</f>
        <v>0.17749906146842434</v>
      </c>
      <c r="N279" s="58">
        <f>SUM(Table58[[#This Row],[PC%]:[G%]])</f>
        <v>0.99963269973462199</v>
      </c>
      <c r="O279" s="25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35">
      <c r="A280" s="45">
        <v>42186</v>
      </c>
      <c r="B280" s="63">
        <f>VLOOKUP(A280,'U.S. GDP'!A:B,2,)</f>
        <v>17437.080000000002</v>
      </c>
      <c r="C280" s="63">
        <f>VLOOKUP(A280,PersonalConsumption!A:B,2,)</f>
        <v>11943.043</v>
      </c>
      <c r="D280" s="63">
        <f>VLOOKUP(A280,PrivateInvestment!A:B,2,)</f>
        <v>3130.3539999999998</v>
      </c>
      <c r="E280" s="63">
        <f>VLOOKUP(A280,Exports!A:B,2,)</f>
        <v>2371.2049999999999</v>
      </c>
      <c r="F280" s="63">
        <f>VLOOKUP(A280,Imports!A:B,2,)</f>
        <v>3117.7620000000002</v>
      </c>
      <c r="G280" s="63">
        <f>VLOOKUP(A280,Government!A:B,2,)</f>
        <v>3099.0819999999999</v>
      </c>
      <c r="H280" s="37">
        <f>Table58[[#This Row],[Personal Consumption]]/Table58[[#This Row],[GDP]]</f>
        <v>0.68492218880684141</v>
      </c>
      <c r="I280" s="37">
        <f>Table58[[#This Row],[Private Investment]]/Table58[[#This Row],[GDP]]</f>
        <v>0.17952283295138863</v>
      </c>
      <c r="J280" s="37">
        <f>Table58[[#This Row],[Exports]]/Table58[[#This Row],[GDP]]</f>
        <v>0.13598635780761456</v>
      </c>
      <c r="K280" s="37">
        <f>-Table58[[#This Row],[Imports]]/Table58[[#This Row],[GDP]]</f>
        <v>-0.17880069369412768</v>
      </c>
      <c r="L280" s="37">
        <f>Table58[[#This Row],[Government]]/Table58[[#This Row],[GDP]]</f>
        <v>0.17772941341096099</v>
      </c>
      <c r="N280" s="58">
        <f>SUM(Table58[[#This Row],[PC%]:[G%]])</f>
        <v>0.99936009928267788</v>
      </c>
      <c r="O280" s="25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35">
      <c r="A281" s="45">
        <v>42278</v>
      </c>
      <c r="B281" s="63">
        <f>VLOOKUP(A281,'U.S. GDP'!A:B,2,)</f>
        <v>17462.579000000002</v>
      </c>
      <c r="C281" s="63">
        <f>VLOOKUP(A281,PersonalConsumption!A:B,2,)</f>
        <v>12003.146000000001</v>
      </c>
      <c r="D281" s="63">
        <f>VLOOKUP(A281,PrivateInvestment!A:B,2,)</f>
        <v>3092.7069999999999</v>
      </c>
      <c r="E281" s="63">
        <f>VLOOKUP(A281,Exports!A:B,2,)</f>
        <v>2367.6669999999999</v>
      </c>
      <c r="F281" s="63">
        <f>VLOOKUP(A281,Imports!A:B,2,)</f>
        <v>3124.3560000000002</v>
      </c>
      <c r="G281" s="46">
        <f>VLOOKUP(A281,Government!A:B,2,)</f>
        <v>3110.2570000000001</v>
      </c>
      <c r="H281" s="37">
        <f>Table58[[#This Row],[Personal Consumption]]/Table58[[#This Row],[GDP]]</f>
        <v>0.68736387677902555</v>
      </c>
      <c r="I281" s="37">
        <f>Table58[[#This Row],[Private Investment]]/Table58[[#This Row],[GDP]]</f>
        <v>0.17710482512348261</v>
      </c>
      <c r="J281" s="37">
        <f>Table58[[#This Row],[Exports]]/Table58[[#This Row],[GDP]]</f>
        <v>0.13558518475421069</v>
      </c>
      <c r="K281" s="37">
        <f>-Table58[[#This Row],[Imports]]/Table58[[#This Row],[GDP]]</f>
        <v>-0.17891721491997259</v>
      </c>
      <c r="L281" s="37">
        <f>Table58[[#This Row],[Government]]/Table58[[#This Row],[GDP]]</f>
        <v>0.17810983131414895</v>
      </c>
      <c r="N281" s="58">
        <f>SUM(Table58[[#This Row],[PC%]:[G%]])</f>
        <v>0.99924650305089513</v>
      </c>
      <c r="O281" s="25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35">
      <c r="A282" s="45">
        <v>42370</v>
      </c>
      <c r="B282" s="63">
        <f>VLOOKUP(A282,'U.S. GDP'!A:B,2,)</f>
        <v>17565.465</v>
      </c>
      <c r="C282" s="63">
        <f>VLOOKUP(A282,PersonalConsumption!A:B,2,)</f>
        <v>12091.178</v>
      </c>
      <c r="D282" s="63">
        <f>VLOOKUP(A282,PrivateInvestment!A:B,2,)</f>
        <v>3079.4490000000001</v>
      </c>
      <c r="E282" s="63">
        <f>VLOOKUP(A282,Exports!A:B,2,)</f>
        <v>2360.7049999999999</v>
      </c>
      <c r="F282" s="63">
        <f>VLOOKUP(A282,Imports!A:B,2,)</f>
        <v>3119.9780000000001</v>
      </c>
      <c r="G282" s="46">
        <f>VLOOKUP(A282,Government!A:B,2,)</f>
        <v>3142.8409999999999</v>
      </c>
      <c r="H282" s="37">
        <f>Table58[[#This Row],[Personal Consumption]]/Table58[[#This Row],[GDP]]</f>
        <v>0.68834944022261868</v>
      </c>
      <c r="I282" s="37">
        <f>Table58[[#This Row],[Private Investment]]/Table58[[#This Row],[GDP]]</f>
        <v>0.17531269454011039</v>
      </c>
      <c r="J282" s="37">
        <f>Table58[[#This Row],[Exports]]/Table58[[#This Row],[GDP]]</f>
        <v>0.13439467728295265</v>
      </c>
      <c r="K282" s="37">
        <f>-Table58[[#This Row],[Imports]]/Table58[[#This Row],[GDP]]</f>
        <v>-0.17762000607441933</v>
      </c>
      <c r="L282" s="37">
        <f>Table58[[#This Row],[Government]]/Table58[[#This Row],[GDP]]</f>
        <v>0.17892159416218129</v>
      </c>
      <c r="N282" s="58">
        <f>SUM(Table58[[#This Row],[PC%]:[G%]])</f>
        <v>0.99935840013344368</v>
      </c>
      <c r="O282" s="25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35">
      <c r="A283" s="45">
        <v>42461</v>
      </c>
      <c r="B283" s="63">
        <f>VLOOKUP(A283,'U.S. GDP'!A:B,2,)</f>
        <v>17618.580999999998</v>
      </c>
      <c r="C283" s="63">
        <f>VLOOKUP(A283,PersonalConsumption!A:B,2,)</f>
        <v>12152.627</v>
      </c>
      <c r="D283" s="63">
        <f>VLOOKUP(A283,PrivateInvestment!A:B,2,)</f>
        <v>3063.3330000000001</v>
      </c>
      <c r="E283" s="63">
        <f>VLOOKUP(A283,Exports!A:B,2,)</f>
        <v>2378.6120000000001</v>
      </c>
      <c r="F283" s="63">
        <f>VLOOKUP(A283,Imports!A:B,2,)</f>
        <v>3123.2449999999999</v>
      </c>
      <c r="G283" s="46">
        <f>VLOOKUP(A283,Government!A:B,2,)</f>
        <v>3137.91</v>
      </c>
      <c r="H283" s="37">
        <f>Table58[[#This Row],[Personal Consumption]]/Table58[[#This Row],[GDP]]</f>
        <v>0.68976196210126128</v>
      </c>
      <c r="I283" s="37">
        <f>Table58[[#This Row],[Private Investment]]/Table58[[#This Row],[GDP]]</f>
        <v>0.17386945066688403</v>
      </c>
      <c r="J283" s="37">
        <f>Table58[[#This Row],[Exports]]/Table58[[#This Row],[GDP]]</f>
        <v>0.13500587816918969</v>
      </c>
      <c r="K283" s="37">
        <f>-Table58[[#This Row],[Imports]]/Table58[[#This Row],[GDP]]</f>
        <v>-0.17726995153582462</v>
      </c>
      <c r="L283" s="37">
        <f>Table58[[#This Row],[Government]]/Table58[[#This Row],[GDP]]</f>
        <v>0.17810231141770158</v>
      </c>
      <c r="N283" s="58">
        <f>SUM(Table58[[#This Row],[PC%]:[G%]])</f>
        <v>0.99946965081921191</v>
      </c>
      <c r="O283" s="25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35">
      <c r="A284" s="45">
        <v>42552</v>
      </c>
      <c r="B284" s="63">
        <f>VLOOKUP(A284,'U.S. GDP'!A:B,2,)</f>
        <v>17724.489000000001</v>
      </c>
      <c r="C284" s="63">
        <f>VLOOKUP(A284,PersonalConsumption!A:B,2,)</f>
        <v>12223.822</v>
      </c>
      <c r="D284" s="63">
        <f>VLOOKUP(A284,PrivateInvestment!A:B,2,)</f>
        <v>3069.2979999999998</v>
      </c>
      <c r="E284" s="63">
        <f>VLOOKUP(A284,Exports!A:B,2,)</f>
        <v>2415.5520000000001</v>
      </c>
      <c r="F284" s="63">
        <f>VLOOKUP(A284,Imports!A:B,2,)</f>
        <v>3145.9769999999999</v>
      </c>
      <c r="G284" s="46">
        <f>VLOOKUP(A284,Government!A:B,2,)</f>
        <v>3153.8939999999998</v>
      </c>
      <c r="H284" s="37">
        <f>Table58[[#This Row],[Personal Consumption]]/Table58[[#This Row],[GDP]]</f>
        <v>0.68965723073878171</v>
      </c>
      <c r="I284" s="37">
        <f>Table58[[#This Row],[Private Investment]]/Table58[[#This Row],[GDP]]</f>
        <v>0.17316707973922404</v>
      </c>
      <c r="J284" s="37">
        <f>Table58[[#This Row],[Exports]]/Table58[[#This Row],[GDP]]</f>
        <v>0.13628330836505356</v>
      </c>
      <c r="K284" s="37">
        <f>-Table58[[#This Row],[Imports]]/Table58[[#This Row],[GDP]]</f>
        <v>-0.17749324113095727</v>
      </c>
      <c r="L284" s="37">
        <f>Table58[[#This Row],[Government]]/Table58[[#This Row],[GDP]]</f>
        <v>0.17793991127191308</v>
      </c>
      <c r="N284" s="58">
        <f>SUM(Table58[[#This Row],[PC%]:[G%]])</f>
        <v>0.99955428898401522</v>
      </c>
      <c r="O284" s="25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35">
      <c r="A285" s="45">
        <v>42644</v>
      </c>
      <c r="B285" s="63">
        <f>VLOOKUP(A285,'U.S. GDP'!A:B,2,)</f>
        <v>17812.560000000001</v>
      </c>
      <c r="C285" s="63">
        <f>VLOOKUP(A285,PersonalConsumption!A:B,2,)</f>
        <v>12283.075999999999</v>
      </c>
      <c r="D285" s="63">
        <f>VLOOKUP(A285,PrivateInvestment!A:B,2,)</f>
        <v>3147.576</v>
      </c>
      <c r="E285" s="63">
        <f>VLOOKUP(A285,Exports!A:B,2,)</f>
        <v>2398.5520000000001</v>
      </c>
      <c r="F285" s="63">
        <f>VLOOKUP(A285,Imports!A:B,2,)</f>
        <v>3192.5250000000001</v>
      </c>
      <c r="G285" s="46">
        <f>VLOOKUP(A285,Government!A:B,2,)</f>
        <v>3160.471</v>
      </c>
      <c r="H285" s="37">
        <f>Table58[[#This Row],[Personal Consumption]]/Table58[[#This Row],[GDP]]</f>
        <v>0.68957387371607437</v>
      </c>
      <c r="I285" s="37">
        <f>Table58[[#This Row],[Private Investment]]/Table58[[#This Row],[GDP]]</f>
        <v>0.17670542583435508</v>
      </c>
      <c r="J285" s="37">
        <f>Table58[[#This Row],[Exports]]/Table58[[#This Row],[GDP]]</f>
        <v>0.13465509730212838</v>
      </c>
      <c r="K285" s="37">
        <f>-Table58[[#This Row],[Imports]]/Table58[[#This Row],[GDP]]</f>
        <v>-0.1792288699659117</v>
      </c>
      <c r="L285" s="37">
        <f>Table58[[#This Row],[Government]]/Table58[[#This Row],[GDP]]</f>
        <v>0.17742935322042422</v>
      </c>
      <c r="N285" s="58">
        <f>SUM(Table58[[#This Row],[PC%]:[G%]])</f>
        <v>0.99913488010707041</v>
      </c>
      <c r="O285" s="25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35">
      <c r="A286" s="45">
        <v>42736</v>
      </c>
      <c r="B286" s="63">
        <f>VLOOKUP(A286,'U.S. GDP'!A:B,2,)</f>
        <v>17889.094000000001</v>
      </c>
      <c r="C286" s="63">
        <f>VLOOKUP(A286,PersonalConsumption!A:B,2,)</f>
        <v>12369.906999999999</v>
      </c>
      <c r="D286" s="63">
        <f>VLOOKUP(A286,PrivateInvestment!A:B,2,)</f>
        <v>3131.9169999999999</v>
      </c>
      <c r="E286" s="63">
        <f>VLOOKUP(A286,Exports!A:B,2,)</f>
        <v>2460.7539999999999</v>
      </c>
      <c r="F286" s="63">
        <f>VLOOKUP(A286,Imports!A:B,2,)</f>
        <v>3241.8359999999998</v>
      </c>
      <c r="G286" s="46">
        <f>VLOOKUP(A286,Government!A:B,2,)</f>
        <v>3152.232</v>
      </c>
      <c r="H286" s="37">
        <f>Table58[[#This Row],[Personal Consumption]]/Table58[[#This Row],[GDP]]</f>
        <v>0.69147755610205852</v>
      </c>
      <c r="I286" s="37">
        <f>Table58[[#This Row],[Private Investment]]/Table58[[#This Row],[GDP]]</f>
        <v>0.17507409821872474</v>
      </c>
      <c r="J286" s="37">
        <f>Table58[[#This Row],[Exports]]/Table58[[#This Row],[GDP]]</f>
        <v>0.137556099822607</v>
      </c>
      <c r="K286" s="37">
        <f>-Table58[[#This Row],[Imports]]/Table58[[#This Row],[GDP]]</f>
        <v>-0.1812185681398957</v>
      </c>
      <c r="L286" s="37">
        <f>Table58[[#This Row],[Government]]/Table58[[#This Row],[GDP]]</f>
        <v>0.17620970631603813</v>
      </c>
      <c r="N286" s="58">
        <f>SUM(Table58[[#This Row],[PC%]:[G%]])</f>
        <v>0.99909889231953275</v>
      </c>
      <c r="O286" s="25">
        <f>Table58[[#This Row],[Personal Consumption]]+Table58[[#This Row],[Private Investment]]+Table58[[#This Row],[Exports]]+Table58[[#This Row],[Government]]-Table58[[#This Row],[Imports]]</f>
        <v>17872.973999999998</v>
      </c>
    </row>
    <row r="287" spans="1:15" x14ac:dyDescent="0.35">
      <c r="A287" s="45">
        <v>42826</v>
      </c>
      <c r="B287" s="63">
        <f>VLOOKUP(A287,'U.S. GDP'!A:B,2,)</f>
        <v>17979.218000000001</v>
      </c>
      <c r="C287" s="63">
        <f>VLOOKUP(A287,PersonalConsumption!A:B,2,)</f>
        <v>12419.406999999999</v>
      </c>
      <c r="D287" s="63">
        <f>VLOOKUP(A287,PrivateInvestment!A:B,2,)</f>
        <v>3187.7809999999999</v>
      </c>
      <c r="E287" s="63">
        <f>VLOOKUP(A287,Exports!A:B,2,)</f>
        <v>2468.9459999999999</v>
      </c>
      <c r="F287" s="63">
        <f>VLOOKUP(A287,Imports!A:B,2,)</f>
        <v>3273.4029999999998</v>
      </c>
      <c r="G287" s="46">
        <f>VLOOKUP(A287,Government!A:B,2,)</f>
        <v>3157.8739999999998</v>
      </c>
      <c r="H287" s="37">
        <f>Table58[[#This Row],[Personal Consumption]]/Table58[[#This Row],[GDP]]</f>
        <v>0.69076458164086996</v>
      </c>
      <c r="I287" s="37">
        <f>Table58[[#This Row],[Private Investment]]/Table58[[#This Row],[GDP]]</f>
        <v>0.17730365136014256</v>
      </c>
      <c r="J287" s="37">
        <f>Table58[[#This Row],[Exports]]/Table58[[#This Row],[GDP]]</f>
        <v>0.13732221279034493</v>
      </c>
      <c r="K287" s="37">
        <f>-Table58[[#This Row],[Imports]]/Table58[[#This Row],[GDP]]</f>
        <v>-0.18206592745023725</v>
      </c>
      <c r="L287" s="37">
        <f>Table58[[#This Row],[Government]]/Table58[[#This Row],[GDP]]</f>
        <v>0.17564023084874991</v>
      </c>
      <c r="N287" s="58">
        <f>SUM(Table58[[#This Row],[PC%]:[G%]])</f>
        <v>0.9989647491898701</v>
      </c>
      <c r="O287" s="25">
        <f>Table58[[#This Row],[Personal Consumption]]+Table58[[#This Row],[Private Investment]]+Table58[[#This Row],[Exports]]+Table58[[#This Row],[Government]]-Table58[[#This Row],[Imports]]</f>
        <v>17960.605</v>
      </c>
    </row>
    <row r="288" spans="1:15" x14ac:dyDescent="0.35">
      <c r="A288" s="45">
        <v>42917</v>
      </c>
      <c r="B288" s="63">
        <f>VLOOKUP(A288,'U.S. GDP'!A:B,2,)</f>
        <v>18127.993999999999</v>
      </c>
      <c r="C288" s="63">
        <f>VLOOKUP(A288,PersonalConsumption!A:B,2,)</f>
        <v>12493.466</v>
      </c>
      <c r="D288" s="63">
        <f>VLOOKUP(A288,PrivateInvestment!A:B,2,)</f>
        <v>3250.8249999999998</v>
      </c>
      <c r="E288" s="63">
        <f>VLOOKUP(A288,Exports!A:B,2,)</f>
        <v>2483.4670000000001</v>
      </c>
      <c r="F288" s="63">
        <f>VLOOKUP(A288,Imports!A:B,2,)</f>
        <v>3270.7570000000001</v>
      </c>
      <c r="G288" s="46">
        <f>VLOOKUP(A288,Government!A:B,2,)</f>
        <v>3157.0859999999998</v>
      </c>
      <c r="H288" s="37">
        <f>Table58[[#This Row],[Personal Consumption]]/Table58[[#This Row],[GDP]]</f>
        <v>0.68918083269445041</v>
      </c>
      <c r="I288" s="37">
        <f>Table58[[#This Row],[Private Investment]]/Table58[[#This Row],[GDP]]</f>
        <v>0.17932623984760807</v>
      </c>
      <c r="J288" s="37">
        <f>Table58[[#This Row],[Exports]]/Table58[[#This Row],[GDP]]</f>
        <v>0.13699623907642514</v>
      </c>
      <c r="K288" s="37">
        <f>-Table58[[#This Row],[Imports]]/Table58[[#This Row],[GDP]]</f>
        <v>-0.18042575477463199</v>
      </c>
      <c r="L288" s="37">
        <f>Table58[[#This Row],[Government]]/Table58[[#This Row],[GDP]]</f>
        <v>0.17415528712112327</v>
      </c>
      <c r="N288" s="58">
        <f>SUM(Table58[[#This Row],[PC%]:[G%]])</f>
        <v>0.99923284396497503</v>
      </c>
      <c r="O288" s="25">
        <f>Table58[[#This Row],[Personal Consumption]]+Table58[[#This Row],[Private Investment]]+Table58[[#This Row],[Exports]]+Table58[[#This Row],[Government]]-Table58[[#This Row],[Imports]]</f>
        <v>18114.087</v>
      </c>
    </row>
    <row r="289" spans="1:15" x14ac:dyDescent="0.35">
      <c r="A289" s="45">
        <v>43009</v>
      </c>
      <c r="B289" s="63">
        <f>VLOOKUP(A289,'U.S. GDP'!A:B,2,)</f>
        <v>18310.3</v>
      </c>
      <c r="C289" s="63">
        <f>VLOOKUP(A289,PersonalConsumption!A:B,2,)</f>
        <v>12630.132</v>
      </c>
      <c r="D289" s="63">
        <f>VLOOKUP(A289,PrivateInvestment!A:B,2,)</f>
        <v>3293.4409999999998</v>
      </c>
      <c r="E289" s="63">
        <f>VLOOKUP(A289,Exports!A:B,2,)</f>
        <v>2547.9969999999998</v>
      </c>
      <c r="F289" s="63">
        <f>VLOOKUP(A289,Imports!A:B,2,)</f>
        <v>3362.9569999999999</v>
      </c>
      <c r="G289" s="46">
        <f>VLOOKUP(A289,Government!A:B,2,)</f>
        <v>3181.9989999999998</v>
      </c>
      <c r="H289" s="37">
        <f>Table58[[#This Row],[Personal Consumption]]/Table58[[#This Row],[GDP]]</f>
        <v>0.68978290907303541</v>
      </c>
      <c r="I289" s="37">
        <f>Table58[[#This Row],[Private Investment]]/Table58[[#This Row],[GDP]]</f>
        <v>0.17986821624987029</v>
      </c>
      <c r="J289" s="37">
        <f>Table58[[#This Row],[Exports]]/Table58[[#This Row],[GDP]]</f>
        <v>0.13915648569384445</v>
      </c>
      <c r="K289" s="37">
        <f>-Table58[[#This Row],[Imports]]/Table58[[#This Row],[GDP]]</f>
        <v>-0.18366476791751091</v>
      </c>
      <c r="L289" s="37">
        <f>Table58[[#This Row],[Government]]/Table58[[#This Row],[GDP]]</f>
        <v>0.17378191509696728</v>
      </c>
      <c r="N289" s="58">
        <f>SUM(Table58[[#This Row],[PC%]:[G%]])</f>
        <v>0.99892475819620641</v>
      </c>
      <c r="O289" s="25">
        <f>Table58[[#This Row],[Personal Consumption]]+Table58[[#This Row],[Private Investment]]+Table58[[#This Row],[Exports]]+Table58[[#This Row],[Government]]-Table58[[#This Row],[Imports]]</f>
        <v>18290.612000000001</v>
      </c>
    </row>
    <row r="290" spans="1:15" x14ac:dyDescent="0.35">
      <c r="A290" s="45">
        <v>43101</v>
      </c>
      <c r="B290" s="63">
        <f>VLOOKUP(A290,'U.S. GDP'!A:B,2,)</f>
        <v>18437.127</v>
      </c>
      <c r="C290" s="63">
        <f>VLOOKUP(A290,PersonalConsumption!A:B,2,)</f>
        <v>12713.156000000001</v>
      </c>
      <c r="D290" s="63">
        <f>VLOOKUP(A290,PrivateInvestment!A:B,2,)</f>
        <v>3342.884</v>
      </c>
      <c r="E290" s="63">
        <f>VLOOKUP(A290,Exports!A:B,2,)</f>
        <v>2564.6610000000001</v>
      </c>
      <c r="F290" s="63">
        <f>VLOOKUP(A290,Imports!A:B,2,)</f>
        <v>3391.2579999999998</v>
      </c>
      <c r="G290" s="46">
        <f>VLOOKUP(A290,Government!A:B,2,)</f>
        <v>3187.7139999999999</v>
      </c>
      <c r="H290" s="37">
        <f>Table58[[#This Row],[Personal Consumption]]/Table58[[#This Row],[GDP]]</f>
        <v>0.68954105485089956</v>
      </c>
      <c r="I290" s="37">
        <f>Table58[[#This Row],[Private Investment]]/Table58[[#This Row],[GDP]]</f>
        <v>0.18131263075857751</v>
      </c>
      <c r="J290" s="37">
        <f>Table58[[#This Row],[Exports]]/Table58[[#This Row],[GDP]]</f>
        <v>0.13910307175299058</v>
      </c>
      <c r="K290" s="37">
        <f>-Table58[[#This Row],[Imports]]/Table58[[#This Row],[GDP]]</f>
        <v>-0.18393635841419326</v>
      </c>
      <c r="L290" s="37">
        <f>Table58[[#This Row],[Government]]/Table58[[#This Row],[GDP]]</f>
        <v>0.17289646049517368</v>
      </c>
      <c r="N290" s="58">
        <f>SUM(Table58[[#This Row],[PC%]:[G%]])</f>
        <v>0.9989168594434481</v>
      </c>
      <c r="O290" s="25">
        <f>Table58[[#This Row],[Personal Consumption]]+Table58[[#This Row],[Private Investment]]+Table58[[#This Row],[Exports]]+Table58[[#This Row],[Government]]-Table58[[#This Row],[Imports]]</f>
        <v>18417.156999999999</v>
      </c>
    </row>
    <row r="291" spans="1:15" x14ac:dyDescent="0.35">
      <c r="A291" s="45">
        <v>43191</v>
      </c>
      <c r="B291" s="63">
        <f>VLOOKUP(A291,'U.S. GDP'!A:B,2,)</f>
        <v>18565.697</v>
      </c>
      <c r="C291" s="63">
        <f>VLOOKUP(A291,PersonalConsumption!A:B,2,)</f>
        <v>12805.609</v>
      </c>
      <c r="D291" s="63">
        <f>VLOOKUP(A291,PrivateInvestment!A:B,2,)</f>
        <v>3349.047</v>
      </c>
      <c r="E291" s="63">
        <f>VLOOKUP(A291,Exports!A:B,2,)</f>
        <v>2578.61</v>
      </c>
      <c r="F291" s="63">
        <f>VLOOKUP(A291,Imports!A:B,2,)</f>
        <v>3395.2829999999999</v>
      </c>
      <c r="G291" s="46">
        <f>VLOOKUP(A291,Government!A:B,2,)</f>
        <v>3210.0369999999998</v>
      </c>
      <c r="H291" s="37">
        <f>Table58[[#This Row],[Personal Consumption]]/Table58[[#This Row],[GDP]]</f>
        <v>0.68974566373672908</v>
      </c>
      <c r="I291" s="37">
        <f>Table58[[#This Row],[Private Investment]]/Table58[[#This Row],[GDP]]</f>
        <v>0.18038897219964325</v>
      </c>
      <c r="J291" s="37">
        <f>Table58[[#This Row],[Exports]]/Table58[[#This Row],[GDP]]</f>
        <v>0.13889109576656347</v>
      </c>
      <c r="K291" s="37">
        <f>-Table58[[#This Row],[Imports]]/Table58[[#This Row],[GDP]]</f>
        <v>-0.18287937156358847</v>
      </c>
      <c r="L291" s="37">
        <f>Table58[[#This Row],[Government]]/Table58[[#This Row],[GDP]]</f>
        <v>0.1729015075491106</v>
      </c>
      <c r="N291" s="58">
        <f>SUM(Table58[[#This Row],[PC%]:[G%]])</f>
        <v>0.99904786768845799</v>
      </c>
      <c r="O291" s="25">
        <f>Table58[[#This Row],[Personal Consumption]]+Table58[[#This Row],[Private Investment]]+Table58[[#This Row],[Exports]]+Table58[[#This Row],[Government]]-Table58[[#This Row],[Imports]]</f>
        <v>18548.02</v>
      </c>
    </row>
    <row r="292" spans="1:15" x14ac:dyDescent="0.35">
      <c r="A292" s="45">
        <v>43282</v>
      </c>
      <c r="B292" s="63">
        <f>VLOOKUP(A292,'U.S. GDP'!A:B,2,)</f>
        <v>18699.748</v>
      </c>
      <c r="C292" s="63">
        <f>VLOOKUP(A292,PersonalConsumption!A:B,2,)</f>
        <v>12887.074000000001</v>
      </c>
      <c r="D292" s="63">
        <f>VLOOKUP(A292,PrivateInvestment!A:B,2,)</f>
        <v>3453.0590000000002</v>
      </c>
      <c r="E292" s="46">
        <f>VLOOKUP(A292,Exports!A:B,2,)</f>
        <v>2544.5520000000001</v>
      </c>
      <c r="F292" s="63">
        <f>VLOOKUP(A292,Imports!A:B,2,)</f>
        <v>3441.0680000000002</v>
      </c>
      <c r="G292" s="46">
        <f>VLOOKUP(A292,Government!A:B,2,)</f>
        <v>3231.3359999999998</v>
      </c>
      <c r="H292" s="37">
        <f>Table58[[#This Row],[Personal Consumption]]/Table58[[#This Row],[GDP]]</f>
        <v>0.68915762928997759</v>
      </c>
      <c r="I292" s="37">
        <f>Table58[[#This Row],[Private Investment]]/Table58[[#This Row],[GDP]]</f>
        <v>0.18465804993735746</v>
      </c>
      <c r="J292" s="37">
        <f>Table58[[#This Row],[Exports]]/Table58[[#This Row],[GDP]]</f>
        <v>0.1360741331915275</v>
      </c>
      <c r="K292" s="37">
        <f>-Table58[[#This Row],[Imports]]/Table58[[#This Row],[GDP]]</f>
        <v>-0.18401681134954334</v>
      </c>
      <c r="L292" s="37">
        <f>Table58[[#This Row],[Government]]/Table58[[#This Row],[GDP]]</f>
        <v>0.17280104523333684</v>
      </c>
      <c r="N292" s="58">
        <f>SUM(Table58[[#This Row],[PC%]:[G%]])</f>
        <v>0.99867404630265622</v>
      </c>
      <c r="O292" s="25">
        <f>Table58[[#This Row],[Personal Consumption]]+Table58[[#This Row],[Private Investment]]+Table58[[#This Row],[Exports]]+Table58[[#This Row],[Government]]-Table58[[#This Row],[Imports]]</f>
        <v>18674.953000000001</v>
      </c>
    </row>
    <row r="293" spans="1:15" x14ac:dyDescent="0.35">
      <c r="A293" s="45">
        <v>43374</v>
      </c>
      <c r="B293" s="63">
        <f>VLOOKUP(A293,'U.S. GDP'!A:B,2,)</f>
        <v>18733.741000000002</v>
      </c>
      <c r="C293" s="63">
        <f>VLOOKUP(A293,PersonalConsumption!A:B,2,)</f>
        <v>12943.375</v>
      </c>
      <c r="D293" s="63">
        <f>VLOOKUP(A293,PrivateInvestment!A:B,2,)</f>
        <v>3450.6080000000002</v>
      </c>
      <c r="E293" s="63">
        <f>VLOOKUP(A293,Exports!A:B,2,)</f>
        <v>2552.4369999999999</v>
      </c>
      <c r="F293" s="63">
        <f>VLOOKUP(A293,Imports!A:B,2,)</f>
        <v>3474.268</v>
      </c>
      <c r="G293" s="46">
        <f>VLOOKUP(A293,Government!A:B,2,)</f>
        <v>3232.3029999999999</v>
      </c>
      <c r="H293" s="37">
        <f>Table58[[#This Row],[Personal Consumption]]/Table58[[#This Row],[GDP]]</f>
        <v>0.69091245576630955</v>
      </c>
      <c r="I293" s="37">
        <f>Table58[[#This Row],[Private Investment]]/Table58[[#This Row],[GDP]]</f>
        <v>0.18419214827406868</v>
      </c>
      <c r="J293" s="37">
        <f>Table58[[#This Row],[Exports]]/Table58[[#This Row],[GDP]]</f>
        <v>0.1362481204368097</v>
      </c>
      <c r="K293" s="37">
        <f>-Table58[[#This Row],[Imports]]/Table58[[#This Row],[GDP]]</f>
        <v>-0.18545511011388488</v>
      </c>
      <c r="L293" s="37">
        <f>Table58[[#This Row],[Government]]/Table58[[#This Row],[GDP]]</f>
        <v>0.17253911004748063</v>
      </c>
      <c r="N293" s="58">
        <f>SUM(Table58[[#This Row],[PC%]:[G%]])</f>
        <v>0.9984367244107839</v>
      </c>
      <c r="O293" s="25">
        <f>Table58[[#This Row],[Personal Consumption]]+Table58[[#This Row],[Private Investment]]+Table58[[#This Row],[Exports]]+Table58[[#This Row],[Government]]-Table58[[#This Row],[Imports]]</f>
        <v>18704.454999999998</v>
      </c>
    </row>
    <row r="294" spans="1:15" x14ac:dyDescent="0.35">
      <c r="A294" s="45">
        <v>43466</v>
      </c>
      <c r="B294" s="63">
        <f>VLOOKUP(A294,'U.S. GDP'!A:B,2,)</f>
        <v>18835.411</v>
      </c>
      <c r="C294" s="63">
        <f>VLOOKUP(A294,PersonalConsumption!A:B,2,)</f>
        <v>12955.727000000001</v>
      </c>
      <c r="D294" s="63">
        <f>VLOOKUP(A294,PrivateInvestment!A:B,2,)</f>
        <v>3484.3490000000002</v>
      </c>
      <c r="E294" s="46">
        <f>VLOOKUP(A294,Exports!A:B,2,)</f>
        <v>2582.2849999999999</v>
      </c>
      <c r="F294" s="63">
        <f>VLOOKUP(A294,Imports!A:B,2,)</f>
        <v>3485.931</v>
      </c>
      <c r="G294" s="46">
        <f>VLOOKUP(A294,Government!A:B,2,)</f>
        <v>3270.9659999999999</v>
      </c>
      <c r="H294" s="37">
        <f>Table58[[#This Row],[Personal Consumption]]/Table58[[#This Row],[GDP]]</f>
        <v>0.68783882655918693</v>
      </c>
      <c r="I294" s="37">
        <f>Table58[[#This Row],[Private Investment]]/Table58[[#This Row],[GDP]]</f>
        <v>0.18498927366119061</v>
      </c>
      <c r="J294" s="37">
        <f>Table58[[#This Row],[Exports]]/Table58[[#This Row],[GDP]]</f>
        <v>0.13709735349018928</v>
      </c>
      <c r="K294" s="37">
        <f>-Table58[[#This Row],[Imports]]/Table58[[#This Row],[GDP]]</f>
        <v>-0.18507326439545174</v>
      </c>
      <c r="L294" s="37">
        <f>Table58[[#This Row],[Government]]/Table58[[#This Row],[GDP]]</f>
        <v>0.17366045264422422</v>
      </c>
      <c r="N294" s="58">
        <f>SUM(Table58[[#This Row],[PC%]:[G%]])</f>
        <v>0.99851264195933931</v>
      </c>
      <c r="O294" s="25">
        <f>Table58[[#This Row],[Personal Consumption]]+Table58[[#This Row],[Private Investment]]+Table58[[#This Row],[Exports]]+Table58[[#This Row],[Government]]-Table58[[#This Row],[Imports]]</f>
        <v>18807.396000000001</v>
      </c>
    </row>
    <row r="295" spans="1:15" x14ac:dyDescent="0.35">
      <c r="A295" s="45">
        <v>43556</v>
      </c>
      <c r="B295" s="63">
        <f>VLOOKUP(A295,'U.S. GDP'!A:B,2,)</f>
        <v>18962.174999999999</v>
      </c>
      <c r="C295" s="63">
        <f>VLOOKUP(A295,PersonalConsumption!A:B,2,)</f>
        <v>13038.853999999999</v>
      </c>
      <c r="D295" s="63">
        <f>VLOOKUP(A295,PrivateInvestment!A:B,2,)</f>
        <v>3504.855</v>
      </c>
      <c r="E295" s="63">
        <f>VLOOKUP(A295,Exports!A:B,2,)</f>
        <v>2567.2809999999999</v>
      </c>
      <c r="F295" s="63">
        <f>VLOOKUP(A295,Imports!A:B,2,)</f>
        <v>3491.7510000000002</v>
      </c>
      <c r="G295" s="46">
        <f>VLOOKUP(A295,Government!A:B,2,)</f>
        <v>3313.8</v>
      </c>
      <c r="H295" s="37">
        <f>Table58[[#This Row],[Personal Consumption]]/Table58[[#This Row],[GDP]]</f>
        <v>0.68762438907983925</v>
      </c>
      <c r="I295" s="37">
        <f>Table58[[#This Row],[Private Investment]]/Table58[[#This Row],[GDP]]</f>
        <v>0.18483401824948878</v>
      </c>
      <c r="J295" s="37">
        <f>Table58[[#This Row],[Exports]]/Table58[[#This Row],[GDP]]</f>
        <v>0.135389584791829</v>
      </c>
      <c r="K295" s="37">
        <f>-Table58[[#This Row],[Imports]]/Table58[[#This Row],[GDP]]</f>
        <v>-0.18414295828405763</v>
      </c>
      <c r="L295" s="37">
        <f>Table58[[#This Row],[Government]]/Table58[[#This Row],[GDP]]</f>
        <v>0.17475843356576976</v>
      </c>
      <c r="N295" s="58">
        <f>SUM(Table58[[#This Row],[PC%]:[G%]])</f>
        <v>0.99846346740286895</v>
      </c>
      <c r="O295" s="25">
        <f>Table58[[#This Row],[Personal Consumption]]+Table58[[#This Row],[Private Investment]]+Table58[[#This Row],[Exports]]+Table58[[#This Row],[Government]]-Table58[[#This Row],[Imports]]</f>
        <v>18933.038999999997</v>
      </c>
    </row>
    <row r="296" spans="1:15" x14ac:dyDescent="0.35">
      <c r="A296" s="45">
        <v>43647</v>
      </c>
      <c r="B296" s="63">
        <f>VLOOKUP(A296,'U.S. GDP'!A:B,2,)</f>
        <v>19130.932000000001</v>
      </c>
      <c r="C296" s="63">
        <f>VLOOKUP(A296,PersonalConsumption!A:B,2,)</f>
        <v>13148.857</v>
      </c>
      <c r="D296" s="63">
        <f>VLOOKUP(A296,PrivateInvestment!A:B,2,)</f>
        <v>3527.1930000000002</v>
      </c>
      <c r="E296" s="46">
        <f>VLOOKUP(A296,Exports!A:B,2,)</f>
        <v>2567.0100000000002</v>
      </c>
      <c r="F296" s="63">
        <f>VLOOKUP(A296,Imports!A:B,2,)</f>
        <v>3476.3820000000001</v>
      </c>
      <c r="G296" s="46">
        <f>VLOOKUP(A296,Government!A:B,2,)</f>
        <v>3341.2289999999998</v>
      </c>
      <c r="H296" s="37">
        <f>Table58[[#This Row],[Personal Consumption]]/Table58[[#This Row],[GDP]]</f>
        <v>0.68730875212979692</v>
      </c>
      <c r="I296" s="37">
        <f>Table58[[#This Row],[Private Investment]]/Table58[[#This Row],[GDP]]</f>
        <v>0.18437120575202504</v>
      </c>
      <c r="J296" s="37">
        <f>Table58[[#This Row],[Exports]]/Table58[[#This Row],[GDP]]</f>
        <v>0.13418112614691224</v>
      </c>
      <c r="K296" s="37">
        <f>-Table58[[#This Row],[Imports]]/Table58[[#This Row],[GDP]]</f>
        <v>-0.18171524523739879</v>
      </c>
      <c r="L296" s="37">
        <f>Table58[[#This Row],[Government]]/Table58[[#This Row],[GDP]]</f>
        <v>0.17465061294452355</v>
      </c>
      <c r="N296" s="58">
        <f>SUM(Table58[[#This Row],[PC%]:[G%]])</f>
        <v>0.99879645173585885</v>
      </c>
      <c r="O296" s="25">
        <f>Table58[[#This Row],[Personal Consumption]]+Table58[[#This Row],[Private Investment]]+Table58[[#This Row],[Exports]]+Table58[[#This Row],[Government]]-Table58[[#This Row],[Imports]]</f>
        <v>19107.906999999996</v>
      </c>
    </row>
    <row r="297" spans="1:15" x14ac:dyDescent="0.35">
      <c r="A297" s="45">
        <v>43739</v>
      </c>
      <c r="B297" s="63">
        <f>VLOOKUP(A297,'U.S. GDP'!A:B,2,)</f>
        <v>19215.690999999999</v>
      </c>
      <c r="C297" s="63">
        <f>VLOOKUP(A297,PersonalConsumption!A:B,2,)</f>
        <v>13225.609</v>
      </c>
      <c r="D297" s="63">
        <f>VLOOKUP(A297,PrivateInvestment!A:B,2,)</f>
        <v>3454.3539999999998</v>
      </c>
      <c r="E297" s="63">
        <f>VLOOKUP(A297,Exports!A:B,2,)</f>
        <v>2571.8449999999998</v>
      </c>
      <c r="F297" s="63">
        <f>VLOOKUP(A297,Imports!A:B,2,)</f>
        <v>3404.66</v>
      </c>
      <c r="G297" s="46">
        <f>VLOOKUP(A297,Government!A:B,2,)</f>
        <v>3360.85</v>
      </c>
      <c r="H297" s="37">
        <f>Table58[[#This Row],[Personal Consumption]]/Table58[[#This Row],[GDP]]</f>
        <v>0.68827131951695109</v>
      </c>
      <c r="I297" s="37">
        <f>Table58[[#This Row],[Private Investment]]/Table58[[#This Row],[GDP]]</f>
        <v>0.17976735783272119</v>
      </c>
      <c r="J297" s="37">
        <f>Table58[[#This Row],[Exports]]/Table58[[#This Row],[GDP]]</f>
        <v>0.13384088035137534</v>
      </c>
      <c r="K297" s="37">
        <f>-Table58[[#This Row],[Imports]]/Table58[[#This Row],[GDP]]</f>
        <v>-0.17718124214216394</v>
      </c>
      <c r="L297" s="37">
        <f>Table58[[#This Row],[Government]]/Table58[[#This Row],[GDP]]</f>
        <v>0.17490133453956977</v>
      </c>
      <c r="N297" s="58">
        <f>SUM(Table58[[#This Row],[PC%]:[G%]])</f>
        <v>0.99959965009845342</v>
      </c>
      <c r="O297" s="25">
        <f>Table58[[#This Row],[Personal Consumption]]+Table58[[#This Row],[Private Investment]]+Table58[[#This Row],[Exports]]+Table58[[#This Row],[Government]]-Table58[[#This Row],[Imports]]</f>
        <v>19207.998</v>
      </c>
    </row>
    <row r="298" spans="1:15" x14ac:dyDescent="0.35">
      <c r="A298" s="45">
        <v>43831</v>
      </c>
      <c r="B298" s="63">
        <f>VLOOKUP(A298,'U.S. GDP'!A:B,2,)</f>
        <v>18989.877</v>
      </c>
      <c r="C298" s="63">
        <f>VLOOKUP(A298,PersonalConsumption!A:B,2,)</f>
        <v>13016.75</v>
      </c>
      <c r="D298" s="63">
        <f>VLOOKUP(A298,PrivateInvestment!A:B,2,)</f>
        <v>3409.8829999999998</v>
      </c>
      <c r="E298" s="46">
        <f>VLOOKUP(A298,Exports!A:B,2,)</f>
        <v>2467.3040000000001</v>
      </c>
      <c r="F298" s="63">
        <f>VLOOKUP(A298,Imports!A:B,2,)</f>
        <v>3295.4929999999999</v>
      </c>
      <c r="G298" s="46">
        <f>VLOOKUP(A298,Government!A:B,2,)</f>
        <v>3387.944</v>
      </c>
      <c r="H298" s="37">
        <f>Table58[[#This Row],[Personal Consumption]]/Table58[[#This Row],[GDP]]</f>
        <v>0.68545730970242724</v>
      </c>
      <c r="I298" s="37">
        <f>Table58[[#This Row],[Private Investment]]/Table58[[#This Row],[GDP]]</f>
        <v>0.17956319569631757</v>
      </c>
      <c r="J298" s="37">
        <f>Table58[[#This Row],[Exports]]/Table58[[#This Row],[GDP]]</f>
        <v>0.12992732917648703</v>
      </c>
      <c r="K298" s="37">
        <f>-Table58[[#This Row],[Imports]]/Table58[[#This Row],[GDP]]</f>
        <v>-0.17353945999755555</v>
      </c>
      <c r="L298" s="37">
        <f>Table58[[#This Row],[Government]]/Table58[[#This Row],[GDP]]</f>
        <v>0.17840789595424972</v>
      </c>
      <c r="N298" s="58">
        <f>SUM(Table58[[#This Row],[PC%]:[G%]])</f>
        <v>0.99981627053192601</v>
      </c>
      <c r="O298" s="25">
        <f>Table58[[#This Row],[Personal Consumption]]+Table58[[#This Row],[Private Investment]]+Table58[[#This Row],[Exports]]+Table58[[#This Row],[Government]]-Table58[[#This Row],[Imports]]</f>
        <v>18986.388000000003</v>
      </c>
    </row>
    <row r="299" spans="1:15" x14ac:dyDescent="0.35">
      <c r="A299" s="45">
        <v>43922</v>
      </c>
      <c r="B299" s="63">
        <f>VLOOKUP(A299,'U.S. GDP'!A:B,2,)</f>
        <v>17378.712</v>
      </c>
      <c r="C299" s="63">
        <f>VLOOKUP(A299,PersonalConsumption!A:B,2,)</f>
        <v>11817.147000000001</v>
      </c>
      <c r="D299" s="63">
        <f>VLOOKUP(A299,PrivateInvestment!A:B,2,)</f>
        <v>2884.223</v>
      </c>
      <c r="E299" s="63">
        <f>VLOOKUP(A299,Exports!A:B,2,)</f>
        <v>1951.3679999999999</v>
      </c>
      <c r="F299" s="63">
        <f>VLOOKUP(A299,Imports!A:B,2,)</f>
        <v>2718.6190000000001</v>
      </c>
      <c r="G299" s="46">
        <f>VLOOKUP(A299,Government!A:B,2,)</f>
        <v>3448.0430000000001</v>
      </c>
      <c r="H299" s="37">
        <f>Table58[[#This Row],[Personal Consumption]]/Table58[[#This Row],[GDP]]</f>
        <v>0.67997829758615025</v>
      </c>
      <c r="I299" s="37">
        <f>Table58[[#This Row],[Private Investment]]/Table58[[#This Row],[GDP]]</f>
        <v>0.16596298966229489</v>
      </c>
      <c r="J299" s="37">
        <f>Table58[[#This Row],[Exports]]/Table58[[#This Row],[GDP]]</f>
        <v>0.11228496104889707</v>
      </c>
      <c r="K299" s="37">
        <f>-Table58[[#This Row],[Imports]]/Table58[[#This Row],[GDP]]</f>
        <v>-0.15643386000067211</v>
      </c>
      <c r="L299" s="37">
        <f>Table58[[#This Row],[Government]]/Table58[[#This Row],[GDP]]</f>
        <v>0.19840613044280844</v>
      </c>
      <c r="N299" s="58">
        <f>SUM(Table58[[#This Row],[PC%]:[G%]])</f>
        <v>1.0001985187394784</v>
      </c>
      <c r="O299" s="25">
        <f>Table58[[#This Row],[Personal Consumption]]+Table58[[#This Row],[Private Investment]]+Table58[[#This Row],[Exports]]+Table58[[#This Row],[Government]]-Table58[[#This Row],[Imports]]</f>
        <v>17382.162000000004</v>
      </c>
    </row>
    <row r="300" spans="1:15" x14ac:dyDescent="0.35">
      <c r="A300" s="45">
        <v>44013</v>
      </c>
      <c r="B300" s="63">
        <f>VLOOKUP(A300,'U.S. GDP'!A:B,2,)</f>
        <v>18743.72</v>
      </c>
      <c r="C300" s="63">
        <f>VLOOKUP(A300,PersonalConsumption!A:B,2,)</f>
        <v>12922.380999999999</v>
      </c>
      <c r="D300" s="63">
        <f>VLOOKUP(A300,PrivateInvestment!A:B,2,)</f>
        <v>3394.1419999999998</v>
      </c>
      <c r="E300" s="46">
        <f>VLOOKUP(A300,Exports!A:B,2,)</f>
        <v>2193.0329999999999</v>
      </c>
      <c r="F300" s="63">
        <f>VLOOKUP(A300,Imports!A:B,2,)</f>
        <v>3184.18</v>
      </c>
      <c r="G300" s="46">
        <f>VLOOKUP(A300,Government!A:B,2,)</f>
        <v>3395.877</v>
      </c>
      <c r="H300" s="37">
        <f>Table58[[#This Row],[Personal Consumption]]/Table58[[#This Row],[GDP]]</f>
        <v>0.6894245646008369</v>
      </c>
      <c r="I300" s="37">
        <f>Table58[[#This Row],[Private Investment]]/Table58[[#This Row],[GDP]]</f>
        <v>0.18108155691612976</v>
      </c>
      <c r="J300" s="37">
        <f>Table58[[#This Row],[Exports]]/Table58[[#This Row],[GDP]]</f>
        <v>0.11700094751735514</v>
      </c>
      <c r="K300" s="37">
        <f>-Table58[[#This Row],[Imports]]/Table58[[#This Row],[GDP]]</f>
        <v>-0.169879831751648</v>
      </c>
      <c r="L300" s="37">
        <f>Table58[[#This Row],[Government]]/Table58[[#This Row],[GDP]]</f>
        <v>0.18117412125234478</v>
      </c>
      <c r="N300" s="58">
        <f>SUM(Table58[[#This Row],[PC%]:[G%]])</f>
        <v>0.99880135853501861</v>
      </c>
      <c r="O300" s="25">
        <f>Table58[[#This Row],[Personal Consumption]]+Table58[[#This Row],[Private Investment]]+Table58[[#This Row],[Exports]]+Table58[[#This Row],[Government]]-Table58[[#This Row],[Imports]]</f>
        <v>18721.253000000001</v>
      </c>
    </row>
    <row r="301" spans="1:15" x14ac:dyDescent="0.35">
      <c r="A301" s="45">
        <v>44105</v>
      </c>
      <c r="B301" s="63">
        <f>VLOOKUP(A301,'U.S. GDP'!A:B,2,)</f>
        <v>18924.261999999999</v>
      </c>
      <c r="C301" s="63">
        <f>VLOOKUP(A301,PersonalConsumption!A:B,2,)</f>
        <v>13046.614</v>
      </c>
      <c r="D301" s="63">
        <f>VLOOKUP(A301,PrivateInvestment!A:B,2,)</f>
        <v>3537.645</v>
      </c>
      <c r="E301" s="63">
        <f>VLOOKUP(A301,Exports!A:B,2,)</f>
        <v>2315.0329999999999</v>
      </c>
      <c r="F301" s="63">
        <f>VLOOKUP(A301,Imports!A:B,2,)</f>
        <v>3419.0010000000002</v>
      </c>
      <c r="G301" s="46">
        <f>VLOOKUP(A301,Government!A:B,2,)</f>
        <v>3394.7950000000001</v>
      </c>
      <c r="H301" s="37">
        <f>Table58[[#This Row],[Personal Consumption]]/Table58[[#This Row],[GDP]]</f>
        <v>0.68941203625272152</v>
      </c>
      <c r="I301" s="37">
        <f>Table58[[#This Row],[Private Investment]]/Table58[[#This Row],[GDP]]</f>
        <v>0.18693701239181745</v>
      </c>
      <c r="J301" s="37">
        <f>Table58[[#This Row],[Exports]]/Table58[[#This Row],[GDP]]</f>
        <v>0.12233148114309557</v>
      </c>
      <c r="K301" s="37">
        <f>-Table58[[#This Row],[Imports]]/Table58[[#This Row],[GDP]]</f>
        <v>-0.18066760014208219</v>
      </c>
      <c r="L301" s="37">
        <f>Table58[[#This Row],[Government]]/Table58[[#This Row],[GDP]]</f>
        <v>0.17938850138515311</v>
      </c>
      <c r="N301" s="58">
        <f>SUM(Table58[[#This Row],[PC%]:[G%]])</f>
        <v>0.99740143103070555</v>
      </c>
      <c r="O301" s="25">
        <f>Table58[[#This Row],[Personal Consumption]]+Table58[[#This Row],[Private Investment]]+Table58[[#This Row],[Exports]]+Table58[[#This Row],[Government]]-Table58[[#This Row],[Imports]]</f>
        <v>18875.085999999999</v>
      </c>
    </row>
    <row r="302" spans="1:15" x14ac:dyDescent="0.35">
      <c r="A302" s="45">
        <v>44197</v>
      </c>
      <c r="B302" s="63">
        <f>VLOOKUP(A302,'U.S. GDP'!A:B,2,)</f>
        <v>19216.223999999998</v>
      </c>
      <c r="C302" s="63">
        <f>VLOOKUP(A302,PersonalConsumption!A:B,2,)</f>
        <v>13386.763000000001</v>
      </c>
      <c r="D302" s="63">
        <f>VLOOKUP(A302,PrivateInvestment!A:B,2,)</f>
        <v>3489.2939999999999</v>
      </c>
      <c r="E302" s="46">
        <f>VLOOKUP(A302,Exports!A:B,2,)</f>
        <v>2317.5050000000001</v>
      </c>
      <c r="F302" s="63">
        <f>VLOOKUP(A302,Imports!A:B,2,)</f>
        <v>3482.0349999999999</v>
      </c>
      <c r="G302" s="46">
        <f>VLOOKUP(A302,Government!A:B,2,)</f>
        <v>3448.7429999999999</v>
      </c>
      <c r="H302" s="37">
        <f>Table58[[#This Row],[Personal Consumption]]/Table58[[#This Row],[GDP]]</f>
        <v>0.69663857998324763</v>
      </c>
      <c r="I302" s="37">
        <f>Table58[[#This Row],[Private Investment]]/Table58[[#This Row],[GDP]]</f>
        <v>0.18158062687029461</v>
      </c>
      <c r="J302" s="37">
        <f>Table58[[#This Row],[Exports]]/Table58[[#This Row],[GDP]]</f>
        <v>0.12060147716845933</v>
      </c>
      <c r="K302" s="37">
        <f>-Table58[[#This Row],[Imports]]/Table58[[#This Row],[GDP]]</f>
        <v>-0.18120287315551692</v>
      </c>
      <c r="L302" s="37">
        <f>Table58[[#This Row],[Government]]/Table58[[#This Row],[GDP]]</f>
        <v>0.17947037877993097</v>
      </c>
      <c r="N302" s="58">
        <f>SUM(Table58[[#This Row],[PC%]:[G%]])</f>
        <v>0.99708818964641566</v>
      </c>
      <c r="O302" s="25">
        <f>Table58[[#This Row],[Personal Consumption]]+Table58[[#This Row],[Private Investment]]+Table58[[#This Row],[Exports]]+Table58[[#This Row],[Government]]-Table58[[#This Row],[Imports]]</f>
        <v>19160.27</v>
      </c>
    </row>
    <row r="303" spans="1:15" x14ac:dyDescent="0.35">
      <c r="A303" s="45">
        <v>44287</v>
      </c>
      <c r="B303" s="63">
        <f>VLOOKUP(A303,'U.S. GDP'!A:B,2,)</f>
        <v>19544.248</v>
      </c>
      <c r="C303" s="63">
        <f>VLOOKUP(A303,PersonalConsumption!A:B,2,)</f>
        <v>13773.688</v>
      </c>
      <c r="D303" s="63">
        <f>VLOOKUP(A303,PrivateInvestment!A:B,2,)</f>
        <v>3496.8670000000002</v>
      </c>
      <c r="E303" s="63">
        <f>VLOOKUP(A303,Exports!A:B,2,)</f>
        <v>2345.1320000000001</v>
      </c>
      <c r="F303" s="63">
        <f>VLOOKUP(A303,Imports!A:B,2,)</f>
        <v>3549.002</v>
      </c>
      <c r="G303" s="46">
        <f>VLOOKUP(A303,Government!A:B,2,)</f>
        <v>3422.3629999999998</v>
      </c>
      <c r="H303" s="37">
        <f>Table58[[#This Row],[Personal Consumption]]/Table58[[#This Row],[GDP]]</f>
        <v>0.70474382027898952</v>
      </c>
      <c r="I303" s="37">
        <f>Table58[[#This Row],[Private Investment]]/Table58[[#This Row],[GDP]]</f>
        <v>0.17892051922386579</v>
      </c>
      <c r="J303" s="37">
        <f>Table58[[#This Row],[Exports]]/Table58[[#This Row],[GDP]]</f>
        <v>0.11999090474087312</v>
      </c>
      <c r="K303" s="37">
        <f>-Table58[[#This Row],[Imports]]/Table58[[#This Row],[GDP]]</f>
        <v>-0.1815880559845536</v>
      </c>
      <c r="L303" s="37">
        <f>Table58[[#This Row],[Government]]/Table58[[#This Row],[GDP]]</f>
        <v>0.17510845134588959</v>
      </c>
      <c r="N303" s="58">
        <f>SUM(Table58[[#This Row],[PC%]:[G%]])</f>
        <v>0.99717563960506428</v>
      </c>
      <c r="O303" s="25">
        <f>Table58[[#This Row],[Personal Consumption]]+Table58[[#This Row],[Private Investment]]+Table58[[#This Row],[Exports]]+Table58[[#This Row],[Government]]-Table58[[#This Row],[Imports]]</f>
        <v>19489.048000000003</v>
      </c>
    </row>
    <row r="304" spans="1:15" x14ac:dyDescent="0.35">
      <c r="A304" s="45">
        <v>44378</v>
      </c>
      <c r="B304" s="63">
        <f>VLOOKUP(A304,'U.S. GDP'!A:B,2,)</f>
        <v>19672.594000000001</v>
      </c>
      <c r="C304" s="63">
        <f>VLOOKUP(A304,PersonalConsumption!A:B,2,)</f>
        <v>13874.396000000001</v>
      </c>
      <c r="D304" s="63">
        <f>VLOOKUP(A304,PrivateInvestment!A:B,2,)</f>
        <v>3584.05</v>
      </c>
      <c r="E304" s="46">
        <f>VLOOKUP(A304,Exports!A:B,2,)</f>
        <v>2338.8249999999998</v>
      </c>
      <c r="F304" s="63">
        <f>VLOOKUP(A304,Imports!A:B,2,)</f>
        <v>3606.2829999999999</v>
      </c>
      <c r="G304" s="46">
        <f>VLOOKUP(A304,Government!A:B,2,)</f>
        <v>3421.0459999999998</v>
      </c>
      <c r="H304" s="37">
        <f>Table58[[#This Row],[Personal Consumption]]/Table58[[#This Row],[GDP]]</f>
        <v>0.70526520295188322</v>
      </c>
      <c r="I304" s="37">
        <f>Table58[[#This Row],[Private Investment]]/Table58[[#This Row],[GDP]]</f>
        <v>0.18218492182576432</v>
      </c>
      <c r="J304" s="37">
        <f>Table58[[#This Row],[Exports]]/Table58[[#This Row],[GDP]]</f>
        <v>0.11888747360922508</v>
      </c>
      <c r="K304" s="37">
        <f>-Table58[[#This Row],[Imports]]/Table58[[#This Row],[GDP]]</f>
        <v>-0.18331507273519698</v>
      </c>
      <c r="L304" s="37">
        <f>Table58[[#This Row],[Government]]/Table58[[#This Row],[GDP]]</f>
        <v>0.17389908011114344</v>
      </c>
      <c r="N304" s="58">
        <f>SUM(Table58[[#This Row],[PC%]:[G%]])</f>
        <v>0.99692160576281896</v>
      </c>
      <c r="O304" s="25">
        <f>Table58[[#This Row],[Personal Consumption]]+Table58[[#This Row],[Private Investment]]+Table58[[#This Row],[Exports]]+Table58[[#This Row],[Government]]-Table58[[#This Row],[Imports]]</f>
        <v>19612.034</v>
      </c>
    </row>
    <row r="305" spans="1:15" x14ac:dyDescent="0.35">
      <c r="A305" s="45">
        <v>44470</v>
      </c>
      <c r="B305" s="63">
        <f>VLOOKUP(A305,'U.S. GDP'!A:B,2,)</f>
        <v>20006.181</v>
      </c>
      <c r="C305" s="63">
        <f>VLOOKUP(A305,PersonalConsumption!A:B,2,)</f>
        <v>13981.513999999999</v>
      </c>
      <c r="D305" s="63">
        <f>VLOOKUP(A305,PrivateInvestment!A:B,2,)</f>
        <v>3841.7710000000002</v>
      </c>
      <c r="E305" s="63">
        <f>VLOOKUP(A305,Exports!A:B,2,)</f>
        <v>2465.672</v>
      </c>
      <c r="F305" s="63">
        <f>VLOOKUP(A305,Imports!A:B,2,)</f>
        <v>3763.3159999999998</v>
      </c>
      <c r="G305" s="46">
        <f>VLOOKUP(A305,Government!A:B,2,)</f>
        <v>3412.8580000000002</v>
      </c>
      <c r="H305" s="37">
        <f>Table58[[#This Row],[Personal Consumption]]/Table58[[#This Row],[GDP]]</f>
        <v>0.69885971740433617</v>
      </c>
      <c r="I305" s="37">
        <f>Table58[[#This Row],[Private Investment]]/Table58[[#This Row],[GDP]]</f>
        <v>0.19202920337469706</v>
      </c>
      <c r="J305" s="37">
        <f>Table58[[#This Row],[Exports]]/Table58[[#This Row],[GDP]]</f>
        <v>0.12324551097483323</v>
      </c>
      <c r="K305" s="37">
        <f>-Table58[[#This Row],[Imports]]/Table58[[#This Row],[GDP]]</f>
        <v>-0.18810766532603099</v>
      </c>
      <c r="L305" s="37">
        <f>Table58[[#This Row],[Government]]/Table58[[#This Row],[GDP]]</f>
        <v>0.17059017910514757</v>
      </c>
      <c r="N305" s="58">
        <f>SUM(Table58[[#This Row],[PC%]:[G%]])</f>
        <v>0.99661694553298319</v>
      </c>
      <c r="O305" s="25">
        <f>Table58[[#This Row],[Personal Consumption]]+Table58[[#This Row],[Private Investment]]+Table58[[#This Row],[Exports]]+Table58[[#This Row],[Government]]-Table58[[#This Row],[Imports]]</f>
        <v>19938.499</v>
      </c>
    </row>
    <row r="306" spans="1:15" x14ac:dyDescent="0.35">
      <c r="A306" s="45">
        <v>44562</v>
      </c>
      <c r="B306" s="63">
        <f>VLOOKUP(A306,'U.S. GDP'!A:B,2,)</f>
        <v>19924.088</v>
      </c>
      <c r="C306" s="63">
        <f>VLOOKUP(A306,PersonalConsumption!A:B,2,)</f>
        <v>14028.383</v>
      </c>
      <c r="D306" s="63">
        <f>VLOOKUP(A306,PrivateInvestment!A:B,2,)</f>
        <v>3892.48</v>
      </c>
      <c r="E306" s="63">
        <f>VLOOKUP(A306,Exports!A:B,2,)</f>
        <v>2436.9340000000002</v>
      </c>
      <c r="F306" s="63">
        <f>VLOOKUP(A306,Imports!A:B,2,)</f>
        <v>3925.6329999999998</v>
      </c>
      <c r="G306" s="46">
        <f>VLOOKUP(A306,Government!A:B,2,)</f>
        <v>3393.3890000000001</v>
      </c>
      <c r="H306" s="37">
        <f>Table58[[#This Row],[Personal Consumption]]/Table58[[#This Row],[GDP]]</f>
        <v>0.70409160007725324</v>
      </c>
      <c r="I306" s="37">
        <f>Table58[[#This Row],[Private Investment]]/Table58[[#This Row],[GDP]]</f>
        <v>0.19536552940340357</v>
      </c>
      <c r="J306" s="37">
        <f>Table58[[#This Row],[Exports]]/Table58[[#This Row],[GDP]]</f>
        <v>0.12231094341683295</v>
      </c>
      <c r="K306" s="37">
        <f>-Table58[[#This Row],[Imports]]/Table58[[#This Row],[GDP]]</f>
        <v>-0.19702949515179816</v>
      </c>
      <c r="L306" s="37">
        <f>Table58[[#This Row],[Government]]/Table58[[#This Row],[GDP]]</f>
        <v>0.17031590103396452</v>
      </c>
      <c r="N306" s="58">
        <f>SUM(Table58[[#This Row],[PC%]:[G%]])</f>
        <v>0.99505447877965625</v>
      </c>
      <c r="O306" s="25">
        <f>Table58[[#This Row],[Personal Consumption]]+Table58[[#This Row],[Private Investment]]+Table58[[#This Row],[Exports]]+Table58[[#This Row],[Government]]-Table58[[#This Row],[Imports]]</f>
        <v>19825.553</v>
      </c>
    </row>
    <row r="307" spans="1:15" x14ac:dyDescent="0.35">
      <c r="A307" s="45">
        <v>44652</v>
      </c>
      <c r="B307" s="63">
        <f>VLOOKUP(A307,'U.S. GDP'!A:B,2,)</f>
        <v>19895.271000000001</v>
      </c>
      <c r="C307" s="63">
        <f>VLOOKUP(A307,PersonalConsumption!A:B,2,)</f>
        <v>14099.456</v>
      </c>
      <c r="D307" s="63">
        <f>VLOOKUP(A307,PrivateInvestment!A:B,2,)</f>
        <v>3746.973</v>
      </c>
      <c r="E307" s="63">
        <f>VLOOKUP(A307,Exports!A:B,2,)</f>
        <v>2516.9279999999999</v>
      </c>
      <c r="F307" s="63">
        <f>VLOOKUP(A307,Imports!A:B,2,)</f>
        <v>3947.4720000000002</v>
      </c>
      <c r="G307" s="46">
        <f>VLOOKUP(A307,Government!A:B,2,)</f>
        <v>3379.4989999999998</v>
      </c>
      <c r="H307" s="37">
        <f>Table58[[#This Row],[Personal Consumption]]/Table58[[#This Row],[GDP]]</f>
        <v>0.70868378721757541</v>
      </c>
      <c r="I307" s="37">
        <f>Table58[[#This Row],[Private Investment]]/Table58[[#This Row],[GDP]]</f>
        <v>0.18833485605699968</v>
      </c>
      <c r="J307" s="37">
        <f>Table58[[#This Row],[Exports]]/Table58[[#This Row],[GDP]]</f>
        <v>0.12650885730583916</v>
      </c>
      <c r="K307" s="37">
        <f>-Table58[[#This Row],[Imports]]/Table58[[#This Row],[GDP]]</f>
        <v>-0.19841257754166808</v>
      </c>
      <c r="L307" s="37">
        <f>Table58[[#This Row],[Government]]/Table58[[#This Row],[GDP]]</f>
        <v>0.16986443662918688</v>
      </c>
      <c r="N307" s="58">
        <f>SUM(Table58[[#This Row],[PC%]:[G%]])</f>
        <v>0.99497935966793283</v>
      </c>
      <c r="O307" s="25">
        <f>Table58[[#This Row],[Personal Consumption]]+Table58[[#This Row],[Private Investment]]+Table58[[#This Row],[Exports]]+Table58[[#This Row],[Government]]-Table58[[#This Row],[Imports]]</f>
        <v>19795.383999999998</v>
      </c>
    </row>
    <row r="308" spans="1:15" x14ac:dyDescent="0.35">
      <c r="A308" s="45">
        <v>44743</v>
      </c>
      <c r="B308" s="63">
        <f>VLOOKUP(A308,'U.S. GDP'!A:B,2,)</f>
        <v>20054.663</v>
      </c>
      <c r="C308" s="63">
        <f>VLOOKUP(A308,PersonalConsumption!A:B,2,)</f>
        <v>14178.562</v>
      </c>
      <c r="D308" s="63">
        <f>VLOOKUP(A308,PrivateInvestment!A:B,2,)</f>
        <v>3653.85</v>
      </c>
      <c r="E308" s="46">
        <f>VLOOKUP(A308,Exports!A:B,2,)</f>
        <v>2604.1370000000002</v>
      </c>
      <c r="F308" s="63">
        <f>VLOOKUP(A308,Imports!A:B,2,)</f>
        <v>3872.9079999999999</v>
      </c>
      <c r="G308" s="46">
        <f>VLOOKUP(A308,Government!A:B,2,)</f>
        <v>3410.625</v>
      </c>
      <c r="H308" s="37">
        <f>Table58[[#This Row],[Personal Consumption]]/Table58[[#This Row],[GDP]]</f>
        <v>0.70699577449892825</v>
      </c>
      <c r="I308" s="37">
        <f>Table58[[#This Row],[Private Investment]]/Table58[[#This Row],[GDP]]</f>
        <v>0.18219453500664656</v>
      </c>
      <c r="J308" s="37">
        <f>Table58[[#This Row],[Exports]]/Table58[[#This Row],[GDP]]</f>
        <v>0.12985194515609663</v>
      </c>
      <c r="K308" s="37">
        <f>-Table58[[#This Row],[Imports]]/Table58[[#This Row],[GDP]]</f>
        <v>-0.19311758068435256</v>
      </c>
      <c r="L308" s="37">
        <f>Table58[[#This Row],[Government]]/Table58[[#This Row],[GDP]]</f>
        <v>0.17006643292884052</v>
      </c>
      <c r="N308" s="58">
        <f>SUM(Table58[[#This Row],[PC%]:[G%]])</f>
        <v>0.99599110690615944</v>
      </c>
      <c r="O308" s="25">
        <f>Table58[[#This Row],[Personal Consumption]]+Table58[[#This Row],[Private Investment]]+Table58[[#This Row],[Exports]]+Table58[[#This Row],[Government]]-Table58[[#This Row],[Imports]]</f>
        <v>19974.266</v>
      </c>
    </row>
    <row r="309" spans="1:15" x14ac:dyDescent="0.35">
      <c r="A309" s="45">
        <v>44835</v>
      </c>
      <c r="B309" s="63">
        <f>VLOOKUP(A309,'U.S. GDP'!A:B,2,)</f>
        <v>20198.091</v>
      </c>
      <c r="C309" s="63">
        <f>VLOOKUP(A309,PersonalConsumption!A:B,2,)</f>
        <v>14252.163</v>
      </c>
      <c r="D309" s="63">
        <f>VLOOKUP(A309,PrivateInvestment!A:B,2,)</f>
        <v>3666.902</v>
      </c>
      <c r="E309" s="63">
        <f>VLOOKUP(A309,Exports!A:B,2,)</f>
        <v>2595.4520000000002</v>
      </c>
      <c r="F309" s="63">
        <f>VLOOKUP(A309,Imports!A:B,2,)</f>
        <v>3827.8690000000001</v>
      </c>
      <c r="G309" s="46">
        <f>VLOOKUP(A309,Government!A:B,2,)</f>
        <v>3441.9079999999999</v>
      </c>
      <c r="H309" s="37">
        <f>Table58[[#This Row],[Personal Consumption]]/Table58[[#This Row],[GDP]]</f>
        <v>0.70561930828017361</v>
      </c>
      <c r="I309" s="37">
        <f>Table58[[#This Row],[Private Investment]]/Table58[[#This Row],[GDP]]</f>
        <v>0.18154695906657714</v>
      </c>
      <c r="J309" s="37">
        <f>Table58[[#This Row],[Exports]]/Table58[[#This Row],[GDP]]</f>
        <v>0.12849986664581323</v>
      </c>
      <c r="K309" s="37">
        <f>-Table58[[#This Row],[Imports]]/Table58[[#This Row],[GDP]]</f>
        <v>-0.18951637558222706</v>
      </c>
      <c r="L309" s="37">
        <f>Table58[[#This Row],[Government]]/Table58[[#This Row],[GDP]]</f>
        <v>0.17040758950932541</v>
      </c>
      <c r="N309" s="58">
        <f>SUM(Table58[[#This Row],[PC%]:[G%]])</f>
        <v>0.99655734791966222</v>
      </c>
      <c r="O309" s="25">
        <f>Table58[[#This Row],[Personal Consumption]]+Table58[[#This Row],[Private Investment]]+Table58[[#This Row],[Exports]]+Table58[[#This Row],[Government]]-Table58[[#This Row],[Imports]]</f>
        <v>20128.556000000004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9"/>
  <sheetViews>
    <sheetView zoomScale="110" zoomScaleNormal="110" workbookViewId="0">
      <pane ySplit="5" topLeftCell="A270" activePane="bottomLeft" state="frozen"/>
      <selection pane="bottomLeft" activeCell="AG272" sqref="AG272"/>
    </sheetView>
  </sheetViews>
  <sheetFormatPr defaultColWidth="10.9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</cols>
  <sheetData>
    <row r="1" spans="1:15" ht="16" customHeight="1" x14ac:dyDescent="0.35">
      <c r="A1" s="72" t="s">
        <v>23</v>
      </c>
      <c r="B1" s="68"/>
      <c r="C1" s="18"/>
      <c r="D1" s="19"/>
      <c r="E1" s="19"/>
      <c r="F1" s="76"/>
      <c r="G1" s="76"/>
      <c r="H1" s="76"/>
      <c r="I1" s="76"/>
      <c r="J1" s="76"/>
      <c r="K1" s="76"/>
      <c r="L1" s="77" t="s">
        <v>54</v>
      </c>
      <c r="M1" s="76"/>
      <c r="N1" s="76"/>
      <c r="O1" s="76"/>
    </row>
    <row r="2" spans="1:15" x14ac:dyDescent="0.35">
      <c r="A2" s="21" t="s">
        <v>55</v>
      </c>
      <c r="B2" s="70"/>
      <c r="C2" s="18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>
        <f>VLOOKUP(A6,Database!A:L,MATCH($A$1,Database!$A$1:$L$1,),)</f>
        <v>1277.44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1298.692</v>
      </c>
      <c r="C7" s="37">
        <f t="shared" ref="C7:C70" si="1">(B7-B6)/B6</f>
        <v>1.6636397795591146E-2</v>
      </c>
      <c r="D7" s="36"/>
      <c r="E7" s="36">
        <f t="shared" si="0"/>
        <v>6.8224703978939649E-2</v>
      </c>
    </row>
    <row r="8" spans="1:15" x14ac:dyDescent="0.35">
      <c r="A8" s="35">
        <v>17349</v>
      </c>
      <c r="B8" s="63">
        <f>VLOOKUP(A8,Database!A:L,MATCH($A$1,Database!$A$1:$L$1,),)</f>
        <v>1302.925</v>
      </c>
      <c r="C8" s="37">
        <f t="shared" si="1"/>
        <v>3.2594333375426561E-3</v>
      </c>
      <c r="D8" s="36"/>
      <c r="E8" s="36">
        <f t="shared" si="0"/>
        <v>1.3101615408778633E-2</v>
      </c>
    </row>
    <row r="9" spans="1:15" x14ac:dyDescent="0.35">
      <c r="A9" s="35">
        <v>17441</v>
      </c>
      <c r="B9" s="63">
        <f>VLOOKUP(A9,Database!A:L,MATCH($A$1,Database!$A$1:$L$1,),)</f>
        <v>1303.3399999999999</v>
      </c>
      <c r="C9" s="37">
        <f t="shared" si="1"/>
        <v>3.185141124776665E-4</v>
      </c>
      <c r="D9" s="36"/>
      <c r="E9" s="36">
        <f t="shared" si="0"/>
        <v>1.2746652866149066E-3</v>
      </c>
    </row>
    <row r="10" spans="1:15" x14ac:dyDescent="0.35">
      <c r="A10" s="35">
        <v>17533</v>
      </c>
      <c r="B10" s="63">
        <f>VLOOKUP(A10,Database!A:L,MATCH($A$1,Database!$A$1:$L$1,),)</f>
        <v>1309.8340000000001</v>
      </c>
      <c r="C10" s="37">
        <f t="shared" si="1"/>
        <v>4.9825832092931562E-3</v>
      </c>
      <c r="D10" s="36">
        <f t="shared" ref="D10:D73" si="2">(B10-B6)/B6</f>
        <v>2.5358529559118239E-2</v>
      </c>
      <c r="E10" s="36">
        <f t="shared" si="0"/>
        <v>2.0079785059277322E-2</v>
      </c>
    </row>
    <row r="11" spans="1:15" x14ac:dyDescent="0.35">
      <c r="A11" s="35">
        <v>17624</v>
      </c>
      <c r="B11" s="63">
        <f>VLOOKUP(A11,Database!A:L,MATCH($A$1,Database!$A$1:$L$1,),)</f>
        <v>1325.075</v>
      </c>
      <c r="C11" s="37">
        <f t="shared" si="1"/>
        <v>1.1635825608435867E-2</v>
      </c>
      <c r="D11" s="36">
        <f t="shared" si="2"/>
        <v>2.0315055455797093E-2</v>
      </c>
      <c r="E11" s="36">
        <f t="shared" si="0"/>
        <v>4.7361977001565414E-2</v>
      </c>
    </row>
    <row r="12" spans="1:15" x14ac:dyDescent="0.35">
      <c r="A12" s="35">
        <v>17715</v>
      </c>
      <c r="B12" s="63">
        <f>VLOOKUP(A12,Database!A:L,MATCH($A$1,Database!$A$1:$L$1,),)</f>
        <v>1327.0309999999999</v>
      </c>
      <c r="C12" s="37">
        <f t="shared" si="1"/>
        <v>1.4761428598380497E-3</v>
      </c>
      <c r="D12" s="36">
        <f t="shared" si="2"/>
        <v>1.8501448663583855E-2</v>
      </c>
      <c r="E12" s="36">
        <f t="shared" si="0"/>
        <v>5.9176582966038449E-3</v>
      </c>
    </row>
    <row r="13" spans="1:15" x14ac:dyDescent="0.35">
      <c r="A13" s="35">
        <v>17807</v>
      </c>
      <c r="B13" s="63">
        <f>VLOOKUP(A13,Database!A:L,MATCH($A$1,Database!$A$1:$L$1,),)</f>
        <v>1337.6220000000001</v>
      </c>
      <c r="C13" s="37">
        <f t="shared" si="1"/>
        <v>7.9809740691815963E-3</v>
      </c>
      <c r="D13" s="36">
        <f t="shared" si="2"/>
        <v>2.6303190265011551E-2</v>
      </c>
      <c r="E13" s="36">
        <f t="shared" si="0"/>
        <v>3.2308109439266319E-2</v>
      </c>
    </row>
    <row r="14" spans="1:15" x14ac:dyDescent="0.35">
      <c r="A14" s="35">
        <v>17899</v>
      </c>
      <c r="B14" s="63">
        <f>VLOOKUP(A14,Database!A:L,MATCH($A$1,Database!$A$1:$L$1,),)</f>
        <v>1339.787</v>
      </c>
      <c r="C14" s="37">
        <f t="shared" si="1"/>
        <v>1.6185439533739454E-3</v>
      </c>
      <c r="D14" s="36">
        <f t="shared" si="2"/>
        <v>2.286778324581586E-2</v>
      </c>
      <c r="E14" s="36">
        <f t="shared" si="0"/>
        <v>6.4899108878311296E-3</v>
      </c>
    </row>
    <row r="15" spans="1:15" x14ac:dyDescent="0.35">
      <c r="A15" s="35">
        <v>17989</v>
      </c>
      <c r="B15" s="63">
        <f>VLOOKUP(A15,Database!A:L,MATCH($A$1,Database!$A$1:$L$1,),)</f>
        <v>1360.3219999999999</v>
      </c>
      <c r="C15" s="37">
        <f t="shared" si="1"/>
        <v>1.5327063182431128E-2</v>
      </c>
      <c r="D15" s="36">
        <f t="shared" si="2"/>
        <v>2.6600003773371201E-2</v>
      </c>
      <c r="E15" s="36">
        <f t="shared" si="0"/>
        <v>6.2732223576582813E-2</v>
      </c>
    </row>
    <row r="16" spans="1:15" x14ac:dyDescent="0.35">
      <c r="A16" s="35">
        <v>18080</v>
      </c>
      <c r="B16" s="63">
        <f>VLOOKUP(A16,Database!A:L,MATCH($A$1,Database!$A$1:$L$1,),)</f>
        <v>1363.4069999999999</v>
      </c>
      <c r="C16" s="37">
        <f t="shared" si="1"/>
        <v>2.2678454071903835E-3</v>
      </c>
      <c r="D16" s="36">
        <f t="shared" si="2"/>
        <v>2.7411567627282241E-2</v>
      </c>
      <c r="E16" s="36">
        <f t="shared" si="0"/>
        <v>9.1022870471888506E-3</v>
      </c>
    </row>
    <row r="17" spans="1:5" x14ac:dyDescent="0.35">
      <c r="A17" s="35">
        <v>18172</v>
      </c>
      <c r="B17" s="63">
        <f>VLOOKUP(A17,Database!A:L,MATCH($A$1,Database!$A$1:$L$1,),)</f>
        <v>1383.396</v>
      </c>
      <c r="C17" s="37">
        <f t="shared" si="1"/>
        <v>1.4661065991299762E-2</v>
      </c>
      <c r="D17" s="36">
        <f t="shared" si="2"/>
        <v>3.4220429986946896E-2</v>
      </c>
      <c r="E17" s="36">
        <f t="shared" si="0"/>
        <v>5.9946596703519539E-2</v>
      </c>
    </row>
    <row r="18" spans="1:5" x14ac:dyDescent="0.35">
      <c r="A18" s="35">
        <v>18264</v>
      </c>
      <c r="B18" s="63">
        <f>VLOOKUP(A18,Database!A:L,MATCH($A$1,Database!$A$1:$L$1,),)</f>
        <v>1406.4290000000001</v>
      </c>
      <c r="C18" s="37">
        <f t="shared" si="1"/>
        <v>1.6649607198517366E-2</v>
      </c>
      <c r="D18" s="36">
        <f t="shared" si="2"/>
        <v>4.9740742371735244E-2</v>
      </c>
      <c r="E18" s="36">
        <f t="shared" si="0"/>
        <v>6.8280223870131218E-2</v>
      </c>
    </row>
    <row r="19" spans="1:5" x14ac:dyDescent="0.35">
      <c r="A19" s="35">
        <v>18354</v>
      </c>
      <c r="B19" s="63">
        <f>VLOOKUP(A19,Database!A:L,MATCH($A$1,Database!$A$1:$L$1,),)</f>
        <v>1429.5909999999999</v>
      </c>
      <c r="C19" s="37">
        <f t="shared" si="1"/>
        <v>1.6468659278214403E-2</v>
      </c>
      <c r="D19" s="36">
        <f t="shared" si="2"/>
        <v>5.0921031932145484E-2</v>
      </c>
      <c r="E19" s="36">
        <f t="shared" si="0"/>
        <v>6.7519877406130968E-2</v>
      </c>
    </row>
    <row r="20" spans="1:5" x14ac:dyDescent="0.35">
      <c r="A20" s="35">
        <v>18445</v>
      </c>
      <c r="B20" s="63">
        <f>VLOOKUP(A20,Database!A:L,MATCH($A$1,Database!$A$1:$L$1,),)</f>
        <v>1503.0029999999999</v>
      </c>
      <c r="C20" s="37">
        <f t="shared" si="1"/>
        <v>5.1351750255842432E-2</v>
      </c>
      <c r="D20" s="36">
        <f t="shared" si="2"/>
        <v>0.10238762159795278</v>
      </c>
      <c r="E20" s="36">
        <f t="shared" si="0"/>
        <v>0.22177762705504556</v>
      </c>
    </row>
    <row r="21" spans="1:5" x14ac:dyDescent="0.35">
      <c r="A21" s="35">
        <v>18537</v>
      </c>
      <c r="B21" s="63">
        <f>VLOOKUP(A21,Database!A:L,MATCH($A$1,Database!$A$1:$L$1,),)</f>
        <v>1457.694</v>
      </c>
      <c r="C21" s="37">
        <f t="shared" si="1"/>
        <v>-3.0145648411879399E-2</v>
      </c>
      <c r="D21" s="36">
        <f t="shared" si="2"/>
        <v>5.3706964600157878E-2</v>
      </c>
      <c r="E21" s="36">
        <f t="shared" si="0"/>
        <v>-0.11523878774558194</v>
      </c>
    </row>
    <row r="22" spans="1:5" x14ac:dyDescent="0.35">
      <c r="A22" s="35">
        <v>18629</v>
      </c>
      <c r="B22" s="63">
        <f>VLOOKUP(A22,Database!A:L,MATCH($A$1,Database!$A$1:$L$1,),)</f>
        <v>1492.942</v>
      </c>
      <c r="C22" s="37">
        <f t="shared" si="1"/>
        <v>2.418065794329952E-2</v>
      </c>
      <c r="D22" s="36">
        <f t="shared" si="2"/>
        <v>6.1512525694507089E-2</v>
      </c>
      <c r="E22" s="36">
        <f t="shared" si="0"/>
        <v>0.10028775309447546</v>
      </c>
    </row>
    <row r="23" spans="1:5" x14ac:dyDescent="0.35">
      <c r="A23" s="35">
        <v>18719</v>
      </c>
      <c r="B23" s="63">
        <f>VLOOKUP(A23,Database!A:L,MATCH($A$1,Database!$A$1:$L$1,),)</f>
        <v>1450.7529999999999</v>
      </c>
      <c r="C23" s="37">
        <f t="shared" si="1"/>
        <v>-2.8258967863453555E-2</v>
      </c>
      <c r="D23" s="36">
        <f t="shared" si="2"/>
        <v>1.4802835216506004E-2</v>
      </c>
      <c r="E23" s="36">
        <f t="shared" si="0"/>
        <v>-0.10833408512544984</v>
      </c>
    </row>
    <row r="24" spans="1:5" x14ac:dyDescent="0.35">
      <c r="A24" s="35">
        <v>18810</v>
      </c>
      <c r="B24" s="63">
        <f>VLOOKUP(A24,Database!A:L,MATCH($A$1,Database!$A$1:$L$1,),)</f>
        <v>1467.654</v>
      </c>
      <c r="C24" s="37">
        <f t="shared" si="1"/>
        <v>1.16498122009743E-2</v>
      </c>
      <c r="D24" s="36">
        <f t="shared" si="2"/>
        <v>-2.351891513190588E-2</v>
      </c>
      <c r="E24" s="36">
        <f t="shared" si="0"/>
        <v>4.7419900331856502E-2</v>
      </c>
    </row>
    <row r="25" spans="1:5" x14ac:dyDescent="0.35">
      <c r="A25" s="35">
        <v>18902</v>
      </c>
      <c r="B25" s="63">
        <f>VLOOKUP(A25,Database!A:L,MATCH($A$1,Database!$A$1:$L$1,),)</f>
        <v>1476.2049999999999</v>
      </c>
      <c r="C25" s="37">
        <f t="shared" si="1"/>
        <v>5.8263051100599537E-3</v>
      </c>
      <c r="D25" s="36">
        <f t="shared" si="2"/>
        <v>1.26988243074335E-2</v>
      </c>
      <c r="E25" s="36">
        <f t="shared" si="0"/>
        <v>2.3509687695052461E-2</v>
      </c>
    </row>
    <row r="26" spans="1:5" x14ac:dyDescent="0.35">
      <c r="A26" s="35">
        <v>18994</v>
      </c>
      <c r="B26" s="63">
        <f>VLOOKUP(A26,Database!A:L,MATCH($A$1,Database!$A$1:$L$1,),)</f>
        <v>1479.625</v>
      </c>
      <c r="C26" s="37">
        <f t="shared" si="1"/>
        <v>2.31675139970402E-3</v>
      </c>
      <c r="D26" s="36">
        <f t="shared" si="2"/>
        <v>-8.91997143894405E-3</v>
      </c>
      <c r="E26" s="36">
        <f t="shared" si="0"/>
        <v>9.2992593890548481E-3</v>
      </c>
    </row>
    <row r="27" spans="1:5" x14ac:dyDescent="0.35">
      <c r="A27" s="35">
        <v>19085</v>
      </c>
      <c r="B27" s="63">
        <f>VLOOKUP(A27,Database!A:L,MATCH($A$1,Database!$A$1:$L$1,),)</f>
        <v>1508.6010000000001</v>
      </c>
      <c r="C27" s="37">
        <f t="shared" si="1"/>
        <v>1.9583340373405499E-2</v>
      </c>
      <c r="D27" s="36">
        <f t="shared" si="2"/>
        <v>3.9874465191524808E-2</v>
      </c>
      <c r="E27" s="36">
        <f t="shared" si="0"/>
        <v>8.0664593302208321E-2</v>
      </c>
    </row>
    <row r="28" spans="1:5" x14ac:dyDescent="0.35">
      <c r="A28" s="35">
        <v>19176</v>
      </c>
      <c r="B28" s="63">
        <f>VLOOKUP(A28,Database!A:L,MATCH($A$1,Database!$A$1:$L$1,),)</f>
        <v>1515.837</v>
      </c>
      <c r="C28" s="37">
        <f t="shared" si="1"/>
        <v>4.7964968868507152E-3</v>
      </c>
      <c r="D28" s="36">
        <f t="shared" si="2"/>
        <v>3.2829944932524967E-2</v>
      </c>
      <c r="E28" s="36">
        <f t="shared" si="0"/>
        <v>1.9324467771176357E-2</v>
      </c>
    </row>
    <row r="29" spans="1:5" x14ac:dyDescent="0.35">
      <c r="A29" s="35">
        <v>19268</v>
      </c>
      <c r="B29" s="63">
        <f>VLOOKUP(A29,Database!A:L,MATCH($A$1,Database!$A$1:$L$1,),)</f>
        <v>1569.3130000000001</v>
      </c>
      <c r="C29" s="37">
        <f t="shared" si="1"/>
        <v>3.5278199437010785E-2</v>
      </c>
      <c r="D29" s="36">
        <f t="shared" si="2"/>
        <v>6.3072540737905761E-2</v>
      </c>
      <c r="E29" s="36">
        <f t="shared" si="0"/>
        <v>0.14875727691294305</v>
      </c>
    </row>
    <row r="30" spans="1:5" x14ac:dyDescent="0.35">
      <c r="A30" s="35">
        <v>19360</v>
      </c>
      <c r="B30" s="63">
        <f>VLOOKUP(A30,Database!A:L,MATCH($A$1,Database!$A$1:$L$1,),)</f>
        <v>1587.7429999999999</v>
      </c>
      <c r="C30" s="37">
        <f t="shared" si="1"/>
        <v>1.1743992434906125E-2</v>
      </c>
      <c r="D30" s="36">
        <f t="shared" si="2"/>
        <v>7.307121736926582E-2</v>
      </c>
      <c r="E30" s="36">
        <f t="shared" si="0"/>
        <v>4.7809995901346491E-2</v>
      </c>
    </row>
    <row r="31" spans="1:5" x14ac:dyDescent="0.35">
      <c r="A31" s="35">
        <v>19450</v>
      </c>
      <c r="B31" s="63">
        <f>VLOOKUP(A31,Database!A:L,MATCH($A$1,Database!$A$1:$L$1,),)</f>
        <v>1597.3019999999999</v>
      </c>
      <c r="C31" s="37">
        <f t="shared" si="1"/>
        <v>6.0204957603339892E-3</v>
      </c>
      <c r="D31" s="36">
        <f t="shared" si="2"/>
        <v>5.8796858811574294E-2</v>
      </c>
      <c r="E31" s="36">
        <f t="shared" si="0"/>
        <v>2.4300335454785271E-2</v>
      </c>
    </row>
    <row r="32" spans="1:5" x14ac:dyDescent="0.35">
      <c r="A32" s="35">
        <v>19541</v>
      </c>
      <c r="B32" s="63">
        <f>VLOOKUP(A32,Database!A:L,MATCH($A$1,Database!$A$1:$L$1,),)</f>
        <v>1593.4970000000001</v>
      </c>
      <c r="C32" s="37">
        <f t="shared" si="1"/>
        <v>-2.3821418867564408E-3</v>
      </c>
      <c r="D32" s="36">
        <f t="shared" si="2"/>
        <v>5.1232421427897648E-2</v>
      </c>
      <c r="E32" s="36">
        <f t="shared" si="0"/>
        <v>-9.4945739858220968E-3</v>
      </c>
    </row>
    <row r="33" spans="1:5" x14ac:dyDescent="0.35">
      <c r="A33" s="35">
        <v>19633</v>
      </c>
      <c r="B33" s="63">
        <f>VLOOKUP(A33,Database!A:L,MATCH($A$1,Database!$A$1:$L$1,),)</f>
        <v>1582.8119999999999</v>
      </c>
      <c r="C33" s="37">
        <f t="shared" si="1"/>
        <v>-6.7053781714055136E-3</v>
      </c>
      <c r="D33" s="36">
        <f t="shared" si="2"/>
        <v>8.6018531675961362E-3</v>
      </c>
      <c r="E33" s="36">
        <f t="shared" si="0"/>
        <v>-2.6552944036941972E-2</v>
      </c>
    </row>
    <row r="34" spans="1:5" x14ac:dyDescent="0.35">
      <c r="A34" s="35">
        <v>19725</v>
      </c>
      <c r="B34" s="63">
        <f>VLOOKUP(A34,Database!A:L,MATCH($A$1,Database!$A$1:$L$1,),)</f>
        <v>1588.65</v>
      </c>
      <c r="C34" s="37">
        <f t="shared" si="1"/>
        <v>3.6883723398610782E-3</v>
      </c>
      <c r="D34" s="36">
        <f t="shared" si="2"/>
        <v>5.712511407703595E-4</v>
      </c>
      <c r="E34" s="36">
        <f t="shared" si="0"/>
        <v>1.4835314795424992E-2</v>
      </c>
    </row>
    <row r="35" spans="1:5" x14ac:dyDescent="0.35">
      <c r="A35" s="35">
        <v>19815</v>
      </c>
      <c r="B35" s="63">
        <f>VLOOKUP(A35,Database!A:L,MATCH($A$1,Database!$A$1:$L$1,),)</f>
        <v>1609.28</v>
      </c>
      <c r="C35" s="37">
        <f t="shared" si="1"/>
        <v>1.2985868504705178E-2</v>
      </c>
      <c r="D35" s="36">
        <f t="shared" si="2"/>
        <v>7.4988950117135435E-3</v>
      </c>
      <c r="E35" s="36">
        <f t="shared" si="0"/>
        <v>5.2964058513233159E-2</v>
      </c>
    </row>
    <row r="36" spans="1:5" x14ac:dyDescent="0.35">
      <c r="A36" s="35">
        <v>19906</v>
      </c>
      <c r="B36" s="63">
        <f>VLOOKUP(A36,Database!A:L,MATCH($A$1,Database!$A$1:$L$1,),)</f>
        <v>1631.059</v>
      </c>
      <c r="C36" s="37">
        <f t="shared" si="1"/>
        <v>1.3533381387949888E-2</v>
      </c>
      <c r="D36" s="36">
        <f t="shared" si="2"/>
        <v>2.3572055673779051E-2</v>
      </c>
      <c r="E36" s="36">
        <f t="shared" si="0"/>
        <v>5.5242388253119445E-2</v>
      </c>
    </row>
    <row r="37" spans="1:5" x14ac:dyDescent="0.35">
      <c r="A37" s="35">
        <v>19998</v>
      </c>
      <c r="B37" s="63">
        <f>VLOOKUP(A37,Database!A:L,MATCH($A$1,Database!$A$1:$L$1,),)</f>
        <v>1665.2909999999999</v>
      </c>
      <c r="C37" s="37">
        <f t="shared" si="1"/>
        <v>2.0987591497303268E-2</v>
      </c>
      <c r="D37" s="36">
        <f t="shared" si="2"/>
        <v>5.2109157625795134E-2</v>
      </c>
      <c r="E37" s="36">
        <f t="shared" si="0"/>
        <v>8.6630412365102494E-2</v>
      </c>
    </row>
    <row r="38" spans="1:5" x14ac:dyDescent="0.35">
      <c r="A38" s="35">
        <v>20090</v>
      </c>
      <c r="B38" s="63">
        <f>VLOOKUP(A38,Database!A:L,MATCH($A$1,Database!$A$1:$L$1,),)</f>
        <v>1702.6559999999999</v>
      </c>
      <c r="C38" s="37">
        <f t="shared" si="1"/>
        <v>2.2437519928949361E-2</v>
      </c>
      <c r="D38" s="36">
        <f t="shared" si="2"/>
        <v>7.1762817486545089E-2</v>
      </c>
      <c r="E38" s="36">
        <f t="shared" si="0"/>
        <v>9.2816170959926891E-2</v>
      </c>
    </row>
    <row r="39" spans="1:5" x14ac:dyDescent="0.35">
      <c r="A39" s="35">
        <v>20180</v>
      </c>
      <c r="B39" s="63">
        <f>VLOOKUP(A39,Database!A:L,MATCH($A$1,Database!$A$1:$L$1,),)</f>
        <v>1735.2739999999999</v>
      </c>
      <c r="C39" s="37">
        <f t="shared" si="1"/>
        <v>1.9157128627274058E-2</v>
      </c>
      <c r="D39" s="36">
        <f t="shared" si="2"/>
        <v>7.8292155498110902E-2</v>
      </c>
      <c r="E39" s="36">
        <f t="shared" si="0"/>
        <v>7.8858744984216633E-2</v>
      </c>
    </row>
    <row r="40" spans="1:5" x14ac:dyDescent="0.35">
      <c r="A40" s="35">
        <v>20271</v>
      </c>
      <c r="B40" s="63">
        <f>VLOOKUP(A40,Database!A:L,MATCH($A$1,Database!$A$1:$L$1,),)</f>
        <v>1756.7070000000001</v>
      </c>
      <c r="C40" s="37">
        <f t="shared" si="1"/>
        <v>1.235136353106208E-2</v>
      </c>
      <c r="D40" s="36">
        <f t="shared" si="2"/>
        <v>7.7034613708026584E-2</v>
      </c>
      <c r="E40" s="36">
        <f t="shared" si="0"/>
        <v>5.0328351591501175E-2</v>
      </c>
    </row>
    <row r="41" spans="1:5" x14ac:dyDescent="0.35">
      <c r="A41" s="35">
        <v>20363</v>
      </c>
      <c r="B41" s="63">
        <f>VLOOKUP(A41,Database!A:L,MATCH($A$1,Database!$A$1:$L$1,),)</f>
        <v>1778.7670000000001</v>
      </c>
      <c r="C41" s="37">
        <f t="shared" si="1"/>
        <v>1.2557586438717409E-2</v>
      </c>
      <c r="D41" s="36">
        <f t="shared" si="2"/>
        <v>6.8141844278267347E-2</v>
      </c>
      <c r="E41" s="36">
        <f t="shared" si="0"/>
        <v>5.1184449457706283E-2</v>
      </c>
    </row>
    <row r="42" spans="1:5" x14ac:dyDescent="0.35">
      <c r="A42" s="35">
        <v>20455</v>
      </c>
      <c r="B42" s="63">
        <f>VLOOKUP(A42,Database!A:L,MATCH($A$1,Database!$A$1:$L$1,),)</f>
        <v>1781.6569999999999</v>
      </c>
      <c r="C42" s="37">
        <f t="shared" si="1"/>
        <v>1.6247209443394624E-3</v>
      </c>
      <c r="D42" s="36">
        <f t="shared" si="2"/>
        <v>4.6398685348067945E-2</v>
      </c>
      <c r="E42" s="36">
        <f t="shared" si="0"/>
        <v>6.5147392484290467E-3</v>
      </c>
    </row>
    <row r="43" spans="1:5" x14ac:dyDescent="0.35">
      <c r="A43" s="35">
        <v>20546</v>
      </c>
      <c r="B43" s="63">
        <f>VLOOKUP(A43,Database!A:L,MATCH($A$1,Database!$A$1:$L$1,),)</f>
        <v>1787.5830000000001</v>
      </c>
      <c r="C43" s="37">
        <f t="shared" si="1"/>
        <v>3.3261172043778115E-3</v>
      </c>
      <c r="D43" s="36">
        <f t="shared" si="2"/>
        <v>3.0144518963575895E-2</v>
      </c>
      <c r="E43" s="36">
        <f t="shared" si="0"/>
        <v>1.3370994461925578E-2</v>
      </c>
    </row>
    <row r="44" spans="1:5" x14ac:dyDescent="0.35">
      <c r="A44" s="35">
        <v>20637</v>
      </c>
      <c r="B44" s="63">
        <f>VLOOKUP(A44,Database!A:L,MATCH($A$1,Database!$A$1:$L$1,),)</f>
        <v>1791.625</v>
      </c>
      <c r="C44" s="37">
        <f t="shared" si="1"/>
        <v>2.261153747825928E-3</v>
      </c>
      <c r="D44" s="36">
        <f t="shared" si="2"/>
        <v>1.9876962976751324E-2</v>
      </c>
      <c r="E44" s="36">
        <f t="shared" si="0"/>
        <v>9.0753381585269022E-3</v>
      </c>
    </row>
    <row r="45" spans="1:5" x14ac:dyDescent="0.35">
      <c r="A45" s="35">
        <v>20729</v>
      </c>
      <c r="B45" s="63">
        <f>VLOOKUP(A45,Database!A:L,MATCH($A$1,Database!$A$1:$L$1,),)</f>
        <v>1816.3240000000001</v>
      </c>
      <c r="C45" s="37">
        <f t="shared" si="1"/>
        <v>1.378580897230172E-2</v>
      </c>
      <c r="D45" s="36">
        <f t="shared" si="2"/>
        <v>2.1114063843100314E-2</v>
      </c>
      <c r="E45" s="36">
        <f t="shared" si="0"/>
        <v>5.6294043072641076E-2</v>
      </c>
    </row>
    <row r="46" spans="1:5" x14ac:dyDescent="0.35">
      <c r="A46" s="35">
        <v>20821</v>
      </c>
      <c r="B46" s="63">
        <f>VLOOKUP(A46,Database!A:L,MATCH($A$1,Database!$A$1:$L$1,),)</f>
        <v>1828.9559999999999</v>
      </c>
      <c r="C46" s="37">
        <f t="shared" si="1"/>
        <v>6.9547063189165778E-3</v>
      </c>
      <c r="D46" s="36">
        <f t="shared" si="2"/>
        <v>2.654775863143129E-2</v>
      </c>
      <c r="E46" s="36">
        <f t="shared" si="0"/>
        <v>2.8110380794289513E-2</v>
      </c>
    </row>
    <row r="47" spans="1:5" x14ac:dyDescent="0.35">
      <c r="A47" s="35">
        <v>20911</v>
      </c>
      <c r="B47" s="63">
        <f>VLOOKUP(A47,Database!A:L,MATCH($A$1,Database!$A$1:$L$1,),)</f>
        <v>1832.145</v>
      </c>
      <c r="C47" s="37">
        <f t="shared" si="1"/>
        <v>1.7436176704087351E-3</v>
      </c>
      <c r="D47" s="36">
        <f t="shared" si="2"/>
        <v>2.4928632684468301E-2</v>
      </c>
      <c r="E47" s="36">
        <f t="shared" si="0"/>
        <v>6.9927331101646839E-3</v>
      </c>
    </row>
    <row r="48" spans="1:5" x14ac:dyDescent="0.35">
      <c r="A48" s="35">
        <v>21002</v>
      </c>
      <c r="B48" s="63">
        <f>VLOOKUP(A48,Database!A:L,MATCH($A$1,Database!$A$1:$L$1,),)</f>
        <v>1846.623</v>
      </c>
      <c r="C48" s="37">
        <f t="shared" si="1"/>
        <v>7.9022129798678956E-3</v>
      </c>
      <c r="D48" s="36">
        <f t="shared" si="2"/>
        <v>3.0697272029582109E-2</v>
      </c>
      <c r="E48" s="36">
        <f t="shared" si="0"/>
        <v>3.1985499452529709E-2</v>
      </c>
    </row>
    <row r="49" spans="1:5" x14ac:dyDescent="0.35">
      <c r="A49" s="35">
        <v>21094</v>
      </c>
      <c r="B49" s="63">
        <f>VLOOKUP(A49,Database!A:L,MATCH($A$1,Database!$A$1:$L$1,),)</f>
        <v>1847.3910000000001</v>
      </c>
      <c r="C49" s="37">
        <f t="shared" si="1"/>
        <v>4.1589431085826891E-4</v>
      </c>
      <c r="D49" s="36">
        <f t="shared" si="2"/>
        <v>1.7104327201534531E-2</v>
      </c>
      <c r="E49" s="36">
        <f t="shared" si="0"/>
        <v>1.6646153396757679E-3</v>
      </c>
    </row>
    <row r="50" spans="1:5" x14ac:dyDescent="0.35">
      <c r="A50" s="35">
        <v>21186</v>
      </c>
      <c r="B50" s="63">
        <f>VLOOKUP(A50,Database!A:L,MATCH($A$1,Database!$A$1:$L$1,),)</f>
        <v>1821.8340000000001</v>
      </c>
      <c r="C50" s="37">
        <f t="shared" si="1"/>
        <v>-1.3834104420775036E-2</v>
      </c>
      <c r="D50" s="36">
        <f t="shared" si="2"/>
        <v>-3.8940247879117071E-3</v>
      </c>
      <c r="E50" s="36">
        <f t="shared" si="0"/>
        <v>-5.419867680403101E-2</v>
      </c>
    </row>
    <row r="51" spans="1:5" x14ac:dyDescent="0.35">
      <c r="A51" s="35">
        <v>21276</v>
      </c>
      <c r="B51" s="63">
        <f>VLOOKUP(A51,Database!A:L,MATCH($A$1,Database!$A$1:$L$1,),)</f>
        <v>1836.8969999999999</v>
      </c>
      <c r="C51" s="37">
        <f t="shared" si="1"/>
        <v>8.2680419840665369E-3</v>
      </c>
      <c r="D51" s="36">
        <f t="shared" si="2"/>
        <v>2.593681176981054E-3</v>
      </c>
      <c r="E51" s="36">
        <f t="shared" si="0"/>
        <v>3.3484596549468559E-2</v>
      </c>
    </row>
    <row r="52" spans="1:5" x14ac:dyDescent="0.35">
      <c r="A52" s="35">
        <v>21367</v>
      </c>
      <c r="B52" s="63">
        <f>VLOOKUP(A52,Database!A:L,MATCH($A$1,Database!$A$1:$L$1,),)</f>
        <v>1867.373</v>
      </c>
      <c r="C52" s="37">
        <f t="shared" si="1"/>
        <v>1.659102279550792E-2</v>
      </c>
      <c r="D52" s="36">
        <f t="shared" si="2"/>
        <v>1.1236727799881188E-2</v>
      </c>
      <c r="E52" s="36">
        <f t="shared" si="0"/>
        <v>6.8034006690576687E-2</v>
      </c>
    </row>
    <row r="53" spans="1:5" x14ac:dyDescent="0.35">
      <c r="A53" s="35">
        <v>21459</v>
      </c>
      <c r="B53" s="63">
        <f>VLOOKUP(A53,Database!A:L,MATCH($A$1,Database!$A$1:$L$1,),)</f>
        <v>1892.7380000000001</v>
      </c>
      <c r="C53" s="37">
        <f t="shared" si="1"/>
        <v>1.3583253051211519E-2</v>
      </c>
      <c r="D53" s="36">
        <f t="shared" si="2"/>
        <v>2.4546509103920058E-2</v>
      </c>
      <c r="E53" s="36">
        <f t="shared" si="0"/>
        <v>5.545009952713742E-2</v>
      </c>
    </row>
    <row r="54" spans="1:5" x14ac:dyDescent="0.35">
      <c r="A54" s="35">
        <v>21551</v>
      </c>
      <c r="B54" s="63">
        <f>VLOOKUP(A54,Database!A:L,MATCH($A$1,Database!$A$1:$L$1,),)</f>
        <v>1927.43</v>
      </c>
      <c r="C54" s="37">
        <f t="shared" si="1"/>
        <v>1.8329002746286072E-2</v>
      </c>
      <c r="D54" s="36">
        <f t="shared" si="2"/>
        <v>5.7961372990074839E-2</v>
      </c>
      <c r="E54" s="36">
        <f t="shared" si="0"/>
        <v>7.5356468584732994E-2</v>
      </c>
    </row>
    <row r="55" spans="1:5" x14ac:dyDescent="0.35">
      <c r="A55" s="35">
        <v>21641</v>
      </c>
      <c r="B55" s="63">
        <f>VLOOKUP(A55,Database!A:L,MATCH($A$1,Database!$A$1:$L$1,),)</f>
        <v>1957.1969999999999</v>
      </c>
      <c r="C55" s="37">
        <f t="shared" si="1"/>
        <v>1.544388123044667E-2</v>
      </c>
      <c r="D55" s="36">
        <f t="shared" si="2"/>
        <v>6.5490879455952056E-2</v>
      </c>
      <c r="E55" s="36">
        <f t="shared" si="0"/>
        <v>6.3221396909874938E-2</v>
      </c>
    </row>
    <row r="56" spans="1:5" x14ac:dyDescent="0.35">
      <c r="A56" s="35">
        <v>21732</v>
      </c>
      <c r="B56" s="63">
        <f>VLOOKUP(A56,Database!A:L,MATCH($A$1,Database!$A$1:$L$1,),)</f>
        <v>1977.643</v>
      </c>
      <c r="C56" s="37">
        <f t="shared" si="1"/>
        <v>1.0446572317452021E-2</v>
      </c>
      <c r="D56" s="36">
        <f t="shared" si="2"/>
        <v>5.9050869858351798E-2</v>
      </c>
      <c r="E56" s="36">
        <f t="shared" si="0"/>
        <v>4.2445646592693453E-2</v>
      </c>
    </row>
    <row r="57" spans="1:5" x14ac:dyDescent="0.35">
      <c r="A57" s="35">
        <v>21824</v>
      </c>
      <c r="B57" s="63">
        <f>VLOOKUP(A57,Database!A:L,MATCH($A$1,Database!$A$1:$L$1,),)</f>
        <v>1979.8710000000001</v>
      </c>
      <c r="C57" s="37">
        <f t="shared" si="1"/>
        <v>1.1265936268578633E-3</v>
      </c>
      <c r="D57" s="36">
        <f t="shared" si="2"/>
        <v>4.6035425927941444E-2</v>
      </c>
      <c r="E57" s="36">
        <f t="shared" si="0"/>
        <v>4.5139955077928562E-3</v>
      </c>
    </row>
    <row r="58" spans="1:5" x14ac:dyDescent="0.35">
      <c r="A58" s="35">
        <v>21916</v>
      </c>
      <c r="B58" s="63">
        <f>VLOOKUP(A58,Database!A:L,MATCH($A$1,Database!$A$1:$L$1,),)</f>
        <v>1998.8109999999999</v>
      </c>
      <c r="C58" s="37">
        <f t="shared" si="1"/>
        <v>9.5662798232813272E-3</v>
      </c>
      <c r="D58" s="36">
        <f t="shared" si="2"/>
        <v>3.7034289183005276E-2</v>
      </c>
      <c r="E58" s="36">
        <f t="shared" si="0"/>
        <v>3.8817711708845515E-2</v>
      </c>
    </row>
    <row r="59" spans="1:5" x14ac:dyDescent="0.35">
      <c r="A59" s="35">
        <v>22007</v>
      </c>
      <c r="B59" s="63">
        <f>VLOOKUP(A59,Database!A:L,MATCH($A$1,Database!$A$1:$L$1,),)</f>
        <v>2024.0250000000001</v>
      </c>
      <c r="C59" s="37">
        <f t="shared" si="1"/>
        <v>1.2614499319845733E-2</v>
      </c>
      <c r="D59" s="36">
        <f t="shared" si="2"/>
        <v>3.4144748842349651E-2</v>
      </c>
      <c r="E59" s="36">
        <f t="shared" si="0"/>
        <v>5.1420805317623275E-2</v>
      </c>
    </row>
    <row r="60" spans="1:5" x14ac:dyDescent="0.35">
      <c r="A60" s="35">
        <v>22098</v>
      </c>
      <c r="B60" s="63">
        <f>VLOOKUP(A60,Database!A:L,MATCH($A$1,Database!$A$1:$L$1,),)</f>
        <v>2015.934</v>
      </c>
      <c r="C60" s="37">
        <f t="shared" si="1"/>
        <v>-3.9974802682773789E-3</v>
      </c>
      <c r="D60" s="36">
        <f t="shared" si="2"/>
        <v>1.9361937417420604E-2</v>
      </c>
      <c r="E60" s="36">
        <f t="shared" si="0"/>
        <v>-1.5894297243298716E-2</v>
      </c>
    </row>
    <row r="61" spans="1:5" x14ac:dyDescent="0.35">
      <c r="A61" s="35">
        <v>22190</v>
      </c>
      <c r="B61" s="63">
        <f>VLOOKUP(A61,Database!A:L,MATCH($A$1,Database!$A$1:$L$1,),)</f>
        <v>2018.5450000000001</v>
      </c>
      <c r="C61" s="37">
        <f t="shared" si="1"/>
        <v>1.2951812906573845E-3</v>
      </c>
      <c r="D61" s="36">
        <f t="shared" si="2"/>
        <v>1.9533595875690878E-2</v>
      </c>
      <c r="E61" s="36">
        <f t="shared" si="0"/>
        <v>5.1907988235360136E-3</v>
      </c>
    </row>
    <row r="62" spans="1:5" x14ac:dyDescent="0.35">
      <c r="A62" s="35">
        <v>22282</v>
      </c>
      <c r="B62" s="63">
        <f>VLOOKUP(A62,Database!A:L,MATCH($A$1,Database!$A$1:$L$1,),)</f>
        <v>2017.7950000000001</v>
      </c>
      <c r="C62" s="37">
        <f t="shared" si="1"/>
        <v>-3.715547585017921E-4</v>
      </c>
      <c r="D62" s="36">
        <f t="shared" si="2"/>
        <v>9.4976463507556001E-3</v>
      </c>
      <c r="E62" s="36">
        <f t="shared" si="0"/>
        <v>-1.4853909215337691E-3</v>
      </c>
    </row>
    <row r="63" spans="1:5" x14ac:dyDescent="0.35">
      <c r="A63" s="35">
        <v>22372</v>
      </c>
      <c r="B63" s="63">
        <f>VLOOKUP(A63,Database!A:L,MATCH($A$1,Database!$A$1:$L$1,),)</f>
        <v>2047.8230000000001</v>
      </c>
      <c r="C63" s="37">
        <f t="shared" si="1"/>
        <v>1.4881591043688788E-2</v>
      </c>
      <c r="D63" s="36">
        <f t="shared" si="2"/>
        <v>1.1757759909092032E-2</v>
      </c>
      <c r="E63" s="36">
        <f t="shared" si="0"/>
        <v>6.0868366544912123E-2</v>
      </c>
    </row>
    <row r="64" spans="1:5" x14ac:dyDescent="0.35">
      <c r="A64" s="35">
        <v>22463</v>
      </c>
      <c r="B64" s="63">
        <f>VLOOKUP(A64,Database!A:L,MATCH($A$1,Database!$A$1:$L$1,),)</f>
        <v>2057.7820000000002</v>
      </c>
      <c r="C64" s="37">
        <f t="shared" si="1"/>
        <v>4.8632132757567715E-3</v>
      </c>
      <c r="D64" s="36">
        <f t="shared" si="2"/>
        <v>2.0758616105487671E-2</v>
      </c>
      <c r="E64" s="36">
        <f t="shared" si="0"/>
        <v>1.9595218798963865E-2</v>
      </c>
    </row>
    <row r="65" spans="1:5" x14ac:dyDescent="0.35">
      <c r="A65" s="35">
        <v>22555</v>
      </c>
      <c r="B65" s="63">
        <f>VLOOKUP(A65,Database!A:L,MATCH($A$1,Database!$A$1:$L$1,),)</f>
        <v>2099.1729999999998</v>
      </c>
      <c r="C65" s="37">
        <f t="shared" si="1"/>
        <v>2.0114375575255115E-2</v>
      </c>
      <c r="D65" s="36">
        <f t="shared" si="2"/>
        <v>3.9943622757976513E-2</v>
      </c>
      <c r="E65" s="36">
        <f t="shared" si="0"/>
        <v>8.2917746769620937E-2</v>
      </c>
    </row>
    <row r="66" spans="1:5" x14ac:dyDescent="0.35">
      <c r="A66" s="35">
        <v>22647</v>
      </c>
      <c r="B66" s="63">
        <f>VLOOKUP(A66,Database!A:L,MATCH($A$1,Database!$A$1:$L$1,),)</f>
        <v>2121.4090000000001</v>
      </c>
      <c r="C66" s="37">
        <f t="shared" si="1"/>
        <v>1.0592742951629205E-2</v>
      </c>
      <c r="D66" s="36">
        <f t="shared" si="2"/>
        <v>5.1350112375142185E-2</v>
      </c>
      <c r="E66" s="36">
        <f t="shared" si="0"/>
        <v>4.3048975902058695E-2</v>
      </c>
    </row>
    <row r="67" spans="1:5" x14ac:dyDescent="0.35">
      <c r="A67" s="35">
        <v>22737</v>
      </c>
      <c r="B67" s="63">
        <f>VLOOKUP(A67,Database!A:L,MATCH($A$1,Database!$A$1:$L$1,),)</f>
        <v>2147.489</v>
      </c>
      <c r="C67" s="37">
        <f t="shared" si="1"/>
        <v>1.2293716110377549E-2</v>
      </c>
      <c r="D67" s="36">
        <f t="shared" si="2"/>
        <v>4.8669245340051327E-2</v>
      </c>
      <c r="E67" s="36">
        <f t="shared" si="0"/>
        <v>5.0089132083803056E-2</v>
      </c>
    </row>
    <row r="68" spans="1:5" x14ac:dyDescent="0.35">
      <c r="A68" s="35">
        <v>22828</v>
      </c>
      <c r="B68" s="63">
        <f>VLOOKUP(A68,Database!A:L,MATCH($A$1,Database!$A$1:$L$1,),)</f>
        <v>2164.7959999999998</v>
      </c>
      <c r="C68" s="37">
        <f t="shared" si="1"/>
        <v>8.0591798141921977E-3</v>
      </c>
      <c r="D68" s="36">
        <f t="shared" si="2"/>
        <v>5.2004536923736168E-2</v>
      </c>
      <c r="E68" s="36">
        <f t="shared" si="0"/>
        <v>3.2628519538128176E-2</v>
      </c>
    </row>
    <row r="69" spans="1:5" x14ac:dyDescent="0.35">
      <c r="A69" s="35">
        <v>22920</v>
      </c>
      <c r="B69" s="63">
        <f>VLOOKUP(A69,Database!A:L,MATCH($A$1,Database!$A$1:$L$1,),)</f>
        <v>2195.4270000000001</v>
      </c>
      <c r="C69" s="37">
        <f t="shared" si="1"/>
        <v>1.4149601163343019E-2</v>
      </c>
      <c r="D69" s="36">
        <f t="shared" si="2"/>
        <v>4.5853295559727746E-2</v>
      </c>
      <c r="E69" s="36">
        <f t="shared" si="0"/>
        <v>5.7811043651646354E-2</v>
      </c>
    </row>
    <row r="70" spans="1:5" x14ac:dyDescent="0.35">
      <c r="A70" s="35">
        <v>23012</v>
      </c>
      <c r="B70" s="63">
        <f>VLOOKUP(A70,Database!A:L,MATCH($A$1,Database!$A$1:$L$1,),)</f>
        <v>2210.8049999999998</v>
      </c>
      <c r="C70" s="37">
        <f t="shared" si="1"/>
        <v>7.0045599329878428E-3</v>
      </c>
      <c r="D70" s="36">
        <f t="shared" si="2"/>
        <v>4.2139917385096287E-2</v>
      </c>
      <c r="E70" s="36">
        <f t="shared" ref="E70:E133" si="3">((1+C70)^4)-1</f>
        <v>2.8313999981330218E-2</v>
      </c>
    </row>
    <row r="71" spans="1:5" x14ac:dyDescent="0.35">
      <c r="A71" s="35">
        <v>23102</v>
      </c>
      <c r="B71" s="63">
        <f>VLOOKUP(A71,Database!A:L,MATCH($A$1,Database!$A$1:$L$1,),)</f>
        <v>2231.6669999999999</v>
      </c>
      <c r="C71" s="37">
        <f t="shared" ref="C71:C134" si="4">(B71-B70)/B70</f>
        <v>9.4363817704411213E-3</v>
      </c>
      <c r="D71" s="36">
        <f t="shared" si="2"/>
        <v>3.9198338152139488E-2</v>
      </c>
      <c r="E71" s="36">
        <f t="shared" si="3"/>
        <v>3.8283167878152113E-2</v>
      </c>
    </row>
    <row r="72" spans="1:5" x14ac:dyDescent="0.35">
      <c r="A72" s="35">
        <v>23193</v>
      </c>
      <c r="B72" s="63">
        <f>VLOOKUP(A72,Database!A:L,MATCH($A$1,Database!$A$1:$L$1,),)</f>
        <v>2261.942</v>
      </c>
      <c r="C72" s="37">
        <f t="shared" si="4"/>
        <v>1.3566092073772696E-2</v>
      </c>
      <c r="D72" s="36">
        <f t="shared" si="2"/>
        <v>4.4875360080118491E-2</v>
      </c>
      <c r="E72" s="36">
        <f t="shared" si="3"/>
        <v>5.5378622042477899E-2</v>
      </c>
    </row>
    <row r="73" spans="1:5" x14ac:dyDescent="0.35">
      <c r="A73" s="35">
        <v>23285</v>
      </c>
      <c r="B73" s="63">
        <f>VLOOKUP(A73,Database!A:L,MATCH($A$1,Database!$A$1:$L$1,),)</f>
        <v>2280.79</v>
      </c>
      <c r="C73" s="37">
        <f t="shared" si="4"/>
        <v>8.3326628180563234E-3</v>
      </c>
      <c r="D73" s="36">
        <f t="shared" si="2"/>
        <v>3.888218556116866E-2</v>
      </c>
      <c r="E73" s="36">
        <f t="shared" si="3"/>
        <v>3.3749569967137294E-2</v>
      </c>
    </row>
    <row r="74" spans="1:5" x14ac:dyDescent="0.35">
      <c r="A74" s="35">
        <v>23377</v>
      </c>
      <c r="B74" s="63">
        <f>VLOOKUP(A74,Database!A:L,MATCH($A$1,Database!$A$1:$L$1,),)</f>
        <v>2325.5540000000001</v>
      </c>
      <c r="C74" s="37">
        <f t="shared" si="4"/>
        <v>1.9626532911842003E-2</v>
      </c>
      <c r="D74" s="36">
        <f t="shared" ref="D74:D137" si="5">(B74-B70)/B70</f>
        <v>5.1903718328844134E-2</v>
      </c>
      <c r="E74" s="36">
        <f t="shared" si="3"/>
        <v>8.0847725416112626E-2</v>
      </c>
    </row>
    <row r="75" spans="1:5" x14ac:dyDescent="0.35">
      <c r="A75" s="35">
        <v>23468</v>
      </c>
      <c r="B75" s="63">
        <f>VLOOKUP(A75,Database!A:L,MATCH($A$1,Database!$A$1:$L$1,),)</f>
        <v>2366.6909999999998</v>
      </c>
      <c r="C75" s="37">
        <f t="shared" si="4"/>
        <v>1.7689118377814367E-2</v>
      </c>
      <c r="D75" s="36">
        <f t="shared" si="5"/>
        <v>6.0503650410209005E-2</v>
      </c>
      <c r="E75" s="36">
        <f t="shared" si="3"/>
        <v>7.2656140922549239E-2</v>
      </c>
    </row>
    <row r="76" spans="1:5" x14ac:dyDescent="0.35">
      <c r="A76" s="35">
        <v>23559</v>
      </c>
      <c r="B76" s="63">
        <f>VLOOKUP(A76,Database!A:L,MATCH($A$1,Database!$A$1:$L$1,),)</f>
        <v>2410.4079999999999</v>
      </c>
      <c r="C76" s="37">
        <f t="shared" si="4"/>
        <v>1.8471781909848013E-2</v>
      </c>
      <c r="D76" s="36">
        <f t="shared" si="5"/>
        <v>6.5636519415617156E-2</v>
      </c>
      <c r="E76" s="36">
        <f t="shared" si="3"/>
        <v>7.5959695207956646E-2</v>
      </c>
    </row>
    <row r="77" spans="1:5" x14ac:dyDescent="0.35">
      <c r="A77" s="35">
        <v>23651</v>
      </c>
      <c r="B77" s="63">
        <f>VLOOKUP(A77,Database!A:L,MATCH($A$1,Database!$A$1:$L$1,),)</f>
        <v>2417.288</v>
      </c>
      <c r="C77" s="37">
        <f t="shared" si="4"/>
        <v>2.8542885685743282E-3</v>
      </c>
      <c r="D77" s="36">
        <f t="shared" si="5"/>
        <v>5.9846807465834227E-2</v>
      </c>
      <c r="E77" s="36">
        <f t="shared" si="3"/>
        <v>1.1466129135202507E-2</v>
      </c>
    </row>
    <row r="78" spans="1:5" x14ac:dyDescent="0.35">
      <c r="A78" s="35">
        <v>23743</v>
      </c>
      <c r="B78" s="63">
        <f>VLOOKUP(A78,Database!A:L,MATCH($A$1,Database!$A$1:$L$1,),)</f>
        <v>2471.1959999999999</v>
      </c>
      <c r="C78" s="37">
        <f t="shared" si="4"/>
        <v>2.2301024950274813E-2</v>
      </c>
      <c r="D78" s="36">
        <f t="shared" si="5"/>
        <v>6.262679774367734E-2</v>
      </c>
      <c r="E78" s="36">
        <f t="shared" si="3"/>
        <v>9.2232725811559613E-2</v>
      </c>
    </row>
    <row r="79" spans="1:5" x14ac:dyDescent="0.35">
      <c r="A79" s="35">
        <v>23833</v>
      </c>
      <c r="B79" s="63">
        <f>VLOOKUP(A79,Database!A:L,MATCH($A$1,Database!$A$1:$L$1,),)</f>
        <v>2498.4499999999998</v>
      </c>
      <c r="C79" s="37">
        <f t="shared" si="4"/>
        <v>1.1028667900077496E-2</v>
      </c>
      <c r="D79" s="36">
        <f t="shared" si="5"/>
        <v>5.5672244496641099E-2</v>
      </c>
      <c r="E79" s="36">
        <f t="shared" si="3"/>
        <v>4.4849841222805997E-2</v>
      </c>
    </row>
    <row r="80" spans="1:5" x14ac:dyDescent="0.35">
      <c r="A80" s="35">
        <v>23924</v>
      </c>
      <c r="B80" s="63">
        <f>VLOOKUP(A80,Database!A:L,MATCH($A$1,Database!$A$1:$L$1,),)</f>
        <v>2541.38</v>
      </c>
      <c r="C80" s="37">
        <f t="shared" si="4"/>
        <v>1.7182653245012024E-2</v>
      </c>
      <c r="D80" s="36">
        <f t="shared" si="5"/>
        <v>5.4336029419085989E-2</v>
      </c>
      <c r="E80" s="36">
        <f t="shared" si="3"/>
        <v>7.05224538557645E-2</v>
      </c>
    </row>
    <row r="81" spans="1:5" x14ac:dyDescent="0.35">
      <c r="A81" s="35">
        <v>24016</v>
      </c>
      <c r="B81" s="63">
        <f>VLOOKUP(A81,Database!A:L,MATCH($A$1,Database!$A$1:$L$1,),)</f>
        <v>2612.826</v>
      </c>
      <c r="C81" s="37">
        <f t="shared" si="4"/>
        <v>2.811307242521776E-2</v>
      </c>
      <c r="D81" s="36">
        <f t="shared" si="5"/>
        <v>8.0891478384040302E-2</v>
      </c>
      <c r="E81" s="36">
        <f t="shared" si="3"/>
        <v>0.11728385947999631</v>
      </c>
    </row>
    <row r="82" spans="1:5" x14ac:dyDescent="0.35">
      <c r="A82" s="35">
        <v>24108</v>
      </c>
      <c r="B82" s="63">
        <f>VLOOKUP(A82,Database!A:L,MATCH($A$1,Database!$A$1:$L$1,),)</f>
        <v>2651.3969999999999</v>
      </c>
      <c r="C82" s="37">
        <f t="shared" si="4"/>
        <v>1.4762177045084484E-2</v>
      </c>
      <c r="D82" s="36">
        <f t="shared" si="5"/>
        <v>7.2920561541860718E-2</v>
      </c>
      <c r="E82" s="36">
        <f t="shared" si="3"/>
        <v>6.0369154901916078E-2</v>
      </c>
    </row>
    <row r="83" spans="1:5" x14ac:dyDescent="0.35">
      <c r="A83" s="35">
        <v>24198</v>
      </c>
      <c r="B83" s="63">
        <f>VLOOKUP(A83,Database!A:L,MATCH($A$1,Database!$A$1:$L$1,),)</f>
        <v>2658.1909999999998</v>
      </c>
      <c r="C83" s="37">
        <f t="shared" si="4"/>
        <v>2.562422752986395E-3</v>
      </c>
      <c r="D83" s="36">
        <f t="shared" si="5"/>
        <v>6.3936040345013906E-2</v>
      </c>
      <c r="E83" s="36">
        <f t="shared" si="3"/>
        <v>1.0289154416825319E-2</v>
      </c>
    </row>
    <row r="84" spans="1:5" x14ac:dyDescent="0.35">
      <c r="A84" s="35">
        <v>24289</v>
      </c>
      <c r="B84" s="63">
        <f>VLOOKUP(A84,Database!A:L,MATCH($A$1,Database!$A$1:$L$1,),)</f>
        <v>2688.5459999999998</v>
      </c>
      <c r="C84" s="37">
        <f t="shared" si="4"/>
        <v>1.1419420199677156E-2</v>
      </c>
      <c r="D84" s="36">
        <f t="shared" si="5"/>
        <v>5.7907908301788678E-2</v>
      </c>
      <c r="E84" s="36">
        <f t="shared" si="3"/>
        <v>4.6466073263685015E-2</v>
      </c>
    </row>
    <row r="85" spans="1:5" x14ac:dyDescent="0.35">
      <c r="A85" s="35">
        <v>24381</v>
      </c>
      <c r="B85" s="63">
        <f>VLOOKUP(A85,Database!A:L,MATCH($A$1,Database!$A$1:$L$1,),)</f>
        <v>2699.7469999999998</v>
      </c>
      <c r="C85" s="37">
        <f t="shared" si="4"/>
        <v>4.1661924326383193E-3</v>
      </c>
      <c r="D85" s="36">
        <f t="shared" si="5"/>
        <v>3.3267044954390312E-2</v>
      </c>
      <c r="E85" s="36">
        <f t="shared" si="3"/>
        <v>1.6769202241203596E-2</v>
      </c>
    </row>
    <row r="86" spans="1:5" x14ac:dyDescent="0.35">
      <c r="A86" s="35">
        <v>24473</v>
      </c>
      <c r="B86" s="63">
        <f>VLOOKUP(A86,Database!A:L,MATCH($A$1,Database!$A$1:$L$1,),)</f>
        <v>2715.3029999999999</v>
      </c>
      <c r="C86" s="37">
        <f t="shared" si="4"/>
        <v>5.7620214042278925E-3</v>
      </c>
      <c r="D86" s="36">
        <f t="shared" si="5"/>
        <v>2.4102765447799764E-2</v>
      </c>
      <c r="E86" s="36">
        <f t="shared" si="3"/>
        <v>2.324805728015833E-2</v>
      </c>
    </row>
    <row r="87" spans="1:5" x14ac:dyDescent="0.35">
      <c r="A87" s="35">
        <v>24563</v>
      </c>
      <c r="B87" s="63">
        <f>VLOOKUP(A87,Database!A:L,MATCH($A$1,Database!$A$1:$L$1,),)</f>
        <v>2752.4259999999999</v>
      </c>
      <c r="C87" s="37">
        <f t="shared" si="4"/>
        <v>1.3671770701096727E-2</v>
      </c>
      <c r="D87" s="36">
        <f t="shared" si="5"/>
        <v>3.5450800939435929E-2</v>
      </c>
      <c r="E87" s="36">
        <f t="shared" si="3"/>
        <v>5.5818843589723333E-2</v>
      </c>
    </row>
    <row r="88" spans="1:5" x14ac:dyDescent="0.35">
      <c r="A88" s="35">
        <v>24654</v>
      </c>
      <c r="B88" s="63">
        <f>VLOOKUP(A88,Database!A:L,MATCH($A$1,Database!$A$1:$L$1,),)</f>
        <v>2766.518</v>
      </c>
      <c r="C88" s="37">
        <f t="shared" si="4"/>
        <v>5.1198470004280216E-3</v>
      </c>
      <c r="D88" s="36">
        <f t="shared" si="5"/>
        <v>2.9001549536440966E-2</v>
      </c>
      <c r="E88" s="36">
        <f t="shared" si="3"/>
        <v>2.0637202511455621E-2</v>
      </c>
    </row>
    <row r="89" spans="1:5" x14ac:dyDescent="0.35">
      <c r="A89" s="35">
        <v>24746</v>
      </c>
      <c r="B89" s="63">
        <f>VLOOKUP(A89,Database!A:L,MATCH($A$1,Database!$A$1:$L$1,),)</f>
        <v>2783.4470000000001</v>
      </c>
      <c r="C89" s="37">
        <f t="shared" si="4"/>
        <v>6.1192444798841309E-3</v>
      </c>
      <c r="D89" s="36">
        <f t="shared" si="5"/>
        <v>3.1002905087032333E-2</v>
      </c>
      <c r="E89" s="36">
        <f t="shared" si="3"/>
        <v>2.4702566783886493E-2</v>
      </c>
    </row>
    <row r="90" spans="1:5" x14ac:dyDescent="0.35">
      <c r="A90" s="35">
        <v>24838</v>
      </c>
      <c r="B90" s="63">
        <f>VLOOKUP(A90,Database!A:L,MATCH($A$1,Database!$A$1:$L$1,),)</f>
        <v>2850.1529999999998</v>
      </c>
      <c r="C90" s="37">
        <f t="shared" si="4"/>
        <v>2.3965248844328515E-2</v>
      </c>
      <c r="D90" s="36">
        <f t="shared" si="5"/>
        <v>4.966296579055815E-2</v>
      </c>
      <c r="E90" s="36">
        <f t="shared" si="3"/>
        <v>9.9362380296552422E-2</v>
      </c>
    </row>
    <row r="91" spans="1:5" x14ac:dyDescent="0.35">
      <c r="A91" s="35">
        <v>24929</v>
      </c>
      <c r="B91" s="63">
        <f>VLOOKUP(A91,Database!A:L,MATCH($A$1,Database!$A$1:$L$1,),)</f>
        <v>2893.5529999999999</v>
      </c>
      <c r="C91" s="37">
        <f t="shared" si="4"/>
        <v>1.5227252712398279E-2</v>
      </c>
      <c r="D91" s="36">
        <f t="shared" si="5"/>
        <v>5.1273676385850141E-2</v>
      </c>
      <c r="E91" s="36">
        <f t="shared" si="3"/>
        <v>6.2314402889085407E-2</v>
      </c>
    </row>
    <row r="92" spans="1:5" x14ac:dyDescent="0.35">
      <c r="A92" s="35">
        <v>25020</v>
      </c>
      <c r="B92" s="63">
        <f>VLOOKUP(A92,Database!A:L,MATCH($A$1,Database!$A$1:$L$1,),)</f>
        <v>2947.7840000000001</v>
      </c>
      <c r="C92" s="37">
        <f t="shared" si="4"/>
        <v>1.8742010255212268E-2</v>
      </c>
      <c r="D92" s="36">
        <f t="shared" si="5"/>
        <v>6.5521352111209852E-2</v>
      </c>
      <c r="E92" s="36">
        <f t="shared" si="3"/>
        <v>7.7102075592071939E-2</v>
      </c>
    </row>
    <row r="93" spans="1:5" x14ac:dyDescent="0.35">
      <c r="A93" s="35">
        <v>25112</v>
      </c>
      <c r="B93" s="63">
        <f>VLOOKUP(A93,Database!A:L,MATCH($A$1,Database!$A$1:$L$1,),)</f>
        <v>2961.0810000000001</v>
      </c>
      <c r="C93" s="37">
        <f t="shared" si="4"/>
        <v>4.5108461135551399E-3</v>
      </c>
      <c r="D93" s="36">
        <f t="shared" si="5"/>
        <v>6.3817992582578364E-2</v>
      </c>
      <c r="E93" s="36">
        <f t="shared" si="3"/>
        <v>1.8165838406175361E-2</v>
      </c>
    </row>
    <row r="94" spans="1:5" x14ac:dyDescent="0.35">
      <c r="A94" s="35">
        <v>25204</v>
      </c>
      <c r="B94" s="63">
        <f>VLOOKUP(A94,Database!A:L,MATCH($A$1,Database!$A$1:$L$1,),)</f>
        <v>2993.913</v>
      </c>
      <c r="C94" s="37">
        <f t="shared" si="4"/>
        <v>1.108784258181383E-2</v>
      </c>
      <c r="D94" s="36">
        <f t="shared" si="5"/>
        <v>5.04393974639257E-2</v>
      </c>
      <c r="E94" s="36">
        <f t="shared" si="3"/>
        <v>4.5094479528969389E-2</v>
      </c>
    </row>
    <row r="95" spans="1:5" x14ac:dyDescent="0.35">
      <c r="A95" s="35">
        <v>25294</v>
      </c>
      <c r="B95" s="63">
        <f>VLOOKUP(A95,Database!A:L,MATCH($A$1,Database!$A$1:$L$1,),)</f>
        <v>3013.2269999999999</v>
      </c>
      <c r="C95" s="37">
        <f t="shared" si="4"/>
        <v>6.4510892601087107E-3</v>
      </c>
      <c r="D95" s="36">
        <f t="shared" si="5"/>
        <v>4.135884153495719E-2</v>
      </c>
      <c r="E95" s="36">
        <f t="shared" si="3"/>
        <v>2.6055131976606249E-2</v>
      </c>
    </row>
    <row r="96" spans="1:5" x14ac:dyDescent="0.35">
      <c r="A96" s="35">
        <v>25385</v>
      </c>
      <c r="B96" s="63">
        <f>VLOOKUP(A96,Database!A:L,MATCH($A$1,Database!$A$1:$L$1,),)</f>
        <v>3027.9180000000001</v>
      </c>
      <c r="C96" s="37">
        <f t="shared" si="4"/>
        <v>4.8755039032904787E-3</v>
      </c>
      <c r="D96" s="36">
        <f t="shared" si="5"/>
        <v>2.7184488415704817E-2</v>
      </c>
      <c r="E96" s="36">
        <f t="shared" si="3"/>
        <v>1.9645102981475482E-2</v>
      </c>
    </row>
    <row r="97" spans="1:5" x14ac:dyDescent="0.35">
      <c r="A97" s="35">
        <v>25477</v>
      </c>
      <c r="B97" s="63">
        <f>VLOOKUP(A97,Database!A:L,MATCH($A$1,Database!$A$1:$L$1,),)</f>
        <v>3052.1179999999999</v>
      </c>
      <c r="C97" s="37">
        <f t="shared" si="4"/>
        <v>7.9922904120916811E-3</v>
      </c>
      <c r="D97" s="36">
        <f t="shared" si="5"/>
        <v>3.074451526317578E-2</v>
      </c>
      <c r="E97" s="36">
        <f t="shared" si="3"/>
        <v>3.2354468049528462E-2</v>
      </c>
    </row>
    <row r="98" spans="1:5" x14ac:dyDescent="0.35">
      <c r="A98" s="35">
        <v>25569</v>
      </c>
      <c r="B98" s="63">
        <f>VLOOKUP(A98,Database!A:L,MATCH($A$1,Database!$A$1:$L$1,),)</f>
        <v>3071.056</v>
      </c>
      <c r="C98" s="37">
        <f t="shared" si="4"/>
        <v>6.2048715023469286E-3</v>
      </c>
      <c r="D98" s="36">
        <f t="shared" si="5"/>
        <v>2.576661379271877E-2</v>
      </c>
      <c r="E98" s="36">
        <f t="shared" si="3"/>
        <v>2.5051445634727054E-2</v>
      </c>
    </row>
    <row r="99" spans="1:5" x14ac:dyDescent="0.35">
      <c r="A99" s="35">
        <v>25659</v>
      </c>
      <c r="B99" s="63">
        <f>VLOOKUP(A99,Database!A:L,MATCH($A$1,Database!$A$1:$L$1,),)</f>
        <v>3084.9679999999998</v>
      </c>
      <c r="C99" s="37">
        <f t="shared" si="4"/>
        <v>4.5300378762223176E-3</v>
      </c>
      <c r="D99" s="36">
        <f t="shared" si="5"/>
        <v>2.3808694134228849E-2</v>
      </c>
      <c r="E99" s="36">
        <f t="shared" si="3"/>
        <v>1.8243651233005975E-2</v>
      </c>
    </row>
    <row r="100" spans="1:5" x14ac:dyDescent="0.35">
      <c r="A100" s="35">
        <v>25750</v>
      </c>
      <c r="B100" s="63">
        <f>VLOOKUP(A100,Database!A:L,MATCH($A$1,Database!$A$1:$L$1,),)</f>
        <v>3112.0140000000001</v>
      </c>
      <c r="C100" s="37">
        <f t="shared" si="4"/>
        <v>8.7670277292990657E-3</v>
      </c>
      <c r="D100" s="36">
        <f t="shared" si="5"/>
        <v>2.7773539441953182E-2</v>
      </c>
      <c r="E100" s="36">
        <f t="shared" si="3"/>
        <v>3.553197683820275E-2</v>
      </c>
    </row>
    <row r="101" spans="1:5" x14ac:dyDescent="0.35">
      <c r="A101" s="35">
        <v>25842</v>
      </c>
      <c r="B101" s="63">
        <f>VLOOKUP(A101,Database!A:L,MATCH($A$1,Database!$A$1:$L$1,),)</f>
        <v>3103.5650000000001</v>
      </c>
      <c r="C101" s="37">
        <f t="shared" si="4"/>
        <v>-2.71496207921946E-3</v>
      </c>
      <c r="D101" s="36">
        <f t="shared" si="5"/>
        <v>1.6856163490402441E-2</v>
      </c>
      <c r="E101" s="36">
        <f t="shared" si="3"/>
        <v>-1.0815702196145693E-2</v>
      </c>
    </row>
    <row r="102" spans="1:5" x14ac:dyDescent="0.35">
      <c r="A102" s="35">
        <v>25934</v>
      </c>
      <c r="B102" s="63">
        <f>VLOOKUP(A102,Database!A:L,MATCH($A$1,Database!$A$1:$L$1,),)</f>
        <v>3163.1390000000001</v>
      </c>
      <c r="C102" s="37">
        <f t="shared" si="4"/>
        <v>1.9195344708424045E-2</v>
      </c>
      <c r="D102" s="36">
        <f t="shared" si="5"/>
        <v>2.9984148774883975E-2</v>
      </c>
      <c r="E102" s="36">
        <f t="shared" si="3"/>
        <v>7.9020573111719061E-2</v>
      </c>
    </row>
    <row r="103" spans="1:5" x14ac:dyDescent="0.35">
      <c r="A103" s="35">
        <v>26024</v>
      </c>
      <c r="B103" s="63">
        <f>VLOOKUP(A103,Database!A:L,MATCH($A$1,Database!$A$1:$L$1,),)</f>
        <v>3192.21</v>
      </c>
      <c r="C103" s="37">
        <f t="shared" si="4"/>
        <v>9.1905540667039654E-3</v>
      </c>
      <c r="D103" s="36">
        <f t="shared" si="5"/>
        <v>3.4762759289561573E-2</v>
      </c>
      <c r="E103" s="36">
        <f t="shared" si="3"/>
        <v>3.7272126273488082E-2</v>
      </c>
    </row>
    <row r="104" spans="1:5" x14ac:dyDescent="0.35">
      <c r="A104" s="35">
        <v>26115</v>
      </c>
      <c r="B104" s="63">
        <f>VLOOKUP(A104,Database!A:L,MATCH($A$1,Database!$A$1:$L$1,),)</f>
        <v>3217.6610000000001</v>
      </c>
      <c r="C104" s="37">
        <f t="shared" si="4"/>
        <v>7.9728463979500171E-3</v>
      </c>
      <c r="D104" s="36">
        <f t="shared" si="5"/>
        <v>3.3948112058621825E-2</v>
      </c>
      <c r="E104" s="36">
        <f t="shared" si="3"/>
        <v>3.227481452731995E-2</v>
      </c>
    </row>
    <row r="105" spans="1:5" x14ac:dyDescent="0.35">
      <c r="A105" s="35">
        <v>26207</v>
      </c>
      <c r="B105" s="63">
        <f>VLOOKUP(A105,Database!A:L,MATCH($A$1,Database!$A$1:$L$1,),)</f>
        <v>3271.05</v>
      </c>
      <c r="C105" s="37">
        <f t="shared" si="4"/>
        <v>1.6592487524322831E-2</v>
      </c>
      <c r="D105" s="36">
        <f t="shared" si="5"/>
        <v>5.3965359191768217E-2</v>
      </c>
      <c r="E105" s="36">
        <f t="shared" si="3"/>
        <v>6.8040162100297064E-2</v>
      </c>
    </row>
    <row r="106" spans="1:5" x14ac:dyDescent="0.35">
      <c r="A106" s="35">
        <v>26299</v>
      </c>
      <c r="B106" s="63">
        <f>VLOOKUP(A106,Database!A:L,MATCH($A$1,Database!$A$1:$L$1,),)</f>
        <v>3314.2220000000002</v>
      </c>
      <c r="C106" s="37">
        <f t="shared" si="4"/>
        <v>1.3198208526314188E-2</v>
      </c>
      <c r="D106" s="36">
        <f t="shared" si="5"/>
        <v>4.7763629736157685E-2</v>
      </c>
      <c r="E106" s="36">
        <f t="shared" si="3"/>
        <v>5.3847216824933097E-2</v>
      </c>
    </row>
    <row r="107" spans="1:5" x14ac:dyDescent="0.35">
      <c r="A107" s="35">
        <v>26390</v>
      </c>
      <c r="B107" s="63">
        <f>VLOOKUP(A107,Database!A:L,MATCH($A$1,Database!$A$1:$L$1,),)</f>
        <v>3377.3139999999999</v>
      </c>
      <c r="C107" s="37">
        <f t="shared" si="4"/>
        <v>1.9036745275361651E-2</v>
      </c>
      <c r="D107" s="36">
        <f t="shared" si="5"/>
        <v>5.7986160058392092E-2</v>
      </c>
      <c r="E107" s="36">
        <f t="shared" si="3"/>
        <v>7.8349093946173065E-2</v>
      </c>
    </row>
    <row r="108" spans="1:5" x14ac:dyDescent="0.35">
      <c r="A108" s="35">
        <v>26481</v>
      </c>
      <c r="B108" s="63">
        <f>VLOOKUP(A108,Database!A:L,MATCH($A$1,Database!$A$1:$L$1,),)</f>
        <v>3429.3620000000001</v>
      </c>
      <c r="C108" s="37">
        <f t="shared" si="4"/>
        <v>1.5411063347974228E-2</v>
      </c>
      <c r="D108" s="36">
        <f t="shared" si="5"/>
        <v>6.5793444368440313E-2</v>
      </c>
      <c r="E108" s="36">
        <f t="shared" si="3"/>
        <v>6.3083955603681519E-2</v>
      </c>
    </row>
    <row r="109" spans="1:5" x14ac:dyDescent="0.35">
      <c r="A109" s="35">
        <v>26573</v>
      </c>
      <c r="B109" s="63">
        <f>VLOOKUP(A109,Database!A:L,MATCH($A$1,Database!$A$1:$L$1,),)</f>
        <v>3509.8380000000002</v>
      </c>
      <c r="C109" s="37">
        <f t="shared" si="4"/>
        <v>2.3466755623932415E-2</v>
      </c>
      <c r="D109" s="36">
        <f t="shared" si="5"/>
        <v>7.3000412711514653E-2</v>
      </c>
      <c r="E109" s="36">
        <f t="shared" si="3"/>
        <v>9.7223148971802065E-2</v>
      </c>
    </row>
    <row r="110" spans="1:5" x14ac:dyDescent="0.35">
      <c r="A110" s="35">
        <v>26665</v>
      </c>
      <c r="B110" s="63">
        <f>VLOOKUP(A110,Database!A:L,MATCH($A$1,Database!$A$1:$L$1,),)</f>
        <v>3573.9180000000001</v>
      </c>
      <c r="C110" s="37">
        <f t="shared" si="4"/>
        <v>1.825725289885172E-2</v>
      </c>
      <c r="D110" s="36">
        <f t="shared" si="5"/>
        <v>7.8358058090254631E-2</v>
      </c>
      <c r="E110" s="36">
        <f t="shared" si="3"/>
        <v>7.5053428965006663E-2</v>
      </c>
    </row>
    <row r="111" spans="1:5" x14ac:dyDescent="0.35">
      <c r="A111" s="35">
        <v>26755</v>
      </c>
      <c r="B111" s="63">
        <f>VLOOKUP(A111,Database!A:L,MATCH($A$1,Database!$A$1:$L$1,),)</f>
        <v>3572.3069999999998</v>
      </c>
      <c r="C111" s="37">
        <f t="shared" si="4"/>
        <v>-4.5076579820810969E-4</v>
      </c>
      <c r="D111" s="36">
        <f t="shared" si="5"/>
        <v>5.7736118110427385E-2</v>
      </c>
      <c r="E111" s="36">
        <f t="shared" si="3"/>
        <v>-1.8018444203262707E-3</v>
      </c>
    </row>
    <row r="112" spans="1:5" x14ac:dyDescent="0.35">
      <c r="A112" s="35">
        <v>26846</v>
      </c>
      <c r="B112" s="63">
        <f>VLOOKUP(A112,Database!A:L,MATCH($A$1,Database!$A$1:$L$1,),)</f>
        <v>3584.8809999999999</v>
      </c>
      <c r="C112" s="37">
        <f t="shared" si="4"/>
        <v>3.5198542566470545E-3</v>
      </c>
      <c r="D112" s="36">
        <f t="shared" si="5"/>
        <v>4.5349251551746295E-2</v>
      </c>
      <c r="E112" s="36">
        <f t="shared" si="3"/>
        <v>1.4153927859176019E-2</v>
      </c>
    </row>
    <row r="113" spans="1:5" x14ac:dyDescent="0.35">
      <c r="A113" s="35">
        <v>26938</v>
      </c>
      <c r="B113" s="63">
        <f>VLOOKUP(A113,Database!A:L,MATCH($A$1,Database!$A$1:$L$1,),)</f>
        <v>3574.1880000000001</v>
      </c>
      <c r="C113" s="37">
        <f t="shared" si="4"/>
        <v>-2.9828047290829897E-3</v>
      </c>
      <c r="D113" s="36">
        <f t="shared" si="5"/>
        <v>1.8334179526234517E-2</v>
      </c>
      <c r="E113" s="36">
        <f t="shared" si="3"/>
        <v>-1.1877942246396822E-2</v>
      </c>
    </row>
    <row r="114" spans="1:5" x14ac:dyDescent="0.35">
      <c r="A114" s="35">
        <v>27030</v>
      </c>
      <c r="B114" s="63">
        <f>VLOOKUP(A114,Database!A:L,MATCH($A$1,Database!$A$1:$L$1,),)</f>
        <v>3542.2109999999998</v>
      </c>
      <c r="C114" s="37">
        <f t="shared" si="4"/>
        <v>-8.9466474623048128E-3</v>
      </c>
      <c r="D114" s="36">
        <f t="shared" si="5"/>
        <v>-8.8717760172450331E-3</v>
      </c>
      <c r="E114" s="36">
        <f t="shared" si="3"/>
        <v>-3.53091928856758E-2</v>
      </c>
    </row>
    <row r="115" spans="1:5" x14ac:dyDescent="0.35">
      <c r="A115" s="35">
        <v>27120</v>
      </c>
      <c r="B115" s="63">
        <f>VLOOKUP(A115,Database!A:L,MATCH($A$1,Database!$A$1:$L$1,),)</f>
        <v>3554.9659999999999</v>
      </c>
      <c r="C115" s="37">
        <f t="shared" si="4"/>
        <v>3.6008583339615032E-3</v>
      </c>
      <c r="D115" s="36">
        <f t="shared" si="5"/>
        <v>-4.8542860398056199E-3</v>
      </c>
      <c r="E115" s="36">
        <f t="shared" si="3"/>
        <v>1.4481417345935554E-2</v>
      </c>
    </row>
    <row r="116" spans="1:5" x14ac:dyDescent="0.35">
      <c r="A116" s="35">
        <v>27211</v>
      </c>
      <c r="B116" s="63">
        <f>VLOOKUP(A116,Database!A:L,MATCH($A$1,Database!$A$1:$L$1,),)</f>
        <v>3570.2359999999999</v>
      </c>
      <c r="C116" s="37">
        <f t="shared" si="4"/>
        <v>4.2953997309678861E-3</v>
      </c>
      <c r="D116" s="36">
        <f t="shared" si="5"/>
        <v>-4.0852123124867972E-3</v>
      </c>
      <c r="E116" s="36">
        <f t="shared" si="3"/>
        <v>1.7292619025767175E-2</v>
      </c>
    </row>
    <row r="117" spans="1:5" x14ac:dyDescent="0.35">
      <c r="A117" s="35">
        <v>27303</v>
      </c>
      <c r="B117" s="63">
        <f>VLOOKUP(A117,Database!A:L,MATCH($A$1,Database!$A$1:$L$1,),)</f>
        <v>3518.05</v>
      </c>
      <c r="C117" s="37">
        <f t="shared" si="4"/>
        <v>-1.4616960895582167E-2</v>
      </c>
      <c r="D117" s="36">
        <f t="shared" si="5"/>
        <v>-1.5706504526342743E-2</v>
      </c>
      <c r="E117" s="36">
        <f t="shared" si="3"/>
        <v>-5.7198356637732206E-2</v>
      </c>
    </row>
    <row r="118" spans="1:5" x14ac:dyDescent="0.35">
      <c r="A118" s="35">
        <v>27395</v>
      </c>
      <c r="B118" s="63">
        <f>VLOOKUP(A118,Database!A:L,MATCH($A$1,Database!$A$1:$L$1,),)</f>
        <v>3547.5569999999998</v>
      </c>
      <c r="C118" s="37">
        <f t="shared" si="4"/>
        <v>8.3873168374524534E-3</v>
      </c>
      <c r="D118" s="36">
        <f t="shared" si="5"/>
        <v>1.5092268642381845E-3</v>
      </c>
      <c r="E118" s="36">
        <f t="shared" si="3"/>
        <v>3.3973714894032003E-2</v>
      </c>
    </row>
    <row r="119" spans="1:5" x14ac:dyDescent="0.35">
      <c r="A119" s="35">
        <v>27485</v>
      </c>
      <c r="B119" s="63">
        <f>VLOOKUP(A119,Database!A:L,MATCH($A$1,Database!$A$1:$L$1,),)</f>
        <v>3605.9090000000001</v>
      </c>
      <c r="C119" s="37">
        <f t="shared" si="4"/>
        <v>1.6448502448304658E-2</v>
      </c>
      <c r="D119" s="36">
        <f t="shared" si="5"/>
        <v>1.4330094858853844E-2</v>
      </c>
      <c r="E119" s="36">
        <f t="shared" si="3"/>
        <v>6.743520317106988E-2</v>
      </c>
    </row>
    <row r="120" spans="1:5" x14ac:dyDescent="0.35">
      <c r="A120" s="35">
        <v>27576</v>
      </c>
      <c r="B120" s="63">
        <f>VLOOKUP(A120,Database!A:L,MATCH($A$1,Database!$A$1:$L$1,),)</f>
        <v>3657.1579999999999</v>
      </c>
      <c r="C120" s="37">
        <f t="shared" si="4"/>
        <v>1.4212505085402819E-2</v>
      </c>
      <c r="D120" s="36">
        <f t="shared" si="5"/>
        <v>2.4346289713060992E-2</v>
      </c>
      <c r="E120" s="36">
        <f t="shared" si="3"/>
        <v>5.8073516385487522E-2</v>
      </c>
    </row>
    <row r="121" spans="1:5" x14ac:dyDescent="0.35">
      <c r="A121" s="35">
        <v>27668</v>
      </c>
      <c r="B121" s="63">
        <f>VLOOKUP(A121,Database!A:L,MATCH($A$1,Database!$A$1:$L$1,),)</f>
        <v>3696.4850000000001</v>
      </c>
      <c r="C121" s="37">
        <f t="shared" si="4"/>
        <v>1.0753432036570535E-2</v>
      </c>
      <c r="D121" s="36">
        <f t="shared" si="5"/>
        <v>5.0719859012805374E-2</v>
      </c>
      <c r="E121" s="36">
        <f t="shared" si="3"/>
        <v>4.3712533269823384E-2</v>
      </c>
    </row>
    <row r="122" spans="1:5" x14ac:dyDescent="0.35">
      <c r="A122" s="35">
        <v>27760</v>
      </c>
      <c r="B122" s="63">
        <f>VLOOKUP(A122,Database!A:L,MATCH($A$1,Database!$A$1:$L$1,),)</f>
        <v>3770.3910000000001</v>
      </c>
      <c r="C122" s="37">
        <f t="shared" si="4"/>
        <v>1.9993588503673068E-2</v>
      </c>
      <c r="D122" s="36">
        <f t="shared" si="5"/>
        <v>6.2813367057950112E-2</v>
      </c>
      <c r="E122" s="36">
        <f t="shared" si="3"/>
        <v>8.2404944531830449E-2</v>
      </c>
    </row>
    <row r="123" spans="1:5" x14ac:dyDescent="0.35">
      <c r="A123" s="35">
        <v>27851</v>
      </c>
      <c r="B123" s="63">
        <f>VLOOKUP(A123,Database!A:L,MATCH($A$1,Database!$A$1:$L$1,),)</f>
        <v>3805.0810000000001</v>
      </c>
      <c r="C123" s="37">
        <f t="shared" si="4"/>
        <v>9.2006372813854195E-3</v>
      </c>
      <c r="D123" s="36">
        <f t="shared" si="5"/>
        <v>5.5234893614897106E-2</v>
      </c>
      <c r="E123" s="36">
        <f t="shared" si="3"/>
        <v>3.7313582049076643E-2</v>
      </c>
    </row>
    <row r="124" spans="1:5" x14ac:dyDescent="0.35">
      <c r="A124" s="35">
        <v>27942</v>
      </c>
      <c r="B124" s="63">
        <f>VLOOKUP(A124,Database!A:L,MATCH($A$1,Database!$A$1:$L$1,),)</f>
        <v>3845.1439999999998</v>
      </c>
      <c r="C124" s="37">
        <f t="shared" si="4"/>
        <v>1.0528816600750324E-2</v>
      </c>
      <c r="D124" s="36">
        <f t="shared" si="5"/>
        <v>5.1402209037728172E-2</v>
      </c>
      <c r="E124" s="36">
        <f t="shared" si="3"/>
        <v>4.2785083295210802E-2</v>
      </c>
    </row>
    <row r="125" spans="1:5" x14ac:dyDescent="0.35">
      <c r="A125" s="35">
        <v>28034</v>
      </c>
      <c r="B125" s="63">
        <f>VLOOKUP(A125,Database!A:L,MATCH($A$1,Database!$A$1:$L$1,),)</f>
        <v>3895.0340000000001</v>
      </c>
      <c r="C125" s="37">
        <f t="shared" si="4"/>
        <v>1.2974806665238111E-2</v>
      </c>
      <c r="D125" s="36">
        <f t="shared" si="5"/>
        <v>5.3712919165098731E-2</v>
      </c>
      <c r="E125" s="36">
        <f t="shared" si="3"/>
        <v>5.2918065656065494E-2</v>
      </c>
    </row>
    <row r="126" spans="1:5" x14ac:dyDescent="0.35">
      <c r="A126" s="35">
        <v>28126</v>
      </c>
      <c r="B126" s="63">
        <f>VLOOKUP(A126,Database!A:L,MATCH($A$1,Database!$A$1:$L$1,),)</f>
        <v>3940.944</v>
      </c>
      <c r="C126" s="37">
        <f t="shared" si="4"/>
        <v>1.1786803401459359E-2</v>
      </c>
      <c r="D126" s="36">
        <f t="shared" si="5"/>
        <v>4.5234831082505735E-2</v>
      </c>
      <c r="E126" s="36">
        <f t="shared" si="3"/>
        <v>4.798735541629684E-2</v>
      </c>
    </row>
    <row r="127" spans="1:5" x14ac:dyDescent="0.35">
      <c r="A127" s="35">
        <v>28216</v>
      </c>
      <c r="B127" s="63">
        <f>VLOOKUP(A127,Database!A:L,MATCH($A$1,Database!$A$1:$L$1,),)</f>
        <v>3962.3139999999999</v>
      </c>
      <c r="C127" s="37">
        <f t="shared" si="4"/>
        <v>5.4225586559971143E-3</v>
      </c>
      <c r="D127" s="36">
        <f t="shared" si="5"/>
        <v>4.1321853595232196E-2</v>
      </c>
      <c r="E127" s="36">
        <f t="shared" si="3"/>
        <v>2.186729812560495E-2</v>
      </c>
    </row>
    <row r="128" spans="1:5" x14ac:dyDescent="0.35">
      <c r="A128" s="35">
        <v>28307</v>
      </c>
      <c r="B128" s="63">
        <f>VLOOKUP(A128,Database!A:L,MATCH($A$1,Database!$A$1:$L$1,),)</f>
        <v>3999.779</v>
      </c>
      <c r="C128" s="37">
        <f t="shared" si="4"/>
        <v>9.4553334238528658E-3</v>
      </c>
      <c r="D128" s="36">
        <f t="shared" si="5"/>
        <v>4.0215659023433249E-2</v>
      </c>
      <c r="E128" s="36">
        <f t="shared" si="3"/>
        <v>3.8361143022487942E-2</v>
      </c>
    </row>
    <row r="129" spans="1:5" x14ac:dyDescent="0.35">
      <c r="A129" s="35">
        <v>28399</v>
      </c>
      <c r="B129" s="63">
        <f>VLOOKUP(A129,Database!A:L,MATCH($A$1,Database!$A$1:$L$1,),)</f>
        <v>4059.9180000000001</v>
      </c>
      <c r="C129" s="37">
        <f t="shared" si="4"/>
        <v>1.5035580715834581E-2</v>
      </c>
      <c r="D129" s="36">
        <f t="shared" si="5"/>
        <v>4.2331851275239189E-2</v>
      </c>
      <c r="E129" s="36">
        <f t="shared" si="3"/>
        <v>6.1512382391155196E-2</v>
      </c>
    </row>
    <row r="130" spans="1:5" x14ac:dyDescent="0.35">
      <c r="A130" s="35">
        <v>28491</v>
      </c>
      <c r="B130" s="63">
        <f>VLOOKUP(A130,Database!A:L,MATCH($A$1,Database!$A$1:$L$1,),)</f>
        <v>4082.7260000000001</v>
      </c>
      <c r="C130" s="37">
        <f t="shared" si="4"/>
        <v>5.617847454061878E-3</v>
      </c>
      <c r="D130" s="36">
        <f t="shared" si="5"/>
        <v>3.597665939937237E-2</v>
      </c>
      <c r="E130" s="36">
        <f t="shared" si="3"/>
        <v>2.2661461274178674E-2</v>
      </c>
    </row>
    <row r="131" spans="1:5" x14ac:dyDescent="0.35">
      <c r="A131" s="35">
        <v>28581</v>
      </c>
      <c r="B131" s="63">
        <f>VLOOKUP(A131,Database!A:L,MATCH($A$1,Database!$A$1:$L$1,),)</f>
        <v>4170.01</v>
      </c>
      <c r="C131" s="37">
        <f t="shared" si="4"/>
        <v>2.1378853246580863E-2</v>
      </c>
      <c r="D131" s="36">
        <f t="shared" si="5"/>
        <v>5.2417854819178988E-2</v>
      </c>
      <c r="E131" s="36">
        <f t="shared" si="3"/>
        <v>8.8297039361157292E-2</v>
      </c>
    </row>
    <row r="132" spans="1:5" x14ac:dyDescent="0.35">
      <c r="A132" s="35">
        <v>28672</v>
      </c>
      <c r="B132" s="63">
        <f>VLOOKUP(A132,Database!A:L,MATCH($A$1,Database!$A$1:$L$1,),)</f>
        <v>4187.5200000000004</v>
      </c>
      <c r="C132" s="37">
        <f t="shared" si="4"/>
        <v>4.199030697768163E-3</v>
      </c>
      <c r="D132" s="36">
        <f t="shared" si="5"/>
        <v>4.693784331584331E-2</v>
      </c>
      <c r="E132" s="36">
        <f t="shared" si="3"/>
        <v>1.6902210401625206E-2</v>
      </c>
    </row>
    <row r="133" spans="1:5" x14ac:dyDescent="0.35">
      <c r="A133" s="35">
        <v>28764</v>
      </c>
      <c r="B133" s="63">
        <f>VLOOKUP(A133,Database!A:L,MATCH($A$1,Database!$A$1:$L$1,),)</f>
        <v>4221.3100000000004</v>
      </c>
      <c r="C133" s="37">
        <f t="shared" si="4"/>
        <v>8.0692151918080289E-3</v>
      </c>
      <c r="D133" s="36">
        <f t="shared" si="5"/>
        <v>3.9752527021481784E-2</v>
      </c>
      <c r="E133" s="36">
        <f t="shared" si="3"/>
        <v>3.2669640028210489E-2</v>
      </c>
    </row>
    <row r="134" spans="1:5" x14ac:dyDescent="0.35">
      <c r="A134" s="35">
        <v>28856</v>
      </c>
      <c r="B134" s="63">
        <f>VLOOKUP(A134,Database!A:L,MATCH($A$1,Database!$A$1:$L$1,),)</f>
        <v>4243.1729999999998</v>
      </c>
      <c r="C134" s="37">
        <f t="shared" si="4"/>
        <v>5.1791979267098061E-3</v>
      </c>
      <c r="D134" s="36">
        <f t="shared" si="5"/>
        <v>3.929898798008969E-2</v>
      </c>
      <c r="E134" s="36">
        <f t="shared" ref="E134:E197" si="6">((1+C134)^4)-1</f>
        <v>2.0878292682464439E-2</v>
      </c>
    </row>
    <row r="135" spans="1:5" x14ac:dyDescent="0.35">
      <c r="A135" s="35">
        <v>28946</v>
      </c>
      <c r="B135" s="63">
        <f>VLOOKUP(A135,Database!A:L,MATCH($A$1,Database!$A$1:$L$1,),)</f>
        <v>4240.4189999999999</v>
      </c>
      <c r="C135" s="37">
        <f t="shared" ref="C135:C198" si="7">(B135-B134)/B134</f>
        <v>-6.4904259147574367E-4</v>
      </c>
      <c r="D135" s="36">
        <f t="shared" si="5"/>
        <v>1.6884611787501624E-2</v>
      </c>
      <c r="E135" s="36">
        <f t="shared" si="6"/>
        <v>-2.5936439216651674E-3</v>
      </c>
    </row>
    <row r="136" spans="1:5" x14ac:dyDescent="0.35">
      <c r="A136" s="35">
        <v>29037</v>
      </c>
      <c r="B136" s="63">
        <f>VLOOKUP(A136,Database!A:L,MATCH($A$1,Database!$A$1:$L$1,),)</f>
        <v>4281.6819999999998</v>
      </c>
      <c r="C136" s="37">
        <f t="shared" si="7"/>
        <v>9.7308780099324907E-3</v>
      </c>
      <c r="D136" s="36">
        <f t="shared" si="5"/>
        <v>2.2486340363747359E-2</v>
      </c>
      <c r="E136" s="36">
        <f t="shared" si="6"/>
        <v>3.9495346593831915E-2</v>
      </c>
    </row>
    <row r="137" spans="1:5" x14ac:dyDescent="0.35">
      <c r="A137" s="35">
        <v>29129</v>
      </c>
      <c r="B137" s="63">
        <f>VLOOKUP(A137,Database!A:L,MATCH($A$1,Database!$A$1:$L$1,),)</f>
        <v>4292.335</v>
      </c>
      <c r="C137" s="37">
        <f t="shared" si="7"/>
        <v>2.4880409147620603E-3</v>
      </c>
      <c r="D137" s="36">
        <f t="shared" si="5"/>
        <v>1.6825345686528503E-2</v>
      </c>
      <c r="E137" s="36">
        <f t="shared" si="6"/>
        <v>9.9893673902824442E-3</v>
      </c>
    </row>
    <row r="138" spans="1:5" x14ac:dyDescent="0.35">
      <c r="A138" s="35">
        <v>29221</v>
      </c>
      <c r="B138" s="63">
        <f>VLOOKUP(A138,Database!A:L,MATCH($A$1,Database!$A$1:$L$1,),)</f>
        <v>4286.2</v>
      </c>
      <c r="C138" s="37">
        <f t="shared" si="7"/>
        <v>-1.429291982103032E-3</v>
      </c>
      <c r="D138" s="36">
        <f t="shared" ref="D138:D201" si="8">(B138-B134)/B134</f>
        <v>1.014028888287139E-2</v>
      </c>
      <c r="E138" s="36">
        <f t="shared" si="6"/>
        <v>-5.704922350280861E-3</v>
      </c>
    </row>
    <row r="139" spans="1:5" x14ac:dyDescent="0.35">
      <c r="A139" s="35">
        <v>29312</v>
      </c>
      <c r="B139" s="63">
        <f>VLOOKUP(A139,Database!A:L,MATCH($A$1,Database!$A$1:$L$1,),)</f>
        <v>4189.6710000000003</v>
      </c>
      <c r="C139" s="37">
        <f t="shared" si="7"/>
        <v>-2.2520880966823652E-2</v>
      </c>
      <c r="D139" s="36">
        <f t="shared" si="8"/>
        <v>-1.1967685268837725E-2</v>
      </c>
      <c r="E139" s="36">
        <f t="shared" si="6"/>
        <v>-8.7085815618020868E-2</v>
      </c>
    </row>
    <row r="140" spans="1:5" x14ac:dyDescent="0.35">
      <c r="A140" s="35">
        <v>29403</v>
      </c>
      <c r="B140" s="63">
        <f>VLOOKUP(A140,Database!A:L,MATCH($A$1,Database!$A$1:$L$1,),)</f>
        <v>4235.6289999999999</v>
      </c>
      <c r="C140" s="37">
        <f t="shared" si="7"/>
        <v>1.0969357737158748E-2</v>
      </c>
      <c r="D140" s="36">
        <f t="shared" si="8"/>
        <v>-1.0755819792315236E-2</v>
      </c>
      <c r="E140" s="36">
        <f t="shared" si="6"/>
        <v>4.4604685913431474E-2</v>
      </c>
    </row>
    <row r="141" spans="1:5" x14ac:dyDescent="0.35">
      <c r="A141" s="35">
        <v>29495</v>
      </c>
      <c r="B141" s="63">
        <f>VLOOKUP(A141,Database!A:L,MATCH($A$1,Database!$A$1:$L$1,),)</f>
        <v>4292.8559999999998</v>
      </c>
      <c r="C141" s="37">
        <f t="shared" si="7"/>
        <v>1.3510862259182724E-2</v>
      </c>
      <c r="D141" s="36">
        <f t="shared" si="8"/>
        <v>1.2137915610028826E-4</v>
      </c>
      <c r="E141" s="36">
        <f t="shared" si="6"/>
        <v>5.5148608027622892E-2</v>
      </c>
    </row>
    <row r="142" spans="1:5" x14ac:dyDescent="0.35">
      <c r="A142" s="35">
        <v>29587</v>
      </c>
      <c r="B142" s="63">
        <f>VLOOKUP(A142,Database!A:L,MATCH($A$1,Database!$A$1:$L$1,),)</f>
        <v>4307.2370000000001</v>
      </c>
      <c r="C142" s="37">
        <f t="shared" si="7"/>
        <v>3.3499842529076946E-3</v>
      </c>
      <c r="D142" s="36">
        <f t="shared" si="8"/>
        <v>4.9080770845971403E-3</v>
      </c>
      <c r="E142" s="36">
        <f t="shared" si="6"/>
        <v>1.3467421883920583E-2</v>
      </c>
    </row>
    <row r="143" spans="1:5" x14ac:dyDescent="0.35">
      <c r="A143" s="35">
        <v>29677</v>
      </c>
      <c r="B143" s="63">
        <f>VLOOKUP(A143,Database!A:L,MATCH($A$1,Database!$A$1:$L$1,),)</f>
        <v>4307.55</v>
      </c>
      <c r="C143" s="37">
        <f t="shared" si="7"/>
        <v>7.2668395075567438E-5</v>
      </c>
      <c r="D143" s="36">
        <f t="shared" si="8"/>
        <v>2.8135622104933752E-2</v>
      </c>
      <c r="E143" s="36">
        <f t="shared" si="6"/>
        <v>2.9070526601127078E-4</v>
      </c>
    </row>
    <row r="144" spans="1:5" x14ac:dyDescent="0.35">
      <c r="A144" s="35">
        <v>29768</v>
      </c>
      <c r="B144" s="63">
        <f>VLOOKUP(A144,Database!A:L,MATCH($A$1,Database!$A$1:$L$1,),)</f>
        <v>4327.4759999999997</v>
      </c>
      <c r="C144" s="37">
        <f t="shared" si="7"/>
        <v>4.6258313890725532E-3</v>
      </c>
      <c r="D144" s="36">
        <f t="shared" si="8"/>
        <v>2.1684382650132897E-2</v>
      </c>
      <c r="E144" s="36">
        <f t="shared" si="6"/>
        <v>1.8632111850427124E-2</v>
      </c>
    </row>
    <row r="145" spans="1:5" x14ac:dyDescent="0.35">
      <c r="A145" s="35">
        <v>29860</v>
      </c>
      <c r="B145" s="63">
        <f>VLOOKUP(A145,Database!A:L,MATCH($A$1,Database!$A$1:$L$1,),)</f>
        <v>4297.875</v>
      </c>
      <c r="C145" s="37">
        <f t="shared" si="7"/>
        <v>-6.8402459077761867E-3</v>
      </c>
      <c r="D145" s="36">
        <f t="shared" si="8"/>
        <v>1.1691517255645735E-3</v>
      </c>
      <c r="E145" s="36">
        <f t="shared" si="6"/>
        <v>-2.7081527849504905E-2</v>
      </c>
    </row>
    <row r="146" spans="1:5" x14ac:dyDescent="0.35">
      <c r="A146" s="35">
        <v>29952</v>
      </c>
      <c r="B146" s="63">
        <f>VLOOKUP(A146,Database!A:L,MATCH($A$1,Database!$A$1:$L$1,),)</f>
        <v>4329.5330000000004</v>
      </c>
      <c r="C146" s="37">
        <f t="shared" si="7"/>
        <v>7.3659657388826707E-3</v>
      </c>
      <c r="D146" s="36">
        <f t="shared" si="8"/>
        <v>5.17640427030142E-3</v>
      </c>
      <c r="E146" s="36">
        <f t="shared" si="6"/>
        <v>2.9791009241108446E-2</v>
      </c>
    </row>
    <row r="147" spans="1:5" x14ac:dyDescent="0.35">
      <c r="A147" s="35">
        <v>30042</v>
      </c>
      <c r="B147" s="63">
        <f>VLOOKUP(A147,Database!A:L,MATCH($A$1,Database!$A$1:$L$1,),)</f>
        <v>4342.7209999999995</v>
      </c>
      <c r="C147" s="37">
        <f t="shared" si="7"/>
        <v>3.046056006502131E-3</v>
      </c>
      <c r="D147" s="36">
        <f t="shared" si="8"/>
        <v>8.1649661640606289E-3</v>
      </c>
      <c r="E147" s="36">
        <f t="shared" si="6"/>
        <v>1.2240007906068273E-2</v>
      </c>
    </row>
    <row r="148" spans="1:5" x14ac:dyDescent="0.35">
      <c r="A148" s="35">
        <v>30133</v>
      </c>
      <c r="B148" s="63">
        <f>VLOOKUP(A148,Database!A:L,MATCH($A$1,Database!$A$1:$L$1,),)</f>
        <v>4371.8329999999996</v>
      </c>
      <c r="C148" s="37">
        <f t="shared" si="7"/>
        <v>6.703631202649234E-3</v>
      </c>
      <c r="D148" s="36">
        <f t="shared" si="8"/>
        <v>1.0250085731266904E-2</v>
      </c>
      <c r="E148" s="36">
        <f t="shared" si="6"/>
        <v>2.7085363867004109E-2</v>
      </c>
    </row>
    <row r="149" spans="1:5" x14ac:dyDescent="0.35">
      <c r="A149" s="35">
        <v>30225</v>
      </c>
      <c r="B149" s="63">
        <f>VLOOKUP(A149,Database!A:L,MATCH($A$1,Database!$A$1:$L$1,),)</f>
        <v>4448.4139999999998</v>
      </c>
      <c r="C149" s="37">
        <f t="shared" si="7"/>
        <v>1.7516908811475676E-2</v>
      </c>
      <c r="D149" s="36">
        <f t="shared" si="8"/>
        <v>3.5026379315359277E-2</v>
      </c>
      <c r="E149" s="36">
        <f t="shared" si="6"/>
        <v>7.1930281663773243E-2</v>
      </c>
    </row>
    <row r="150" spans="1:5" x14ac:dyDescent="0.35">
      <c r="A150" s="35">
        <v>30317</v>
      </c>
      <c r="B150" s="63">
        <f>VLOOKUP(A150,Database!A:L,MATCH($A$1,Database!$A$1:$L$1,),)</f>
        <v>4492.3950000000004</v>
      </c>
      <c r="C150" s="37">
        <f t="shared" si="7"/>
        <v>9.886894520159473E-3</v>
      </c>
      <c r="D150" s="36">
        <f t="shared" si="8"/>
        <v>3.7616528156731929E-2</v>
      </c>
      <c r="E150" s="36">
        <f t="shared" si="6"/>
        <v>4.0137957538129099E-2</v>
      </c>
    </row>
    <row r="151" spans="1:5" x14ac:dyDescent="0.35">
      <c r="A151" s="35">
        <v>30407</v>
      </c>
      <c r="B151" s="63">
        <f>VLOOKUP(A151,Database!A:L,MATCH($A$1,Database!$A$1:$L$1,),)</f>
        <v>4583.8729999999996</v>
      </c>
      <c r="C151" s="37">
        <f t="shared" si="7"/>
        <v>2.036285767391317E-2</v>
      </c>
      <c r="D151" s="36">
        <f t="shared" si="8"/>
        <v>5.5530161850139592E-2</v>
      </c>
      <c r="E151" s="36">
        <f t="shared" si="6"/>
        <v>8.3973251970527851E-2</v>
      </c>
    </row>
    <row r="152" spans="1:5" x14ac:dyDescent="0.35">
      <c r="A152" s="35">
        <v>30498</v>
      </c>
      <c r="B152" s="63">
        <f>VLOOKUP(A152,Database!A:L,MATCH($A$1,Database!$A$1:$L$1,),)</f>
        <v>4666.07</v>
      </c>
      <c r="C152" s="37">
        <f t="shared" si="7"/>
        <v>1.7931779523560124E-2</v>
      </c>
      <c r="D152" s="36">
        <f t="shared" si="8"/>
        <v>6.7302891029918141E-2</v>
      </c>
      <c r="E152" s="36">
        <f t="shared" si="6"/>
        <v>7.3679577551895692E-2</v>
      </c>
    </row>
    <row r="153" spans="1:5" x14ac:dyDescent="0.35">
      <c r="A153" s="35">
        <v>30590</v>
      </c>
      <c r="B153" s="63">
        <f>VLOOKUP(A153,Database!A:L,MATCH($A$1,Database!$A$1:$L$1,),)</f>
        <v>4740.4269999999997</v>
      </c>
      <c r="C153" s="37">
        <f t="shared" si="7"/>
        <v>1.5935680347701594E-2</v>
      </c>
      <c r="D153" s="36">
        <f t="shared" si="8"/>
        <v>6.5644294798101063E-2</v>
      </c>
      <c r="E153" s="36">
        <f t="shared" si="6"/>
        <v>6.528264853146637E-2</v>
      </c>
    </row>
    <row r="154" spans="1:5" x14ac:dyDescent="0.35">
      <c r="A154" s="35">
        <v>30682</v>
      </c>
      <c r="B154" s="63">
        <f>VLOOKUP(A154,Database!A:L,MATCH($A$1,Database!$A$1:$L$1,),)</f>
        <v>4779.7669999999998</v>
      </c>
      <c r="C154" s="37">
        <f t="shared" si="7"/>
        <v>8.298830464006755E-3</v>
      </c>
      <c r="D154" s="36">
        <f t="shared" si="8"/>
        <v>6.3968551296134768E-2</v>
      </c>
      <c r="E154" s="36">
        <f t="shared" si="6"/>
        <v>3.3610836302911284E-2</v>
      </c>
    </row>
    <row r="155" spans="1:5" x14ac:dyDescent="0.35">
      <c r="A155" s="35">
        <v>30773</v>
      </c>
      <c r="B155" s="63">
        <f>VLOOKUP(A155,Database!A:L,MATCH($A$1,Database!$A$1:$L$1,),)</f>
        <v>4846.7309999999998</v>
      </c>
      <c r="C155" s="37">
        <f t="shared" si="7"/>
        <v>1.4009887929683591E-2</v>
      </c>
      <c r="D155" s="36">
        <f t="shared" si="8"/>
        <v>5.7344084358358138E-2</v>
      </c>
      <c r="E155" s="36">
        <f t="shared" si="6"/>
        <v>5.7228251275032616E-2</v>
      </c>
    </row>
    <row r="156" spans="1:5" x14ac:dyDescent="0.35">
      <c r="A156" s="35">
        <v>30864</v>
      </c>
      <c r="B156" s="63">
        <f>VLOOKUP(A156,Database!A:L,MATCH($A$1,Database!$A$1:$L$1,),)</f>
        <v>4882.6760000000004</v>
      </c>
      <c r="C156" s="37">
        <f t="shared" si="7"/>
        <v>7.4163389715667365E-3</v>
      </c>
      <c r="D156" s="36">
        <f t="shared" si="8"/>
        <v>4.642150674979173E-2</v>
      </c>
      <c r="E156" s="36">
        <f t="shared" si="6"/>
        <v>2.9997003070331596E-2</v>
      </c>
    </row>
    <row r="157" spans="1:5" x14ac:dyDescent="0.35">
      <c r="A157" s="35">
        <v>30956</v>
      </c>
      <c r="B157" s="63">
        <f>VLOOKUP(A157,Database!A:L,MATCH($A$1,Database!$A$1:$L$1,),)</f>
        <v>4945.9260000000004</v>
      </c>
      <c r="C157" s="37">
        <f t="shared" si="7"/>
        <v>1.2953962130602152E-2</v>
      </c>
      <c r="D157" s="36">
        <f t="shared" si="8"/>
        <v>4.3350314222748439E-2</v>
      </c>
      <c r="E157" s="36">
        <f t="shared" si="6"/>
        <v>5.2831402455708165E-2</v>
      </c>
    </row>
    <row r="158" spans="1:5" x14ac:dyDescent="0.35">
      <c r="A158" s="35">
        <v>31048</v>
      </c>
      <c r="B158" s="63">
        <f>VLOOKUP(A158,Database!A:L,MATCH($A$1,Database!$A$1:$L$1,),)</f>
        <v>5029.9589999999998</v>
      </c>
      <c r="C158" s="37">
        <f t="shared" si="7"/>
        <v>1.6990347206973868E-2</v>
      </c>
      <c r="D158" s="36">
        <f t="shared" si="8"/>
        <v>5.2343974089113551E-2</v>
      </c>
      <c r="E158" s="36">
        <f t="shared" si="6"/>
        <v>6.9713122091759949E-2</v>
      </c>
    </row>
    <row r="159" spans="1:5" x14ac:dyDescent="0.35">
      <c r="A159" s="35">
        <v>31138</v>
      </c>
      <c r="B159" s="63">
        <f>VLOOKUP(A159,Database!A:L,MATCH($A$1,Database!$A$1:$L$1,),)</f>
        <v>5076.1360000000004</v>
      </c>
      <c r="C159" s="37">
        <f t="shared" si="7"/>
        <v>9.1803929216919249E-3</v>
      </c>
      <c r="D159" s="36">
        <f t="shared" si="8"/>
        <v>4.7331902678320846E-2</v>
      </c>
      <c r="E159" s="36">
        <f t="shared" si="6"/>
        <v>3.7230351354895053E-2</v>
      </c>
    </row>
    <row r="160" spans="1:5" x14ac:dyDescent="0.35">
      <c r="A160" s="35">
        <v>31229</v>
      </c>
      <c r="B160" s="63">
        <f>VLOOKUP(A160,Database!A:L,MATCH($A$1,Database!$A$1:$L$1,),)</f>
        <v>5172.55</v>
      </c>
      <c r="C160" s="37">
        <f t="shared" si="7"/>
        <v>1.8993580944245733E-2</v>
      </c>
      <c r="D160" s="36">
        <f t="shared" si="8"/>
        <v>5.9367854840255585E-2</v>
      </c>
      <c r="E160" s="36">
        <f t="shared" si="6"/>
        <v>7.8166398826515993E-2</v>
      </c>
    </row>
    <row r="161" spans="1:5" x14ac:dyDescent="0.35">
      <c r="A161" s="35">
        <v>31321</v>
      </c>
      <c r="B161" s="63">
        <f>VLOOKUP(A161,Database!A:L,MATCH($A$1,Database!$A$1:$L$1,),)</f>
        <v>5183.741</v>
      </c>
      <c r="C161" s="37">
        <f t="shared" si="7"/>
        <v>2.1635363602091431E-3</v>
      </c>
      <c r="D161" s="36">
        <f t="shared" si="8"/>
        <v>4.8083008116174726E-2</v>
      </c>
      <c r="E161" s="36">
        <f t="shared" si="6"/>
        <v>8.6822713093377413E-3</v>
      </c>
    </row>
    <row r="162" spans="1:5" x14ac:dyDescent="0.35">
      <c r="A162" s="35">
        <v>31413</v>
      </c>
      <c r="B162" s="63">
        <f>VLOOKUP(A162,Database!A:L,MATCH($A$1,Database!$A$1:$L$1,),)</f>
        <v>5229.0410000000002</v>
      </c>
      <c r="C162" s="37">
        <f t="shared" si="7"/>
        <v>8.7388625319050825E-3</v>
      </c>
      <c r="D162" s="36">
        <f t="shared" si="8"/>
        <v>3.9579249055509268E-2</v>
      </c>
      <c r="E162" s="36">
        <f t="shared" si="6"/>
        <v>3.541633173772829E-2</v>
      </c>
    </row>
    <row r="163" spans="1:5" x14ac:dyDescent="0.35">
      <c r="A163" s="35">
        <v>31503</v>
      </c>
      <c r="B163" s="63">
        <f>VLOOKUP(A163,Database!A:L,MATCH($A$1,Database!$A$1:$L$1,),)</f>
        <v>5286.0190000000002</v>
      </c>
      <c r="C163" s="37">
        <f t="shared" si="7"/>
        <v>1.0896453097231416E-2</v>
      </c>
      <c r="D163" s="36">
        <f t="shared" si="8"/>
        <v>4.1347000947177102E-2</v>
      </c>
      <c r="E163" s="36">
        <f t="shared" si="6"/>
        <v>4.430339768773317E-2</v>
      </c>
    </row>
    <row r="164" spans="1:5" x14ac:dyDescent="0.35">
      <c r="A164" s="35">
        <v>31594</v>
      </c>
      <c r="B164" s="63">
        <f>VLOOKUP(A164,Database!A:L,MATCH($A$1,Database!$A$1:$L$1,),)</f>
        <v>5379.527</v>
      </c>
      <c r="C164" s="37">
        <f t="shared" si="7"/>
        <v>1.7689682916387513E-2</v>
      </c>
      <c r="D164" s="36">
        <f t="shared" si="8"/>
        <v>4.0014499618176692E-2</v>
      </c>
      <c r="E164" s="36">
        <f t="shared" si="6"/>
        <v>7.2658521045360303E-2</v>
      </c>
    </row>
    <row r="165" spans="1:5" x14ac:dyDescent="0.35">
      <c r="A165" s="35">
        <v>31686</v>
      </c>
      <c r="B165" s="63">
        <f>VLOOKUP(A165,Database!A:L,MATCH($A$1,Database!$A$1:$L$1,),)</f>
        <v>5412.5150000000003</v>
      </c>
      <c r="C165" s="37">
        <f t="shared" si="7"/>
        <v>6.1321376396103753E-3</v>
      </c>
      <c r="D165" s="36">
        <f t="shared" si="8"/>
        <v>4.4132991983974572E-2</v>
      </c>
      <c r="E165" s="36">
        <f t="shared" si="6"/>
        <v>2.4755092994456884E-2</v>
      </c>
    </row>
    <row r="166" spans="1:5" x14ac:dyDescent="0.35">
      <c r="A166" s="35">
        <v>31778</v>
      </c>
      <c r="B166" s="63">
        <f>VLOOKUP(A166,Database!A:L,MATCH($A$1,Database!$A$1:$L$1,),)</f>
        <v>5417.9040000000005</v>
      </c>
      <c r="C166" s="37">
        <f t="shared" si="7"/>
        <v>9.9565543929210792E-4</v>
      </c>
      <c r="D166" s="36">
        <f t="shared" si="8"/>
        <v>3.6118095077089712E-2</v>
      </c>
      <c r="E166" s="36">
        <f t="shared" si="6"/>
        <v>3.9885736847651287E-3</v>
      </c>
    </row>
    <row r="167" spans="1:5" x14ac:dyDescent="0.35">
      <c r="A167" s="35">
        <v>31868</v>
      </c>
      <c r="B167" s="63">
        <f>VLOOKUP(A167,Database!A:L,MATCH($A$1,Database!$A$1:$L$1,),)</f>
        <v>5491.8370000000004</v>
      </c>
      <c r="C167" s="37">
        <f t="shared" si="7"/>
        <v>1.3646052052601889E-2</v>
      </c>
      <c r="D167" s="36">
        <f t="shared" si="8"/>
        <v>3.8936295915697652E-2</v>
      </c>
      <c r="E167" s="36">
        <f t="shared" si="6"/>
        <v>5.5711695690024987E-2</v>
      </c>
    </row>
    <row r="168" spans="1:5" x14ac:dyDescent="0.35">
      <c r="A168" s="35">
        <v>31959</v>
      </c>
      <c r="B168" s="63">
        <f>VLOOKUP(A168,Database!A:L,MATCH($A$1,Database!$A$1:$L$1,),)</f>
        <v>5554.5119999999997</v>
      </c>
      <c r="C168" s="37">
        <f t="shared" si="7"/>
        <v>1.1412392611069714E-2</v>
      </c>
      <c r="D168" s="36">
        <f t="shared" si="8"/>
        <v>3.2527952736365051E-2</v>
      </c>
      <c r="E168" s="36">
        <f t="shared" si="6"/>
        <v>4.6436989161637854E-2</v>
      </c>
    </row>
    <row r="169" spans="1:5" x14ac:dyDescent="0.35">
      <c r="A169" s="35">
        <v>32051</v>
      </c>
      <c r="B169" s="63">
        <f>VLOOKUP(A169,Database!A:L,MATCH($A$1,Database!$A$1:$L$1,),)</f>
        <v>5566.2629999999999</v>
      </c>
      <c r="C169" s="37">
        <f t="shared" si="7"/>
        <v>2.115577390056985E-3</v>
      </c>
      <c r="D169" s="36">
        <f t="shared" si="8"/>
        <v>2.8406018274314174E-2</v>
      </c>
      <c r="E169" s="36">
        <f t="shared" si="6"/>
        <v>8.4892014609050381E-3</v>
      </c>
    </row>
    <row r="170" spans="1:5" x14ac:dyDescent="0.35">
      <c r="A170" s="35">
        <v>32143</v>
      </c>
      <c r="B170" s="63">
        <f>VLOOKUP(A170,Database!A:L,MATCH($A$1,Database!$A$1:$L$1,),)</f>
        <v>5664.5929999999998</v>
      </c>
      <c r="C170" s="37">
        <f t="shared" si="7"/>
        <v>1.7665352858821069E-2</v>
      </c>
      <c r="D170" s="36">
        <f t="shared" si="8"/>
        <v>4.5532183663645455E-2</v>
      </c>
      <c r="E170" s="36">
        <f t="shared" si="6"/>
        <v>7.2555947900985407E-2</v>
      </c>
    </row>
    <row r="171" spans="1:5" x14ac:dyDescent="0.35">
      <c r="A171" s="35">
        <v>32234</v>
      </c>
      <c r="B171" s="63">
        <f>VLOOKUP(A171,Database!A:L,MATCH($A$1,Database!$A$1:$L$1,),)</f>
        <v>5706.4139999999998</v>
      </c>
      <c r="C171" s="37">
        <f t="shared" si="7"/>
        <v>7.3828781697113837E-3</v>
      </c>
      <c r="D171" s="36">
        <f t="shared" si="8"/>
        <v>3.907198993706465E-2</v>
      </c>
      <c r="E171" s="36">
        <f t="shared" si="6"/>
        <v>2.9860166661174636E-2</v>
      </c>
    </row>
    <row r="172" spans="1:5" x14ac:dyDescent="0.35">
      <c r="A172" s="35">
        <v>32325</v>
      </c>
      <c r="B172" s="63">
        <f>VLOOKUP(A172,Database!A:L,MATCH($A$1,Database!$A$1:$L$1,),)</f>
        <v>5757.12</v>
      </c>
      <c r="C172" s="37">
        <f t="shared" si="7"/>
        <v>8.8857906208698028E-3</v>
      </c>
      <c r="D172" s="36">
        <f t="shared" si="8"/>
        <v>3.647629170663421E-2</v>
      </c>
      <c r="E172" s="36">
        <f t="shared" si="6"/>
        <v>3.6019718758730779E-2</v>
      </c>
    </row>
    <row r="173" spans="1:5" x14ac:dyDescent="0.35">
      <c r="A173" s="35">
        <v>32417</v>
      </c>
      <c r="B173" s="63">
        <f>VLOOKUP(A173,Database!A:L,MATCH($A$1,Database!$A$1:$L$1,),)</f>
        <v>5822.5789999999997</v>
      </c>
      <c r="C173" s="37">
        <f t="shared" si="7"/>
        <v>1.1370094769606997E-2</v>
      </c>
      <c r="D173" s="36">
        <f t="shared" si="8"/>
        <v>4.604812959790075E-2</v>
      </c>
      <c r="E173" s="36">
        <f t="shared" si="6"/>
        <v>4.6261949782352207E-2</v>
      </c>
    </row>
    <row r="174" spans="1:5" x14ac:dyDescent="0.35">
      <c r="A174" s="35">
        <v>32509</v>
      </c>
      <c r="B174" s="63">
        <f>VLOOKUP(A174,Database!A:L,MATCH($A$1,Database!$A$1:$L$1,),)</f>
        <v>5849.5919999999996</v>
      </c>
      <c r="C174" s="37">
        <f t="shared" si="7"/>
        <v>4.6393531113961568E-3</v>
      </c>
      <c r="D174" s="36">
        <f t="shared" si="8"/>
        <v>3.2658833564918048E-2</v>
      </c>
      <c r="E174" s="36">
        <f t="shared" si="6"/>
        <v>1.8686953914875515E-2</v>
      </c>
    </row>
    <row r="175" spans="1:5" x14ac:dyDescent="0.35">
      <c r="A175" s="35">
        <v>32599</v>
      </c>
      <c r="B175" s="63">
        <f>VLOOKUP(A175,Database!A:L,MATCH($A$1,Database!$A$1:$L$1,),)</f>
        <v>5876.8959999999997</v>
      </c>
      <c r="C175" s="37">
        <f t="shared" si="7"/>
        <v>4.6676759678281991E-3</v>
      </c>
      <c r="D175" s="36">
        <f t="shared" si="8"/>
        <v>2.9875505001915385E-2</v>
      </c>
      <c r="E175" s="36">
        <f t="shared" si="6"/>
        <v>1.8801834321978239E-2</v>
      </c>
    </row>
    <row r="176" spans="1:5" x14ac:dyDescent="0.35">
      <c r="A176" s="35">
        <v>32690</v>
      </c>
      <c r="B176" s="63">
        <f>VLOOKUP(A176,Database!A:L,MATCH($A$1,Database!$A$1:$L$1,),)</f>
        <v>5933.79</v>
      </c>
      <c r="C176" s="37">
        <f t="shared" si="7"/>
        <v>9.6809608337462896E-3</v>
      </c>
      <c r="D176" s="36">
        <f t="shared" si="8"/>
        <v>3.0687218609304664E-2</v>
      </c>
      <c r="E176" s="36">
        <f t="shared" si="6"/>
        <v>3.9289807372022922E-2</v>
      </c>
    </row>
    <row r="177" spans="1:5" x14ac:dyDescent="0.35">
      <c r="A177" s="35">
        <v>32782</v>
      </c>
      <c r="B177" s="63">
        <f>VLOOKUP(A177,Database!A:L,MATCH($A$1,Database!$A$1:$L$1,),)</f>
        <v>5959.58</v>
      </c>
      <c r="C177" s="37">
        <f t="shared" si="7"/>
        <v>4.3462946952959177E-3</v>
      </c>
      <c r="D177" s="36">
        <f t="shared" si="8"/>
        <v>2.3529264265886338E-2</v>
      </c>
      <c r="E177" s="36">
        <f t="shared" si="6"/>
        <v>1.7498849214349299E-2</v>
      </c>
    </row>
    <row r="178" spans="1:5" x14ac:dyDescent="0.35">
      <c r="A178" s="35">
        <v>32874</v>
      </c>
      <c r="B178" s="63">
        <f>VLOOKUP(A178,Database!A:L,MATCH($A$1,Database!$A$1:$L$1,),)</f>
        <v>6009.7349999999997</v>
      </c>
      <c r="C178" s="37">
        <f t="shared" si="7"/>
        <v>8.4158615204426735E-3</v>
      </c>
      <c r="D178" s="36">
        <f t="shared" si="8"/>
        <v>2.7376781149864818E-2</v>
      </c>
      <c r="E178" s="36">
        <f t="shared" si="6"/>
        <v>3.4090795720625566E-2</v>
      </c>
    </row>
    <row r="179" spans="1:5" x14ac:dyDescent="0.35">
      <c r="A179" s="35">
        <v>32964</v>
      </c>
      <c r="B179" s="63">
        <f>VLOOKUP(A179,Database!A:L,MATCH($A$1,Database!$A$1:$L$1,),)</f>
        <v>6028.0410000000002</v>
      </c>
      <c r="C179" s="37">
        <f t="shared" si="7"/>
        <v>3.0460577712662033E-3</v>
      </c>
      <c r="D179" s="36">
        <f t="shared" si="8"/>
        <v>2.5718508546008035E-2</v>
      </c>
      <c r="E179" s="36">
        <f t="shared" si="6"/>
        <v>1.2240015029827411E-2</v>
      </c>
    </row>
    <row r="180" spans="1:5" x14ac:dyDescent="0.35">
      <c r="A180" s="35">
        <v>33055</v>
      </c>
      <c r="B180" s="63">
        <f>VLOOKUP(A180,Database!A:L,MATCH($A$1,Database!$A$1:$L$1,),)</f>
        <v>6051.9219999999996</v>
      </c>
      <c r="C180" s="37">
        <f t="shared" si="7"/>
        <v>3.9616518865746601E-3</v>
      </c>
      <c r="D180" s="36">
        <f t="shared" si="8"/>
        <v>1.9908355368154183E-2</v>
      </c>
      <c r="E180" s="36">
        <f t="shared" si="6"/>
        <v>1.5941024614168464E-2</v>
      </c>
    </row>
    <row r="181" spans="1:5" x14ac:dyDescent="0.35">
      <c r="A181" s="35">
        <v>33147</v>
      </c>
      <c r="B181" s="63">
        <f>VLOOKUP(A181,Database!A:L,MATCH($A$1,Database!$A$1:$L$1,),)</f>
        <v>6005.8819999999996</v>
      </c>
      <c r="C181" s="37">
        <f t="shared" si="7"/>
        <v>-7.6075005593264364E-3</v>
      </c>
      <c r="D181" s="36">
        <f t="shared" si="8"/>
        <v>7.7693394500954228E-3</v>
      </c>
      <c r="E181" s="36">
        <f t="shared" si="6"/>
        <v>-3.0084515607257778E-2</v>
      </c>
    </row>
    <row r="182" spans="1:5" x14ac:dyDescent="0.35">
      <c r="A182" s="35">
        <v>33239</v>
      </c>
      <c r="B182" s="63">
        <f>VLOOKUP(A182,Database!A:L,MATCH($A$1,Database!$A$1:$L$1,),)</f>
        <v>5983.2979999999998</v>
      </c>
      <c r="C182" s="37">
        <f t="shared" si="7"/>
        <v>-3.7603136391956807E-3</v>
      </c>
      <c r="D182" s="36">
        <f t="shared" si="8"/>
        <v>-4.3990292417219563E-3</v>
      </c>
      <c r="E182" s="36">
        <f t="shared" si="6"/>
        <v>-1.49566272875713E-2</v>
      </c>
    </row>
    <row r="183" spans="1:5" x14ac:dyDescent="0.35">
      <c r="A183" s="35">
        <v>33329</v>
      </c>
      <c r="B183" s="63">
        <f>VLOOKUP(A183,Database!A:L,MATCH($A$1,Database!$A$1:$L$1,),)</f>
        <v>6032.8850000000002</v>
      </c>
      <c r="C183" s="37">
        <f t="shared" si="7"/>
        <v>8.2875698318887747E-3</v>
      </c>
      <c r="D183" s="36">
        <f t="shared" si="8"/>
        <v>8.0357781242696433E-4</v>
      </c>
      <c r="E183" s="36">
        <f t="shared" si="6"/>
        <v>3.3564663814941831E-2</v>
      </c>
    </row>
    <row r="184" spans="1:5" x14ac:dyDescent="0.35">
      <c r="A184" s="35">
        <v>33420</v>
      </c>
      <c r="B184" s="63">
        <f>VLOOKUP(A184,Database!A:L,MATCH($A$1,Database!$A$1:$L$1,),)</f>
        <v>6062.9639999999999</v>
      </c>
      <c r="C184" s="37">
        <f t="shared" si="7"/>
        <v>4.9858401080079802E-3</v>
      </c>
      <c r="D184" s="36">
        <f t="shared" si="8"/>
        <v>1.8245443348411251E-3</v>
      </c>
      <c r="E184" s="36">
        <f t="shared" si="6"/>
        <v>2.0093008423529124E-2</v>
      </c>
    </row>
    <row r="185" spans="1:5" x14ac:dyDescent="0.35">
      <c r="A185" s="35">
        <v>33512</v>
      </c>
      <c r="B185" s="63">
        <f>VLOOKUP(A185,Database!A:L,MATCH($A$1,Database!$A$1:$L$1,),)</f>
        <v>6059.93</v>
      </c>
      <c r="C185" s="37">
        <f t="shared" si="7"/>
        <v>-5.0041530842004844E-4</v>
      </c>
      <c r="D185" s="36">
        <f t="shared" si="8"/>
        <v>8.9991778060242757E-3</v>
      </c>
      <c r="E185" s="36">
        <f t="shared" si="6"/>
        <v>-2.0001592419790493E-3</v>
      </c>
    </row>
    <row r="186" spans="1:5" x14ac:dyDescent="0.35">
      <c r="A186" s="35">
        <v>33604</v>
      </c>
      <c r="B186" s="63">
        <f>VLOOKUP(A186,Database!A:L,MATCH($A$1,Database!$A$1:$L$1,),)</f>
        <v>6173.393</v>
      </c>
      <c r="C186" s="37">
        <f t="shared" si="7"/>
        <v>1.8723483604596049E-2</v>
      </c>
      <c r="D186" s="36">
        <f t="shared" si="8"/>
        <v>3.1770939705827832E-2</v>
      </c>
      <c r="E186" s="36">
        <f t="shared" si="6"/>
        <v>7.7023725826228073E-2</v>
      </c>
    </row>
    <row r="187" spans="1:5" x14ac:dyDescent="0.35">
      <c r="A187" s="35">
        <v>33695</v>
      </c>
      <c r="B187" s="63">
        <f>VLOOKUP(A187,Database!A:L,MATCH($A$1,Database!$A$1:$L$1,),)</f>
        <v>6215.3</v>
      </c>
      <c r="C187" s="37">
        <f t="shared" si="7"/>
        <v>6.7883253180220588E-3</v>
      </c>
      <c r="D187" s="36">
        <f t="shared" si="8"/>
        <v>3.0236777263282819E-2</v>
      </c>
      <c r="E187" s="36">
        <f t="shared" si="6"/>
        <v>2.7431042820388107E-2</v>
      </c>
    </row>
    <row r="188" spans="1:5" x14ac:dyDescent="0.35">
      <c r="A188" s="35">
        <v>33786</v>
      </c>
      <c r="B188" s="63">
        <f>VLOOKUP(A188,Database!A:L,MATCH($A$1,Database!$A$1:$L$1,),)</f>
        <v>6281.9229999999998</v>
      </c>
      <c r="C188" s="37">
        <f t="shared" si="7"/>
        <v>1.0719192959310024E-2</v>
      </c>
      <c r="D188" s="36">
        <f t="shared" si="8"/>
        <v>3.611418441541131E-2</v>
      </c>
      <c r="E188" s="36">
        <f t="shared" si="6"/>
        <v>4.3571118213845628E-2</v>
      </c>
    </row>
    <row r="189" spans="1:5" x14ac:dyDescent="0.35">
      <c r="A189" s="35">
        <v>33878</v>
      </c>
      <c r="B189" s="63">
        <f>VLOOKUP(A189,Database!A:L,MATCH($A$1,Database!$A$1:$L$1,),)</f>
        <v>6356.7960000000003</v>
      </c>
      <c r="C189" s="37">
        <f t="shared" si="7"/>
        <v>1.1918802570486857E-2</v>
      </c>
      <c r="D189" s="36">
        <f t="shared" si="8"/>
        <v>4.898835465096131E-2</v>
      </c>
      <c r="E189" s="36">
        <f t="shared" si="6"/>
        <v>4.8534350228762513E-2</v>
      </c>
    </row>
    <row r="190" spans="1:5" x14ac:dyDescent="0.35">
      <c r="A190" s="35">
        <v>33970</v>
      </c>
      <c r="B190" s="63">
        <f>VLOOKUP(A190,Database!A:L,MATCH($A$1,Database!$A$1:$L$1,),)</f>
        <v>6381.1679999999997</v>
      </c>
      <c r="C190" s="37">
        <f t="shared" si="7"/>
        <v>3.8340069431203059E-3</v>
      </c>
      <c r="D190" s="36">
        <f t="shared" si="8"/>
        <v>3.3656532153387875E-2</v>
      </c>
      <c r="E190" s="36">
        <f t="shared" si="6"/>
        <v>1.542445107761492E-2</v>
      </c>
    </row>
    <row r="191" spans="1:5" x14ac:dyDescent="0.35">
      <c r="A191" s="35">
        <v>34060</v>
      </c>
      <c r="B191" s="63">
        <f>VLOOKUP(A191,Database!A:L,MATCH($A$1,Database!$A$1:$L$1,),)</f>
        <v>6439.2110000000002</v>
      </c>
      <c r="C191" s="37">
        <f t="shared" si="7"/>
        <v>9.0959836819843286E-3</v>
      </c>
      <c r="D191" s="36">
        <f t="shared" si="8"/>
        <v>3.6025775103373937E-2</v>
      </c>
      <c r="E191" s="36">
        <f t="shared" si="6"/>
        <v>3.6883373382858631E-2</v>
      </c>
    </row>
    <row r="192" spans="1:5" x14ac:dyDescent="0.35">
      <c r="A192" s="35">
        <v>34151</v>
      </c>
      <c r="B192" s="63">
        <f>VLOOKUP(A192,Database!A:L,MATCH($A$1,Database!$A$1:$L$1,),)</f>
        <v>6510.8739999999998</v>
      </c>
      <c r="C192" s="37">
        <f t="shared" si="7"/>
        <v>1.112915852578826E-2</v>
      </c>
      <c r="D192" s="36">
        <f t="shared" si="8"/>
        <v>3.6446005466797354E-2</v>
      </c>
      <c r="E192" s="36">
        <f t="shared" si="6"/>
        <v>4.526531220976393E-2</v>
      </c>
    </row>
    <row r="193" spans="1:5" x14ac:dyDescent="0.35">
      <c r="A193" s="35">
        <v>34243</v>
      </c>
      <c r="B193" s="63">
        <f>VLOOKUP(A193,Database!A:L,MATCH($A$1,Database!$A$1:$L$1,),)</f>
        <v>6568.0280000000002</v>
      </c>
      <c r="C193" s="37">
        <f t="shared" si="7"/>
        <v>8.7782377603990575E-3</v>
      </c>
      <c r="D193" s="36">
        <f t="shared" si="8"/>
        <v>3.3229318669342221E-2</v>
      </c>
      <c r="E193" s="36">
        <f t="shared" si="6"/>
        <v>3.5578007443273219E-2</v>
      </c>
    </row>
    <row r="194" spans="1:5" x14ac:dyDescent="0.35">
      <c r="A194" s="35">
        <v>34335</v>
      </c>
      <c r="B194" s="63">
        <f>VLOOKUP(A194,Database!A:L,MATCH($A$1,Database!$A$1:$L$1,),)</f>
        <v>6643.1509999999998</v>
      </c>
      <c r="C194" s="37">
        <f t="shared" si="7"/>
        <v>1.143767962012336E-2</v>
      </c>
      <c r="D194" s="36">
        <f t="shared" si="8"/>
        <v>4.1055650000125399E-2</v>
      </c>
      <c r="E194" s="36">
        <f t="shared" si="6"/>
        <v>4.6541643817613609E-2</v>
      </c>
    </row>
    <row r="195" spans="1:5" x14ac:dyDescent="0.35">
      <c r="A195" s="35">
        <v>34425</v>
      </c>
      <c r="B195" s="63">
        <f>VLOOKUP(A195,Database!A:L,MATCH($A$1,Database!$A$1:$L$1,),)</f>
        <v>6694.8389999999999</v>
      </c>
      <c r="C195" s="37">
        <f t="shared" si="7"/>
        <v>7.7806450583465742E-3</v>
      </c>
      <c r="D195" s="36">
        <f t="shared" si="8"/>
        <v>3.9698652521248289E-2</v>
      </c>
      <c r="E195" s="36">
        <f t="shared" si="6"/>
        <v>3.1487698635812134E-2</v>
      </c>
    </row>
    <row r="196" spans="1:5" x14ac:dyDescent="0.35">
      <c r="A196" s="35">
        <v>34516</v>
      </c>
      <c r="B196" s="63">
        <f>VLOOKUP(A196,Database!A:L,MATCH($A$1,Database!$A$1:$L$1,),)</f>
        <v>6745.8869999999997</v>
      </c>
      <c r="C196" s="37">
        <f t="shared" si="7"/>
        <v>7.6249779867745551E-3</v>
      </c>
      <c r="D196" s="36">
        <f t="shared" si="8"/>
        <v>3.6095461223792681E-2</v>
      </c>
      <c r="E196" s="36">
        <f t="shared" si="6"/>
        <v>3.0850530336888227E-2</v>
      </c>
    </row>
    <row r="197" spans="1:5" x14ac:dyDescent="0.35">
      <c r="A197" s="35">
        <v>34608</v>
      </c>
      <c r="B197" s="63">
        <f>VLOOKUP(A197,Database!A:L,MATCH($A$1,Database!$A$1:$L$1,),)</f>
        <v>6818.8190000000004</v>
      </c>
      <c r="C197" s="37">
        <f t="shared" si="7"/>
        <v>1.0811328443539108E-2</v>
      </c>
      <c r="D197" s="36">
        <f t="shared" si="8"/>
        <v>3.8183607012637608E-2</v>
      </c>
      <c r="E197" s="36">
        <f t="shared" si="6"/>
        <v>4.3951691093336409E-2</v>
      </c>
    </row>
    <row r="198" spans="1:5" x14ac:dyDescent="0.35">
      <c r="A198" s="35">
        <v>34700</v>
      </c>
      <c r="B198" s="63">
        <f>VLOOKUP(A198,Database!A:L,MATCH($A$1,Database!$A$1:$L$1,),)</f>
        <v>6835.7910000000002</v>
      </c>
      <c r="C198" s="37">
        <f t="shared" si="7"/>
        <v>2.4889940618749011E-3</v>
      </c>
      <c r="D198" s="36">
        <f t="shared" si="8"/>
        <v>2.8998287108030561E-2</v>
      </c>
      <c r="E198" s="36">
        <f t="shared" ref="E198:E261" si="9">((1+C198)^4)-1</f>
        <v>9.9932085127021342E-3</v>
      </c>
    </row>
    <row r="199" spans="1:5" x14ac:dyDescent="0.35">
      <c r="A199" s="35">
        <v>34790</v>
      </c>
      <c r="B199" s="63">
        <f>VLOOKUP(A199,Database!A:L,MATCH($A$1,Database!$A$1:$L$1,),)</f>
        <v>6895.7179999999998</v>
      </c>
      <c r="C199" s="37">
        <f t="shared" ref="C199:C262" si="10">(B199-B198)/B198</f>
        <v>8.7666518768639463E-3</v>
      </c>
      <c r="D199" s="36">
        <f t="shared" si="8"/>
        <v>3.0005053146162277E-2</v>
      </c>
      <c r="E199" s="36">
        <f t="shared" si="9"/>
        <v>3.5530433540347239E-2</v>
      </c>
    </row>
    <row r="200" spans="1:5" x14ac:dyDescent="0.35">
      <c r="A200" s="35">
        <v>34881</v>
      </c>
      <c r="B200" s="63">
        <f>VLOOKUP(A200,Database!A:L,MATCH($A$1,Database!$A$1:$L$1,),)</f>
        <v>6958.21</v>
      </c>
      <c r="C200" s="37">
        <f t="shared" si="10"/>
        <v>9.0624355578346142E-3</v>
      </c>
      <c r="D200" s="36">
        <f t="shared" si="8"/>
        <v>3.1474437683287657E-2</v>
      </c>
      <c r="E200" s="36">
        <f t="shared" si="9"/>
        <v>3.6745492515084521E-2</v>
      </c>
    </row>
    <row r="201" spans="1:5" x14ac:dyDescent="0.35">
      <c r="A201" s="35">
        <v>34973</v>
      </c>
      <c r="B201" s="63">
        <f>VLOOKUP(A201,Database!A:L,MATCH($A$1,Database!$A$1:$L$1,),)</f>
        <v>7006.7470000000003</v>
      </c>
      <c r="C201" s="37">
        <f t="shared" si="10"/>
        <v>6.9755008831294627E-3</v>
      </c>
      <c r="D201" s="36">
        <f t="shared" si="8"/>
        <v>2.7560197740987093E-2</v>
      </c>
      <c r="E201" s="36">
        <f t="shared" si="9"/>
        <v>2.8195309220381715E-2</v>
      </c>
    </row>
    <row r="202" spans="1:5" x14ac:dyDescent="0.35">
      <c r="A202" s="35">
        <v>35065</v>
      </c>
      <c r="B202" s="63">
        <f>VLOOKUP(A202,Database!A:L,MATCH($A$1,Database!$A$1:$L$1,),)</f>
        <v>7071.3689999999997</v>
      </c>
      <c r="C202" s="37">
        <f t="shared" si="10"/>
        <v>9.2228248001532502E-3</v>
      </c>
      <c r="D202" s="36">
        <f t="shared" ref="D202:D265" si="11">(B202-B198)/B198</f>
        <v>3.446243455951177E-2</v>
      </c>
      <c r="E202" s="36">
        <f t="shared" si="9"/>
        <v>3.7404807411923535E-2</v>
      </c>
    </row>
    <row r="203" spans="1:5" x14ac:dyDescent="0.35">
      <c r="A203" s="35">
        <v>35156</v>
      </c>
      <c r="B203" s="63">
        <f>VLOOKUP(A203,Database!A:L,MATCH($A$1,Database!$A$1:$L$1,),)</f>
        <v>7147.4409999999998</v>
      </c>
      <c r="C203" s="37">
        <f t="shared" si="10"/>
        <v>1.0757747191526862E-2</v>
      </c>
      <c r="D203" s="36">
        <f t="shared" si="11"/>
        <v>3.6504247998540539E-2</v>
      </c>
      <c r="E203" s="36">
        <f t="shared" si="9"/>
        <v>4.3730356845820273E-2</v>
      </c>
    </row>
    <row r="204" spans="1:5" x14ac:dyDescent="0.35">
      <c r="A204" s="35">
        <v>35247</v>
      </c>
      <c r="B204" s="63">
        <f>VLOOKUP(A204,Database!A:L,MATCH($A$1,Database!$A$1:$L$1,),)</f>
        <v>7190.7129999999997</v>
      </c>
      <c r="C204" s="37">
        <f t="shared" si="10"/>
        <v>6.0541947810412054E-3</v>
      </c>
      <c r="D204" s="36">
        <f t="shared" si="11"/>
        <v>3.341419704205531E-2</v>
      </c>
      <c r="E204" s="36">
        <f t="shared" si="9"/>
        <v>2.4437587738559641E-2</v>
      </c>
    </row>
    <row r="205" spans="1:5" x14ac:dyDescent="0.35">
      <c r="A205" s="35">
        <v>35339</v>
      </c>
      <c r="B205" s="63">
        <f>VLOOKUP(A205,Database!A:L,MATCH($A$1,Database!$A$1:$L$1,),)</f>
        <v>7247.9870000000001</v>
      </c>
      <c r="C205" s="37">
        <f t="shared" si="10"/>
        <v>7.9649959607622136E-3</v>
      </c>
      <c r="D205" s="36">
        <f t="shared" si="11"/>
        <v>3.4429671857710828E-2</v>
      </c>
      <c r="E205" s="36">
        <f t="shared" si="9"/>
        <v>3.2242656066112874E-2</v>
      </c>
    </row>
    <row r="206" spans="1:5" x14ac:dyDescent="0.35">
      <c r="A206" s="35">
        <v>35431</v>
      </c>
      <c r="B206" s="63">
        <f>VLOOKUP(A206,Database!A:L,MATCH($A$1,Database!$A$1:$L$1,),)</f>
        <v>7324.3879999999999</v>
      </c>
      <c r="C206" s="37">
        <f t="shared" si="10"/>
        <v>1.0540995727503352E-2</v>
      </c>
      <c r="D206" s="36">
        <f t="shared" si="11"/>
        <v>3.5780766072312196E-2</v>
      </c>
      <c r="E206" s="36">
        <f t="shared" si="9"/>
        <v>4.2835355750969528E-2</v>
      </c>
    </row>
    <row r="207" spans="1:5" x14ac:dyDescent="0.35">
      <c r="A207" s="35">
        <v>35521</v>
      </c>
      <c r="B207" s="63">
        <f>VLOOKUP(A207,Database!A:L,MATCH($A$1,Database!$A$1:$L$1,),)</f>
        <v>7357.3620000000001</v>
      </c>
      <c r="C207" s="37">
        <f t="shared" si="10"/>
        <v>4.5019461011623308E-3</v>
      </c>
      <c r="D207" s="36">
        <f t="shared" si="11"/>
        <v>2.9370092037136128E-2</v>
      </c>
      <c r="E207" s="36">
        <f t="shared" si="9"/>
        <v>1.8129754900715556E-2</v>
      </c>
    </row>
    <row r="208" spans="1:5" x14ac:dyDescent="0.35">
      <c r="A208" s="35">
        <v>35612</v>
      </c>
      <c r="B208" s="63">
        <f>VLOOKUP(A208,Database!A:L,MATCH($A$1,Database!$A$1:$L$1,),)</f>
        <v>7482.7129999999997</v>
      </c>
      <c r="C208" s="37">
        <f t="shared" si="10"/>
        <v>1.7037492514300596E-2</v>
      </c>
      <c r="D208" s="36">
        <f t="shared" si="11"/>
        <v>4.0607934150619002E-2</v>
      </c>
      <c r="E208" s="36">
        <f t="shared" si="9"/>
        <v>6.9911493535506741E-2</v>
      </c>
    </row>
    <row r="209" spans="1:5" x14ac:dyDescent="0.35">
      <c r="A209" s="35">
        <v>35704</v>
      </c>
      <c r="B209" s="63">
        <f>VLOOKUP(A209,Database!A:L,MATCH($A$1,Database!$A$1:$L$1,),)</f>
        <v>7572.1469999999999</v>
      </c>
      <c r="C209" s="37">
        <f t="shared" si="10"/>
        <v>1.1952082085735508E-2</v>
      </c>
      <c r="D209" s="36">
        <f t="shared" si="11"/>
        <v>4.4724142027296659E-2</v>
      </c>
      <c r="E209" s="36">
        <f t="shared" si="9"/>
        <v>4.8672291874863216E-2</v>
      </c>
    </row>
    <row r="210" spans="1:5" x14ac:dyDescent="0.35">
      <c r="A210" s="35">
        <v>35796</v>
      </c>
      <c r="B210" s="63">
        <f>VLOOKUP(A210,Database!A:L,MATCH($A$1,Database!$A$1:$L$1,),)</f>
        <v>7648.741</v>
      </c>
      <c r="C210" s="37">
        <f t="shared" si="10"/>
        <v>1.0115228877622166E-2</v>
      </c>
      <c r="D210" s="36">
        <f t="shared" si="11"/>
        <v>4.4283972940810899E-2</v>
      </c>
      <c r="E210" s="36">
        <f t="shared" si="9"/>
        <v>4.1078972985008066E-2</v>
      </c>
    </row>
    <row r="211" spans="1:5" x14ac:dyDescent="0.35">
      <c r="A211" s="35">
        <v>35886</v>
      </c>
      <c r="B211" s="63">
        <f>VLOOKUP(A211,Database!A:L,MATCH($A$1,Database!$A$1:$L$1,),)</f>
        <v>7783.43</v>
      </c>
      <c r="C211" s="37">
        <f t="shared" si="10"/>
        <v>1.7609303282723303E-2</v>
      </c>
      <c r="D211" s="36">
        <f t="shared" si="11"/>
        <v>5.7910430396112114E-2</v>
      </c>
      <c r="E211" s="36">
        <f t="shared" si="9"/>
        <v>7.2319676361508378E-2</v>
      </c>
    </row>
    <row r="212" spans="1:5" x14ac:dyDescent="0.35">
      <c r="A212" s="35">
        <v>35977</v>
      </c>
      <c r="B212" s="63">
        <f>VLOOKUP(A212,Database!A:L,MATCH($A$1,Database!$A$1:$L$1,),)</f>
        <v>7884.9290000000001</v>
      </c>
      <c r="C212" s="37">
        <f t="shared" si="10"/>
        <v>1.3040394787388053E-2</v>
      </c>
      <c r="D212" s="36">
        <f t="shared" si="11"/>
        <v>5.3752696381646654E-2</v>
      </c>
      <c r="E212" s="36">
        <f t="shared" si="9"/>
        <v>5.3190789619908863E-2</v>
      </c>
    </row>
    <row r="213" spans="1:5" x14ac:dyDescent="0.35">
      <c r="A213" s="35">
        <v>36069</v>
      </c>
      <c r="B213" s="63">
        <f>VLOOKUP(A213,Database!A:L,MATCH($A$1,Database!$A$1:$L$1,),)</f>
        <v>7998.8419999999996</v>
      </c>
      <c r="C213" s="37">
        <f t="shared" si="10"/>
        <v>1.444692780366184E-2</v>
      </c>
      <c r="D213" s="36">
        <f t="shared" si="11"/>
        <v>5.6350596468874643E-2</v>
      </c>
      <c r="E213" s="36">
        <f t="shared" si="9"/>
        <v>5.9052098202200254E-2</v>
      </c>
    </row>
    <row r="214" spans="1:5" x14ac:dyDescent="0.35">
      <c r="A214" s="35">
        <v>36161</v>
      </c>
      <c r="B214" s="63">
        <f>VLOOKUP(A214,Database!A:L,MATCH($A$1,Database!$A$1:$L$1,),)</f>
        <v>8080.9960000000001</v>
      </c>
      <c r="C214" s="37">
        <f t="shared" si="10"/>
        <v>1.027073668913581E-2</v>
      </c>
      <c r="D214" s="36">
        <f t="shared" si="11"/>
        <v>5.6513222241412031E-2</v>
      </c>
      <c r="E214" s="36">
        <f t="shared" si="9"/>
        <v>4.1720219836301808E-2</v>
      </c>
    </row>
    <row r="215" spans="1:5" x14ac:dyDescent="0.35">
      <c r="A215" s="35">
        <v>36251</v>
      </c>
      <c r="B215" s="63">
        <f>VLOOKUP(A215,Database!A:L,MATCH($A$1,Database!$A$1:$L$1,),)</f>
        <v>8204.75</v>
      </c>
      <c r="C215" s="37">
        <f t="shared" si="10"/>
        <v>1.531420136824717E-2</v>
      </c>
      <c r="D215" s="36">
        <f t="shared" si="11"/>
        <v>5.4130376967480881E-2</v>
      </c>
      <c r="E215" s="36">
        <f t="shared" si="9"/>
        <v>6.2678375293955924E-2</v>
      </c>
    </row>
    <row r="216" spans="1:5" x14ac:dyDescent="0.35">
      <c r="A216" s="35">
        <v>36342</v>
      </c>
      <c r="B216" s="63">
        <f>VLOOKUP(A216,Database!A:L,MATCH($A$1,Database!$A$1:$L$1,),)</f>
        <v>8296.9879999999994</v>
      </c>
      <c r="C216" s="37">
        <f t="shared" si="10"/>
        <v>1.1242024437063819E-2</v>
      </c>
      <c r="D216" s="36">
        <f t="shared" si="11"/>
        <v>5.2259062827325307E-2</v>
      </c>
      <c r="E216" s="36">
        <f t="shared" si="9"/>
        <v>4.5732095609807066E-2</v>
      </c>
    </row>
    <row r="217" spans="1:5" x14ac:dyDescent="0.35">
      <c r="A217" s="35">
        <v>36434</v>
      </c>
      <c r="B217" s="63">
        <f>VLOOKUP(A217,Database!A:L,MATCH($A$1,Database!$A$1:$L$1,),)</f>
        <v>8418.3490000000002</v>
      </c>
      <c r="C217" s="37">
        <f t="shared" si="10"/>
        <v>1.4627115285691723E-2</v>
      </c>
      <c r="D217" s="36">
        <f t="shared" si="11"/>
        <v>5.2445966553658706E-2</v>
      </c>
      <c r="E217" s="36">
        <f t="shared" si="9"/>
        <v>5.9804739959550934E-2</v>
      </c>
    </row>
    <row r="218" spans="1:5" x14ac:dyDescent="0.35">
      <c r="A218" s="35">
        <v>36526</v>
      </c>
      <c r="B218" s="63">
        <f>VLOOKUP(A218,Database!A:L,MATCH($A$1,Database!$A$1:$L$1,),)</f>
        <v>8545.6389999999992</v>
      </c>
      <c r="C218" s="37">
        <f t="shared" si="10"/>
        <v>1.5120542044526671E-2</v>
      </c>
      <c r="D218" s="36">
        <f t="shared" si="11"/>
        <v>5.749823412856523E-2</v>
      </c>
      <c r="E218" s="36">
        <f t="shared" si="9"/>
        <v>6.1867833286462615E-2</v>
      </c>
    </row>
    <row r="219" spans="1:5" x14ac:dyDescent="0.35">
      <c r="A219" s="35">
        <v>36617</v>
      </c>
      <c r="B219" s="63">
        <f>VLOOKUP(A219,Database!A:L,MATCH($A$1,Database!$A$1:$L$1,),)</f>
        <v>8625.4349999999995</v>
      </c>
      <c r="C219" s="37">
        <f t="shared" si="10"/>
        <v>9.3376282335352907E-3</v>
      </c>
      <c r="D219" s="36">
        <f t="shared" si="11"/>
        <v>5.1273347755873062E-2</v>
      </c>
      <c r="E219" s="36">
        <f t="shared" si="9"/>
        <v>3.7876924982447324E-2</v>
      </c>
    </row>
    <row r="220" spans="1:5" x14ac:dyDescent="0.35">
      <c r="A220" s="35">
        <v>36708</v>
      </c>
      <c r="B220" s="63">
        <f>VLOOKUP(A220,Database!A:L,MATCH($A$1,Database!$A$1:$L$1,),)</f>
        <v>8708.0740000000005</v>
      </c>
      <c r="C220" s="37">
        <f t="shared" si="10"/>
        <v>9.5808501252401812E-3</v>
      </c>
      <c r="D220" s="36">
        <f t="shared" si="11"/>
        <v>4.9546413710614162E-2</v>
      </c>
      <c r="E220" s="36">
        <f t="shared" si="9"/>
        <v>3.887768286958071E-2</v>
      </c>
    </row>
    <row r="221" spans="1:5" x14ac:dyDescent="0.35">
      <c r="A221" s="35">
        <v>36800</v>
      </c>
      <c r="B221" s="63">
        <f>VLOOKUP(A221,Database!A:L,MATCH($A$1,Database!$A$1:$L$1,),)</f>
        <v>8784.1550000000007</v>
      </c>
      <c r="C221" s="37">
        <f t="shared" si="10"/>
        <v>8.7368343447701662E-3</v>
      </c>
      <c r="D221" s="36">
        <f t="shared" si="11"/>
        <v>4.3453413489984855E-2</v>
      </c>
      <c r="E221" s="36">
        <f t="shared" si="9"/>
        <v>3.5408004461650044E-2</v>
      </c>
    </row>
    <row r="222" spans="1:5" x14ac:dyDescent="0.35">
      <c r="A222" s="35">
        <v>36892</v>
      </c>
      <c r="B222" s="63">
        <f>VLOOKUP(A222,Database!A:L,MATCH($A$1,Database!$A$1:$L$1,),)</f>
        <v>8816.0139999999992</v>
      </c>
      <c r="C222" s="37">
        <f t="shared" si="10"/>
        <v>3.6268713382218956E-3</v>
      </c>
      <c r="D222" s="36">
        <f t="shared" si="11"/>
        <v>3.1638944729586636E-2</v>
      </c>
      <c r="E222" s="36">
        <f t="shared" si="9"/>
        <v>1.4586601534446242E-2</v>
      </c>
    </row>
    <row r="223" spans="1:5" x14ac:dyDescent="0.35">
      <c r="A223" s="35">
        <v>36982</v>
      </c>
      <c r="B223" s="63">
        <f>VLOOKUP(A223,Database!A:L,MATCH($A$1,Database!$A$1:$L$1,),)</f>
        <v>8833.7260000000006</v>
      </c>
      <c r="C223" s="37">
        <f t="shared" si="10"/>
        <v>2.0090712197146413E-3</v>
      </c>
      <c r="D223" s="36">
        <f t="shared" si="11"/>
        <v>2.4148463236926727E-2</v>
      </c>
      <c r="E223" s="36">
        <f t="shared" si="9"/>
        <v>8.0605355355427566E-3</v>
      </c>
    </row>
    <row r="224" spans="1:5" x14ac:dyDescent="0.35">
      <c r="A224" s="35">
        <v>37073</v>
      </c>
      <c r="B224" s="63">
        <f>VLOOKUP(A224,Database!A:L,MATCH($A$1,Database!$A$1:$L$1,),)</f>
        <v>8864.4650000000001</v>
      </c>
      <c r="C224" s="37">
        <f t="shared" si="10"/>
        <v>3.4797321085122605E-3</v>
      </c>
      <c r="D224" s="36">
        <f t="shared" si="11"/>
        <v>1.7959309946148784E-2</v>
      </c>
      <c r="E224" s="36">
        <f t="shared" si="9"/>
        <v>1.3991748331787734E-2</v>
      </c>
    </row>
    <row r="225" spans="1:5" x14ac:dyDescent="0.35">
      <c r="A225" s="35">
        <v>37165</v>
      </c>
      <c r="B225" s="63">
        <f>VLOOKUP(A225,Database!A:L,MATCH($A$1,Database!$A$1:$L$1,),)</f>
        <v>9007.4940000000006</v>
      </c>
      <c r="C225" s="37">
        <f t="shared" si="10"/>
        <v>1.6135096703523612E-2</v>
      </c>
      <c r="D225" s="36">
        <f t="shared" si="11"/>
        <v>2.5425211645286307E-2</v>
      </c>
      <c r="E225" s="36">
        <f t="shared" si="9"/>
        <v>6.611930519665421E-2</v>
      </c>
    </row>
    <row r="226" spans="1:5" x14ac:dyDescent="0.35">
      <c r="A226" s="35">
        <v>37257</v>
      </c>
      <c r="B226" s="63">
        <f>VLOOKUP(A226,Database!A:L,MATCH($A$1,Database!$A$1:$L$1,),)</f>
        <v>9027.5480000000007</v>
      </c>
      <c r="C226" s="37">
        <f t="shared" si="10"/>
        <v>2.2263683994682747E-3</v>
      </c>
      <c r="D226" s="36">
        <f t="shared" si="11"/>
        <v>2.399429039019238E-2</v>
      </c>
      <c r="E226" s="36">
        <f t="shared" si="9"/>
        <v>8.9352580618489164E-3</v>
      </c>
    </row>
    <row r="227" spans="1:5" x14ac:dyDescent="0.35">
      <c r="A227" s="35">
        <v>37347</v>
      </c>
      <c r="B227" s="63">
        <f>VLOOKUP(A227,Database!A:L,MATCH($A$1,Database!$A$1:$L$1,),)</f>
        <v>9073.2119999999995</v>
      </c>
      <c r="C227" s="37">
        <f t="shared" si="10"/>
        <v>5.0582948991241975E-3</v>
      </c>
      <c r="D227" s="36">
        <f t="shared" si="11"/>
        <v>2.7110417506723546E-2</v>
      </c>
      <c r="E227" s="36">
        <f t="shared" si="9"/>
        <v>2.0387216028036947E-2</v>
      </c>
    </row>
    <row r="228" spans="1:5" x14ac:dyDescent="0.35">
      <c r="A228" s="35">
        <v>37438</v>
      </c>
      <c r="B228" s="63">
        <f>VLOOKUP(A228,Database!A:L,MATCH($A$1,Database!$A$1:$L$1,),)</f>
        <v>9136.7090000000007</v>
      </c>
      <c r="C228" s="37">
        <f t="shared" si="10"/>
        <v>6.9982934378697657E-3</v>
      </c>
      <c r="D228" s="36">
        <f t="shared" si="11"/>
        <v>3.071183652933376E-2</v>
      </c>
      <c r="E228" s="36">
        <f t="shared" si="9"/>
        <v>2.8288403813180096E-2</v>
      </c>
    </row>
    <row r="229" spans="1:5" x14ac:dyDescent="0.35">
      <c r="A229" s="35">
        <v>37530</v>
      </c>
      <c r="B229" s="63">
        <f>VLOOKUP(A229,Database!A:L,MATCH($A$1,Database!$A$1:$L$1,),)</f>
        <v>9187.527</v>
      </c>
      <c r="C229" s="37">
        <f t="shared" si="10"/>
        <v>5.5619589066478198E-3</v>
      </c>
      <c r="D229" s="36">
        <f t="shared" si="11"/>
        <v>1.9987024137901113E-2</v>
      </c>
      <c r="E229" s="36">
        <f t="shared" si="9"/>
        <v>2.2434137150267208E-2</v>
      </c>
    </row>
    <row r="230" spans="1:5" x14ac:dyDescent="0.35">
      <c r="A230" s="35">
        <v>37622</v>
      </c>
      <c r="B230" s="63">
        <f>VLOOKUP(A230,Database!A:L,MATCH($A$1,Database!$A$1:$L$1,),)</f>
        <v>9232.7819999999992</v>
      </c>
      <c r="C230" s="37">
        <f t="shared" si="10"/>
        <v>4.9256998101882259E-3</v>
      </c>
      <c r="D230" s="36">
        <f t="shared" si="11"/>
        <v>2.2734190945315223E-2</v>
      </c>
      <c r="E230" s="36">
        <f t="shared" si="9"/>
        <v>1.984885298067729E-2</v>
      </c>
    </row>
    <row r="231" spans="1:5" x14ac:dyDescent="0.35">
      <c r="A231" s="35">
        <v>37712</v>
      </c>
      <c r="B231" s="63">
        <f>VLOOKUP(A231,Database!A:L,MATCH($A$1,Database!$A$1:$L$1,),)</f>
        <v>9338.4950000000008</v>
      </c>
      <c r="C231" s="37">
        <f t="shared" si="10"/>
        <v>1.1449745049758736E-2</v>
      </c>
      <c r="D231" s="36">
        <f t="shared" si="11"/>
        <v>2.923804712157076E-2</v>
      </c>
      <c r="E231" s="36">
        <f t="shared" si="9"/>
        <v>4.6591581449010544E-2</v>
      </c>
    </row>
    <row r="232" spans="1:5" x14ac:dyDescent="0.35">
      <c r="A232" s="35">
        <v>37803</v>
      </c>
      <c r="B232" s="63">
        <f>VLOOKUP(A232,Database!A:L,MATCH($A$1,Database!$A$1:$L$1,),)</f>
        <v>9470.5409999999993</v>
      </c>
      <c r="C232" s="37">
        <f t="shared" si="10"/>
        <v>1.4139965808194837E-2</v>
      </c>
      <c r="D232" s="36">
        <f t="shared" si="11"/>
        <v>3.6537444718880562E-2</v>
      </c>
      <c r="E232" s="36">
        <f t="shared" si="9"/>
        <v>5.7770843508318626E-2</v>
      </c>
    </row>
    <row r="233" spans="1:5" x14ac:dyDescent="0.35">
      <c r="A233" s="35">
        <v>37895</v>
      </c>
      <c r="B233" s="63">
        <f>VLOOKUP(A233,Database!A:L,MATCH($A$1,Database!$A$1:$L$1,),)</f>
        <v>9535.741</v>
      </c>
      <c r="C233" s="37">
        <f t="shared" si="10"/>
        <v>6.8845063866996336E-3</v>
      </c>
      <c r="D233" s="36">
        <f t="shared" si="11"/>
        <v>3.7900732155671482E-2</v>
      </c>
      <c r="E233" s="36">
        <f t="shared" si="9"/>
        <v>2.7823711566400844E-2</v>
      </c>
    </row>
    <row r="234" spans="1:5" x14ac:dyDescent="0.35">
      <c r="A234" s="35">
        <v>37987</v>
      </c>
      <c r="B234" s="63">
        <f>VLOOKUP(A234,Database!A:L,MATCH($A$1,Database!$A$1:$L$1,),)</f>
        <v>9624.6489999999994</v>
      </c>
      <c r="C234" s="37">
        <f t="shared" si="10"/>
        <v>9.3236592730443751E-3</v>
      </c>
      <c r="D234" s="36">
        <f t="shared" si="11"/>
        <v>4.244300363639044E-2</v>
      </c>
      <c r="E234" s="36">
        <f t="shared" si="9"/>
        <v>3.7819470428557933E-2</v>
      </c>
    </row>
    <row r="235" spans="1:5" x14ac:dyDescent="0.35">
      <c r="A235" s="35">
        <v>38078</v>
      </c>
      <c r="B235" s="63">
        <f>VLOOKUP(A235,Database!A:L,MATCH($A$1,Database!$A$1:$L$1,),)</f>
        <v>9677.1659999999993</v>
      </c>
      <c r="C235" s="37">
        <f t="shared" si="10"/>
        <v>5.4565106737918265E-3</v>
      </c>
      <c r="D235" s="36">
        <f t="shared" si="11"/>
        <v>3.6266122110682551E-2</v>
      </c>
      <c r="E235" s="36">
        <f t="shared" si="9"/>
        <v>2.2005334471900895E-2</v>
      </c>
    </row>
    <row r="236" spans="1:5" x14ac:dyDescent="0.35">
      <c r="A236" s="35">
        <v>38169</v>
      </c>
      <c r="B236" s="63">
        <f>VLOOKUP(A236,Database!A:L,MATCH($A$1,Database!$A$1:$L$1,),)</f>
        <v>9790.8359999999993</v>
      </c>
      <c r="C236" s="37">
        <f t="shared" si="10"/>
        <v>1.1746207515712769E-2</v>
      </c>
      <c r="D236" s="36">
        <f t="shared" si="11"/>
        <v>3.382013762466158E-2</v>
      </c>
      <c r="E236" s="36">
        <f t="shared" si="9"/>
        <v>4.7819172101850826E-2</v>
      </c>
    </row>
    <row r="237" spans="1:5" x14ac:dyDescent="0.35">
      <c r="A237" s="35">
        <v>38261</v>
      </c>
      <c r="B237" s="63">
        <f>VLOOKUP(A237,Database!A:L,MATCH($A$1,Database!$A$1:$L$1,),)</f>
        <v>9901.58</v>
      </c>
      <c r="C237" s="37">
        <f t="shared" si="10"/>
        <v>1.1310985088505272E-2</v>
      </c>
      <c r="D237" s="36">
        <f t="shared" si="11"/>
        <v>3.8365031097216243E-2</v>
      </c>
      <c r="E237" s="36">
        <f t="shared" si="9"/>
        <v>4.6017375460885468E-2</v>
      </c>
    </row>
    <row r="238" spans="1:5" x14ac:dyDescent="0.35">
      <c r="A238" s="35">
        <v>38353</v>
      </c>
      <c r="B238" s="63">
        <f>VLOOKUP(A238,Database!A:L,MATCH($A$1,Database!$A$1:$L$1,),)</f>
        <v>9964.4959999999992</v>
      </c>
      <c r="C238" s="37">
        <f t="shared" si="10"/>
        <v>6.3541374204924119E-3</v>
      </c>
      <c r="D238" s="36">
        <f t="shared" si="11"/>
        <v>3.5310066891790004E-2</v>
      </c>
      <c r="E238" s="36">
        <f t="shared" si="9"/>
        <v>2.565982788104515E-2</v>
      </c>
    </row>
    <row r="239" spans="1:5" x14ac:dyDescent="0.35">
      <c r="A239" s="35">
        <v>38443</v>
      </c>
      <c r="B239" s="63">
        <f>VLOOKUP(A239,Database!A:L,MATCH($A$1,Database!$A$1:$L$1,),)</f>
        <v>10074.922</v>
      </c>
      <c r="C239" s="37">
        <f t="shared" si="10"/>
        <v>1.108194533873076E-2</v>
      </c>
      <c r="D239" s="36">
        <f t="shared" si="11"/>
        <v>4.1102529397553093E-2</v>
      </c>
      <c r="E239" s="36">
        <f t="shared" si="9"/>
        <v>4.507009738526091E-2</v>
      </c>
    </row>
    <row r="240" spans="1:5" x14ac:dyDescent="0.35">
      <c r="A240" s="35">
        <v>38534</v>
      </c>
      <c r="B240" s="63">
        <f>VLOOKUP(A240,Database!A:L,MATCH($A$1,Database!$A$1:$L$1,),)</f>
        <v>10158.513000000001</v>
      </c>
      <c r="C240" s="37">
        <f t="shared" si="10"/>
        <v>8.296937683487807E-3</v>
      </c>
      <c r="D240" s="36">
        <f t="shared" si="11"/>
        <v>3.7553177277200998E-2</v>
      </c>
      <c r="E240" s="36">
        <f t="shared" si="9"/>
        <v>3.360307513970362E-2</v>
      </c>
    </row>
    <row r="241" spans="1:5" x14ac:dyDescent="0.35">
      <c r="A241" s="35">
        <v>38626</v>
      </c>
      <c r="B241" s="63">
        <f>VLOOKUP(A241,Database!A:L,MATCH($A$1,Database!$A$1:$L$1,),)</f>
        <v>10177.237999999999</v>
      </c>
      <c r="C241" s="37">
        <f t="shared" si="10"/>
        <v>1.8432815905239815E-3</v>
      </c>
      <c r="D241" s="36">
        <f t="shared" si="11"/>
        <v>2.7839799304757367E-2</v>
      </c>
      <c r="E241" s="36">
        <f t="shared" si="9"/>
        <v>7.3935375473479503E-3</v>
      </c>
    </row>
    <row r="242" spans="1:5" x14ac:dyDescent="0.35">
      <c r="A242" s="35">
        <v>38718</v>
      </c>
      <c r="B242" s="63">
        <f>VLOOKUP(A242,Database!A:L,MATCH($A$1,Database!$A$1:$L$1,),)</f>
        <v>10288.217000000001</v>
      </c>
      <c r="C242" s="37">
        <f t="shared" si="10"/>
        <v>1.0904628544601313E-2</v>
      </c>
      <c r="D242" s="36">
        <f t="shared" si="11"/>
        <v>3.2487443419115365E-2</v>
      </c>
      <c r="E242" s="36">
        <f t="shared" si="9"/>
        <v>4.4337180578198243E-2</v>
      </c>
    </row>
    <row r="243" spans="1:5" x14ac:dyDescent="0.35">
      <c r="A243" s="35">
        <v>38808</v>
      </c>
      <c r="B243" s="63">
        <f>VLOOKUP(A243,Database!A:L,MATCH($A$1,Database!$A$1:$L$1,),)</f>
        <v>10341.556</v>
      </c>
      <c r="C243" s="37">
        <f t="shared" si="10"/>
        <v>5.1844746276249751E-3</v>
      </c>
      <c r="D243" s="36">
        <f t="shared" si="11"/>
        <v>2.6465118042601224E-2</v>
      </c>
      <c r="E243" s="36">
        <f t="shared" si="9"/>
        <v>2.089972930530859E-2</v>
      </c>
    </row>
    <row r="244" spans="1:5" x14ac:dyDescent="0.35">
      <c r="A244" s="35">
        <v>38899</v>
      </c>
      <c r="B244" s="63">
        <f>VLOOKUP(A244,Database!A:L,MATCH($A$1,Database!$A$1:$L$1,),)</f>
        <v>10407.966</v>
      </c>
      <c r="C244" s="37">
        <f t="shared" si="10"/>
        <v>6.4216642060440279E-3</v>
      </c>
      <c r="D244" s="36">
        <f t="shared" si="11"/>
        <v>2.4556054611536107E-2</v>
      </c>
      <c r="E244" s="36">
        <f t="shared" si="9"/>
        <v>2.5935144412257083E-2</v>
      </c>
    </row>
    <row r="245" spans="1:5" x14ac:dyDescent="0.35">
      <c r="A245" s="35">
        <v>38991</v>
      </c>
      <c r="B245" s="63">
        <f>VLOOKUP(A245,Database!A:L,MATCH($A$1,Database!$A$1:$L$1,),)</f>
        <v>10507.248</v>
      </c>
      <c r="C245" s="37">
        <f t="shared" si="10"/>
        <v>9.5390396163860681E-3</v>
      </c>
      <c r="D245" s="36">
        <f t="shared" si="11"/>
        <v>3.2426283044574594E-2</v>
      </c>
      <c r="E245" s="36">
        <f t="shared" si="9"/>
        <v>3.8705598360027738E-2</v>
      </c>
    </row>
    <row r="246" spans="1:5" x14ac:dyDescent="0.35">
      <c r="A246" s="35">
        <v>39083</v>
      </c>
      <c r="B246" s="63">
        <f>VLOOKUP(A246,Database!A:L,MATCH($A$1,Database!$A$1:$L$1,),)</f>
        <v>10572.053</v>
      </c>
      <c r="C246" s="37">
        <f t="shared" si="10"/>
        <v>6.167647323066924E-3</v>
      </c>
      <c r="D246" s="36">
        <f t="shared" si="11"/>
        <v>2.7588453859400449E-2</v>
      </c>
      <c r="E246" s="36">
        <f t="shared" si="9"/>
        <v>2.489976844640629E-2</v>
      </c>
    </row>
    <row r="247" spans="1:5" x14ac:dyDescent="0.35">
      <c r="A247" s="35">
        <v>39173</v>
      </c>
      <c r="B247" s="63">
        <f>VLOOKUP(A247,Database!A:L,MATCH($A$1,Database!$A$1:$L$1,),)</f>
        <v>10599.795</v>
      </c>
      <c r="C247" s="37">
        <f t="shared" si="10"/>
        <v>2.6240882447335621E-3</v>
      </c>
      <c r="D247" s="36">
        <f t="shared" si="11"/>
        <v>2.4971000495476653E-2</v>
      </c>
      <c r="E247" s="36">
        <f t="shared" si="9"/>
        <v>1.0537740337243751E-2</v>
      </c>
    </row>
    <row r="248" spans="1:5" x14ac:dyDescent="0.35">
      <c r="A248" s="35">
        <v>39264</v>
      </c>
      <c r="B248" s="63">
        <f>VLOOKUP(A248,Database!A:L,MATCH($A$1,Database!$A$1:$L$1,),)</f>
        <v>10670.505999999999</v>
      </c>
      <c r="C248" s="37">
        <f t="shared" si="10"/>
        <v>6.6709780708022496E-3</v>
      </c>
      <c r="D248" s="36">
        <f t="shared" si="11"/>
        <v>2.5224909458774081E-2</v>
      </c>
      <c r="E248" s="36">
        <f t="shared" si="9"/>
        <v>2.6952113440247727E-2</v>
      </c>
    </row>
    <row r="249" spans="1:5" x14ac:dyDescent="0.35">
      <c r="A249" s="35">
        <v>39356</v>
      </c>
      <c r="B249" s="63">
        <f>VLOOKUP(A249,Database!A:L,MATCH($A$1,Database!$A$1:$L$1,),)</f>
        <v>10712.556</v>
      </c>
      <c r="C249" s="37">
        <f t="shared" si="10"/>
        <v>3.9407690694331738E-3</v>
      </c>
      <c r="D249" s="36">
        <f t="shared" si="11"/>
        <v>1.9539654912494778E-2</v>
      </c>
      <c r="E249" s="36">
        <f t="shared" si="9"/>
        <v>1.5856499279282898E-2</v>
      </c>
    </row>
    <row r="250" spans="1:5" x14ac:dyDescent="0.35">
      <c r="A250" s="35">
        <v>39448</v>
      </c>
      <c r="B250" s="63">
        <f>VLOOKUP(A250,Database!A:L,MATCH($A$1,Database!$A$1:$L$1,),)</f>
        <v>10697.867</v>
      </c>
      <c r="C250" s="37">
        <f t="shared" si="10"/>
        <v>-1.3711946990055692E-3</v>
      </c>
      <c r="D250" s="36">
        <f t="shared" si="11"/>
        <v>1.1900621383566684E-2</v>
      </c>
      <c r="E250" s="36">
        <f t="shared" si="9"/>
        <v>-5.4735080554153548E-3</v>
      </c>
    </row>
    <row r="251" spans="1:5" x14ac:dyDescent="0.35">
      <c r="A251" s="35">
        <v>39539</v>
      </c>
      <c r="B251" s="63">
        <f>VLOOKUP(A251,Database!A:L,MATCH($A$1,Database!$A$1:$L$1,),)</f>
        <v>10727.347</v>
      </c>
      <c r="C251" s="37">
        <f t="shared" si="10"/>
        <v>2.7556895220327156E-3</v>
      </c>
      <c r="D251" s="36">
        <f t="shared" si="11"/>
        <v>1.203344026936367E-2</v>
      </c>
      <c r="E251" s="36">
        <f t="shared" si="9"/>
        <v>1.1068404799140952E-2</v>
      </c>
    </row>
    <row r="252" spans="1:5" x14ac:dyDescent="0.35">
      <c r="A252" s="35">
        <v>39630</v>
      </c>
      <c r="B252" s="63">
        <f>VLOOKUP(A252,Database!A:L,MATCH($A$1,Database!$A$1:$L$1,),)</f>
        <v>10644.668</v>
      </c>
      <c r="C252" s="37">
        <f t="shared" si="10"/>
        <v>-7.7073110434481224E-3</v>
      </c>
      <c r="D252" s="36">
        <f t="shared" si="11"/>
        <v>-2.4214409326042963E-3</v>
      </c>
      <c r="E252" s="36">
        <f t="shared" si="9"/>
        <v>-3.0474656122597366E-2</v>
      </c>
    </row>
    <row r="253" spans="1:5" x14ac:dyDescent="0.35">
      <c r="A253" s="35">
        <v>39722</v>
      </c>
      <c r="B253" s="63">
        <f>VLOOKUP(A253,Database!A:L,MATCH($A$1,Database!$A$1:$L$1,),)</f>
        <v>10548.871999999999</v>
      </c>
      <c r="C253" s="37">
        <f t="shared" si="10"/>
        <v>-8.9994352101916454E-3</v>
      </c>
      <c r="D253" s="36">
        <f t="shared" si="11"/>
        <v>-1.5279640078427697E-2</v>
      </c>
      <c r="E253" s="36">
        <f t="shared" si="9"/>
        <v>-3.5514710727857501E-2</v>
      </c>
    </row>
    <row r="254" spans="1:5" x14ac:dyDescent="0.35">
      <c r="A254" s="35">
        <v>39814</v>
      </c>
      <c r="B254" s="63">
        <f>VLOOKUP(A254,Database!A:L,MATCH($A$1,Database!$A$1:$L$1,),)</f>
        <v>10522.083000000001</v>
      </c>
      <c r="C254" s="37">
        <f t="shared" si="10"/>
        <v>-2.5395132294712508E-3</v>
      </c>
      <c r="D254" s="36">
        <f t="shared" si="11"/>
        <v>-1.6431686802612113E-2</v>
      </c>
      <c r="E254" s="36">
        <f t="shared" si="9"/>
        <v>-1.0119423622215518E-2</v>
      </c>
    </row>
    <row r="255" spans="1:5" x14ac:dyDescent="0.35">
      <c r="A255" s="35">
        <v>39904</v>
      </c>
      <c r="B255" s="63">
        <f>VLOOKUP(A255,Database!A:L,MATCH($A$1,Database!$A$1:$L$1,),)</f>
        <v>10470.358</v>
      </c>
      <c r="C255" s="37">
        <f t="shared" si="10"/>
        <v>-4.9158517377215485E-3</v>
      </c>
      <c r="D255" s="36">
        <f t="shared" si="11"/>
        <v>-2.3956435827050211E-2</v>
      </c>
      <c r="E255" s="36">
        <f t="shared" si="9"/>
        <v>-1.9518887955060182E-2</v>
      </c>
    </row>
    <row r="256" spans="1:5" x14ac:dyDescent="0.35">
      <c r="A256" s="35">
        <v>39995</v>
      </c>
      <c r="B256" s="63">
        <f>VLOOKUP(A256,Database!A:L,MATCH($A$1,Database!$A$1:$L$1,),)</f>
        <v>10540.769</v>
      </c>
      <c r="C256" s="37">
        <f t="shared" si="10"/>
        <v>6.7247939373228744E-3</v>
      </c>
      <c r="D256" s="36">
        <f t="shared" si="11"/>
        <v>-9.7606613940424847E-3</v>
      </c>
      <c r="E256" s="36">
        <f t="shared" si="9"/>
        <v>2.7171731372879204E-2</v>
      </c>
    </row>
    <row r="257" spans="1:5" x14ac:dyDescent="0.35">
      <c r="A257" s="35">
        <v>40087</v>
      </c>
      <c r="B257" s="63">
        <f>VLOOKUP(A257,Database!A:L,MATCH($A$1,Database!$A$1:$L$1,),)</f>
        <v>10529.156000000001</v>
      </c>
      <c r="C257" s="37">
        <f t="shared" si="10"/>
        <v>-1.1017222747220221E-3</v>
      </c>
      <c r="D257" s="36">
        <f t="shared" si="11"/>
        <v>-1.8690149998974801E-3</v>
      </c>
      <c r="E257" s="36">
        <f t="shared" si="9"/>
        <v>-4.3996116946378727E-3</v>
      </c>
    </row>
    <row r="258" spans="1:5" x14ac:dyDescent="0.35">
      <c r="A258" s="35">
        <v>40179</v>
      </c>
      <c r="B258" s="63">
        <f>VLOOKUP(A258,Database!A:L,MATCH($A$1,Database!$A$1:$L$1,),)</f>
        <v>10590.177</v>
      </c>
      <c r="C258" s="37">
        <f t="shared" si="10"/>
        <v>5.7954312767327992E-3</v>
      </c>
      <c r="D258" s="36">
        <f t="shared" si="11"/>
        <v>6.4715323002108175E-3</v>
      </c>
      <c r="E258" s="36">
        <f t="shared" si="9"/>
        <v>2.3384026982269601E-2</v>
      </c>
    </row>
    <row r="259" spans="1:5" x14ac:dyDescent="0.35">
      <c r="A259" s="35">
        <v>40269</v>
      </c>
      <c r="B259" s="63">
        <f>VLOOKUP(A259,Database!A:L,MATCH($A$1,Database!$A$1:$L$1,),)</f>
        <v>10685.145</v>
      </c>
      <c r="C259" s="37">
        <f t="shared" si="10"/>
        <v>8.9675554997806703E-3</v>
      </c>
      <c r="D259" s="36">
        <f t="shared" si="11"/>
        <v>2.0513816242004358E-2</v>
      </c>
      <c r="E259" s="36">
        <f t="shared" si="9"/>
        <v>3.6355615353369508E-2</v>
      </c>
    </row>
    <row r="260" spans="1:5" x14ac:dyDescent="0.35">
      <c r="A260" s="35">
        <v>40360</v>
      </c>
      <c r="B260" s="63">
        <f>VLOOKUP(A260,Database!A:L,MATCH($A$1,Database!$A$1:$L$1,),)</f>
        <v>10761.376</v>
      </c>
      <c r="C260" s="37">
        <f t="shared" si="10"/>
        <v>7.134297194843848E-3</v>
      </c>
      <c r="D260" s="36">
        <f t="shared" si="11"/>
        <v>2.0928928430174305E-2</v>
      </c>
      <c r="E260" s="36">
        <f t="shared" si="9"/>
        <v>2.8844033040229089E-2</v>
      </c>
    </row>
    <row r="261" spans="1:5" x14ac:dyDescent="0.35">
      <c r="A261" s="35">
        <v>40452</v>
      </c>
      <c r="B261" s="63">
        <f>VLOOKUP(A261,Database!A:L,MATCH($A$1,Database!$A$1:$L$1,),)</f>
        <v>10827.332</v>
      </c>
      <c r="C261" s="37">
        <f t="shared" si="10"/>
        <v>6.1289559996788633E-3</v>
      </c>
      <c r="D261" s="36">
        <f t="shared" si="11"/>
        <v>2.8319078946118705E-2</v>
      </c>
      <c r="E261" s="36">
        <f t="shared" si="9"/>
        <v>2.4742130934557682E-2</v>
      </c>
    </row>
    <row r="262" spans="1:5" x14ac:dyDescent="0.35">
      <c r="A262" s="35">
        <v>40544</v>
      </c>
      <c r="B262" s="63">
        <f>VLOOKUP(A262,Database!A:L,MATCH($A$1,Database!$A$1:$L$1,),)</f>
        <v>10868.689</v>
      </c>
      <c r="C262" s="37">
        <f t="shared" si="10"/>
        <v>3.8196852188516956E-3</v>
      </c>
      <c r="D262" s="36">
        <f t="shared" si="11"/>
        <v>2.6299088296635707E-2</v>
      </c>
      <c r="E262" s="36">
        <f t="shared" ref="E262:E309" si="12">((1+C262)^4)-1</f>
        <v>1.5366503976056878E-2</v>
      </c>
    </row>
    <row r="263" spans="1:5" x14ac:dyDescent="0.35">
      <c r="A263" s="35">
        <v>40634</v>
      </c>
      <c r="B263" s="63">
        <f>VLOOKUP(A263,Database!A:L,MATCH($A$1,Database!$A$1:$L$1,),)</f>
        <v>10879.873</v>
      </c>
      <c r="C263" s="37">
        <f t="shared" ref="C263:C326" si="13">(B263-B262)/B262</f>
        <v>1.0290109506306867E-3</v>
      </c>
      <c r="D263" s="36">
        <f t="shared" si="11"/>
        <v>1.8224179456619367E-2</v>
      </c>
      <c r="E263" s="36">
        <f t="shared" si="12"/>
        <v>4.1224013431919726E-3</v>
      </c>
    </row>
    <row r="264" spans="1:5" x14ac:dyDescent="0.35">
      <c r="A264" s="35">
        <v>40725</v>
      </c>
      <c r="B264" s="63">
        <f>VLOOKUP(A264,Database!A:L,MATCH($A$1,Database!$A$1:$L$1,),)</f>
        <v>10912.991</v>
      </c>
      <c r="C264" s="37">
        <f t="shared" si="13"/>
        <v>3.0439693551570311E-3</v>
      </c>
      <c r="D264" s="36">
        <f t="shared" si="11"/>
        <v>1.4088811690995628E-2</v>
      </c>
      <c r="E264" s="36">
        <f t="shared" si="12"/>
        <v>1.2231584821721819E-2</v>
      </c>
    </row>
    <row r="265" spans="1:5" x14ac:dyDescent="0.35">
      <c r="A265" s="35">
        <v>40817</v>
      </c>
      <c r="B265" s="63">
        <f>VLOOKUP(A265,Database!A:L,MATCH($A$1,Database!$A$1:$L$1,),)</f>
        <v>10931.828</v>
      </c>
      <c r="C265" s="37">
        <f t="shared" si="13"/>
        <v>1.7261079020407452E-3</v>
      </c>
      <c r="D265" s="36">
        <f t="shared" si="11"/>
        <v>9.6511310450256051E-3</v>
      </c>
      <c r="E265" s="36">
        <f t="shared" si="12"/>
        <v>6.9223288793753834E-3</v>
      </c>
    </row>
    <row r="266" spans="1:5" x14ac:dyDescent="0.35">
      <c r="A266" s="35">
        <v>40909</v>
      </c>
      <c r="B266" s="63">
        <f>VLOOKUP(A266,Database!A:L,MATCH($A$1,Database!$A$1:$L$1,),)</f>
        <v>11010.694</v>
      </c>
      <c r="C266" s="37">
        <f t="shared" si="13"/>
        <v>7.2143469509399517E-3</v>
      </c>
      <c r="D266" s="36">
        <f t="shared" ref="D266:D329" si="14">(B266-B262)/B262</f>
        <v>1.3065513237152999E-2</v>
      </c>
      <c r="E266" s="36">
        <f t="shared" si="12"/>
        <v>2.9171173258948135E-2</v>
      </c>
    </row>
    <row r="267" spans="1:5" x14ac:dyDescent="0.35">
      <c r="A267" s="35">
        <v>41000</v>
      </c>
      <c r="B267" s="63">
        <f>VLOOKUP(A267,Database!A:L,MATCH($A$1,Database!$A$1:$L$1,),)</f>
        <v>11030.026</v>
      </c>
      <c r="C267" s="37">
        <f t="shared" si="13"/>
        <v>1.7557476395221169E-3</v>
      </c>
      <c r="D267" s="36">
        <f t="shared" si="14"/>
        <v>1.3800988301977445E-2</v>
      </c>
      <c r="E267" s="36">
        <f t="shared" si="12"/>
        <v>7.0415081156531834E-3</v>
      </c>
    </row>
    <row r="268" spans="1:5" x14ac:dyDescent="0.35">
      <c r="A268" s="35">
        <v>41091</v>
      </c>
      <c r="B268" s="63">
        <f>VLOOKUP(A268,Database!A:L,MATCH($A$1,Database!$A$1:$L$1,),)</f>
        <v>11052.368</v>
      </c>
      <c r="C268" s="37">
        <f t="shared" si="13"/>
        <v>2.0255618617762601E-3</v>
      </c>
      <c r="D268" s="36">
        <f t="shared" si="14"/>
        <v>1.2771659025467941E-2</v>
      </c>
      <c r="E268" s="36">
        <f t="shared" si="12"/>
        <v>8.1268981117919026E-3</v>
      </c>
    </row>
    <row r="269" spans="1:5" x14ac:dyDescent="0.35">
      <c r="A269" s="35">
        <v>41183</v>
      </c>
      <c r="B269" s="63">
        <f>VLOOKUP(A269,Database!A:L,MATCH($A$1,Database!$A$1:$L$1,),)</f>
        <v>11096.365</v>
      </c>
      <c r="C269" s="37">
        <f t="shared" si="13"/>
        <v>3.9807758844077022E-3</v>
      </c>
      <c r="D269" s="36">
        <f t="shared" si="14"/>
        <v>1.5051188145294664E-2</v>
      </c>
      <c r="E269" s="36">
        <f t="shared" si="12"/>
        <v>1.601843557527638E-2</v>
      </c>
    </row>
    <row r="270" spans="1:5" x14ac:dyDescent="0.35">
      <c r="A270" s="35">
        <v>41275</v>
      </c>
      <c r="B270" s="63">
        <f>VLOOKUP(A270,Database!A:L,MATCH($A$1,Database!$A$1:$L$1,),)</f>
        <v>11155.481</v>
      </c>
      <c r="C270" s="37">
        <f t="shared" si="13"/>
        <v>5.327510405434571E-3</v>
      </c>
      <c r="D270" s="36">
        <f t="shared" si="14"/>
        <v>1.3149670674709539E-2</v>
      </c>
      <c r="E270" s="36">
        <f t="shared" si="12"/>
        <v>2.1480941459442349E-2</v>
      </c>
    </row>
    <row r="271" spans="1:5" x14ac:dyDescent="0.35">
      <c r="A271" s="35">
        <v>41365</v>
      </c>
      <c r="B271" s="63">
        <f>VLOOKUP(A271,Database!A:L,MATCH($A$1,Database!$A$1:$L$1,),)</f>
        <v>11172.647000000001</v>
      </c>
      <c r="C271" s="37">
        <f t="shared" si="13"/>
        <v>1.5387951447365718E-3</v>
      </c>
      <c r="D271" s="36">
        <f t="shared" si="14"/>
        <v>1.2930250572392214E-2</v>
      </c>
      <c r="E271" s="36">
        <f t="shared" si="12"/>
        <v>6.1694025023313337E-3</v>
      </c>
    </row>
    <row r="272" spans="1:5" x14ac:dyDescent="0.35">
      <c r="A272" s="35">
        <v>41456</v>
      </c>
      <c r="B272" s="63">
        <f>VLOOKUP(A272,Database!A:L,MATCH($A$1,Database!$A$1:$L$1,),)</f>
        <v>11214.416999999999</v>
      </c>
      <c r="C272" s="37">
        <f t="shared" si="13"/>
        <v>3.7385948021089912E-3</v>
      </c>
      <c r="D272" s="36">
        <f t="shared" si="14"/>
        <v>1.4661925842498102E-2</v>
      </c>
      <c r="E272" s="36">
        <f t="shared" si="12"/>
        <v>1.5038450969081296E-2</v>
      </c>
    </row>
    <row r="273" spans="1:5" x14ac:dyDescent="0.35">
      <c r="A273" s="35">
        <v>41548</v>
      </c>
      <c r="B273" s="63">
        <f>VLOOKUP(A273,Database!A:L,MATCH($A$1,Database!$A$1:$L$1,),)</f>
        <v>11304.3</v>
      </c>
      <c r="C273" s="37">
        <f t="shared" si="13"/>
        <v>8.0149507549077056E-3</v>
      </c>
      <c r="D273" s="36">
        <f t="shared" si="14"/>
        <v>1.8739019489715732E-2</v>
      </c>
      <c r="E273" s="36">
        <f t="shared" si="12"/>
        <v>3.2447303263609006E-2</v>
      </c>
    </row>
    <row r="274" spans="1:5" x14ac:dyDescent="0.35">
      <c r="A274" s="35">
        <v>41640</v>
      </c>
      <c r="B274" s="63">
        <f>VLOOKUP(A274,Database!A:L,MATCH($A$1,Database!$A$1:$L$1,),)</f>
        <v>11347.636</v>
      </c>
      <c r="C274" s="37">
        <f t="shared" si="13"/>
        <v>3.8335854497846974E-3</v>
      </c>
      <c r="D274" s="36">
        <f t="shared" si="14"/>
        <v>1.7225164921171994E-2</v>
      </c>
      <c r="E274" s="36">
        <f t="shared" si="12"/>
        <v>1.5422745638801194E-2</v>
      </c>
    </row>
    <row r="275" spans="1:5" x14ac:dyDescent="0.35">
      <c r="A275" s="35">
        <v>41730</v>
      </c>
      <c r="B275" s="63">
        <f>VLOOKUP(A275,Database!A:L,MATCH($A$1,Database!$A$1:$L$1,),)</f>
        <v>11453.013999999999</v>
      </c>
      <c r="C275" s="37">
        <f t="shared" si="13"/>
        <v>9.2863394631268383E-3</v>
      </c>
      <c r="D275" s="36">
        <f t="shared" si="14"/>
        <v>2.5094053360855163E-2</v>
      </c>
      <c r="E275" s="36">
        <f t="shared" si="12"/>
        <v>3.7665985163736426E-2</v>
      </c>
    </row>
    <row r="276" spans="1:5" x14ac:dyDescent="0.35">
      <c r="A276" s="35">
        <v>41821</v>
      </c>
      <c r="B276" s="63">
        <f>VLOOKUP(A276,Database!A:L,MATCH($A$1,Database!$A$1:$L$1,),)</f>
        <v>11565.682000000001</v>
      </c>
      <c r="C276" s="37">
        <f t="shared" si="13"/>
        <v>9.8374104842621768E-3</v>
      </c>
      <c r="D276" s="36">
        <f t="shared" si="14"/>
        <v>3.1322626936380306E-2</v>
      </c>
      <c r="E276" s="36">
        <f t="shared" si="12"/>
        <v>3.9934107220226611E-2</v>
      </c>
    </row>
    <row r="277" spans="1:5" x14ac:dyDescent="0.35">
      <c r="A277" s="35">
        <v>41913</v>
      </c>
      <c r="B277" s="63">
        <f>VLOOKUP(A277,Database!A:L,MATCH($A$1,Database!$A$1:$L$1,),)</f>
        <v>11694.916999999999</v>
      </c>
      <c r="C277" s="37">
        <f t="shared" si="13"/>
        <v>1.1174005994631251E-2</v>
      </c>
      <c r="D277" s="36">
        <f t="shared" si="14"/>
        <v>3.4554726962306395E-2</v>
      </c>
      <c r="E277" s="36">
        <f t="shared" si="12"/>
        <v>4.5450770702441634E-2</v>
      </c>
    </row>
    <row r="278" spans="1:5" x14ac:dyDescent="0.35">
      <c r="A278" s="35">
        <v>42005</v>
      </c>
      <c r="B278" s="63">
        <f>VLOOKUP(A278,Database!A:L,MATCH($A$1,Database!$A$1:$L$1,),)</f>
        <v>11772.949000000001</v>
      </c>
      <c r="C278" s="37">
        <f t="shared" si="13"/>
        <v>6.6723004532653861E-3</v>
      </c>
      <c r="D278" s="36">
        <f t="shared" si="14"/>
        <v>3.7480317486391003E-2</v>
      </c>
      <c r="E278" s="36">
        <f t="shared" si="12"/>
        <v>2.6957509547498981E-2</v>
      </c>
    </row>
    <row r="279" spans="1:5" x14ac:dyDescent="0.35">
      <c r="A279" s="35">
        <v>42095</v>
      </c>
      <c r="B279" s="63">
        <f>VLOOKUP(A279,Database!A:L,MATCH($A$1,Database!$A$1:$L$1,),)</f>
        <v>11852.652</v>
      </c>
      <c r="C279" s="37">
        <f t="shared" si="13"/>
        <v>6.7700114898993887E-3</v>
      </c>
      <c r="D279" s="36">
        <f t="shared" si="14"/>
        <v>3.4893696977930946E-2</v>
      </c>
      <c r="E279" s="36">
        <f t="shared" si="12"/>
        <v>2.7356287554958003E-2</v>
      </c>
    </row>
    <row r="280" spans="1:5" x14ac:dyDescent="0.35">
      <c r="A280" s="35">
        <v>42186</v>
      </c>
      <c r="B280" s="63">
        <f>VLOOKUP(A280,Database!A:L,MATCH($A$1,Database!$A$1:$L$1,),)</f>
        <v>11943.043</v>
      </c>
      <c r="C280" s="37">
        <f t="shared" si="13"/>
        <v>7.6262257594333846E-3</v>
      </c>
      <c r="D280" s="36">
        <f t="shared" si="14"/>
        <v>3.262764789832532E-2</v>
      </c>
      <c r="E280" s="36">
        <f t="shared" si="12"/>
        <v>3.0855636480639603E-2</v>
      </c>
    </row>
    <row r="281" spans="1:5" x14ac:dyDescent="0.35">
      <c r="A281" s="35">
        <v>42278</v>
      </c>
      <c r="B281" s="63">
        <f>VLOOKUP(A281,Database!A:L,MATCH($A$1,Database!$A$1:$L$1,),)</f>
        <v>12003.146000000001</v>
      </c>
      <c r="C281" s="37">
        <f t="shared" si="13"/>
        <v>5.0324695305878891E-3</v>
      </c>
      <c r="D281" s="36">
        <f t="shared" si="14"/>
        <v>2.6355809109205409E-2</v>
      </c>
      <c r="E281" s="36">
        <f t="shared" si="12"/>
        <v>2.0282343065455288E-2</v>
      </c>
    </row>
    <row r="282" spans="1:5" x14ac:dyDescent="0.35">
      <c r="A282" s="35">
        <v>42370</v>
      </c>
      <c r="B282" s="63">
        <f>VLOOKUP(A282,Database!A:L,MATCH($A$1,Database!$A$1:$L$1,),)</f>
        <v>12091.178</v>
      </c>
      <c r="C282" s="37">
        <f t="shared" si="13"/>
        <v>7.334077249414382E-3</v>
      </c>
      <c r="D282" s="36">
        <f t="shared" si="14"/>
        <v>2.7030525656740665E-2</v>
      </c>
      <c r="E282" s="36">
        <f t="shared" si="12"/>
        <v>2.9660621987086744E-2</v>
      </c>
    </row>
    <row r="283" spans="1:5" x14ac:dyDescent="0.35">
      <c r="A283" s="35">
        <v>42461</v>
      </c>
      <c r="B283" s="63">
        <f>VLOOKUP(A283,Database!A:L,MATCH($A$1,Database!$A$1:$L$1,),)</f>
        <v>12152.627</v>
      </c>
      <c r="C283" s="37">
        <f t="shared" si="13"/>
        <v>5.0821350905594581E-3</v>
      </c>
      <c r="D283" s="36">
        <f t="shared" si="14"/>
        <v>2.5308681972608355E-2</v>
      </c>
      <c r="E283" s="36">
        <f t="shared" si="12"/>
        <v>2.0484034659314254E-2</v>
      </c>
    </row>
    <row r="284" spans="1:5" x14ac:dyDescent="0.35">
      <c r="A284" s="35">
        <v>42552</v>
      </c>
      <c r="B284" s="63">
        <f>VLOOKUP(A284,Database!A:L,MATCH($A$1,Database!$A$1:$L$1,),)</f>
        <v>12223.822</v>
      </c>
      <c r="C284" s="37">
        <f t="shared" si="13"/>
        <v>5.8584041129543189E-3</v>
      </c>
      <c r="D284" s="36">
        <f t="shared" si="14"/>
        <v>2.3509837484466937E-2</v>
      </c>
      <c r="E284" s="36">
        <f t="shared" si="12"/>
        <v>2.3640347285023289E-2</v>
      </c>
    </row>
    <row r="285" spans="1:5" x14ac:dyDescent="0.35">
      <c r="A285" s="35">
        <v>42644</v>
      </c>
      <c r="B285" s="63">
        <f>VLOOKUP(A285,Database!A:L,MATCH($A$1,Database!$A$1:$L$1,),)</f>
        <v>12283.075999999999</v>
      </c>
      <c r="C285" s="37">
        <f t="shared" si="13"/>
        <v>4.8474200622357719E-3</v>
      </c>
      <c r="D285" s="36">
        <f t="shared" si="14"/>
        <v>2.3321385909993803E-2</v>
      </c>
      <c r="E285" s="36">
        <f t="shared" si="12"/>
        <v>1.9531121297281517E-2</v>
      </c>
    </row>
    <row r="286" spans="1:5" x14ac:dyDescent="0.35">
      <c r="A286" s="35">
        <v>42736</v>
      </c>
      <c r="B286" s="63">
        <f>VLOOKUP(A286,Database!A:L,MATCH($A$1,Database!$A$1:$L$1,),)</f>
        <v>12369.906999999999</v>
      </c>
      <c r="C286" s="37">
        <f t="shared" si="13"/>
        <v>7.0691575953775862E-3</v>
      </c>
      <c r="D286" s="36">
        <f t="shared" si="14"/>
        <v>2.3052261739923054E-2</v>
      </c>
      <c r="E286" s="36">
        <f t="shared" si="12"/>
        <v>2.8577883881202082E-2</v>
      </c>
    </row>
    <row r="287" spans="1:5" x14ac:dyDescent="0.35">
      <c r="A287" s="35">
        <v>42826</v>
      </c>
      <c r="B287" s="63">
        <f>VLOOKUP(A287,Database!A:L,MATCH($A$1,Database!$A$1:$L$1,),)</f>
        <v>12419.406999999999</v>
      </c>
      <c r="C287" s="37">
        <f t="shared" si="13"/>
        <v>4.0016469000130721E-3</v>
      </c>
      <c r="D287" s="36">
        <f t="shared" si="14"/>
        <v>2.1952455218118588E-2</v>
      </c>
      <c r="E287" s="36">
        <f t="shared" si="12"/>
        <v>1.6102923240283173E-2</v>
      </c>
    </row>
    <row r="288" spans="1:5" x14ac:dyDescent="0.35">
      <c r="A288" s="35">
        <v>42917</v>
      </c>
      <c r="B288" s="63">
        <f>VLOOKUP(A288,Database!A:L,MATCH($A$1,Database!$A$1:$L$1,),)</f>
        <v>12493.466</v>
      </c>
      <c r="C288" s="37">
        <f t="shared" si="13"/>
        <v>5.963167162490215E-3</v>
      </c>
      <c r="D288" s="36">
        <f t="shared" si="14"/>
        <v>2.2058894509425959E-2</v>
      </c>
      <c r="E288" s="36">
        <f t="shared" si="12"/>
        <v>2.4066874275769701E-2</v>
      </c>
    </row>
    <row r="289" spans="1:5" x14ac:dyDescent="0.35">
      <c r="A289" s="35">
        <v>43009</v>
      </c>
      <c r="B289" s="63">
        <f>VLOOKUP(A289,Database!A:L,MATCH($A$1,Database!$A$1:$L$1,),)</f>
        <v>12630.132</v>
      </c>
      <c r="C289" s="37">
        <f t="shared" si="13"/>
        <v>1.0938998033051777E-2</v>
      </c>
      <c r="D289" s="36">
        <f t="shared" si="14"/>
        <v>2.8254811742596114E-2</v>
      </c>
      <c r="E289" s="36">
        <f t="shared" si="12"/>
        <v>4.4479212434366922E-2</v>
      </c>
    </row>
    <row r="290" spans="1:5" x14ac:dyDescent="0.35">
      <c r="A290" s="35">
        <v>43101</v>
      </c>
      <c r="B290" s="63">
        <f>VLOOKUP(A290,Database!A:L,MATCH($A$1,Database!$A$1:$L$1,),)</f>
        <v>12713.156000000001</v>
      </c>
      <c r="C290" s="37">
        <f t="shared" si="13"/>
        <v>6.5734863261920976E-3</v>
      </c>
      <c r="D290" s="36">
        <f t="shared" si="14"/>
        <v>2.7748713066315021E-2</v>
      </c>
      <c r="E290" s="36">
        <f t="shared" si="12"/>
        <v>2.6554347687192337E-2</v>
      </c>
    </row>
    <row r="291" spans="1:5" x14ac:dyDescent="0.35">
      <c r="A291" s="35">
        <v>43191</v>
      </c>
      <c r="B291" s="63">
        <f>VLOOKUP(A291,Database!A:L,MATCH($A$1,Database!$A$1:$L$1,),)</f>
        <v>12805.609</v>
      </c>
      <c r="C291" s="37">
        <f t="shared" si="13"/>
        <v>7.2722304359357746E-3</v>
      </c>
      <c r="D291" s="36">
        <f t="shared" si="14"/>
        <v>3.1096653809638507E-2</v>
      </c>
      <c r="E291" s="36">
        <f t="shared" si="12"/>
        <v>2.9407774931068165E-2</v>
      </c>
    </row>
    <row r="292" spans="1:5" x14ac:dyDescent="0.35">
      <c r="A292" s="35">
        <v>43282</v>
      </c>
      <c r="B292" s="63">
        <f>VLOOKUP(A292,Database!A:L,MATCH($A$1,Database!$A$1:$L$1,),)</f>
        <v>12887.074000000001</v>
      </c>
      <c r="C292" s="37">
        <f t="shared" si="13"/>
        <v>6.361665423331303E-3</v>
      </c>
      <c r="D292" s="36">
        <f t="shared" si="14"/>
        <v>3.150510835023685E-2</v>
      </c>
      <c r="E292" s="36">
        <f t="shared" si="12"/>
        <v>2.5690517899384702E-2</v>
      </c>
    </row>
    <row r="293" spans="1:5" x14ac:dyDescent="0.35">
      <c r="A293" s="35">
        <v>43374</v>
      </c>
      <c r="B293" s="63">
        <f>VLOOKUP(A293,Database!A:L,MATCH($A$1,Database!$A$1:$L$1,),)</f>
        <v>12943.375</v>
      </c>
      <c r="C293" s="37">
        <f t="shared" si="13"/>
        <v>4.368796206182992E-3</v>
      </c>
      <c r="D293" s="36">
        <f t="shared" si="14"/>
        <v>2.4801245149298552E-2</v>
      </c>
      <c r="E293" s="36">
        <f t="shared" si="12"/>
        <v>1.7590037008791581E-2</v>
      </c>
    </row>
    <row r="294" spans="1:5" x14ac:dyDescent="0.35">
      <c r="A294" s="35">
        <v>43466</v>
      </c>
      <c r="B294" s="63">
        <f>VLOOKUP(A294,Database!A:L,MATCH($A$1,Database!$A$1:$L$1,),)</f>
        <v>12955.727000000001</v>
      </c>
      <c r="C294" s="37">
        <f t="shared" si="13"/>
        <v>9.5431060291467802E-4</v>
      </c>
      <c r="D294" s="36">
        <f t="shared" si="14"/>
        <v>1.908031333840314E-2</v>
      </c>
      <c r="E294" s="36">
        <f t="shared" si="12"/>
        <v>3.8227101412449116E-3</v>
      </c>
    </row>
    <row r="295" spans="1:5" x14ac:dyDescent="0.35">
      <c r="A295" s="35">
        <v>43556</v>
      </c>
      <c r="B295" s="63">
        <f>VLOOKUP(A295,Database!A:L,MATCH($A$1,Database!$A$1:$L$1,),)</f>
        <v>13038.853999999999</v>
      </c>
      <c r="C295" s="37">
        <f t="shared" si="13"/>
        <v>6.4162358468960162E-3</v>
      </c>
      <c r="D295" s="36">
        <f t="shared" si="14"/>
        <v>1.8214284068801333E-2</v>
      </c>
      <c r="E295" s="36">
        <f t="shared" si="12"/>
        <v>2.5913010153558291E-2</v>
      </c>
    </row>
    <row r="296" spans="1:5" x14ac:dyDescent="0.35">
      <c r="A296" s="35">
        <v>43647</v>
      </c>
      <c r="B296" s="63">
        <f>VLOOKUP(A296,Database!A:L,MATCH($A$1,Database!$A$1:$L$1,),)</f>
        <v>13148.857</v>
      </c>
      <c r="C296" s="37">
        <f t="shared" si="13"/>
        <v>8.4365543168134719E-3</v>
      </c>
      <c r="D296" s="36">
        <f t="shared" si="14"/>
        <v>2.0313610366480352E-2</v>
      </c>
      <c r="E296" s="36">
        <f t="shared" si="12"/>
        <v>3.4175676927798992E-2</v>
      </c>
    </row>
    <row r="297" spans="1:5" x14ac:dyDescent="0.35">
      <c r="A297" s="35">
        <v>43739</v>
      </c>
      <c r="B297" s="63">
        <f>VLOOKUP(A297,Database!A:L,MATCH($A$1,Database!$A$1:$L$1,),)</f>
        <v>13225.609</v>
      </c>
      <c r="C297" s="37">
        <f t="shared" si="13"/>
        <v>5.8371613593486043E-3</v>
      </c>
      <c r="D297" s="36">
        <f t="shared" si="14"/>
        <v>2.18052864882614E-2</v>
      </c>
      <c r="E297" s="36">
        <f t="shared" si="12"/>
        <v>2.3553876860354928E-2</v>
      </c>
    </row>
    <row r="298" spans="1:5" x14ac:dyDescent="0.35">
      <c r="A298" s="35">
        <v>43831</v>
      </c>
      <c r="B298" s="63">
        <f>VLOOKUP(A298,Database!A:L,MATCH($A$1,Database!$A$1:$L$1,),)</f>
        <v>13016.75</v>
      </c>
      <c r="C298" s="37">
        <f t="shared" si="13"/>
        <v>-1.5792013811991596E-2</v>
      </c>
      <c r="D298" s="36">
        <f t="shared" si="14"/>
        <v>4.7101177726266716E-3</v>
      </c>
      <c r="E298" s="36">
        <f t="shared" si="12"/>
        <v>-6.1687420188339392E-2</v>
      </c>
    </row>
    <row r="299" spans="1:5" x14ac:dyDescent="0.35">
      <c r="A299" s="35">
        <v>43922</v>
      </c>
      <c r="B299" s="63">
        <f>VLOOKUP(A299,Database!A:L,MATCH($A$1,Database!$A$1:$L$1,),)</f>
        <v>11817.147000000001</v>
      </c>
      <c r="C299" s="37">
        <f t="shared" si="13"/>
        <v>-9.2158411277776645E-2</v>
      </c>
      <c r="D299" s="36">
        <f t="shared" si="14"/>
        <v>-9.3697421567876943E-2</v>
      </c>
      <c r="E299" s="36">
        <f t="shared" si="12"/>
        <v>-0.3207333437484402</v>
      </c>
    </row>
    <row r="300" spans="1:5" x14ac:dyDescent="0.35">
      <c r="A300" s="35">
        <v>44013</v>
      </c>
      <c r="B300" s="63">
        <f>VLOOKUP(A300,Database!A:L,MATCH($A$1,Database!$A$1:$L$1,),)</f>
        <v>12922.380999999999</v>
      </c>
      <c r="C300" s="37">
        <f t="shared" si="13"/>
        <v>9.352798945464573E-2</v>
      </c>
      <c r="D300" s="36">
        <f t="shared" si="14"/>
        <v>-1.7224006618978407E-2</v>
      </c>
      <c r="E300" s="36">
        <f t="shared" si="12"/>
        <v>0.42994592384647068</v>
      </c>
    </row>
    <row r="301" spans="1:5" x14ac:dyDescent="0.35">
      <c r="A301" s="35">
        <v>44105</v>
      </c>
      <c r="B301" s="63">
        <f>VLOOKUP(A301,Database!A:L,MATCH($A$1,Database!$A$1:$L$1,),)</f>
        <v>13046.614</v>
      </c>
      <c r="C301" s="37">
        <f t="shared" si="13"/>
        <v>9.6137855709408498E-3</v>
      </c>
      <c r="D301" s="36">
        <f t="shared" si="14"/>
        <v>-1.3533970344957333E-2</v>
      </c>
      <c r="E301" s="36">
        <f t="shared" si="12"/>
        <v>3.9013254275786835E-2</v>
      </c>
    </row>
    <row r="302" spans="1:5" x14ac:dyDescent="0.35">
      <c r="A302" s="35">
        <v>44197</v>
      </c>
      <c r="B302" s="63">
        <f>VLOOKUP(A302,Database!A:L,MATCH($A$1,Database!$A$1:$L$1,),)</f>
        <v>13386.763000000001</v>
      </c>
      <c r="C302" s="37">
        <f t="shared" si="13"/>
        <v>2.6071822160140652E-2</v>
      </c>
      <c r="D302" s="36">
        <f t="shared" si="14"/>
        <v>2.8425912766243559E-2</v>
      </c>
      <c r="E302" s="36">
        <f t="shared" si="12"/>
        <v>0.10843707838368166</v>
      </c>
    </row>
    <row r="303" spans="1:5" x14ac:dyDescent="0.35">
      <c r="A303" s="35">
        <v>44287</v>
      </c>
      <c r="B303" s="63">
        <f>VLOOKUP(A303,Database!A:L,MATCH($A$1,Database!$A$1:$L$1,),)</f>
        <v>13773.688</v>
      </c>
      <c r="C303" s="37">
        <f t="shared" si="13"/>
        <v>2.8903551963981079E-2</v>
      </c>
      <c r="D303" s="36">
        <f t="shared" si="14"/>
        <v>0.16556796661664605</v>
      </c>
      <c r="E303" s="36">
        <f t="shared" si="12"/>
        <v>0.12072398355148772</v>
      </c>
    </row>
    <row r="304" spans="1:5" x14ac:dyDescent="0.35">
      <c r="A304" s="53">
        <v>44378</v>
      </c>
      <c r="B304" s="64">
        <f>VLOOKUP(A304,Database!A:L,MATCH($A$1,Database!$A$1:$L$1,),)</f>
        <v>13874.396000000001</v>
      </c>
      <c r="C304" s="54">
        <f t="shared" si="13"/>
        <v>7.311621985339042E-3</v>
      </c>
      <c r="D304" s="55">
        <f t="shared" si="14"/>
        <v>7.3671794694801312E-2</v>
      </c>
      <c r="E304" s="55">
        <f t="shared" si="12"/>
        <v>2.9568813207512701E-2</v>
      </c>
    </row>
    <row r="305" spans="1:5" x14ac:dyDescent="0.35">
      <c r="A305" s="35">
        <v>44470</v>
      </c>
      <c r="B305" s="63">
        <f>VLOOKUP(A305,Database!A:L,MATCH($A$1,Database!$A$1:$L$1,),)</f>
        <v>13981.513999999999</v>
      </c>
      <c r="C305" s="37">
        <f t="shared" si="13"/>
        <v>7.7205523036821613E-3</v>
      </c>
      <c r="D305" s="36">
        <f t="shared" si="14"/>
        <v>7.1658439500087892E-2</v>
      </c>
      <c r="E305" s="36">
        <f t="shared" si="12"/>
        <v>3.1241695128574998E-2</v>
      </c>
    </row>
    <row r="306" spans="1:5" x14ac:dyDescent="0.35">
      <c r="A306" s="35">
        <v>44562</v>
      </c>
      <c r="B306" s="63">
        <f>VLOOKUP(A306,Database!A:L,MATCH($A$1,Database!$A$1:$L$1,),)</f>
        <v>14028.383</v>
      </c>
      <c r="C306" s="37">
        <f t="shared" si="13"/>
        <v>3.3522120708816367E-3</v>
      </c>
      <c r="D306" s="36">
        <f t="shared" si="14"/>
        <v>4.792943596596122E-2</v>
      </c>
      <c r="E306" s="36">
        <f t="shared" si="12"/>
        <v>1.3476423044008978E-2</v>
      </c>
    </row>
    <row r="307" spans="1:5" x14ac:dyDescent="0.35">
      <c r="A307" s="35">
        <v>44652</v>
      </c>
      <c r="B307" s="63">
        <f>VLOOKUP(A307,Database!A:L,MATCH($A$1,Database!$A$1:$L$1,),)</f>
        <v>14099.456</v>
      </c>
      <c r="C307" s="37">
        <f t="shared" si="13"/>
        <v>5.0663715126683037E-3</v>
      </c>
      <c r="D307" s="36">
        <f t="shared" si="14"/>
        <v>2.3651472285418404E-2</v>
      </c>
      <c r="E307" s="36">
        <f t="shared" si="12"/>
        <v>2.0420015608285436E-2</v>
      </c>
    </row>
    <row r="308" spans="1:5" x14ac:dyDescent="0.35">
      <c r="A308" s="35">
        <v>44743</v>
      </c>
      <c r="B308" s="63">
        <f>VLOOKUP(A308,Database!A:L,MATCH($A$1,Database!$A$1:$L$1,),)</f>
        <v>14178.562</v>
      </c>
      <c r="C308" s="37">
        <f t="shared" si="13"/>
        <v>5.6105710745151987E-3</v>
      </c>
      <c r="D308" s="36">
        <f t="shared" si="14"/>
        <v>2.1922828208161223E-2</v>
      </c>
      <c r="E308" s="36">
        <f t="shared" si="12"/>
        <v>2.2631862785271073E-2</v>
      </c>
    </row>
    <row r="309" spans="1:5" x14ac:dyDescent="0.35">
      <c r="A309" s="35">
        <v>44835</v>
      </c>
      <c r="B309" s="63">
        <f>VLOOKUP(A309,Database!A:L,MATCH($A$1,Database!$A$1:$L$1,),)</f>
        <v>14252.163</v>
      </c>
      <c r="C309" s="37">
        <f t="shared" si="13"/>
        <v>5.1910059708453202E-3</v>
      </c>
      <c r="D309" s="36">
        <f t="shared" si="14"/>
        <v>1.9357631798673683E-2</v>
      </c>
      <c r="E309" s="36">
        <f t="shared" si="12"/>
        <v>2.0926263386095822E-2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9"/>
  <sheetViews>
    <sheetView zoomScale="120" zoomScaleNormal="120" workbookViewId="0">
      <pane ySplit="5" topLeftCell="A274" activePane="bottomLeft" state="frozen"/>
      <selection pane="bottomLeft" activeCell="N318" sqref="N318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20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59</v>
      </c>
      <c r="M1" s="76"/>
      <c r="N1" s="76"/>
      <c r="O1" s="76"/>
    </row>
    <row r="2" spans="1:15" x14ac:dyDescent="0.35">
      <c r="A2" s="48" t="s">
        <v>60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 t="e">
        <f>VLOOKUP(A6,Database!A:I,MATCH($A$1,Database!$A$1:$G$1,),)</f>
        <v>#N/A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201.386</v>
      </c>
      <c r="C7" s="37" t="e">
        <f t="shared" ref="C7:C70" si="1">(B7-B6)/B6</f>
        <v>#N/A</v>
      </c>
      <c r="D7" s="36"/>
      <c r="E7" s="36" t="e">
        <f t="shared" si="0"/>
        <v>#N/A</v>
      </c>
    </row>
    <row r="8" spans="1:15" x14ac:dyDescent="0.35">
      <c r="A8" s="35">
        <v>17349</v>
      </c>
      <c r="B8" s="63">
        <f>VLOOKUP(A8,Database!A:L,MATCH($A$1,Database!$A$1:$L$1,),)</f>
        <v>195.46100000000001</v>
      </c>
      <c r="C8" s="37">
        <f t="shared" si="1"/>
        <v>-2.9421111695947001E-2</v>
      </c>
      <c r="D8" s="36"/>
      <c r="E8" s="36">
        <f t="shared" si="0"/>
        <v>-0.1125919545072841</v>
      </c>
    </row>
    <row r="9" spans="1:15" x14ac:dyDescent="0.35">
      <c r="A9" s="35">
        <v>17441</v>
      </c>
      <c r="B9" s="63">
        <f>VLOOKUP(A9,Database!A:L,MATCH($A$1,Database!$A$1:$L$1,),)</f>
        <v>233.28399999999999</v>
      </c>
      <c r="C9" s="37">
        <f t="shared" si="1"/>
        <v>0.19350663303676938</v>
      </c>
      <c r="D9" s="36"/>
      <c r="E9" s="36">
        <f t="shared" si="0"/>
        <v>1.029080830516806</v>
      </c>
    </row>
    <row r="10" spans="1:15" x14ac:dyDescent="0.35">
      <c r="A10" s="35">
        <v>17533</v>
      </c>
      <c r="B10" s="63">
        <f>VLOOKUP(A10,Database!A:L,MATCH($A$1,Database!$A$1:$L$1,),)</f>
        <v>257.22000000000003</v>
      </c>
      <c r="C10" s="37">
        <f t="shared" si="1"/>
        <v>0.10260455067642889</v>
      </c>
      <c r="D10" s="36" t="e">
        <f t="shared" ref="D10:D73" si="2">(B10-B6)/B6</f>
        <v>#N/A</v>
      </c>
      <c r="E10" s="36">
        <f t="shared" si="0"/>
        <v>0.47801595513598372</v>
      </c>
    </row>
    <row r="11" spans="1:15" x14ac:dyDescent="0.35">
      <c r="A11" s="35">
        <v>17624</v>
      </c>
      <c r="B11" s="63">
        <f>VLOOKUP(A11,Database!A:L,MATCH($A$1,Database!$A$1:$L$1,),)</f>
        <v>273.13799999999998</v>
      </c>
      <c r="C11" s="37">
        <f t="shared" si="1"/>
        <v>6.188476790296224E-2</v>
      </c>
      <c r="D11" s="36">
        <f t="shared" si="2"/>
        <v>0.3562909040350371</v>
      </c>
      <c r="E11" s="36">
        <f t="shared" si="0"/>
        <v>0.27148009183886734</v>
      </c>
    </row>
    <row r="12" spans="1:15" x14ac:dyDescent="0.35">
      <c r="A12" s="35">
        <v>17715</v>
      </c>
      <c r="B12" s="63">
        <f>VLOOKUP(A12,Database!A:L,MATCH($A$1,Database!$A$1:$L$1,),)</f>
        <v>275.93599999999998</v>
      </c>
      <c r="C12" s="37">
        <f t="shared" si="1"/>
        <v>1.0243906010880955E-2</v>
      </c>
      <c r="D12" s="36">
        <f t="shared" si="2"/>
        <v>0.41171896183893442</v>
      </c>
      <c r="E12" s="36">
        <f t="shared" si="0"/>
        <v>4.160956060165466E-2</v>
      </c>
    </row>
    <row r="13" spans="1:15" x14ac:dyDescent="0.35">
      <c r="A13" s="35">
        <v>17807</v>
      </c>
      <c r="B13" s="63">
        <f>VLOOKUP(A13,Database!A:L,MATCH($A$1,Database!$A$1:$L$1,),)</f>
        <v>262.74099999999999</v>
      </c>
      <c r="C13" s="37">
        <f t="shared" si="1"/>
        <v>-4.7819059492056108E-2</v>
      </c>
      <c r="D13" s="36">
        <f t="shared" si="2"/>
        <v>0.12627098300783593</v>
      </c>
      <c r="E13" s="36">
        <f t="shared" si="0"/>
        <v>-0.17798841862990611</v>
      </c>
    </row>
    <row r="14" spans="1:15" x14ac:dyDescent="0.35">
      <c r="A14" s="35">
        <v>17899</v>
      </c>
      <c r="B14" s="63">
        <f>VLOOKUP(A14,Database!A:L,MATCH($A$1,Database!$A$1:$L$1,),)</f>
        <v>223.50700000000001</v>
      </c>
      <c r="C14" s="37">
        <f t="shared" si="1"/>
        <v>-0.14932576187195748</v>
      </c>
      <c r="D14" s="36">
        <f t="shared" si="2"/>
        <v>-0.13106679107378905</v>
      </c>
      <c r="E14" s="36">
        <f t="shared" si="0"/>
        <v>-0.47633551231790816</v>
      </c>
    </row>
    <row r="15" spans="1:15" x14ac:dyDescent="0.35">
      <c r="A15" s="35">
        <v>17989</v>
      </c>
      <c r="B15" s="63">
        <f>VLOOKUP(A15,Database!A:L,MATCH($A$1,Database!$A$1:$L$1,),)</f>
        <v>193.79499999999999</v>
      </c>
      <c r="C15" s="37">
        <f t="shared" si="1"/>
        <v>-0.13293543378954581</v>
      </c>
      <c r="D15" s="36">
        <f t="shared" si="2"/>
        <v>-0.2904868601219896</v>
      </c>
      <c r="E15" s="36">
        <f t="shared" si="0"/>
        <v>-0.4347953135693704</v>
      </c>
    </row>
    <row r="16" spans="1:15" x14ac:dyDescent="0.35">
      <c r="A16" s="35">
        <v>18080</v>
      </c>
      <c r="B16" s="63">
        <f>VLOOKUP(A16,Database!A:L,MATCH($A$1,Database!$A$1:$L$1,),)</f>
        <v>209.86199999999999</v>
      </c>
      <c r="C16" s="37">
        <f t="shared" si="1"/>
        <v>8.2907195748084361E-2</v>
      </c>
      <c r="D16" s="36">
        <f t="shared" si="2"/>
        <v>-0.23945407630754953</v>
      </c>
      <c r="E16" s="36">
        <f t="shared" si="0"/>
        <v>0.37519713268595933</v>
      </c>
    </row>
    <row r="17" spans="1:5" x14ac:dyDescent="0.35">
      <c r="A17" s="35">
        <v>18172</v>
      </c>
      <c r="B17" s="63">
        <f>VLOOKUP(A17,Database!A:L,MATCH($A$1,Database!$A$1:$L$1,),)</f>
        <v>199.54</v>
      </c>
      <c r="C17" s="37">
        <f t="shared" si="1"/>
        <v>-4.918470232819664E-2</v>
      </c>
      <c r="D17" s="36">
        <f t="shared" si="2"/>
        <v>-0.24054487118493115</v>
      </c>
      <c r="E17" s="36">
        <f t="shared" si="0"/>
        <v>-0.18269408516850871</v>
      </c>
    </row>
    <row r="18" spans="1:5" x14ac:dyDescent="0.35">
      <c r="A18" s="35">
        <v>18264</v>
      </c>
      <c r="B18" s="63">
        <f>VLOOKUP(A18,Database!A:L,MATCH($A$1,Database!$A$1:$L$1,),)</f>
        <v>246.911</v>
      </c>
      <c r="C18" s="37">
        <f t="shared" si="1"/>
        <v>0.23740102235140831</v>
      </c>
      <c r="D18" s="36">
        <f t="shared" si="2"/>
        <v>0.10471260407951427</v>
      </c>
      <c r="E18" s="36">
        <f t="shared" si="0"/>
        <v>1.3444548963506437</v>
      </c>
    </row>
    <row r="19" spans="1:5" x14ac:dyDescent="0.35">
      <c r="A19" s="35">
        <v>18354</v>
      </c>
      <c r="B19" s="63">
        <f>VLOOKUP(A19,Database!A:L,MATCH($A$1,Database!$A$1:$L$1,),)</f>
        <v>273.33499999999998</v>
      </c>
      <c r="C19" s="37">
        <f t="shared" si="1"/>
        <v>0.10701831834142658</v>
      </c>
      <c r="D19" s="36">
        <f t="shared" si="2"/>
        <v>0.41043370571996179</v>
      </c>
      <c r="E19" s="36">
        <f t="shared" si="0"/>
        <v>0.50182465466772297</v>
      </c>
    </row>
    <row r="20" spans="1:5" x14ac:dyDescent="0.35">
      <c r="A20" s="35">
        <v>18445</v>
      </c>
      <c r="B20" s="63">
        <f>VLOOKUP(A20,Database!A:L,MATCH($A$1,Database!$A$1:$L$1,),)</f>
        <v>296.83100000000002</v>
      </c>
      <c r="C20" s="37">
        <f t="shared" si="1"/>
        <v>8.5960451460661974E-2</v>
      </c>
      <c r="D20" s="36">
        <f t="shared" si="2"/>
        <v>0.41441042208689532</v>
      </c>
      <c r="E20" s="36">
        <f t="shared" si="0"/>
        <v>0.39077231700154358</v>
      </c>
    </row>
    <row r="21" spans="1:5" x14ac:dyDescent="0.35">
      <c r="A21" s="35">
        <v>18537</v>
      </c>
      <c r="B21" s="63">
        <f>VLOOKUP(A21,Database!A:L,MATCH($A$1,Database!$A$1:$L$1,),)</f>
        <v>334.548</v>
      </c>
      <c r="C21" s="37">
        <f t="shared" si="1"/>
        <v>0.12706556929700732</v>
      </c>
      <c r="D21" s="36">
        <f t="shared" si="2"/>
        <v>0.67659617119374571</v>
      </c>
      <c r="E21" s="36">
        <f t="shared" si="0"/>
        <v>0.61360314225361234</v>
      </c>
    </row>
    <row r="22" spans="1:5" x14ac:dyDescent="0.35">
      <c r="A22" s="35">
        <v>18629</v>
      </c>
      <c r="B22" s="63">
        <f>VLOOKUP(A22,Database!A:L,MATCH($A$1,Database!$A$1:$L$1,),)</f>
        <v>300.363</v>
      </c>
      <c r="C22" s="37">
        <f t="shared" si="1"/>
        <v>-0.10218264643638582</v>
      </c>
      <c r="D22" s="36">
        <f t="shared" si="2"/>
        <v>0.21648286224591046</v>
      </c>
      <c r="E22" s="36">
        <f t="shared" si="0"/>
        <v>-0.35024148164367086</v>
      </c>
    </row>
    <row r="23" spans="1:5" x14ac:dyDescent="0.35">
      <c r="A23" s="35">
        <v>18719</v>
      </c>
      <c r="B23" s="63">
        <f>VLOOKUP(A23,Database!A:L,MATCH($A$1,Database!$A$1:$L$1,),)</f>
        <v>307.32600000000002</v>
      </c>
      <c r="C23" s="37">
        <f t="shared" si="1"/>
        <v>2.3181949840692835E-2</v>
      </c>
      <c r="D23" s="36">
        <f t="shared" si="2"/>
        <v>0.12435655880147088</v>
      </c>
      <c r="E23" s="36">
        <f t="shared" si="0"/>
        <v>9.6002337133906268E-2</v>
      </c>
    </row>
    <row r="24" spans="1:5" x14ac:dyDescent="0.35">
      <c r="A24" s="35">
        <v>18810</v>
      </c>
      <c r="B24" s="63">
        <f>VLOOKUP(A24,Database!A:L,MATCH($A$1,Database!$A$1:$L$1,),)</f>
        <v>284.697</v>
      </c>
      <c r="C24" s="37">
        <f t="shared" si="1"/>
        <v>-7.3631908787411465E-2</v>
      </c>
      <c r="D24" s="36">
        <f t="shared" si="2"/>
        <v>-4.0878479673619045E-2</v>
      </c>
      <c r="E24" s="36">
        <f t="shared" si="0"/>
        <v>-0.26356512093107987</v>
      </c>
    </row>
    <row r="25" spans="1:5" x14ac:dyDescent="0.35">
      <c r="A25" s="35">
        <v>18902</v>
      </c>
      <c r="B25" s="63">
        <f>VLOOKUP(A25,Database!A:L,MATCH($A$1,Database!$A$1:$L$1,),)</f>
        <v>262.01299999999998</v>
      </c>
      <c r="C25" s="37">
        <f t="shared" si="1"/>
        <v>-7.9677692423875304E-2</v>
      </c>
      <c r="D25" s="36">
        <f t="shared" si="2"/>
        <v>-0.21681492640816871</v>
      </c>
      <c r="E25" s="36">
        <f t="shared" si="0"/>
        <v>-0.28260260415419547</v>
      </c>
    </row>
    <row r="26" spans="1:5" x14ac:dyDescent="0.35">
      <c r="A26" s="35">
        <v>18994</v>
      </c>
      <c r="B26" s="63">
        <f>VLOOKUP(A26,Database!A:L,MATCH($A$1,Database!$A$1:$L$1,),)</f>
        <v>268.85000000000002</v>
      </c>
      <c r="C26" s="37">
        <f t="shared" si="1"/>
        <v>2.6094125100663123E-2</v>
      </c>
      <c r="D26" s="36">
        <f t="shared" si="2"/>
        <v>-0.10491638450807848</v>
      </c>
      <c r="E26" s="36">
        <f t="shared" si="0"/>
        <v>0.10853345453098617</v>
      </c>
    </row>
    <row r="27" spans="1:5" x14ac:dyDescent="0.35">
      <c r="A27" s="35">
        <v>19085</v>
      </c>
      <c r="B27" s="63">
        <f>VLOOKUP(A27,Database!A:L,MATCH($A$1,Database!$A$1:$L$1,),)</f>
        <v>248.58</v>
      </c>
      <c r="C27" s="37">
        <f t="shared" si="1"/>
        <v>-7.5395201785382213E-2</v>
      </c>
      <c r="D27" s="36">
        <f t="shared" si="2"/>
        <v>-0.19115206653521019</v>
      </c>
      <c r="E27" s="36">
        <f t="shared" si="0"/>
        <v>-0.26915619254361489</v>
      </c>
    </row>
    <row r="28" spans="1:5" x14ac:dyDescent="0.35">
      <c r="A28" s="35">
        <v>19176</v>
      </c>
      <c r="B28" s="63">
        <f>VLOOKUP(A28,Database!A:L,MATCH($A$1,Database!$A$1:$L$1,),)</f>
        <v>261.90600000000001</v>
      </c>
      <c r="C28" s="37">
        <f t="shared" si="1"/>
        <v>5.3608496258749666E-2</v>
      </c>
      <c r="D28" s="36">
        <f t="shared" si="2"/>
        <v>-8.0053530595685929E-2</v>
      </c>
      <c r="E28" s="36">
        <f t="shared" si="0"/>
        <v>0.23230172497890056</v>
      </c>
    </row>
    <row r="29" spans="1:5" x14ac:dyDescent="0.35">
      <c r="A29" s="35">
        <v>19268</v>
      </c>
      <c r="B29" s="63">
        <f>VLOOKUP(A29,Database!A:L,MATCH($A$1,Database!$A$1:$L$1,),)</f>
        <v>280.77199999999999</v>
      </c>
      <c r="C29" s="37">
        <f t="shared" si="1"/>
        <v>7.2033477659923739E-2</v>
      </c>
      <c r="D29" s="36">
        <f t="shared" si="2"/>
        <v>7.1595684183609273E-2</v>
      </c>
      <c r="E29" s="36">
        <f t="shared" si="0"/>
        <v>0.32078884148189091</v>
      </c>
    </row>
    <row r="30" spans="1:5" x14ac:dyDescent="0.35">
      <c r="A30" s="35">
        <v>19360</v>
      </c>
      <c r="B30" s="63">
        <f>VLOOKUP(A30,Database!A:L,MATCH($A$1,Database!$A$1:$L$1,),)</f>
        <v>286.81299999999999</v>
      </c>
      <c r="C30" s="37">
        <f t="shared" si="1"/>
        <v>2.1515678201530056E-2</v>
      </c>
      <c r="D30" s="36">
        <f t="shared" si="2"/>
        <v>6.6814208666542543E-2</v>
      </c>
      <c r="E30" s="36">
        <f t="shared" si="0"/>
        <v>8.8880314086375867E-2</v>
      </c>
    </row>
    <row r="31" spans="1:5" x14ac:dyDescent="0.35">
      <c r="A31" s="35">
        <v>19450</v>
      </c>
      <c r="B31" s="63">
        <f>VLOOKUP(A31,Database!A:L,MATCH($A$1,Database!$A$1:$L$1,),)</f>
        <v>288.44499999999999</v>
      </c>
      <c r="C31" s="37">
        <f t="shared" si="1"/>
        <v>5.6901186487363026E-3</v>
      </c>
      <c r="D31" s="36">
        <f t="shared" si="2"/>
        <v>0.16037090675034185</v>
      </c>
      <c r="E31" s="36">
        <f t="shared" si="0"/>
        <v>2.2955477270798497E-2</v>
      </c>
    </row>
    <row r="32" spans="1:5" x14ac:dyDescent="0.35">
      <c r="A32" s="35">
        <v>19541</v>
      </c>
      <c r="B32" s="63">
        <f>VLOOKUP(A32,Database!A:L,MATCH($A$1,Database!$A$1:$L$1,),)</f>
        <v>282.411</v>
      </c>
      <c r="C32" s="37">
        <f t="shared" si="1"/>
        <v>-2.0919066026452156E-2</v>
      </c>
      <c r="D32" s="36">
        <f t="shared" si="2"/>
        <v>7.8291448076790893E-2</v>
      </c>
      <c r="E32" s="36">
        <f t="shared" si="0"/>
        <v>-8.1087046011093622E-2</v>
      </c>
    </row>
    <row r="33" spans="1:5" x14ac:dyDescent="0.35">
      <c r="A33" s="35">
        <v>19633</v>
      </c>
      <c r="B33" s="63">
        <f>VLOOKUP(A33,Database!A:L,MATCH($A$1,Database!$A$1:$L$1,),)</f>
        <v>262.005</v>
      </c>
      <c r="C33" s="37">
        <f t="shared" si="1"/>
        <v>-7.2256392279337583E-2</v>
      </c>
      <c r="D33" s="36">
        <f t="shared" si="2"/>
        <v>-6.6840710612169299E-2</v>
      </c>
      <c r="E33" s="36">
        <f t="shared" si="0"/>
        <v>-0.25918139158393283</v>
      </c>
    </row>
    <row r="34" spans="1:5" x14ac:dyDescent="0.35">
      <c r="A34" s="35">
        <v>19725</v>
      </c>
      <c r="B34" s="63">
        <f>VLOOKUP(A34,Database!A:L,MATCH($A$1,Database!$A$1:$L$1,),)</f>
        <v>260.12700000000001</v>
      </c>
      <c r="C34" s="37">
        <f t="shared" si="1"/>
        <v>-7.167802141180458E-3</v>
      </c>
      <c r="D34" s="36">
        <f t="shared" si="2"/>
        <v>-9.3043202365304153E-2</v>
      </c>
      <c r="E34" s="36">
        <f t="shared" si="0"/>
        <v>-2.8364414651668945E-2</v>
      </c>
    </row>
    <row r="35" spans="1:5" x14ac:dyDescent="0.35">
      <c r="A35" s="35">
        <v>19815</v>
      </c>
      <c r="B35" s="63">
        <f>VLOOKUP(A35,Database!A:L,MATCH($A$1,Database!$A$1:$L$1,),)</f>
        <v>259.51299999999998</v>
      </c>
      <c r="C35" s="37">
        <f t="shared" si="1"/>
        <v>-2.3603855040039393E-3</v>
      </c>
      <c r="D35" s="36">
        <f t="shared" si="2"/>
        <v>-0.10030335072544165</v>
      </c>
      <c r="E35" s="36">
        <f t="shared" si="0"/>
        <v>-9.4081660694036451E-3</v>
      </c>
    </row>
    <row r="36" spans="1:5" x14ac:dyDescent="0.35">
      <c r="A36" s="35">
        <v>19906</v>
      </c>
      <c r="B36" s="63">
        <f>VLOOKUP(A36,Database!A:L,MATCH($A$1,Database!$A$1:$L$1,),)</f>
        <v>272.03699999999998</v>
      </c>
      <c r="C36" s="37">
        <f t="shared" si="1"/>
        <v>4.8259624758682618E-2</v>
      </c>
      <c r="D36" s="36">
        <f t="shared" si="2"/>
        <v>-3.6733696633629791E-2</v>
      </c>
      <c r="E36" s="36">
        <f t="shared" si="0"/>
        <v>0.20746745652729737</v>
      </c>
    </row>
    <row r="37" spans="1:5" x14ac:dyDescent="0.35">
      <c r="A37" s="35">
        <v>19998</v>
      </c>
      <c r="B37" s="63">
        <f>VLOOKUP(A37,Database!A:L,MATCH($A$1,Database!$A$1:$L$1,),)</f>
        <v>283.96800000000002</v>
      </c>
      <c r="C37" s="37">
        <f t="shared" si="1"/>
        <v>4.3858004609667219E-2</v>
      </c>
      <c r="D37" s="36">
        <f t="shared" si="2"/>
        <v>8.3826644529684635E-2</v>
      </c>
      <c r="E37" s="36">
        <f t="shared" si="0"/>
        <v>0.1873143135930242</v>
      </c>
    </row>
    <row r="38" spans="1:5" x14ac:dyDescent="0.35">
      <c r="A38" s="35">
        <v>20090</v>
      </c>
      <c r="B38" s="63">
        <f>VLOOKUP(A38,Database!A:L,MATCH($A$1,Database!$A$1:$L$1,),)</f>
        <v>312.33699999999999</v>
      </c>
      <c r="C38" s="37">
        <f t="shared" si="1"/>
        <v>9.9902101645255703E-2</v>
      </c>
      <c r="D38" s="36">
        <f t="shared" si="2"/>
        <v>0.20070965336162713</v>
      </c>
      <c r="E38" s="36">
        <f t="shared" si="0"/>
        <v>0.46357885873569082</v>
      </c>
    </row>
    <row r="39" spans="1:5" x14ac:dyDescent="0.35">
      <c r="A39" s="35">
        <v>20180</v>
      </c>
      <c r="B39" s="63">
        <f>VLOOKUP(A39,Database!A:L,MATCH($A$1,Database!$A$1:$L$1,),)</f>
        <v>331.33300000000003</v>
      </c>
      <c r="C39" s="37">
        <f t="shared" si="1"/>
        <v>6.0818923150315327E-2</v>
      </c>
      <c r="D39" s="36">
        <f t="shared" si="2"/>
        <v>0.27674914166149694</v>
      </c>
      <c r="E39" s="36">
        <f t="shared" si="0"/>
        <v>0.26638288578200231</v>
      </c>
    </row>
    <row r="40" spans="1:5" x14ac:dyDescent="0.35">
      <c r="A40" s="35">
        <v>20271</v>
      </c>
      <c r="B40" s="63">
        <f>VLOOKUP(A40,Database!A:L,MATCH($A$1,Database!$A$1:$L$1,),)</f>
        <v>336.41800000000001</v>
      </c>
      <c r="C40" s="37">
        <f t="shared" si="1"/>
        <v>1.5347097934706108E-2</v>
      </c>
      <c r="D40" s="36">
        <f t="shared" si="2"/>
        <v>0.23666265985876933</v>
      </c>
      <c r="E40" s="36">
        <f t="shared" si="0"/>
        <v>6.2816106722467513E-2</v>
      </c>
    </row>
    <row r="41" spans="1:5" x14ac:dyDescent="0.35">
      <c r="A41" s="35">
        <v>20363</v>
      </c>
      <c r="B41" s="63">
        <f>VLOOKUP(A41,Database!A:L,MATCH($A$1,Database!$A$1:$L$1,),)</f>
        <v>344.21800000000002</v>
      </c>
      <c r="C41" s="37">
        <f t="shared" si="1"/>
        <v>2.3185441920468022E-2</v>
      </c>
      <c r="D41" s="36">
        <f t="shared" si="2"/>
        <v>0.21217179400495828</v>
      </c>
      <c r="E41" s="36">
        <f t="shared" si="0"/>
        <v>9.6017299662083611E-2</v>
      </c>
    </row>
    <row r="42" spans="1:5" x14ac:dyDescent="0.35">
      <c r="A42" s="35">
        <v>20455</v>
      </c>
      <c r="B42" s="63">
        <f>VLOOKUP(A42,Database!A:L,MATCH($A$1,Database!$A$1:$L$1,),)</f>
        <v>334.39</v>
      </c>
      <c r="C42" s="37">
        <f t="shared" si="1"/>
        <v>-2.855167364867622E-2</v>
      </c>
      <c r="D42" s="36">
        <f t="shared" si="2"/>
        <v>7.0606428313008063E-2</v>
      </c>
      <c r="E42" s="36">
        <f t="shared" si="0"/>
        <v>-0.10940794271477372</v>
      </c>
    </row>
    <row r="43" spans="1:5" x14ac:dyDescent="0.35">
      <c r="A43" s="35">
        <v>20546</v>
      </c>
      <c r="B43" s="63">
        <f>VLOOKUP(A43,Database!A:L,MATCH($A$1,Database!$A$1:$L$1,),)</f>
        <v>331.75900000000001</v>
      </c>
      <c r="C43" s="37">
        <f t="shared" si="1"/>
        <v>-7.8680582553305178E-3</v>
      </c>
      <c r="D43" s="36">
        <f t="shared" si="2"/>
        <v>1.2857155791906863E-3</v>
      </c>
      <c r="E43" s="36">
        <f t="shared" si="0"/>
        <v>-3.1102739475451835E-2</v>
      </c>
    </row>
    <row r="44" spans="1:5" x14ac:dyDescent="0.35">
      <c r="A44" s="35">
        <v>20637</v>
      </c>
      <c r="B44" s="63">
        <f>VLOOKUP(A44,Database!A:L,MATCH($A$1,Database!$A$1:$L$1,),)</f>
        <v>328.78800000000001</v>
      </c>
      <c r="C44" s="37">
        <f t="shared" si="1"/>
        <v>-8.9552958623579267E-3</v>
      </c>
      <c r="D44" s="36">
        <f t="shared" si="2"/>
        <v>-2.268011818630393E-2</v>
      </c>
      <c r="E44" s="36">
        <f t="shared" si="0"/>
        <v>-3.5342865836981097E-2</v>
      </c>
    </row>
    <row r="45" spans="1:5" x14ac:dyDescent="0.35">
      <c r="A45" s="35">
        <v>20729</v>
      </c>
      <c r="B45" s="63">
        <f>VLOOKUP(A45,Database!A:L,MATCH($A$1,Database!$A$1:$L$1,),)</f>
        <v>325.73899999999998</v>
      </c>
      <c r="C45" s="37">
        <f t="shared" si="1"/>
        <v>-9.2734528024138192E-3</v>
      </c>
      <c r="D45" s="36">
        <f t="shared" si="2"/>
        <v>-5.3684002579760616E-2</v>
      </c>
      <c r="E45" s="36">
        <f t="shared" si="0"/>
        <v>-3.658101220668275E-2</v>
      </c>
    </row>
    <row r="46" spans="1:5" x14ac:dyDescent="0.35">
      <c r="A46" s="35">
        <v>20821</v>
      </c>
      <c r="B46" s="63">
        <f>VLOOKUP(A46,Database!A:L,MATCH($A$1,Database!$A$1:$L$1,),)</f>
        <v>320.68200000000002</v>
      </c>
      <c r="C46" s="37">
        <f t="shared" si="1"/>
        <v>-1.5524699222383441E-2</v>
      </c>
      <c r="D46" s="36">
        <f t="shared" si="2"/>
        <v>-4.0994048865097554E-2</v>
      </c>
      <c r="E46" s="36">
        <f t="shared" si="0"/>
        <v>-6.0667607906398691E-2</v>
      </c>
    </row>
    <row r="47" spans="1:5" x14ac:dyDescent="0.35">
      <c r="A47" s="35">
        <v>20911</v>
      </c>
      <c r="B47" s="63">
        <f>VLOOKUP(A47,Database!A:L,MATCH($A$1,Database!$A$1:$L$1,),)</f>
        <v>320.35700000000003</v>
      </c>
      <c r="C47" s="37">
        <f t="shared" si="1"/>
        <v>-1.0134650526065967E-3</v>
      </c>
      <c r="D47" s="36">
        <f t="shared" si="2"/>
        <v>-3.436832158283569E-2</v>
      </c>
      <c r="E47" s="36">
        <f t="shared" si="0"/>
        <v>-4.0477017046604002E-3</v>
      </c>
    </row>
    <row r="48" spans="1:5" x14ac:dyDescent="0.35">
      <c r="A48" s="35">
        <v>21002</v>
      </c>
      <c r="B48" s="63">
        <f>VLOOKUP(A48,Database!A:L,MATCH($A$1,Database!$A$1:$L$1,),)</f>
        <v>327.70100000000002</v>
      </c>
      <c r="C48" s="37">
        <f t="shared" si="1"/>
        <v>2.2924424938428046E-2</v>
      </c>
      <c r="D48" s="36">
        <f t="shared" si="2"/>
        <v>-3.3060817304767479E-3</v>
      </c>
      <c r="E48" s="36">
        <f t="shared" si="0"/>
        <v>9.489934131144051E-2</v>
      </c>
    </row>
    <row r="49" spans="1:5" x14ac:dyDescent="0.35">
      <c r="A49" s="35">
        <v>21094</v>
      </c>
      <c r="B49" s="63">
        <f>VLOOKUP(A49,Database!A:L,MATCH($A$1,Database!$A$1:$L$1,),)</f>
        <v>302.50299999999999</v>
      </c>
      <c r="C49" s="37">
        <f t="shared" si="1"/>
        <v>-7.6893265507276556E-2</v>
      </c>
      <c r="D49" s="36">
        <f t="shared" si="2"/>
        <v>-7.1333183929464972E-2</v>
      </c>
      <c r="E49" s="36">
        <f t="shared" si="0"/>
        <v>-0.27388120638813906</v>
      </c>
    </row>
    <row r="50" spans="1:5" x14ac:dyDescent="0.35">
      <c r="A50" s="35">
        <v>21186</v>
      </c>
      <c r="B50" s="63">
        <f>VLOOKUP(A50,Database!A:L,MATCH($A$1,Database!$A$1:$L$1,),)</f>
        <v>282.096</v>
      </c>
      <c r="C50" s="37">
        <f t="shared" si="1"/>
        <v>-6.7460487995160329E-2</v>
      </c>
      <c r="D50" s="36">
        <f t="shared" si="2"/>
        <v>-0.12032480775347544</v>
      </c>
      <c r="E50" s="36">
        <f t="shared" si="0"/>
        <v>-0.24374376493327921</v>
      </c>
    </row>
    <row r="51" spans="1:5" x14ac:dyDescent="0.35">
      <c r="A51" s="35">
        <v>21276</v>
      </c>
      <c r="B51" s="63">
        <f>VLOOKUP(A51,Database!A:L,MATCH($A$1,Database!$A$1:$L$1,),)</f>
        <v>276.41300000000001</v>
      </c>
      <c r="C51" s="37">
        <f t="shared" si="1"/>
        <v>-2.0145624184674693E-2</v>
      </c>
      <c r="D51" s="36">
        <f t="shared" si="2"/>
        <v>-0.13717196752373137</v>
      </c>
      <c r="E51" s="36">
        <f t="shared" si="0"/>
        <v>-7.8179959082816941E-2</v>
      </c>
    </row>
    <row r="52" spans="1:5" x14ac:dyDescent="0.35">
      <c r="A52" s="35">
        <v>21367</v>
      </c>
      <c r="B52" s="63">
        <f>VLOOKUP(A52,Database!A:L,MATCH($A$1,Database!$A$1:$L$1,),)</f>
        <v>297.62700000000001</v>
      </c>
      <c r="C52" s="37">
        <f t="shared" si="1"/>
        <v>7.6747475697597434E-2</v>
      </c>
      <c r="D52" s="36">
        <f t="shared" si="2"/>
        <v>-9.1772683025074714E-2</v>
      </c>
      <c r="E52" s="36">
        <f t="shared" si="0"/>
        <v>0.34417387136658162</v>
      </c>
    </row>
    <row r="53" spans="1:5" x14ac:dyDescent="0.35">
      <c r="A53" s="35">
        <v>21459</v>
      </c>
      <c r="B53" s="63">
        <f>VLOOKUP(A53,Database!A:L,MATCH($A$1,Database!$A$1:$L$1,),)</f>
        <v>323.00400000000002</v>
      </c>
      <c r="C53" s="37">
        <f t="shared" si="1"/>
        <v>8.5264441734116889E-2</v>
      </c>
      <c r="D53" s="36">
        <f t="shared" si="2"/>
        <v>6.7771228715087242E-2</v>
      </c>
      <c r="E53" s="36">
        <f t="shared" si="0"/>
        <v>0.38721026884604015</v>
      </c>
    </row>
    <row r="54" spans="1:5" x14ac:dyDescent="0.35">
      <c r="A54" s="35">
        <v>21551</v>
      </c>
      <c r="B54" s="63">
        <f>VLOOKUP(A54,Database!A:L,MATCH($A$1,Database!$A$1:$L$1,),)</f>
        <v>340.60399999999998</v>
      </c>
      <c r="C54" s="37">
        <f t="shared" si="1"/>
        <v>5.4488489306633865E-2</v>
      </c>
      <c r="D54" s="36">
        <f t="shared" si="2"/>
        <v>0.20740457149339225</v>
      </c>
      <c r="E54" s="36">
        <f t="shared" si="0"/>
        <v>0.23642384927313631</v>
      </c>
    </row>
    <row r="55" spans="1:5" x14ac:dyDescent="0.35">
      <c r="A55" s="35">
        <v>21641</v>
      </c>
      <c r="B55" s="63">
        <f>VLOOKUP(A55,Database!A:L,MATCH($A$1,Database!$A$1:$L$1,),)</f>
        <v>367.09899999999999</v>
      </c>
      <c r="C55" s="37">
        <f t="shared" si="1"/>
        <v>7.7788281993165106E-2</v>
      </c>
      <c r="D55" s="36">
        <f t="shared" si="2"/>
        <v>0.32808153017405106</v>
      </c>
      <c r="E55" s="36">
        <f t="shared" si="0"/>
        <v>0.34937863647939182</v>
      </c>
    </row>
    <row r="56" spans="1:5" x14ac:dyDescent="0.35">
      <c r="A56" s="35">
        <v>21732</v>
      </c>
      <c r="B56" s="63">
        <f>VLOOKUP(A56,Database!A:L,MATCH($A$1,Database!$A$1:$L$1,),)</f>
        <v>343.39100000000002</v>
      </c>
      <c r="C56" s="37">
        <f t="shared" si="1"/>
        <v>-6.4582033729320892E-2</v>
      </c>
      <c r="D56" s="36">
        <f t="shared" si="2"/>
        <v>0.15376293145447156</v>
      </c>
      <c r="E56" s="36">
        <f t="shared" si="0"/>
        <v>-0.23436314961569193</v>
      </c>
    </row>
    <row r="57" spans="1:5" x14ac:dyDescent="0.35">
      <c r="A57" s="35">
        <v>21824</v>
      </c>
      <c r="B57" s="63">
        <f>VLOOKUP(A57,Database!A:L,MATCH($A$1,Database!$A$1:$L$1,),)</f>
        <v>354.56700000000001</v>
      </c>
      <c r="C57" s="37">
        <f t="shared" si="1"/>
        <v>3.2545989848306991E-2</v>
      </c>
      <c r="D57" s="36">
        <f t="shared" si="2"/>
        <v>9.7717056135527697E-2</v>
      </c>
      <c r="E57" s="36">
        <f t="shared" si="0"/>
        <v>0.13667842636351701</v>
      </c>
    </row>
    <row r="58" spans="1:5" x14ac:dyDescent="0.35">
      <c r="A58" s="35">
        <v>21916</v>
      </c>
      <c r="B58" s="63">
        <f>VLOOKUP(A58,Database!A:L,MATCH($A$1,Database!$A$1:$L$1,),)</f>
        <v>390.21</v>
      </c>
      <c r="C58" s="37">
        <f t="shared" si="1"/>
        <v>0.10052542960850833</v>
      </c>
      <c r="D58" s="36">
        <f t="shared" si="2"/>
        <v>0.14564127256285891</v>
      </c>
      <c r="E58" s="36">
        <f t="shared" si="0"/>
        <v>0.46689939218777821</v>
      </c>
    </row>
    <row r="59" spans="1:5" x14ac:dyDescent="0.35">
      <c r="A59" s="35">
        <v>22007</v>
      </c>
      <c r="B59" s="63">
        <f>VLOOKUP(A59,Database!A:L,MATCH($A$1,Database!$A$1:$L$1,),)</f>
        <v>353.84100000000001</v>
      </c>
      <c r="C59" s="37">
        <f t="shared" si="1"/>
        <v>-9.3203659567924896E-2</v>
      </c>
      <c r="D59" s="36">
        <f t="shared" si="2"/>
        <v>-3.611559824461516E-2</v>
      </c>
      <c r="E59" s="36">
        <f t="shared" si="0"/>
        <v>-0.32385625445562027</v>
      </c>
    </row>
    <row r="60" spans="1:5" x14ac:dyDescent="0.35">
      <c r="A60" s="35">
        <v>22098</v>
      </c>
      <c r="B60" s="63">
        <f>VLOOKUP(A60,Database!A:L,MATCH($A$1,Database!$A$1:$L$1,),)</f>
        <v>352.94200000000001</v>
      </c>
      <c r="C60" s="37">
        <f t="shared" si="1"/>
        <v>-2.5406891796032707E-3</v>
      </c>
      <c r="D60" s="36">
        <f t="shared" si="2"/>
        <v>2.7813774967893706E-2</v>
      </c>
      <c r="E60" s="36">
        <f t="shared" si="0"/>
        <v>-1.0124091669326818E-2</v>
      </c>
    </row>
    <row r="61" spans="1:5" x14ac:dyDescent="0.35">
      <c r="A61" s="35">
        <v>22190</v>
      </c>
      <c r="B61" s="63">
        <f>VLOOKUP(A61,Database!A:L,MATCH($A$1,Database!$A$1:$L$1,),)</f>
        <v>313.84300000000002</v>
      </c>
      <c r="C61" s="37">
        <f t="shared" si="1"/>
        <v>-0.11078024151276977</v>
      </c>
      <c r="D61" s="36">
        <f t="shared" si="2"/>
        <v>-0.1148555844170495</v>
      </c>
      <c r="E61" s="36">
        <f t="shared" si="0"/>
        <v>-0.37477488273396109</v>
      </c>
    </row>
    <row r="62" spans="1:5" x14ac:dyDescent="0.35">
      <c r="A62" s="35">
        <v>22282</v>
      </c>
      <c r="B62" s="63">
        <f>VLOOKUP(A62,Database!A:L,MATCH($A$1,Database!$A$1:$L$1,),)</f>
        <v>321.988</v>
      </c>
      <c r="C62" s="37">
        <f t="shared" si="1"/>
        <v>2.5952466679199412E-2</v>
      </c>
      <c r="D62" s="36">
        <f t="shared" si="2"/>
        <v>-0.1748340637092847</v>
      </c>
      <c r="E62" s="36">
        <f t="shared" si="0"/>
        <v>0.10792142263478799</v>
      </c>
    </row>
    <row r="63" spans="1:5" x14ac:dyDescent="0.35">
      <c r="A63" s="35">
        <v>22372</v>
      </c>
      <c r="B63" s="63">
        <f>VLOOKUP(A63,Database!A:L,MATCH($A$1,Database!$A$1:$L$1,),)</f>
        <v>344.54899999999998</v>
      </c>
      <c r="C63" s="37">
        <f t="shared" si="1"/>
        <v>7.0067828614730918E-2</v>
      </c>
      <c r="D63" s="36">
        <f t="shared" si="2"/>
        <v>-2.6260382488179804E-2</v>
      </c>
      <c r="E63" s="36">
        <f t="shared" si="0"/>
        <v>0.31112841348423181</v>
      </c>
    </row>
    <row r="64" spans="1:5" x14ac:dyDescent="0.35">
      <c r="A64" s="35">
        <v>22463</v>
      </c>
      <c r="B64" s="63">
        <f>VLOOKUP(A64,Database!A:L,MATCH($A$1,Database!$A$1:$L$1,),)</f>
        <v>371.33499999999998</v>
      </c>
      <c r="C64" s="37">
        <f t="shared" si="1"/>
        <v>7.7742207929786478E-2</v>
      </c>
      <c r="D64" s="36">
        <f t="shared" si="2"/>
        <v>5.211337840211698E-2</v>
      </c>
      <c r="E64" s="36">
        <f t="shared" si="0"/>
        <v>0.34914791446709037</v>
      </c>
    </row>
    <row r="65" spans="1:5" x14ac:dyDescent="0.35">
      <c r="A65" s="35">
        <v>22555</v>
      </c>
      <c r="B65" s="63">
        <f>VLOOKUP(A65,Database!A:L,MATCH($A$1,Database!$A$1:$L$1,),)</f>
        <v>377.47899999999998</v>
      </c>
      <c r="C65" s="37">
        <f t="shared" si="1"/>
        <v>1.6545706706881942E-2</v>
      </c>
      <c r="D65" s="36">
        <f t="shared" si="2"/>
        <v>0.20276380228330715</v>
      </c>
      <c r="E65" s="36">
        <f t="shared" si="0"/>
        <v>6.7843582472706609E-2</v>
      </c>
    </row>
    <row r="66" spans="1:5" x14ac:dyDescent="0.35">
      <c r="A66" s="35">
        <v>22647</v>
      </c>
      <c r="B66" s="63">
        <f>VLOOKUP(A66,Database!A:L,MATCH($A$1,Database!$A$1:$L$1,),)</f>
        <v>397.83100000000002</v>
      </c>
      <c r="C66" s="37">
        <f t="shared" si="1"/>
        <v>5.3915582058869586E-2</v>
      </c>
      <c r="D66" s="36">
        <f t="shared" si="2"/>
        <v>0.23554604519423089</v>
      </c>
      <c r="E66" s="36">
        <f t="shared" si="0"/>
        <v>0.23373902484026243</v>
      </c>
    </row>
    <row r="67" spans="1:5" x14ac:dyDescent="0.35">
      <c r="A67" s="35">
        <v>22737</v>
      </c>
      <c r="B67" s="63">
        <f>VLOOKUP(A67,Database!A:L,MATCH($A$1,Database!$A$1:$L$1,),)</f>
        <v>394.69400000000002</v>
      </c>
      <c r="C67" s="37">
        <f t="shared" si="1"/>
        <v>-7.8852578104773134E-3</v>
      </c>
      <c r="D67" s="36">
        <f t="shared" si="2"/>
        <v>0.14553808021500583</v>
      </c>
      <c r="E67" s="36">
        <f t="shared" si="0"/>
        <v>-3.1169924767337487E-2</v>
      </c>
    </row>
    <row r="68" spans="1:5" x14ac:dyDescent="0.35">
      <c r="A68" s="35">
        <v>22828</v>
      </c>
      <c r="B68" s="63">
        <f>VLOOKUP(A68,Database!A:L,MATCH($A$1,Database!$A$1:$L$1,),)</f>
        <v>401.40100000000001</v>
      </c>
      <c r="C68" s="37">
        <f t="shared" si="1"/>
        <v>1.6992910963936604E-2</v>
      </c>
      <c r="D68" s="36">
        <f t="shared" si="2"/>
        <v>8.0967320613462332E-2</v>
      </c>
      <c r="E68" s="36">
        <f t="shared" si="0"/>
        <v>6.972390880116297E-2</v>
      </c>
    </row>
    <row r="69" spans="1:5" x14ac:dyDescent="0.35">
      <c r="A69" s="35">
        <v>22920</v>
      </c>
      <c r="B69" s="63">
        <f>VLOOKUP(A69,Database!A:L,MATCH($A$1,Database!$A$1:$L$1,),)</f>
        <v>389.65699999999998</v>
      </c>
      <c r="C69" s="37">
        <f t="shared" si="1"/>
        <v>-2.9257525516877207E-2</v>
      </c>
      <c r="D69" s="36">
        <f t="shared" si="2"/>
        <v>3.2261397322764972E-2</v>
      </c>
      <c r="E69" s="36">
        <f t="shared" si="0"/>
        <v>-0.11199353062547246</v>
      </c>
    </row>
    <row r="70" spans="1:5" x14ac:dyDescent="0.35">
      <c r="A70" s="35">
        <v>23012</v>
      </c>
      <c r="B70" s="63">
        <f>VLOOKUP(A70,Database!A:L,MATCH($A$1,Database!$A$1:$L$1,),)</f>
        <v>410.15800000000002</v>
      </c>
      <c r="C70" s="37">
        <f t="shared" si="1"/>
        <v>5.2612939072055769E-2</v>
      </c>
      <c r="D70" s="36">
        <f t="shared" si="2"/>
        <v>3.0985518976650885E-2</v>
      </c>
      <c r="E70" s="36">
        <f t="shared" ref="E70:E133" si="3">((1+C70)^4)-1</f>
        <v>0.22765070293224188</v>
      </c>
    </row>
    <row r="71" spans="1:5" x14ac:dyDescent="0.35">
      <c r="A71" s="35">
        <v>23102</v>
      </c>
      <c r="B71" s="63">
        <f>VLOOKUP(A71,Database!A:L,MATCH($A$1,Database!$A$1:$L$1,),)</f>
        <v>416.68299999999999</v>
      </c>
      <c r="C71" s="37">
        <f t="shared" ref="C71:C134" si="4">(B71-B70)/B70</f>
        <v>1.5908503552289548E-2</v>
      </c>
      <c r="D71" s="36">
        <f t="shared" si="2"/>
        <v>5.5711513222901729E-2</v>
      </c>
      <c r="E71" s="36">
        <f t="shared" si="3"/>
        <v>6.5168665697724837E-2</v>
      </c>
    </row>
    <row r="72" spans="1:5" x14ac:dyDescent="0.35">
      <c r="A72" s="35">
        <v>23193</v>
      </c>
      <c r="B72" s="63">
        <f>VLOOKUP(A72,Database!A:L,MATCH($A$1,Database!$A$1:$L$1,),)</f>
        <v>429.512</v>
      </c>
      <c r="C72" s="37">
        <f t="shared" si="4"/>
        <v>3.0788393094990697E-2</v>
      </c>
      <c r="D72" s="36">
        <f t="shared" si="2"/>
        <v>7.0032212176850558E-2</v>
      </c>
      <c r="E72" s="36">
        <f t="shared" si="3"/>
        <v>0.12895876220677494</v>
      </c>
    </row>
    <row r="73" spans="1:5" x14ac:dyDescent="0.35">
      <c r="A73" s="35">
        <v>23285</v>
      </c>
      <c r="B73" s="63">
        <f>VLOOKUP(A73,Database!A:L,MATCH($A$1,Database!$A$1:$L$1,),)</f>
        <v>434.72699999999998</v>
      </c>
      <c r="C73" s="37">
        <f t="shared" si="4"/>
        <v>1.2141686378960251E-2</v>
      </c>
      <c r="D73" s="36">
        <f t="shared" si="2"/>
        <v>0.11566582917796933</v>
      </c>
      <c r="E73" s="36">
        <f t="shared" si="3"/>
        <v>4.9458450273654142E-2</v>
      </c>
    </row>
    <row r="74" spans="1:5" x14ac:dyDescent="0.35">
      <c r="A74" s="35">
        <v>23377</v>
      </c>
      <c r="B74" s="63">
        <f>VLOOKUP(A74,Database!A:L,MATCH($A$1,Database!$A$1:$L$1,),)</f>
        <v>450.99700000000001</v>
      </c>
      <c r="C74" s="37">
        <f t="shared" si="4"/>
        <v>3.7425786758126453E-2</v>
      </c>
      <c r="D74" s="36">
        <f t="shared" ref="D74:D137" si="5">(B74-B70)/B70</f>
        <v>9.9568946601065925E-2</v>
      </c>
      <c r="E74" s="36">
        <f t="shared" si="3"/>
        <v>0.15831893367874095</v>
      </c>
    </row>
    <row r="75" spans="1:5" x14ac:dyDescent="0.35">
      <c r="A75" s="35">
        <v>23468</v>
      </c>
      <c r="B75" s="63">
        <f>VLOOKUP(A75,Database!A:L,MATCH($A$1,Database!$A$1:$L$1,),)</f>
        <v>449.37299999999999</v>
      </c>
      <c r="C75" s="37">
        <f t="shared" si="4"/>
        <v>-3.6009108708040709E-3</v>
      </c>
      <c r="D75" s="36">
        <f t="shared" si="5"/>
        <v>7.8452924645353903E-2</v>
      </c>
      <c r="E75" s="36">
        <f t="shared" si="3"/>
        <v>-1.4326030726182215E-2</v>
      </c>
    </row>
    <row r="76" spans="1:5" x14ac:dyDescent="0.35">
      <c r="A76" s="35">
        <v>23559</v>
      </c>
      <c r="B76" s="63">
        <f>VLOOKUP(A76,Database!A:L,MATCH($A$1,Database!$A$1:$L$1,),)</f>
        <v>459.86099999999999</v>
      </c>
      <c r="C76" s="37">
        <f t="shared" si="4"/>
        <v>2.3339185932399142E-2</v>
      </c>
      <c r="D76" s="36">
        <f t="shared" si="5"/>
        <v>7.0659259811134467E-2</v>
      </c>
      <c r="E76" s="36">
        <f t="shared" si="3"/>
        <v>9.667619910817038E-2</v>
      </c>
    </row>
    <row r="77" spans="1:5" x14ac:dyDescent="0.35">
      <c r="A77" s="35">
        <v>23651</v>
      </c>
      <c r="B77" s="63">
        <f>VLOOKUP(A77,Database!A:L,MATCH($A$1,Database!$A$1:$L$1,),)</f>
        <v>464.22899999999998</v>
      </c>
      <c r="C77" s="37">
        <f t="shared" si="4"/>
        <v>9.4985223795886042E-3</v>
      </c>
      <c r="D77" s="36">
        <f t="shared" si="5"/>
        <v>6.7863279713475375E-2</v>
      </c>
      <c r="E77" s="36">
        <f t="shared" si="3"/>
        <v>3.8538857122710102E-2</v>
      </c>
    </row>
    <row r="78" spans="1:5" x14ac:dyDescent="0.35">
      <c r="A78" s="35">
        <v>23743</v>
      </c>
      <c r="B78" s="63">
        <f>VLOOKUP(A78,Database!A:L,MATCH($A$1,Database!$A$1:$L$1,),)</f>
        <v>508.49099999999999</v>
      </c>
      <c r="C78" s="37">
        <f t="shared" si="4"/>
        <v>9.5345185242628097E-2</v>
      </c>
      <c r="D78" s="36">
        <f t="shared" si="5"/>
        <v>0.12748200098892004</v>
      </c>
      <c r="E78" s="36">
        <f t="shared" si="3"/>
        <v>0.43947462753032562</v>
      </c>
    </row>
    <row r="79" spans="1:5" x14ac:dyDescent="0.35">
      <c r="A79" s="35">
        <v>23833</v>
      </c>
      <c r="B79" s="63">
        <f>VLOOKUP(A79,Database!A:L,MATCH($A$1,Database!$A$1:$L$1,),)</f>
        <v>509.827</v>
      </c>
      <c r="C79" s="37">
        <f t="shared" si="4"/>
        <v>2.6273818022344796E-3</v>
      </c>
      <c r="D79" s="36">
        <f t="shared" si="5"/>
        <v>0.13452966689142429</v>
      </c>
      <c r="E79" s="36">
        <f t="shared" si="3"/>
        <v>1.0551018616085539E-2</v>
      </c>
    </row>
    <row r="80" spans="1:5" x14ac:dyDescent="0.35">
      <c r="A80" s="35">
        <v>23924</v>
      </c>
      <c r="B80" s="63">
        <f>VLOOKUP(A80,Database!A:L,MATCH($A$1,Database!$A$1:$L$1,),)</f>
        <v>527.57799999999997</v>
      </c>
      <c r="C80" s="37">
        <f t="shared" si="4"/>
        <v>3.4817693060587171E-2</v>
      </c>
      <c r="D80" s="36">
        <f t="shared" si="5"/>
        <v>0.14725536629546751</v>
      </c>
      <c r="E80" s="36">
        <f t="shared" si="3"/>
        <v>0.14671470636831141</v>
      </c>
    </row>
    <row r="81" spans="1:5" x14ac:dyDescent="0.35">
      <c r="A81" s="35">
        <v>24016</v>
      </c>
      <c r="B81" s="63">
        <f>VLOOKUP(A81,Database!A:L,MATCH($A$1,Database!$A$1:$L$1,),)</f>
        <v>531.072</v>
      </c>
      <c r="C81" s="37">
        <f t="shared" si="4"/>
        <v>6.6227173991334522E-3</v>
      </c>
      <c r="D81" s="36">
        <f t="shared" si="5"/>
        <v>0.14398712704290345</v>
      </c>
      <c r="E81" s="36">
        <f t="shared" si="3"/>
        <v>2.675519573452001E-2</v>
      </c>
    </row>
    <row r="82" spans="1:5" x14ac:dyDescent="0.35">
      <c r="A82" s="35">
        <v>24108</v>
      </c>
      <c r="B82" s="63">
        <f>VLOOKUP(A82,Database!A:L,MATCH($A$1,Database!$A$1:$L$1,),)</f>
        <v>573.50199999999995</v>
      </c>
      <c r="C82" s="37">
        <f t="shared" si="4"/>
        <v>7.989500482043857E-2</v>
      </c>
      <c r="D82" s="36">
        <f t="shared" si="5"/>
        <v>0.12785083708462877</v>
      </c>
      <c r="E82" s="36">
        <f t="shared" si="3"/>
        <v>0.35995998239473259</v>
      </c>
    </row>
    <row r="83" spans="1:5" x14ac:dyDescent="0.35">
      <c r="A83" s="35">
        <v>24198</v>
      </c>
      <c r="B83" s="63">
        <f>VLOOKUP(A83,Database!A:L,MATCH($A$1,Database!$A$1:$L$1,),)</f>
        <v>565.01199999999994</v>
      </c>
      <c r="C83" s="37">
        <f t="shared" si="4"/>
        <v>-1.4803784468057669E-2</v>
      </c>
      <c r="D83" s="36">
        <f t="shared" si="5"/>
        <v>0.10824259994076411</v>
      </c>
      <c r="E83" s="36">
        <f t="shared" si="3"/>
        <v>-5.7913154755098506E-2</v>
      </c>
    </row>
    <row r="84" spans="1:5" x14ac:dyDescent="0.35">
      <c r="A84" s="35">
        <v>24289</v>
      </c>
      <c r="B84" s="63">
        <f>VLOOKUP(A84,Database!A:L,MATCH($A$1,Database!$A$1:$L$1,),)</f>
        <v>560.84400000000005</v>
      </c>
      <c r="C84" s="37">
        <f t="shared" si="4"/>
        <v>-7.3768344743118611E-3</v>
      </c>
      <c r="D84" s="36">
        <f t="shared" si="5"/>
        <v>6.3054183457233015E-2</v>
      </c>
      <c r="E84" s="36">
        <f t="shared" si="3"/>
        <v>-2.9182434535867996E-2</v>
      </c>
    </row>
    <row r="85" spans="1:5" x14ac:dyDescent="0.35">
      <c r="A85" s="35">
        <v>24381</v>
      </c>
      <c r="B85" s="63">
        <f>VLOOKUP(A85,Database!A:L,MATCH($A$1,Database!$A$1:$L$1,),)</f>
        <v>564.13099999999997</v>
      </c>
      <c r="C85" s="37">
        <f t="shared" si="4"/>
        <v>5.8608097795463986E-3</v>
      </c>
      <c r="D85" s="36">
        <f t="shared" si="5"/>
        <v>6.2249563147746385E-2</v>
      </c>
      <c r="E85" s="36">
        <f t="shared" si="3"/>
        <v>2.3650140099638284E-2</v>
      </c>
    </row>
    <row r="86" spans="1:5" x14ac:dyDescent="0.35">
      <c r="A86" s="35">
        <v>24473</v>
      </c>
      <c r="B86" s="63">
        <f>VLOOKUP(A86,Database!A:L,MATCH($A$1,Database!$A$1:$L$1,),)</f>
        <v>550.28599999999994</v>
      </c>
      <c r="C86" s="37">
        <f t="shared" si="4"/>
        <v>-2.4542171942332592E-2</v>
      </c>
      <c r="D86" s="36">
        <f t="shared" si="5"/>
        <v>-4.0481114276846482E-2</v>
      </c>
      <c r="E86" s="36">
        <f t="shared" si="3"/>
        <v>-9.4613544547901385E-2</v>
      </c>
    </row>
    <row r="87" spans="1:5" x14ac:dyDescent="0.35">
      <c r="A87" s="35">
        <v>24563</v>
      </c>
      <c r="B87" s="63">
        <f>VLOOKUP(A87,Database!A:L,MATCH($A$1,Database!$A$1:$L$1,),)</f>
        <v>530.37800000000004</v>
      </c>
      <c r="C87" s="37">
        <f t="shared" si="4"/>
        <v>-3.6177551309682428E-2</v>
      </c>
      <c r="D87" s="36">
        <f t="shared" si="5"/>
        <v>-6.1297813143791464E-2</v>
      </c>
      <c r="E87" s="36">
        <f t="shared" si="3"/>
        <v>-0.13704499984779184</v>
      </c>
    </row>
    <row r="88" spans="1:5" x14ac:dyDescent="0.35">
      <c r="A88" s="35">
        <v>24654</v>
      </c>
      <c r="B88" s="63">
        <f>VLOOKUP(A88,Database!A:L,MATCH($A$1,Database!$A$1:$L$1,),)</f>
        <v>545.92999999999995</v>
      </c>
      <c r="C88" s="37">
        <f t="shared" si="4"/>
        <v>2.9322483210087721E-2</v>
      </c>
      <c r="D88" s="36">
        <f t="shared" si="5"/>
        <v>-2.659206481659802E-2</v>
      </c>
      <c r="E88" s="36">
        <f t="shared" si="3"/>
        <v>0.12255036706492994</v>
      </c>
    </row>
    <row r="89" spans="1:5" x14ac:dyDescent="0.35">
      <c r="A89" s="35">
        <v>24746</v>
      </c>
      <c r="B89" s="63">
        <f>VLOOKUP(A89,Database!A:L,MATCH($A$1,Database!$A$1:$L$1,),)</f>
        <v>557.70600000000002</v>
      </c>
      <c r="C89" s="37">
        <f t="shared" si="4"/>
        <v>2.1570531020460623E-2</v>
      </c>
      <c r="D89" s="36">
        <f t="shared" si="5"/>
        <v>-1.1389198608124628E-2</v>
      </c>
      <c r="E89" s="36">
        <f t="shared" si="3"/>
        <v>8.9114213446042312E-2</v>
      </c>
    </row>
    <row r="90" spans="1:5" x14ac:dyDescent="0.35">
      <c r="A90" s="35">
        <v>24838</v>
      </c>
      <c r="B90" s="63">
        <f>VLOOKUP(A90,Database!A:L,MATCH($A$1,Database!$A$1:$L$1,),)</f>
        <v>568.88699999999994</v>
      </c>
      <c r="C90" s="37">
        <f t="shared" si="4"/>
        <v>2.0048197437359336E-2</v>
      </c>
      <c r="D90" s="36">
        <f t="shared" si="5"/>
        <v>3.3802422740175107E-2</v>
      </c>
      <c r="E90" s="36">
        <f t="shared" si="3"/>
        <v>8.2636764525929385E-2</v>
      </c>
    </row>
    <row r="91" spans="1:5" x14ac:dyDescent="0.35">
      <c r="A91" s="35">
        <v>24929</v>
      </c>
      <c r="B91" s="63">
        <f>VLOOKUP(A91,Database!A:L,MATCH($A$1,Database!$A$1:$L$1,),)</f>
        <v>590.64700000000005</v>
      </c>
      <c r="C91" s="37">
        <f t="shared" si="4"/>
        <v>3.8250127002374998E-2</v>
      </c>
      <c r="D91" s="36">
        <f t="shared" si="5"/>
        <v>0.11363404967777699</v>
      </c>
      <c r="E91" s="36">
        <f t="shared" si="3"/>
        <v>0.1620049326762516</v>
      </c>
    </row>
    <row r="92" spans="1:5" x14ac:dyDescent="0.35">
      <c r="A92" s="35">
        <v>25020</v>
      </c>
      <c r="B92" s="63">
        <f>VLOOKUP(A92,Database!A:L,MATCH($A$1,Database!$A$1:$L$1,),)</f>
        <v>574.53899999999999</v>
      </c>
      <c r="C92" s="37">
        <f t="shared" si="4"/>
        <v>-2.7271788394760424E-2</v>
      </c>
      <c r="D92" s="36">
        <f t="shared" si="5"/>
        <v>5.2404154378766582E-2</v>
      </c>
      <c r="E92" s="36">
        <f t="shared" si="3"/>
        <v>-0.10470523137954779</v>
      </c>
    </row>
    <row r="93" spans="1:5" x14ac:dyDescent="0.35">
      <c r="A93" s="35">
        <v>25112</v>
      </c>
      <c r="B93" s="63">
        <f>VLOOKUP(A93,Database!A:L,MATCH($A$1,Database!$A$1:$L$1,),)</f>
        <v>580.78899999999999</v>
      </c>
      <c r="C93" s="37">
        <f t="shared" si="4"/>
        <v>1.0878286765563348E-2</v>
      </c>
      <c r="D93" s="36">
        <f t="shared" si="5"/>
        <v>4.1389190720558806E-2</v>
      </c>
      <c r="E93" s="36">
        <f t="shared" si="3"/>
        <v>4.4228333024284527E-2</v>
      </c>
    </row>
    <row r="94" spans="1:5" x14ac:dyDescent="0.35">
      <c r="A94" s="35">
        <v>25204</v>
      </c>
      <c r="B94" s="63">
        <f>VLOOKUP(A94,Database!A:L,MATCH($A$1,Database!$A$1:$L$1,),)</f>
        <v>614.98900000000003</v>
      </c>
      <c r="C94" s="37">
        <f t="shared" si="4"/>
        <v>5.8885412774691059E-2</v>
      </c>
      <c r="D94" s="36">
        <f t="shared" si="5"/>
        <v>8.1038940949608784E-2</v>
      </c>
      <c r="E94" s="36">
        <f t="shared" si="3"/>
        <v>0.25717536437689303</v>
      </c>
    </row>
    <row r="95" spans="1:5" x14ac:dyDescent="0.35">
      <c r="A95" s="35">
        <v>25294</v>
      </c>
      <c r="B95" s="63">
        <f>VLOOKUP(A95,Database!A:L,MATCH($A$1,Database!$A$1:$L$1,),)</f>
        <v>611.36599999999999</v>
      </c>
      <c r="C95" s="37">
        <f t="shared" si="4"/>
        <v>-5.8911622809514428E-3</v>
      </c>
      <c r="D95" s="36">
        <f t="shared" si="5"/>
        <v>3.5078481732743812E-2</v>
      </c>
      <c r="E95" s="36">
        <f t="shared" si="3"/>
        <v>-2.3357230991025824E-2</v>
      </c>
    </row>
    <row r="96" spans="1:5" x14ac:dyDescent="0.35">
      <c r="A96" s="35">
        <v>25385</v>
      </c>
      <c r="B96" s="63">
        <f>VLOOKUP(A96,Database!A:L,MATCH($A$1,Database!$A$1:$L$1,),)</f>
        <v>623.77800000000002</v>
      </c>
      <c r="C96" s="37">
        <f t="shared" si="4"/>
        <v>2.0302077642525156E-2</v>
      </c>
      <c r="D96" s="36">
        <f t="shared" si="5"/>
        <v>8.5701753927931848E-2</v>
      </c>
      <c r="E96" s="36">
        <f t="shared" si="3"/>
        <v>8.3714998580579181E-2</v>
      </c>
    </row>
    <row r="97" spans="1:5" x14ac:dyDescent="0.35">
      <c r="A97" s="35">
        <v>25477</v>
      </c>
      <c r="B97" s="63">
        <f>VLOOKUP(A97,Database!A:L,MATCH($A$1,Database!$A$1:$L$1,),)</f>
        <v>593.65899999999999</v>
      </c>
      <c r="C97" s="37">
        <f t="shared" si="4"/>
        <v>-4.8284806453578077E-2</v>
      </c>
      <c r="D97" s="36">
        <f t="shared" si="5"/>
        <v>2.2159510596791613E-2</v>
      </c>
      <c r="E97" s="36">
        <f t="shared" si="3"/>
        <v>-0.17959554422103507</v>
      </c>
    </row>
    <row r="98" spans="1:5" x14ac:dyDescent="0.35">
      <c r="A98" s="35">
        <v>25569</v>
      </c>
      <c r="B98" s="63">
        <f>VLOOKUP(A98,Database!A:L,MATCH($A$1,Database!$A$1:$L$1,),)</f>
        <v>575.95299999999997</v>
      </c>
      <c r="C98" s="37">
        <f t="shared" si="4"/>
        <v>-2.982520268369555E-2</v>
      </c>
      <c r="D98" s="36">
        <f t="shared" si="5"/>
        <v>-6.3474306044498455E-2</v>
      </c>
      <c r="E98" s="36">
        <f t="shared" si="3"/>
        <v>-0.11406888632489665</v>
      </c>
    </row>
    <row r="99" spans="1:5" x14ac:dyDescent="0.35">
      <c r="A99" s="35">
        <v>25659</v>
      </c>
      <c r="B99" s="63">
        <f>VLOOKUP(A99,Database!A:L,MATCH($A$1,Database!$A$1:$L$1,),)</f>
        <v>577.20500000000004</v>
      </c>
      <c r="C99" s="37">
        <f t="shared" si="4"/>
        <v>2.1737884862134001E-3</v>
      </c>
      <c r="D99" s="36">
        <f t="shared" si="5"/>
        <v>-5.587651259638244E-2</v>
      </c>
      <c r="E99" s="36">
        <f t="shared" si="3"/>
        <v>8.7235471931808029E-3</v>
      </c>
    </row>
    <row r="100" spans="1:5" x14ac:dyDescent="0.35">
      <c r="A100" s="35">
        <v>25750</v>
      </c>
      <c r="B100" s="63">
        <f>VLOOKUP(A100,Database!A:L,MATCH($A$1,Database!$A$1:$L$1,),)</f>
        <v>586.59799999999996</v>
      </c>
      <c r="C100" s="37">
        <f t="shared" si="4"/>
        <v>1.6273247806238535E-2</v>
      </c>
      <c r="D100" s="36">
        <f t="shared" si="5"/>
        <v>-5.9604538794250622E-2</v>
      </c>
      <c r="E100" s="36">
        <f t="shared" si="3"/>
        <v>6.6699210753247806E-2</v>
      </c>
    </row>
    <row r="101" spans="1:5" x14ac:dyDescent="0.35">
      <c r="A101" s="35">
        <v>25842</v>
      </c>
      <c r="B101" s="63">
        <f>VLOOKUP(A101,Database!A:L,MATCH($A$1,Database!$A$1:$L$1,),)</f>
        <v>555.45399999999995</v>
      </c>
      <c r="C101" s="37">
        <f t="shared" si="4"/>
        <v>-5.3092577881274756E-2</v>
      </c>
      <c r="D101" s="36">
        <f t="shared" si="5"/>
        <v>-6.4355126427797851E-2</v>
      </c>
      <c r="E101" s="36">
        <f t="shared" si="3"/>
        <v>-0.19604806888147475</v>
      </c>
    </row>
    <row r="102" spans="1:5" x14ac:dyDescent="0.35">
      <c r="A102" s="35">
        <v>25934</v>
      </c>
      <c r="B102" s="63">
        <f>VLOOKUP(A102,Database!A:L,MATCH($A$1,Database!$A$1:$L$1,),)</f>
        <v>620.21199999999999</v>
      </c>
      <c r="C102" s="37">
        <f t="shared" si="4"/>
        <v>0.11658571186812958</v>
      </c>
      <c r="D102" s="36">
        <f t="shared" si="5"/>
        <v>7.6844811989867257E-2</v>
      </c>
      <c r="E102" s="36">
        <f t="shared" si="3"/>
        <v>0.55441960381885735</v>
      </c>
    </row>
    <row r="103" spans="1:5" x14ac:dyDescent="0.35">
      <c r="A103" s="35">
        <v>26024</v>
      </c>
      <c r="B103" s="63">
        <f>VLOOKUP(A103,Database!A:L,MATCH($A$1,Database!$A$1:$L$1,),)</f>
        <v>637.81100000000004</v>
      </c>
      <c r="C103" s="37">
        <f t="shared" si="4"/>
        <v>2.837578118449828E-2</v>
      </c>
      <c r="D103" s="36">
        <f t="shared" si="5"/>
        <v>0.10499909044446945</v>
      </c>
      <c r="E103" s="36">
        <f t="shared" si="3"/>
        <v>0.11842627381649828</v>
      </c>
    </row>
    <row r="104" spans="1:5" x14ac:dyDescent="0.35">
      <c r="A104" s="35">
        <v>26115</v>
      </c>
      <c r="B104" s="63">
        <f>VLOOKUP(A104,Database!A:L,MATCH($A$1,Database!$A$1:$L$1,),)</f>
        <v>645.54899999999998</v>
      </c>
      <c r="C104" s="37">
        <f t="shared" si="4"/>
        <v>1.2132120643889714E-2</v>
      </c>
      <c r="D104" s="36">
        <f t="shared" si="5"/>
        <v>0.10049642174027192</v>
      </c>
      <c r="E104" s="36">
        <f t="shared" si="3"/>
        <v>4.9418777175219697E-2</v>
      </c>
    </row>
    <row r="105" spans="1:5" x14ac:dyDescent="0.35">
      <c r="A105" s="35">
        <v>26207</v>
      </c>
      <c r="B105" s="63">
        <f>VLOOKUP(A105,Database!A:L,MATCH($A$1,Database!$A$1:$L$1,),)</f>
        <v>628.16499999999996</v>
      </c>
      <c r="C105" s="37">
        <f t="shared" si="4"/>
        <v>-2.6929017007229529E-2</v>
      </c>
      <c r="D105" s="36">
        <f t="shared" si="5"/>
        <v>0.1309037292016981</v>
      </c>
      <c r="E105" s="36">
        <f t="shared" si="3"/>
        <v>-0.1034426230845471</v>
      </c>
    </row>
    <row r="106" spans="1:5" x14ac:dyDescent="0.35">
      <c r="A106" s="35">
        <v>26299</v>
      </c>
      <c r="B106" s="63">
        <f>VLOOKUP(A106,Database!A:L,MATCH($A$1,Database!$A$1:$L$1,),)</f>
        <v>669.55799999999999</v>
      </c>
      <c r="C106" s="37">
        <f t="shared" si="4"/>
        <v>6.5895107177254428E-2</v>
      </c>
      <c r="D106" s="36">
        <f t="shared" si="5"/>
        <v>7.9563117127691832E-2</v>
      </c>
      <c r="E106" s="36">
        <f t="shared" si="3"/>
        <v>0.29079678375835427</v>
      </c>
    </row>
    <row r="107" spans="1:5" x14ac:dyDescent="0.35">
      <c r="A107" s="35">
        <v>26390</v>
      </c>
      <c r="B107" s="63">
        <f>VLOOKUP(A107,Database!A:L,MATCH($A$1,Database!$A$1:$L$1,),)</f>
        <v>707.58900000000006</v>
      </c>
      <c r="C107" s="37">
        <f t="shared" si="4"/>
        <v>5.6800157715985865E-2</v>
      </c>
      <c r="D107" s="36">
        <f t="shared" si="5"/>
        <v>0.10940231510588562</v>
      </c>
      <c r="E107" s="36">
        <f t="shared" si="3"/>
        <v>0.2473015949374251</v>
      </c>
    </row>
    <row r="108" spans="1:5" x14ac:dyDescent="0.35">
      <c r="A108" s="35">
        <v>26481</v>
      </c>
      <c r="B108" s="63">
        <f>VLOOKUP(A108,Database!A:L,MATCH($A$1,Database!$A$1:$L$1,),)</f>
        <v>717.63800000000003</v>
      </c>
      <c r="C108" s="37">
        <f t="shared" si="4"/>
        <v>1.4201747059380484E-2</v>
      </c>
      <c r="D108" s="36">
        <f t="shared" si="5"/>
        <v>0.11167084140785603</v>
      </c>
      <c r="E108" s="36">
        <f t="shared" si="3"/>
        <v>5.8028624013301222E-2</v>
      </c>
    </row>
    <row r="109" spans="1:5" x14ac:dyDescent="0.35">
      <c r="A109" s="35">
        <v>26573</v>
      </c>
      <c r="B109" s="63">
        <f>VLOOKUP(A109,Database!A:L,MATCH($A$1,Database!$A$1:$L$1,),)</f>
        <v>722.13800000000003</v>
      </c>
      <c r="C109" s="37">
        <f t="shared" si="4"/>
        <v>6.2705709563874818E-3</v>
      </c>
      <c r="D109" s="36">
        <f t="shared" si="5"/>
        <v>0.14959922950180299</v>
      </c>
      <c r="E109" s="36">
        <f t="shared" si="3"/>
        <v>2.5319191969239929E-2</v>
      </c>
    </row>
    <row r="110" spans="1:5" x14ac:dyDescent="0.35">
      <c r="A110" s="35">
        <v>26665</v>
      </c>
      <c r="B110" s="63">
        <f>VLOOKUP(A110,Database!A:L,MATCH($A$1,Database!$A$1:$L$1,),)</f>
        <v>764.45799999999997</v>
      </c>
      <c r="C110" s="37">
        <f t="shared" si="4"/>
        <v>5.8603757176606042E-2</v>
      </c>
      <c r="D110" s="36">
        <f t="shared" si="5"/>
        <v>0.14173529402979276</v>
      </c>
      <c r="E110" s="36">
        <f t="shared" si="3"/>
        <v>0.25583830100136895</v>
      </c>
    </row>
    <row r="111" spans="1:5" x14ac:dyDescent="0.35">
      <c r="A111" s="35">
        <v>26755</v>
      </c>
      <c r="B111" s="63">
        <f>VLOOKUP(A111,Database!A:L,MATCH($A$1,Database!$A$1:$L$1,),)</f>
        <v>797.04399999999998</v>
      </c>
      <c r="C111" s="37">
        <f t="shared" si="4"/>
        <v>4.2626279010750119E-2</v>
      </c>
      <c r="D111" s="36">
        <f t="shared" si="5"/>
        <v>0.1264222592493664</v>
      </c>
      <c r="E111" s="36">
        <f t="shared" si="3"/>
        <v>0.18172022324285808</v>
      </c>
    </row>
    <row r="112" spans="1:5" x14ac:dyDescent="0.35">
      <c r="A112" s="35">
        <v>26846</v>
      </c>
      <c r="B112" s="63">
        <f>VLOOKUP(A112,Database!A:L,MATCH($A$1,Database!$A$1:$L$1,),)</f>
        <v>768.14300000000003</v>
      </c>
      <c r="C112" s="37">
        <f t="shared" si="4"/>
        <v>-3.6260231555597877E-2</v>
      </c>
      <c r="D112" s="36">
        <f t="shared" si="5"/>
        <v>7.0376708033855498E-2</v>
      </c>
      <c r="E112" s="36">
        <f t="shared" si="3"/>
        <v>-0.13734107160389208</v>
      </c>
    </row>
    <row r="113" spans="1:5" x14ac:dyDescent="0.35">
      <c r="A113" s="35">
        <v>26938</v>
      </c>
      <c r="B113" s="63">
        <f>VLOOKUP(A113,Database!A:L,MATCH($A$1,Database!$A$1:$L$1,),)</f>
        <v>795.50400000000002</v>
      </c>
      <c r="C113" s="37">
        <f t="shared" si="4"/>
        <v>3.5619669775028853E-2</v>
      </c>
      <c r="D113" s="36">
        <f t="shared" si="5"/>
        <v>0.10159553991065418</v>
      </c>
      <c r="E113" s="36">
        <f t="shared" si="3"/>
        <v>0.15027362547711265</v>
      </c>
    </row>
    <row r="114" spans="1:5" x14ac:dyDescent="0.35">
      <c r="A114" s="35">
        <v>27030</v>
      </c>
      <c r="B114" s="63">
        <f>VLOOKUP(A114,Database!A:L,MATCH($A$1,Database!$A$1:$L$1,),)</f>
        <v>750.07600000000002</v>
      </c>
      <c r="C114" s="37">
        <f t="shared" si="4"/>
        <v>-5.7105935356704676E-2</v>
      </c>
      <c r="D114" s="36">
        <f t="shared" si="5"/>
        <v>-1.8813329182244085E-2</v>
      </c>
      <c r="E114" s="36">
        <f t="shared" si="3"/>
        <v>-0.209591489503545</v>
      </c>
    </row>
    <row r="115" spans="1:5" x14ac:dyDescent="0.35">
      <c r="A115" s="35">
        <v>27120</v>
      </c>
      <c r="B115" s="63">
        <f>VLOOKUP(A115,Database!A:L,MATCH($A$1,Database!$A$1:$L$1,),)</f>
        <v>747.08199999999999</v>
      </c>
      <c r="C115" s="37">
        <f t="shared" si="4"/>
        <v>-3.9915955183208477E-3</v>
      </c>
      <c r="D115" s="36">
        <f t="shared" si="5"/>
        <v>-6.2684117815327622E-2</v>
      </c>
      <c r="E115" s="36">
        <f t="shared" si="3"/>
        <v>-1.5871039200464621E-2</v>
      </c>
    </row>
    <row r="116" spans="1:5" x14ac:dyDescent="0.35">
      <c r="A116" s="35">
        <v>27211</v>
      </c>
      <c r="B116" s="63">
        <f>VLOOKUP(A116,Database!A:L,MATCH($A$1,Database!$A$1:$L$1,),)</f>
        <v>708.36199999999997</v>
      </c>
      <c r="C116" s="37">
        <f t="shared" si="4"/>
        <v>-5.1828313357837594E-2</v>
      </c>
      <c r="D116" s="36">
        <f t="shared" si="5"/>
        <v>-7.7825352831439015E-2</v>
      </c>
      <c r="E116" s="36">
        <f t="shared" si="3"/>
        <v>-0.19174587299193624</v>
      </c>
    </row>
    <row r="117" spans="1:5" x14ac:dyDescent="0.35">
      <c r="A117" s="35">
        <v>27303</v>
      </c>
      <c r="B117" s="63">
        <f>VLOOKUP(A117,Database!A:L,MATCH($A$1,Database!$A$1:$L$1,),)</f>
        <v>712.66099999999994</v>
      </c>
      <c r="C117" s="37">
        <f t="shared" si="4"/>
        <v>6.0689308573864467E-3</v>
      </c>
      <c r="D117" s="36">
        <f t="shared" si="5"/>
        <v>-0.10413901124318679</v>
      </c>
      <c r="E117" s="36">
        <f t="shared" si="3"/>
        <v>2.449761043819243E-2</v>
      </c>
    </row>
    <row r="118" spans="1:5" x14ac:dyDescent="0.35">
      <c r="A118" s="35">
        <v>27395</v>
      </c>
      <c r="B118" s="63">
        <f>VLOOKUP(A118,Database!A:L,MATCH($A$1,Database!$A$1:$L$1,),)</f>
        <v>597.86599999999999</v>
      </c>
      <c r="C118" s="37">
        <f t="shared" si="4"/>
        <v>-0.16107939118318523</v>
      </c>
      <c r="D118" s="36">
        <f t="shared" si="5"/>
        <v>-0.20292610348817991</v>
      </c>
      <c r="E118" s="36">
        <f t="shared" si="3"/>
        <v>-0.50468274960623782</v>
      </c>
    </row>
    <row r="119" spans="1:5" x14ac:dyDescent="0.35">
      <c r="A119" s="35">
        <v>27485</v>
      </c>
      <c r="B119" s="63">
        <f>VLOOKUP(A119,Database!A:L,MATCH($A$1,Database!$A$1:$L$1,),)</f>
        <v>580.06700000000001</v>
      </c>
      <c r="C119" s="37">
        <f t="shared" si="4"/>
        <v>-2.9770885114724668E-2</v>
      </c>
      <c r="D119" s="36">
        <f t="shared" si="5"/>
        <v>-0.22355645029595142</v>
      </c>
      <c r="E119" s="36">
        <f t="shared" si="3"/>
        <v>-0.11387046572703419</v>
      </c>
    </row>
    <row r="120" spans="1:5" x14ac:dyDescent="0.35">
      <c r="A120" s="35">
        <v>27576</v>
      </c>
      <c r="B120" s="63">
        <f>VLOOKUP(A120,Database!A:L,MATCH($A$1,Database!$A$1:$L$1,),)</f>
        <v>625.03700000000003</v>
      </c>
      <c r="C120" s="37">
        <f t="shared" si="4"/>
        <v>7.7525527223579388E-2</v>
      </c>
      <c r="D120" s="36">
        <f t="shared" si="5"/>
        <v>-0.11763053354076014</v>
      </c>
      <c r="E120" s="36">
        <f t="shared" si="3"/>
        <v>0.34806325369545732</v>
      </c>
    </row>
    <row r="121" spans="1:5" x14ac:dyDescent="0.35">
      <c r="A121" s="35">
        <v>27668</v>
      </c>
      <c r="B121" s="63">
        <f>VLOOKUP(A121,Database!A:L,MATCH($A$1,Database!$A$1:$L$1,),)</f>
        <v>642.48400000000004</v>
      </c>
      <c r="C121" s="37">
        <f t="shared" si="4"/>
        <v>2.7913547517986938E-2</v>
      </c>
      <c r="D121" s="36">
        <f t="shared" si="5"/>
        <v>-9.847178391970364E-2</v>
      </c>
      <c r="E121" s="36">
        <f t="shared" si="3"/>
        <v>0.11641679114578696</v>
      </c>
    </row>
    <row r="122" spans="1:5" x14ac:dyDescent="0.35">
      <c r="A122" s="35">
        <v>27760</v>
      </c>
      <c r="B122" s="63">
        <f>VLOOKUP(A122,Database!A:L,MATCH($A$1,Database!$A$1:$L$1,),)</f>
        <v>704.47500000000002</v>
      </c>
      <c r="C122" s="37">
        <f t="shared" si="4"/>
        <v>9.6486449468002292E-2</v>
      </c>
      <c r="D122" s="36">
        <f t="shared" si="5"/>
        <v>0.17831587680182523</v>
      </c>
      <c r="E122" s="36">
        <f t="shared" si="3"/>
        <v>0.44548329124152386</v>
      </c>
    </row>
    <row r="123" spans="1:5" x14ac:dyDescent="0.35">
      <c r="A123" s="35">
        <v>27851</v>
      </c>
      <c r="B123" s="63">
        <f>VLOOKUP(A123,Database!A:L,MATCH($A$1,Database!$A$1:$L$1,),)</f>
        <v>732.35799999999995</v>
      </c>
      <c r="C123" s="37">
        <f t="shared" si="4"/>
        <v>3.9579828950636893E-2</v>
      </c>
      <c r="D123" s="36">
        <f t="shared" si="5"/>
        <v>0.26254036171683603</v>
      </c>
      <c r="E123" s="36">
        <f t="shared" si="3"/>
        <v>0.16796916424042996</v>
      </c>
    </row>
    <row r="124" spans="1:5" x14ac:dyDescent="0.35">
      <c r="A124" s="35">
        <v>27942</v>
      </c>
      <c r="B124" s="63">
        <f>VLOOKUP(A124,Database!A:L,MATCH($A$1,Database!$A$1:$L$1,),)</f>
        <v>734.91</v>
      </c>
      <c r="C124" s="37">
        <f t="shared" si="4"/>
        <v>3.4846345639701092E-3</v>
      </c>
      <c r="D124" s="36">
        <f t="shared" si="5"/>
        <v>0.17578639344550792</v>
      </c>
      <c r="E124" s="36">
        <f t="shared" si="3"/>
        <v>1.401156372277379E-2</v>
      </c>
    </row>
    <row r="125" spans="1:5" x14ac:dyDescent="0.35">
      <c r="A125" s="35">
        <v>28034</v>
      </c>
      <c r="B125" s="63">
        <f>VLOOKUP(A125,Database!A:L,MATCH($A$1,Database!$A$1:$L$1,),)</f>
        <v>740.40800000000002</v>
      </c>
      <c r="C125" s="37">
        <f t="shared" si="4"/>
        <v>7.4811881727014839E-3</v>
      </c>
      <c r="D125" s="36">
        <f t="shared" si="5"/>
        <v>0.15241469048256451</v>
      </c>
      <c r="E125" s="36">
        <f t="shared" si="3"/>
        <v>3.0262239715934447E-2</v>
      </c>
    </row>
    <row r="126" spans="1:5" x14ac:dyDescent="0.35">
      <c r="A126" s="35">
        <v>28126</v>
      </c>
      <c r="B126" s="63">
        <f>VLOOKUP(A126,Database!A:L,MATCH($A$1,Database!$A$1:$L$1,),)</f>
        <v>774.71100000000001</v>
      </c>
      <c r="C126" s="37">
        <f t="shared" si="4"/>
        <v>4.6329861373729075E-2</v>
      </c>
      <c r="D126" s="36">
        <f t="shared" si="5"/>
        <v>9.9699776429255815E-2</v>
      </c>
      <c r="E126" s="36">
        <f t="shared" si="3"/>
        <v>0.19860056914384061</v>
      </c>
    </row>
    <row r="127" spans="1:5" x14ac:dyDescent="0.35">
      <c r="A127" s="35">
        <v>28216</v>
      </c>
      <c r="B127" s="63">
        <f>VLOOKUP(A127,Database!A:L,MATCH($A$1,Database!$A$1:$L$1,),)</f>
        <v>830.25099999999998</v>
      </c>
      <c r="C127" s="37">
        <f t="shared" si="4"/>
        <v>7.1691250027429529E-2</v>
      </c>
      <c r="D127" s="36">
        <f t="shared" si="5"/>
        <v>0.13366823329573793</v>
      </c>
      <c r="E127" s="36">
        <f t="shared" si="3"/>
        <v>0.3191030954701346</v>
      </c>
    </row>
    <row r="128" spans="1:5" x14ac:dyDescent="0.35">
      <c r="A128" s="35">
        <v>28307</v>
      </c>
      <c r="B128" s="63">
        <f>VLOOKUP(A128,Database!A:L,MATCH($A$1,Database!$A$1:$L$1,),)</f>
        <v>872.26400000000001</v>
      </c>
      <c r="C128" s="37">
        <f t="shared" si="4"/>
        <v>5.0602769523915098E-2</v>
      </c>
      <c r="D128" s="36">
        <f t="shared" si="5"/>
        <v>0.18689907607734288</v>
      </c>
      <c r="E128" s="36">
        <f t="shared" si="3"/>
        <v>0.2182997786356613</v>
      </c>
    </row>
    <row r="129" spans="1:5" x14ac:dyDescent="0.35">
      <c r="A129" s="35">
        <v>28399</v>
      </c>
      <c r="B129" s="63">
        <f>VLOOKUP(A129,Database!A:L,MATCH($A$1,Database!$A$1:$L$1,),)</f>
        <v>850.38300000000004</v>
      </c>
      <c r="C129" s="37">
        <f t="shared" si="4"/>
        <v>-2.508529527757648E-2</v>
      </c>
      <c r="D129" s="36">
        <f t="shared" si="5"/>
        <v>0.14853297101057797</v>
      </c>
      <c r="E129" s="36">
        <f t="shared" si="3"/>
        <v>-9.6628294791677005E-2</v>
      </c>
    </row>
    <row r="130" spans="1:5" x14ac:dyDescent="0.35">
      <c r="A130" s="35">
        <v>28491</v>
      </c>
      <c r="B130" s="63">
        <f>VLOOKUP(A130,Database!A:L,MATCH($A$1,Database!$A$1:$L$1,),)</f>
        <v>866.95699999999999</v>
      </c>
      <c r="C130" s="37">
        <f t="shared" si="4"/>
        <v>1.9490041545985697E-2</v>
      </c>
      <c r="D130" s="36">
        <f t="shared" si="5"/>
        <v>0.11907149892024249</v>
      </c>
      <c r="E130" s="36">
        <f t="shared" si="3"/>
        <v>8.0269094878431035E-2</v>
      </c>
    </row>
    <row r="131" spans="1:5" x14ac:dyDescent="0.35">
      <c r="A131" s="35">
        <v>28581</v>
      </c>
      <c r="B131" s="63">
        <f>VLOOKUP(A131,Database!A:L,MATCH($A$1,Database!$A$1:$L$1,),)</f>
        <v>923.26599999999996</v>
      </c>
      <c r="C131" s="37">
        <f t="shared" si="4"/>
        <v>6.4950164771724508E-2</v>
      </c>
      <c r="D131" s="36">
        <f t="shared" si="5"/>
        <v>0.11203238538706968</v>
      </c>
      <c r="E131" s="36">
        <f t="shared" si="3"/>
        <v>0.28622557374467106</v>
      </c>
    </row>
    <row r="132" spans="1:5" x14ac:dyDescent="0.35">
      <c r="A132" s="35">
        <v>28672</v>
      </c>
      <c r="B132" s="63">
        <f>VLOOKUP(A132,Database!A:L,MATCH($A$1,Database!$A$1:$L$1,),)</f>
        <v>950.16600000000005</v>
      </c>
      <c r="C132" s="37">
        <f t="shared" si="4"/>
        <v>2.9135698704382151E-2</v>
      </c>
      <c r="D132" s="36">
        <f t="shared" si="5"/>
        <v>8.9310117120504851E-2</v>
      </c>
      <c r="E132" s="36">
        <f t="shared" si="3"/>
        <v>0.12173578095335413</v>
      </c>
    </row>
    <row r="133" spans="1:5" x14ac:dyDescent="0.35">
      <c r="A133" s="35">
        <v>28764</v>
      </c>
      <c r="B133" s="63">
        <f>VLOOKUP(A133,Database!A:L,MATCH($A$1,Database!$A$1:$L$1,),)</f>
        <v>972.13900000000001</v>
      </c>
      <c r="C133" s="37">
        <f t="shared" si="4"/>
        <v>2.3125432819107349E-2</v>
      </c>
      <c r="D133" s="36">
        <f t="shared" si="5"/>
        <v>0.14317783869150719</v>
      </c>
      <c r="E133" s="36">
        <f t="shared" si="3"/>
        <v>9.5760199728385453E-2</v>
      </c>
    </row>
    <row r="134" spans="1:5" x14ac:dyDescent="0.35">
      <c r="A134" s="35">
        <v>28856</v>
      </c>
      <c r="B134" s="63">
        <f>VLOOKUP(A134,Database!A:L,MATCH($A$1,Database!$A$1:$L$1,),)</f>
        <v>973.75400000000002</v>
      </c>
      <c r="C134" s="37">
        <f t="shared" si="4"/>
        <v>1.6612850631442717E-3</v>
      </c>
      <c r="D134" s="36">
        <f t="shared" si="5"/>
        <v>0.12318604036878418</v>
      </c>
      <c r="E134" s="36">
        <f t="shared" ref="E134:E197" si="6">((1+C134)^4)-1</f>
        <v>6.6617178082706285E-3</v>
      </c>
    </row>
    <row r="135" spans="1:5" x14ac:dyDescent="0.35">
      <c r="A135" s="35">
        <v>28946</v>
      </c>
      <c r="B135" s="63">
        <f>VLOOKUP(A135,Database!A:L,MATCH($A$1,Database!$A$1:$L$1,),)</f>
        <v>972.87699999999995</v>
      </c>
      <c r="C135" s="37">
        <f t="shared" ref="C135:C198" si="7">(B135-B134)/B134</f>
        <v>-9.0063814885491238E-4</v>
      </c>
      <c r="D135" s="36">
        <f t="shared" si="5"/>
        <v>5.3734243435802888E-2</v>
      </c>
      <c r="E135" s="36">
        <f t="shared" si="6"/>
        <v>-3.5976886225178584E-3</v>
      </c>
    </row>
    <row r="136" spans="1:5" x14ac:dyDescent="0.35">
      <c r="A136" s="35">
        <v>29037</v>
      </c>
      <c r="B136" s="63">
        <f>VLOOKUP(A136,Database!A:L,MATCH($A$1,Database!$A$1:$L$1,),)</f>
        <v>956.49300000000005</v>
      </c>
      <c r="C136" s="37">
        <f t="shared" si="7"/>
        <v>-1.6840772266175377E-2</v>
      </c>
      <c r="D136" s="36">
        <f t="shared" si="5"/>
        <v>6.6588364559455908E-3</v>
      </c>
      <c r="E136" s="36">
        <f t="shared" si="6"/>
        <v>-6.5680443920208331E-2</v>
      </c>
    </row>
    <row r="137" spans="1:5" x14ac:dyDescent="0.35">
      <c r="A137" s="35">
        <v>29129</v>
      </c>
      <c r="B137" s="63">
        <f>VLOOKUP(A137,Database!A:L,MATCH($A$1,Database!$A$1:$L$1,),)</f>
        <v>939.52599999999995</v>
      </c>
      <c r="C137" s="37">
        <f t="shared" si="7"/>
        <v>-1.7738760241841914E-2</v>
      </c>
      <c r="D137" s="36">
        <f t="shared" si="5"/>
        <v>-3.3547671680695924E-2</v>
      </c>
      <c r="E137" s="36">
        <f t="shared" si="6"/>
        <v>-6.9089287234359475E-2</v>
      </c>
    </row>
    <row r="138" spans="1:5" x14ac:dyDescent="0.35">
      <c r="A138" s="35">
        <v>29221</v>
      </c>
      <c r="B138" s="63">
        <f>VLOOKUP(A138,Database!A:L,MATCH($A$1,Database!$A$1:$L$1,),)</f>
        <v>933.101</v>
      </c>
      <c r="C138" s="37">
        <f t="shared" si="7"/>
        <v>-6.8385547605919949E-3</v>
      </c>
      <c r="D138" s="36">
        <f t="shared" ref="D138:D201" si="8">(B138-B134)/B134</f>
        <v>-4.174873736077081E-2</v>
      </c>
      <c r="E138" s="36">
        <f t="shared" si="6"/>
        <v>-2.7074901110834104E-2</v>
      </c>
    </row>
    <row r="139" spans="1:5" x14ac:dyDescent="0.35">
      <c r="A139" s="35">
        <v>29312</v>
      </c>
      <c r="B139" s="63">
        <f>VLOOKUP(A139,Database!A:L,MATCH($A$1,Database!$A$1:$L$1,),)</f>
        <v>853.76</v>
      </c>
      <c r="C139" s="37">
        <f t="shared" si="7"/>
        <v>-8.5029380527938569E-2</v>
      </c>
      <c r="D139" s="36">
        <f t="shared" si="8"/>
        <v>-0.12243788269226219</v>
      </c>
      <c r="E139" s="36">
        <f t="shared" si="6"/>
        <v>-0.29914432413062175</v>
      </c>
    </row>
    <row r="140" spans="1:5" x14ac:dyDescent="0.35">
      <c r="A140" s="35">
        <v>29403</v>
      </c>
      <c r="B140" s="63">
        <f>VLOOKUP(A140,Database!A:L,MATCH($A$1,Database!$A$1:$L$1,),)</f>
        <v>797.41099999999994</v>
      </c>
      <c r="C140" s="37">
        <f t="shared" si="7"/>
        <v>-6.6000983883058528E-2</v>
      </c>
      <c r="D140" s="36">
        <f t="shared" si="8"/>
        <v>-0.16631799709982206</v>
      </c>
      <c r="E140" s="36">
        <f t="shared" si="6"/>
        <v>-0.23899821585387049</v>
      </c>
    </row>
    <row r="141" spans="1:5" x14ac:dyDescent="0.35">
      <c r="A141" s="35">
        <v>29495</v>
      </c>
      <c r="B141" s="63">
        <f>VLOOKUP(A141,Database!A:L,MATCH($A$1,Database!$A$1:$L$1,),)</f>
        <v>871.73299999999995</v>
      </c>
      <c r="C141" s="37">
        <f t="shared" si="7"/>
        <v>9.3204131871770027E-2</v>
      </c>
      <c r="D141" s="36">
        <f t="shared" si="8"/>
        <v>-7.2156598114368323E-2</v>
      </c>
      <c r="E141" s="36">
        <f t="shared" si="6"/>
        <v>0.42825271379733376</v>
      </c>
    </row>
    <row r="142" spans="1:5" x14ac:dyDescent="0.35">
      <c r="A142" s="35">
        <v>29587</v>
      </c>
      <c r="B142" s="63">
        <f>VLOOKUP(A142,Database!A:L,MATCH($A$1,Database!$A$1:$L$1,),)</f>
        <v>952.41800000000001</v>
      </c>
      <c r="C142" s="37">
        <f t="shared" si="7"/>
        <v>9.2557010001915796E-2</v>
      </c>
      <c r="D142" s="36">
        <f t="shared" si="8"/>
        <v>2.0701939018391371E-2</v>
      </c>
      <c r="E142" s="36">
        <f t="shared" si="6"/>
        <v>0.4248739002849371</v>
      </c>
    </row>
    <row r="143" spans="1:5" x14ac:dyDescent="0.35">
      <c r="A143" s="35">
        <v>29677</v>
      </c>
      <c r="B143" s="63">
        <f>VLOOKUP(A143,Database!A:L,MATCH($A$1,Database!$A$1:$L$1,),)</f>
        <v>912.94500000000005</v>
      </c>
      <c r="C143" s="37">
        <f t="shared" si="7"/>
        <v>-4.1445037788029999E-2</v>
      </c>
      <c r="D143" s="36">
        <f t="shared" si="8"/>
        <v>6.9322760494752694E-2</v>
      </c>
      <c r="E143" s="36">
        <f t="shared" si="6"/>
        <v>-0.15575581284538254</v>
      </c>
    </row>
    <row r="144" spans="1:5" x14ac:dyDescent="0.35">
      <c r="A144" s="35">
        <v>29768</v>
      </c>
      <c r="B144" s="63">
        <f>VLOOKUP(A144,Database!A:L,MATCH($A$1,Database!$A$1:$L$1,),)</f>
        <v>964.40099999999995</v>
      </c>
      <c r="C144" s="37">
        <f t="shared" si="7"/>
        <v>5.6362650543022745E-2</v>
      </c>
      <c r="D144" s="36">
        <f t="shared" si="8"/>
        <v>0.20941522000574361</v>
      </c>
      <c r="E144" s="36">
        <f t="shared" si="6"/>
        <v>0.24523738399411776</v>
      </c>
    </row>
    <row r="145" spans="1:5" x14ac:dyDescent="0.35">
      <c r="A145" s="35">
        <v>29860</v>
      </c>
      <c r="B145" s="63">
        <f>VLOOKUP(A145,Database!A:L,MATCH($A$1,Database!$A$1:$L$1,),)</f>
        <v>930.44</v>
      </c>
      <c r="C145" s="37">
        <f t="shared" si="7"/>
        <v>-3.5214604713184557E-2</v>
      </c>
      <c r="D145" s="36">
        <f t="shared" si="8"/>
        <v>6.7345161878694632E-2</v>
      </c>
      <c r="E145" s="36">
        <f t="shared" si="6"/>
        <v>-0.13359114484449897</v>
      </c>
    </row>
    <row r="146" spans="1:5" x14ac:dyDescent="0.35">
      <c r="A146" s="35">
        <v>29952</v>
      </c>
      <c r="B146" s="63">
        <f>VLOOKUP(A146,Database!A:L,MATCH($A$1,Database!$A$1:$L$1,),)</f>
        <v>842.42899999999997</v>
      </c>
      <c r="C146" s="37">
        <f t="shared" si="7"/>
        <v>-9.4590731266927561E-2</v>
      </c>
      <c r="D146" s="36">
        <f t="shared" si="8"/>
        <v>-0.11548395767404651</v>
      </c>
      <c r="E146" s="36">
        <f t="shared" si="6"/>
        <v>-0.32798379720902415</v>
      </c>
    </row>
    <row r="147" spans="1:5" x14ac:dyDescent="0.35">
      <c r="A147" s="35">
        <v>30042</v>
      </c>
      <c r="B147" s="63">
        <f>VLOOKUP(A147,Database!A:L,MATCH($A$1,Database!$A$1:$L$1,),)</f>
        <v>841.78899999999999</v>
      </c>
      <c r="C147" s="37">
        <f t="shared" si="7"/>
        <v>-7.5970793977888512E-4</v>
      </c>
      <c r="D147" s="36">
        <f t="shared" si="8"/>
        <v>-7.7941168416498313E-2</v>
      </c>
      <c r="E147" s="36">
        <f t="shared" si="6"/>
        <v>-3.035370575740215E-3</v>
      </c>
    </row>
    <row r="148" spans="1:5" x14ac:dyDescent="0.35">
      <c r="A148" s="35">
        <v>30133</v>
      </c>
      <c r="B148" s="63">
        <f>VLOOKUP(A148,Database!A:L,MATCH($A$1,Database!$A$1:$L$1,),)</f>
        <v>834.07500000000005</v>
      </c>
      <c r="C148" s="37">
        <f t="shared" si="7"/>
        <v>-9.1638165858664612E-3</v>
      </c>
      <c r="D148" s="36">
        <f t="shared" si="8"/>
        <v>-0.13513673254175382</v>
      </c>
      <c r="E148" s="36">
        <f t="shared" si="6"/>
        <v>-3.6154484230639716E-2</v>
      </c>
    </row>
    <row r="149" spans="1:5" x14ac:dyDescent="0.35">
      <c r="A149" s="35">
        <v>30225</v>
      </c>
      <c r="B149" s="63">
        <f>VLOOKUP(A149,Database!A:L,MATCH($A$1,Database!$A$1:$L$1,),)</f>
        <v>769.60199999999998</v>
      </c>
      <c r="C149" s="37">
        <f t="shared" si="7"/>
        <v>-7.7298804064382776E-2</v>
      </c>
      <c r="D149" s="36">
        <f t="shared" si="8"/>
        <v>-0.17286230170671948</v>
      </c>
      <c r="E149" s="36">
        <f t="shared" si="6"/>
        <v>-0.27515635763433599</v>
      </c>
    </row>
    <row r="150" spans="1:5" x14ac:dyDescent="0.35">
      <c r="A150" s="35">
        <v>30317</v>
      </c>
      <c r="B150" s="63">
        <f>VLOOKUP(A150,Database!A:L,MATCH($A$1,Database!$A$1:$L$1,),)</f>
        <v>796.26599999999996</v>
      </c>
      <c r="C150" s="37">
        <f t="shared" si="7"/>
        <v>3.4646479608940711E-2</v>
      </c>
      <c r="D150" s="36">
        <f t="shared" si="8"/>
        <v>-5.479749628752098E-2</v>
      </c>
      <c r="E150" s="36">
        <f t="shared" si="6"/>
        <v>0.14595598620390526</v>
      </c>
    </row>
    <row r="151" spans="1:5" x14ac:dyDescent="0.35">
      <c r="A151" s="35">
        <v>30407</v>
      </c>
      <c r="B151" s="63">
        <f>VLOOKUP(A151,Database!A:L,MATCH($A$1,Database!$A$1:$L$1,),)</f>
        <v>866.78399999999999</v>
      </c>
      <c r="C151" s="37">
        <f t="shared" si="7"/>
        <v>8.856085780379927E-2</v>
      </c>
      <c r="D151" s="36">
        <f t="shared" si="8"/>
        <v>2.9692713969890323E-2</v>
      </c>
      <c r="E151" s="36">
        <f t="shared" si="6"/>
        <v>0.40414143775101508</v>
      </c>
    </row>
    <row r="152" spans="1:5" x14ac:dyDescent="0.35">
      <c r="A152" s="35">
        <v>30498</v>
      </c>
      <c r="B152" s="63">
        <f>VLOOKUP(A152,Database!A:L,MATCH($A$1,Database!$A$1:$L$1,),)</f>
        <v>921.05100000000004</v>
      </c>
      <c r="C152" s="37">
        <f t="shared" si="7"/>
        <v>6.2607293166463684E-2</v>
      </c>
      <c r="D152" s="36">
        <f t="shared" si="8"/>
        <v>0.10427839223091448</v>
      </c>
      <c r="E152" s="36">
        <f t="shared" si="6"/>
        <v>0.27494417595529219</v>
      </c>
    </row>
    <row r="153" spans="1:5" x14ac:dyDescent="0.35">
      <c r="A153" s="35">
        <v>30590</v>
      </c>
      <c r="B153" s="63">
        <f>VLOOKUP(A153,Database!A:L,MATCH($A$1,Database!$A$1:$L$1,),)</f>
        <v>1010.654</v>
      </c>
      <c r="C153" s="37">
        <f t="shared" si="7"/>
        <v>9.7283429473503588E-2</v>
      </c>
      <c r="D153" s="36">
        <f t="shared" si="8"/>
        <v>0.31321644174521379</v>
      </c>
      <c r="E153" s="36">
        <f t="shared" si="6"/>
        <v>0.44969046738622809</v>
      </c>
    </row>
    <row r="154" spans="1:5" x14ac:dyDescent="0.35">
      <c r="A154" s="35">
        <v>30682</v>
      </c>
      <c r="B154" s="63">
        <f>VLOOKUP(A154,Database!A:L,MATCH($A$1,Database!$A$1:$L$1,),)</f>
        <v>1108.328</v>
      </c>
      <c r="C154" s="37">
        <f t="shared" si="7"/>
        <v>9.6644351083555777E-2</v>
      </c>
      <c r="D154" s="36">
        <f t="shared" si="8"/>
        <v>0.39190672463724435</v>
      </c>
      <c r="E154" s="36">
        <f t="shared" si="6"/>
        <v>0.44631610939403377</v>
      </c>
    </row>
    <row r="155" spans="1:5" x14ac:dyDescent="0.35">
      <c r="A155" s="35">
        <v>30773</v>
      </c>
      <c r="B155" s="63">
        <f>VLOOKUP(A155,Database!A:L,MATCH($A$1,Database!$A$1:$L$1,),)</f>
        <v>1144.3710000000001</v>
      </c>
      <c r="C155" s="37">
        <f t="shared" si="7"/>
        <v>3.2520156487971179E-2</v>
      </c>
      <c r="D155" s="36">
        <f t="shared" si="8"/>
        <v>0.32024933547458201</v>
      </c>
      <c r="E155" s="36">
        <f t="shared" si="6"/>
        <v>0.136564675996242</v>
      </c>
    </row>
    <row r="156" spans="1:5" x14ac:dyDescent="0.35">
      <c r="A156" s="35">
        <v>30864</v>
      </c>
      <c r="B156" s="63">
        <f>VLOOKUP(A156,Database!A:L,MATCH($A$1,Database!$A$1:$L$1,),)</f>
        <v>1169.136</v>
      </c>
      <c r="C156" s="37">
        <f t="shared" si="7"/>
        <v>2.1640709175608147E-2</v>
      </c>
      <c r="D156" s="36">
        <f t="shared" si="8"/>
        <v>0.26934990570554718</v>
      </c>
      <c r="E156" s="36">
        <f t="shared" si="6"/>
        <v>8.9413516921170944E-2</v>
      </c>
    </row>
    <row r="157" spans="1:5" x14ac:dyDescent="0.35">
      <c r="A157" s="35">
        <v>30956</v>
      </c>
      <c r="B157" s="63">
        <f>VLOOKUP(A157,Database!A:L,MATCH($A$1,Database!$A$1:$L$1,),)</f>
        <v>1153.971</v>
      </c>
      <c r="C157" s="37">
        <f t="shared" si="7"/>
        <v>-1.2971117132651774E-2</v>
      </c>
      <c r="D157" s="36">
        <f t="shared" si="8"/>
        <v>0.14180619677951109</v>
      </c>
      <c r="E157" s="36">
        <f t="shared" si="6"/>
        <v>-5.0883670500158074E-2</v>
      </c>
    </row>
    <row r="158" spans="1:5" x14ac:dyDescent="0.35">
      <c r="A158" s="35">
        <v>31048</v>
      </c>
      <c r="B158" s="63">
        <f>VLOOKUP(A158,Database!A:L,MATCH($A$1,Database!$A$1:$L$1,),)</f>
        <v>1122.3309999999999</v>
      </c>
      <c r="C158" s="37">
        <f t="shared" si="7"/>
        <v>-2.7418366666060151E-2</v>
      </c>
      <c r="D158" s="36">
        <f t="shared" si="8"/>
        <v>1.2634346511141042E-2</v>
      </c>
      <c r="E158" s="36">
        <f t="shared" si="6"/>
        <v>-0.10524474940150463</v>
      </c>
    </row>
    <row r="159" spans="1:5" x14ac:dyDescent="0.35">
      <c r="A159" s="35">
        <v>31138</v>
      </c>
      <c r="B159" s="63">
        <f>VLOOKUP(A159,Database!A:L,MATCH($A$1,Database!$A$1:$L$1,),)</f>
        <v>1141.4469999999999</v>
      </c>
      <c r="C159" s="37">
        <f t="shared" si="7"/>
        <v>1.7032408442785585E-2</v>
      </c>
      <c r="D159" s="36">
        <f t="shared" si="8"/>
        <v>-2.55511543022342E-3</v>
      </c>
      <c r="E159" s="36">
        <f t="shared" si="6"/>
        <v>6.989010016190611E-2</v>
      </c>
    </row>
    <row r="160" spans="1:5" x14ac:dyDescent="0.35">
      <c r="A160" s="35">
        <v>31229</v>
      </c>
      <c r="B160" s="63">
        <f>VLOOKUP(A160,Database!A:L,MATCH($A$1,Database!$A$1:$L$1,),)</f>
        <v>1133.665</v>
      </c>
      <c r="C160" s="37">
        <f t="shared" si="7"/>
        <v>-6.8176621428764775E-3</v>
      </c>
      <c r="D160" s="36">
        <f t="shared" si="8"/>
        <v>-3.0339498569884091E-2</v>
      </c>
      <c r="E160" s="36">
        <f t="shared" si="6"/>
        <v>-2.6993030862348055E-2</v>
      </c>
    </row>
    <row r="161" spans="1:5" x14ac:dyDescent="0.35">
      <c r="A161" s="35">
        <v>31321</v>
      </c>
      <c r="B161" s="63">
        <f>VLOOKUP(A161,Database!A:L,MATCH($A$1,Database!$A$1:$L$1,),)</f>
        <v>1175.45</v>
      </c>
      <c r="C161" s="37">
        <f t="shared" si="7"/>
        <v>3.6858331164850357E-2</v>
      </c>
      <c r="D161" s="36">
        <f t="shared" si="8"/>
        <v>1.8613119393814957E-2</v>
      </c>
      <c r="E161" s="36">
        <f t="shared" si="6"/>
        <v>0.15578668330268597</v>
      </c>
    </row>
    <row r="162" spans="1:5" x14ac:dyDescent="0.35">
      <c r="A162" s="35">
        <v>31413</v>
      </c>
      <c r="B162" s="63">
        <f>VLOOKUP(A162,Database!A:L,MATCH($A$1,Database!$A$1:$L$1,),)</f>
        <v>1175.105</v>
      </c>
      <c r="C162" s="37">
        <f t="shared" si="7"/>
        <v>-2.9350461525375581E-4</v>
      </c>
      <c r="D162" s="36">
        <f t="shared" si="8"/>
        <v>4.7021778780056971E-2</v>
      </c>
      <c r="E162" s="36">
        <f t="shared" si="6"/>
        <v>-1.1735016923885011E-3</v>
      </c>
    </row>
    <row r="163" spans="1:5" x14ac:dyDescent="0.35">
      <c r="A163" s="35">
        <v>31503</v>
      </c>
      <c r="B163" s="63">
        <f>VLOOKUP(A163,Database!A:L,MATCH($A$1,Database!$A$1:$L$1,),)</f>
        <v>1154.5889999999999</v>
      </c>
      <c r="C163" s="37">
        <f t="shared" si="7"/>
        <v>-1.7458865377987565E-2</v>
      </c>
      <c r="D163" s="36">
        <f t="shared" si="8"/>
        <v>1.1513456165726533E-2</v>
      </c>
      <c r="E163" s="36">
        <f t="shared" si="6"/>
        <v>-6.8027783405204656E-2</v>
      </c>
    </row>
    <row r="164" spans="1:5" x14ac:dyDescent="0.35">
      <c r="A164" s="35">
        <v>31594</v>
      </c>
      <c r="B164" s="63">
        <f>VLOOKUP(A164,Database!A:L,MATCH($A$1,Database!$A$1:$L$1,),)</f>
        <v>1123.5319999999999</v>
      </c>
      <c r="C164" s="37">
        <f t="shared" si="7"/>
        <v>-2.6898749251898311E-2</v>
      </c>
      <c r="D164" s="36">
        <f t="shared" si="8"/>
        <v>-8.9382665955110539E-3</v>
      </c>
      <c r="E164" s="36">
        <f t="shared" si="6"/>
        <v>-0.10333106680149806</v>
      </c>
    </row>
    <row r="165" spans="1:5" x14ac:dyDescent="0.35">
      <c r="A165" s="35">
        <v>31686</v>
      </c>
      <c r="B165" s="63">
        <f>VLOOKUP(A165,Database!A:L,MATCH($A$1,Database!$A$1:$L$1,),)</f>
        <v>1126.895</v>
      </c>
      <c r="C165" s="37">
        <f t="shared" si="7"/>
        <v>2.9932391778783839E-3</v>
      </c>
      <c r="D165" s="36">
        <f t="shared" si="8"/>
        <v>-4.130758432940581E-2</v>
      </c>
      <c r="E165" s="36">
        <f t="shared" si="6"/>
        <v>1.2026820947917294E-2</v>
      </c>
    </row>
    <row r="166" spans="1:5" x14ac:dyDescent="0.35">
      <c r="A166" s="35">
        <v>31778</v>
      </c>
      <c r="B166" s="63">
        <f>VLOOKUP(A166,Database!A:L,MATCH($A$1,Database!$A$1:$L$1,),)</f>
        <v>1157.306</v>
      </c>
      <c r="C166" s="37">
        <f t="shared" si="7"/>
        <v>2.6986542668127961E-2</v>
      </c>
      <c r="D166" s="36">
        <f t="shared" si="8"/>
        <v>-1.5146731568668312E-2</v>
      </c>
      <c r="E166" s="36">
        <f t="shared" si="6"/>
        <v>0.1123949562997808</v>
      </c>
    </row>
    <row r="167" spans="1:5" x14ac:dyDescent="0.35">
      <c r="A167" s="35">
        <v>31868</v>
      </c>
      <c r="B167" s="63">
        <f>VLOOKUP(A167,Database!A:L,MATCH($A$1,Database!$A$1:$L$1,),)</f>
        <v>1157.9090000000001</v>
      </c>
      <c r="C167" s="37">
        <f t="shared" si="7"/>
        <v>5.2103765123490717E-4</v>
      </c>
      <c r="D167" s="36">
        <f t="shared" si="8"/>
        <v>2.8754820979588094E-3</v>
      </c>
      <c r="E167" s="36">
        <f t="shared" si="6"/>
        <v>2.0857800522235959E-3</v>
      </c>
    </row>
    <row r="168" spans="1:5" x14ac:dyDescent="0.35">
      <c r="A168" s="35">
        <v>31959</v>
      </c>
      <c r="B168" s="63">
        <f>VLOOKUP(A168,Database!A:L,MATCH($A$1,Database!$A$1:$L$1,),)</f>
        <v>1158.077</v>
      </c>
      <c r="C168" s="37">
        <f t="shared" si="7"/>
        <v>1.4508912185663353E-4</v>
      </c>
      <c r="D168" s="36">
        <f t="shared" si="8"/>
        <v>3.0746787808447001E-2</v>
      </c>
      <c r="E168" s="36">
        <f t="shared" si="6"/>
        <v>5.8048280476352687E-4</v>
      </c>
    </row>
    <row r="169" spans="1:5" x14ac:dyDescent="0.35">
      <c r="A169" s="35">
        <v>32051</v>
      </c>
      <c r="B169" s="63">
        <f>VLOOKUP(A169,Database!A:L,MATCH($A$1,Database!$A$1:$L$1,),)</f>
        <v>1236.9860000000001</v>
      </c>
      <c r="C169" s="37">
        <f t="shared" si="7"/>
        <v>6.8137956284426773E-2</v>
      </c>
      <c r="D169" s="36">
        <f t="shared" si="8"/>
        <v>9.7694106371933612E-2</v>
      </c>
      <c r="E169" s="36">
        <f t="shared" si="6"/>
        <v>0.30169546553250948</v>
      </c>
    </row>
    <row r="170" spans="1:5" x14ac:dyDescent="0.35">
      <c r="A170" s="35">
        <v>32143</v>
      </c>
      <c r="B170" s="63">
        <f>VLOOKUP(A170,Database!A:L,MATCH($A$1,Database!$A$1:$L$1,),)</f>
        <v>1177.604</v>
      </c>
      <c r="C170" s="37">
        <f t="shared" si="7"/>
        <v>-4.800539375546696E-2</v>
      </c>
      <c r="D170" s="36">
        <f t="shared" si="8"/>
        <v>1.7539008697786067E-2</v>
      </c>
      <c r="E170" s="36">
        <f t="shared" si="6"/>
        <v>-0.17863167438504546</v>
      </c>
    </row>
    <row r="171" spans="1:5" x14ac:dyDescent="0.35">
      <c r="A171" s="35">
        <v>32234</v>
      </c>
      <c r="B171" s="63">
        <f>VLOOKUP(A171,Database!A:L,MATCH($A$1,Database!$A$1:$L$1,),)</f>
        <v>1205.662</v>
      </c>
      <c r="C171" s="37">
        <f t="shared" si="7"/>
        <v>2.3826345698554005E-2</v>
      </c>
      <c r="D171" s="36">
        <f t="shared" si="8"/>
        <v>4.1240719262049023E-2</v>
      </c>
      <c r="E171" s="36">
        <f t="shared" si="6"/>
        <v>9.8765977933022775E-2</v>
      </c>
    </row>
    <row r="172" spans="1:5" x14ac:dyDescent="0.35">
      <c r="A172" s="35">
        <v>32325</v>
      </c>
      <c r="B172" s="63">
        <f>VLOOKUP(A172,Database!A:L,MATCH($A$1,Database!$A$1:$L$1,),)</f>
        <v>1212.3599999999999</v>
      </c>
      <c r="C172" s="37">
        <f t="shared" si="7"/>
        <v>5.5554541820177338E-3</v>
      </c>
      <c r="D172" s="36">
        <f t="shared" si="8"/>
        <v>4.6873394428867773E-2</v>
      </c>
      <c r="E172" s="36">
        <f t="shared" si="6"/>
        <v>2.2407681941122304E-2</v>
      </c>
    </row>
    <row r="173" spans="1:5" x14ac:dyDescent="0.35">
      <c r="A173" s="35">
        <v>32417</v>
      </c>
      <c r="B173" s="63">
        <f>VLOOKUP(A173,Database!A:L,MATCH($A$1,Database!$A$1:$L$1,),)</f>
        <v>1230.8610000000001</v>
      </c>
      <c r="C173" s="37">
        <f t="shared" si="7"/>
        <v>1.5260318717212878E-2</v>
      </c>
      <c r="D173" s="36">
        <f t="shared" si="8"/>
        <v>-4.9515515939549835E-3</v>
      </c>
      <c r="E173" s="36">
        <f t="shared" si="6"/>
        <v>6.2452808193756315E-2</v>
      </c>
    </row>
    <row r="174" spans="1:5" x14ac:dyDescent="0.35">
      <c r="A174" s="35">
        <v>32509</v>
      </c>
      <c r="B174" s="63">
        <f>VLOOKUP(A174,Database!A:L,MATCH($A$1,Database!$A$1:$L$1,),)</f>
        <v>1272.6379999999999</v>
      </c>
      <c r="C174" s="37">
        <f t="shared" si="7"/>
        <v>3.3941281753179127E-2</v>
      </c>
      <c r="D174" s="36">
        <f t="shared" si="8"/>
        <v>8.0701152509672081E-2</v>
      </c>
      <c r="E174" s="36">
        <f t="shared" si="6"/>
        <v>0.14283492064983361</v>
      </c>
    </row>
    <row r="175" spans="1:5" x14ac:dyDescent="0.35">
      <c r="A175" s="35">
        <v>32599</v>
      </c>
      <c r="B175" s="63">
        <f>VLOOKUP(A175,Database!A:L,MATCH($A$1,Database!$A$1:$L$1,),)</f>
        <v>1260.328</v>
      </c>
      <c r="C175" s="37">
        <f t="shared" si="7"/>
        <v>-9.672821336467987E-3</v>
      </c>
      <c r="D175" s="36">
        <f t="shared" si="8"/>
        <v>4.5341065738158735E-2</v>
      </c>
      <c r="E175" s="36">
        <f t="shared" si="6"/>
        <v>-3.8133515847121657E-2</v>
      </c>
    </row>
    <row r="176" spans="1:5" x14ac:dyDescent="0.35">
      <c r="A176" s="35">
        <v>32690</v>
      </c>
      <c r="B176" s="63">
        <f>VLOOKUP(A176,Database!A:L,MATCH($A$1,Database!$A$1:$L$1,),)</f>
        <v>1249.0119999999999</v>
      </c>
      <c r="C176" s="37">
        <f t="shared" si="7"/>
        <v>-8.9786150906748328E-3</v>
      </c>
      <c r="D176" s="36">
        <f t="shared" si="8"/>
        <v>3.0231944306971566E-2</v>
      </c>
      <c r="E176" s="36">
        <f t="shared" si="6"/>
        <v>-3.5433655953376109E-2</v>
      </c>
    </row>
    <row r="177" spans="1:5" x14ac:dyDescent="0.35">
      <c r="A177" s="35">
        <v>32782</v>
      </c>
      <c r="B177" s="63">
        <f>VLOOKUP(A177,Database!A:L,MATCH($A$1,Database!$A$1:$L$1,),)</f>
        <v>1239.7470000000001</v>
      </c>
      <c r="C177" s="37">
        <f t="shared" si="7"/>
        <v>-7.4178630789775227E-3</v>
      </c>
      <c r="D177" s="36">
        <f t="shared" si="8"/>
        <v>7.2193367082066667E-3</v>
      </c>
      <c r="E177" s="36">
        <f t="shared" si="6"/>
        <v>-2.9342933794786807E-2</v>
      </c>
    </row>
    <row r="178" spans="1:5" x14ac:dyDescent="0.35">
      <c r="A178" s="35">
        <v>32874</v>
      </c>
      <c r="B178" s="63">
        <f>VLOOKUP(A178,Database!A:L,MATCH($A$1,Database!$A$1:$L$1,),)</f>
        <v>1252.058</v>
      </c>
      <c r="C178" s="37">
        <f t="shared" si="7"/>
        <v>9.9302518981694825E-3</v>
      </c>
      <c r="D178" s="36">
        <f t="shared" si="8"/>
        <v>-1.6171134289562253E-2</v>
      </c>
      <c r="E178" s="36">
        <f t="shared" si="6"/>
        <v>4.0316593617853558E-2</v>
      </c>
    </row>
    <row r="179" spans="1:5" x14ac:dyDescent="0.35">
      <c r="A179" s="35">
        <v>32964</v>
      </c>
      <c r="B179" s="63">
        <f>VLOOKUP(A179,Database!A:L,MATCH($A$1,Database!$A$1:$L$1,),)</f>
        <v>1252.4490000000001</v>
      </c>
      <c r="C179" s="37">
        <f t="shared" si="7"/>
        <v>3.1228585257238594E-4</v>
      </c>
      <c r="D179" s="36">
        <f t="shared" si="8"/>
        <v>-6.2515472162801315E-3</v>
      </c>
      <c r="E179" s="36">
        <f t="shared" si="6"/>
        <v>1.2497286668406993E-3</v>
      </c>
    </row>
    <row r="180" spans="1:5" x14ac:dyDescent="0.35">
      <c r="A180" s="35">
        <v>33055</v>
      </c>
      <c r="B180" s="63">
        <f>VLOOKUP(A180,Database!A:L,MATCH($A$1,Database!$A$1:$L$1,),)</f>
        <v>1228.17</v>
      </c>
      <c r="C180" s="37">
        <f t="shared" si="7"/>
        <v>-1.9385220476043331E-2</v>
      </c>
      <c r="D180" s="36">
        <f t="shared" si="8"/>
        <v>-1.6686789238213783E-2</v>
      </c>
      <c r="E180" s="36">
        <f t="shared" si="6"/>
        <v>-7.5315158888824563E-2</v>
      </c>
    </row>
    <row r="181" spans="1:5" x14ac:dyDescent="0.35">
      <c r="A181" s="35">
        <v>33147</v>
      </c>
      <c r="B181" s="63">
        <f>VLOOKUP(A181,Database!A:L,MATCH($A$1,Database!$A$1:$L$1,),)</f>
        <v>1159.4639999999999</v>
      </c>
      <c r="C181" s="37">
        <f t="shared" si="7"/>
        <v>-5.5941767019223827E-2</v>
      </c>
      <c r="D181" s="36">
        <f t="shared" si="8"/>
        <v>-6.4757567471427732E-2</v>
      </c>
      <c r="E181" s="36">
        <f t="shared" si="6"/>
        <v>-0.20568066149479014</v>
      </c>
    </row>
    <row r="182" spans="1:5" x14ac:dyDescent="0.35">
      <c r="A182" s="35">
        <v>33239</v>
      </c>
      <c r="B182" s="63">
        <f>VLOOKUP(A182,Database!A:L,MATCH($A$1,Database!$A$1:$L$1,),)</f>
        <v>1120.884</v>
      </c>
      <c r="C182" s="37">
        <f t="shared" si="7"/>
        <v>-3.3273995570366935E-2</v>
      </c>
      <c r="D182" s="36">
        <f t="shared" si="8"/>
        <v>-0.10476671208522287</v>
      </c>
      <c r="E182" s="36">
        <f t="shared" si="6"/>
        <v>-0.1265991621791277</v>
      </c>
    </row>
    <row r="183" spans="1:5" x14ac:dyDescent="0.35">
      <c r="A183" s="35">
        <v>33329</v>
      </c>
      <c r="B183" s="63">
        <f>VLOOKUP(A183,Database!A:L,MATCH($A$1,Database!$A$1:$L$1,),)</f>
        <v>1120.8800000000001</v>
      </c>
      <c r="C183" s="37">
        <f t="shared" si="7"/>
        <v>-3.5686119169382491E-6</v>
      </c>
      <c r="D183" s="36">
        <f t="shared" si="8"/>
        <v>-0.10504938724051834</v>
      </c>
      <c r="E183" s="36">
        <f t="shared" si="6"/>
        <v>-1.4274371258005125E-5</v>
      </c>
    </row>
    <row r="184" spans="1:5" x14ac:dyDescent="0.35">
      <c r="A184" s="35">
        <v>33420</v>
      </c>
      <c r="B184" s="63">
        <f>VLOOKUP(A184,Database!A:L,MATCH($A$1,Database!$A$1:$L$1,),)</f>
        <v>1143.0730000000001</v>
      </c>
      <c r="C184" s="37">
        <f t="shared" si="7"/>
        <v>1.9799621725786865E-2</v>
      </c>
      <c r="D184" s="36">
        <f t="shared" si="8"/>
        <v>-6.9287639333317025E-2</v>
      </c>
      <c r="E184" s="36">
        <f t="shared" si="6"/>
        <v>8.158183849811973E-2</v>
      </c>
    </row>
    <row r="185" spans="1:5" x14ac:dyDescent="0.35">
      <c r="A185" s="35">
        <v>33512</v>
      </c>
      <c r="B185" s="63">
        <f>VLOOKUP(A185,Database!A:L,MATCH($A$1,Database!$A$1:$L$1,),)</f>
        <v>1183.605</v>
      </c>
      <c r="C185" s="37">
        <f t="shared" si="7"/>
        <v>3.5458802718636447E-2</v>
      </c>
      <c r="D185" s="36">
        <f t="shared" si="8"/>
        <v>2.082082755480125E-2</v>
      </c>
      <c r="E185" s="36">
        <f t="shared" si="6"/>
        <v>0.14955908508263493</v>
      </c>
    </row>
    <row r="186" spans="1:5" x14ac:dyDescent="0.35">
      <c r="A186" s="35">
        <v>33604</v>
      </c>
      <c r="B186" s="63">
        <f>VLOOKUP(A186,Database!A:L,MATCH($A$1,Database!$A$1:$L$1,),)</f>
        <v>1161.74</v>
      </c>
      <c r="C186" s="37">
        <f t="shared" si="7"/>
        <v>-1.8473223752856746E-2</v>
      </c>
      <c r="D186" s="36">
        <f t="shared" si="8"/>
        <v>3.6449802120469194E-2</v>
      </c>
      <c r="E186" s="36">
        <f t="shared" si="6"/>
        <v>-7.1870435267146537E-2</v>
      </c>
    </row>
    <row r="187" spans="1:5" x14ac:dyDescent="0.35">
      <c r="A187" s="35">
        <v>33695</v>
      </c>
      <c r="B187" s="63">
        <f>VLOOKUP(A187,Database!A:L,MATCH($A$1,Database!$A$1:$L$1,),)</f>
        <v>1227.44</v>
      </c>
      <c r="C187" s="37">
        <f t="shared" si="7"/>
        <v>5.6553101382409182E-2</v>
      </c>
      <c r="D187" s="36">
        <f t="shared" si="8"/>
        <v>9.5068160730854265E-2</v>
      </c>
      <c r="E187" s="36">
        <f t="shared" si="6"/>
        <v>0.24613563857651855</v>
      </c>
    </row>
    <row r="188" spans="1:5" x14ac:dyDescent="0.35">
      <c r="A188" s="35">
        <v>33786</v>
      </c>
      <c r="B188" s="63">
        <f>VLOOKUP(A188,Database!A:L,MATCH($A$1,Database!$A$1:$L$1,),)</f>
        <v>1237.1969999999999</v>
      </c>
      <c r="C188" s="37">
        <f t="shared" si="7"/>
        <v>7.9490647200676483E-3</v>
      </c>
      <c r="D188" s="36">
        <f t="shared" si="8"/>
        <v>8.2342947475795319E-2</v>
      </c>
      <c r="E188" s="36">
        <f t="shared" si="6"/>
        <v>3.2177397782729322E-2</v>
      </c>
    </row>
    <row r="189" spans="1:5" x14ac:dyDescent="0.35">
      <c r="A189" s="35">
        <v>33878</v>
      </c>
      <c r="B189" s="63">
        <f>VLOOKUP(A189,Database!A:L,MATCH($A$1,Database!$A$1:$L$1,),)</f>
        <v>1274.9449999999999</v>
      </c>
      <c r="C189" s="37">
        <f t="shared" si="7"/>
        <v>3.0510904892268612E-2</v>
      </c>
      <c r="D189" s="36">
        <f t="shared" si="8"/>
        <v>7.7171015668233839E-2</v>
      </c>
      <c r="E189" s="36">
        <f t="shared" si="6"/>
        <v>0.12774359035131444</v>
      </c>
    </row>
    <row r="190" spans="1:5" x14ac:dyDescent="0.35">
      <c r="A190" s="35">
        <v>33970</v>
      </c>
      <c r="B190" s="63">
        <f>VLOOKUP(A190,Database!A:L,MATCH($A$1,Database!$A$1:$L$1,),)</f>
        <v>1305.0029999999999</v>
      </c>
      <c r="C190" s="37">
        <f t="shared" si="7"/>
        <v>2.3575918961210088E-2</v>
      </c>
      <c r="D190" s="36">
        <f t="shared" si="8"/>
        <v>0.12331760979220817</v>
      </c>
      <c r="E190" s="36">
        <f t="shared" si="6"/>
        <v>9.7691344756368981E-2</v>
      </c>
    </row>
    <row r="191" spans="1:5" x14ac:dyDescent="0.35">
      <c r="A191" s="35">
        <v>34060</v>
      </c>
      <c r="B191" s="63">
        <f>VLOOKUP(A191,Database!A:L,MATCH($A$1,Database!$A$1:$L$1,),)</f>
        <v>1312.511</v>
      </c>
      <c r="C191" s="37">
        <f t="shared" si="7"/>
        <v>5.7532434791337942E-3</v>
      </c>
      <c r="D191" s="36">
        <f t="shared" si="8"/>
        <v>6.9307664733102972E-2</v>
      </c>
      <c r="E191" s="36">
        <f t="shared" si="6"/>
        <v>2.3212335600390599E-2</v>
      </c>
    </row>
    <row r="192" spans="1:5" x14ac:dyDescent="0.35">
      <c r="A192" s="35">
        <v>34151</v>
      </c>
      <c r="B192" s="63">
        <f>VLOOKUP(A192,Database!A:L,MATCH($A$1,Database!$A$1:$L$1,),)</f>
        <v>1303.597</v>
      </c>
      <c r="C192" s="37">
        <f t="shared" si="7"/>
        <v>-6.791562127860252E-3</v>
      </c>
      <c r="D192" s="36">
        <f t="shared" si="8"/>
        <v>5.366970660290972E-2</v>
      </c>
      <c r="E192" s="36">
        <f t="shared" si="6"/>
        <v>-2.6890747538877546E-2</v>
      </c>
    </row>
    <row r="193" spans="1:5" x14ac:dyDescent="0.35">
      <c r="A193" s="35">
        <v>34243</v>
      </c>
      <c r="B193" s="63">
        <f>VLOOKUP(A193,Database!A:L,MATCH($A$1,Database!$A$1:$L$1,),)</f>
        <v>1372.097</v>
      </c>
      <c r="C193" s="37">
        <f t="shared" si="7"/>
        <v>5.2546914422171881E-2</v>
      </c>
      <c r="D193" s="36">
        <f t="shared" si="8"/>
        <v>7.62009341579441E-2</v>
      </c>
      <c r="E193" s="36">
        <f t="shared" si="6"/>
        <v>0.22734271666710382</v>
      </c>
    </row>
    <row r="194" spans="1:5" x14ac:dyDescent="0.35">
      <c r="A194" s="35">
        <v>34335</v>
      </c>
      <c r="B194" s="63">
        <f>VLOOKUP(A194,Database!A:L,MATCH($A$1,Database!$A$1:$L$1,),)</f>
        <v>1424.36</v>
      </c>
      <c r="C194" s="37">
        <f t="shared" si="7"/>
        <v>3.8089872654775807E-2</v>
      </c>
      <c r="D194" s="36">
        <f t="shared" si="8"/>
        <v>9.1461092426607438E-2</v>
      </c>
      <c r="E194" s="36">
        <f t="shared" si="6"/>
        <v>0.16128767494372531</v>
      </c>
    </row>
    <row r="195" spans="1:5" x14ac:dyDescent="0.35">
      <c r="A195" s="35">
        <v>34425</v>
      </c>
      <c r="B195" s="63">
        <f>VLOOKUP(A195,Database!A:L,MATCH($A$1,Database!$A$1:$L$1,),)</f>
        <v>1494.4110000000001</v>
      </c>
      <c r="C195" s="37">
        <f t="shared" si="7"/>
        <v>4.9180684658372997E-2</v>
      </c>
      <c r="D195" s="36">
        <f t="shared" si="8"/>
        <v>0.13858931468002941</v>
      </c>
      <c r="E195" s="36">
        <f t="shared" si="6"/>
        <v>0.21171684850261241</v>
      </c>
    </row>
    <row r="196" spans="1:5" x14ac:dyDescent="0.35">
      <c r="A196" s="35">
        <v>34516</v>
      </c>
      <c r="B196" s="63">
        <f>VLOOKUP(A196,Database!A:L,MATCH($A$1,Database!$A$1:$L$1,),)</f>
        <v>1469.999</v>
      </c>
      <c r="C196" s="37">
        <f t="shared" si="7"/>
        <v>-1.6335532862110914E-2</v>
      </c>
      <c r="D196" s="36">
        <f t="shared" si="8"/>
        <v>0.12764834530917152</v>
      </c>
      <c r="E196" s="36">
        <f t="shared" si="6"/>
        <v>-6.3758398960236273E-2</v>
      </c>
    </row>
    <row r="197" spans="1:5" x14ac:dyDescent="0.35">
      <c r="A197" s="35">
        <v>34608</v>
      </c>
      <c r="B197" s="63">
        <f>VLOOKUP(A197,Database!A:L,MATCH($A$1,Database!$A$1:$L$1,),)</f>
        <v>1530.4760000000001</v>
      </c>
      <c r="C197" s="37">
        <f t="shared" si="7"/>
        <v>4.114084431349959E-2</v>
      </c>
      <c r="D197" s="36">
        <f t="shared" si="8"/>
        <v>0.11542842816506423</v>
      </c>
      <c r="E197" s="36">
        <f t="shared" si="6"/>
        <v>0.1750001913515542</v>
      </c>
    </row>
    <row r="198" spans="1:5" x14ac:dyDescent="0.35">
      <c r="A198" s="35">
        <v>34700</v>
      </c>
      <c r="B198" s="63">
        <f>VLOOKUP(A198,Database!A:L,MATCH($A$1,Database!$A$1:$L$1,),)</f>
        <v>1546.548</v>
      </c>
      <c r="C198" s="37">
        <f t="shared" si="7"/>
        <v>1.050130808977069E-2</v>
      </c>
      <c r="D198" s="36">
        <f t="shared" si="8"/>
        <v>8.5784492684433791E-2</v>
      </c>
      <c r="E198" s="36">
        <f t="shared" ref="E198:E261" si="9">((1+C198)^4)-1</f>
        <v>4.2671541580599381E-2</v>
      </c>
    </row>
    <row r="199" spans="1:5" x14ac:dyDescent="0.35">
      <c r="A199" s="35">
        <v>34790</v>
      </c>
      <c r="B199" s="63">
        <f>VLOOKUP(A199,Database!A:L,MATCH($A$1,Database!$A$1:$L$1,),)</f>
        <v>1514.4259999999999</v>
      </c>
      <c r="C199" s="37">
        <f t="shared" ref="C199:C262" si="10">(B199-B198)/B198</f>
        <v>-2.0770128052928244E-2</v>
      </c>
      <c r="D199" s="36">
        <f t="shared" si="8"/>
        <v>1.3393236532653917E-2</v>
      </c>
      <c r="E199" s="36">
        <f t="shared" si="9"/>
        <v>-8.0527777576308579E-2</v>
      </c>
    </row>
    <row r="200" spans="1:5" x14ac:dyDescent="0.35">
      <c r="A200" s="35">
        <v>34881</v>
      </c>
      <c r="B200" s="63">
        <f>VLOOKUP(A200,Database!A:L,MATCH($A$1,Database!$A$1:$L$1,),)</f>
        <v>1505.3989999999999</v>
      </c>
      <c r="C200" s="37">
        <f t="shared" si="10"/>
        <v>-5.960674209238381E-3</v>
      </c>
      <c r="D200" s="36">
        <f t="shared" si="8"/>
        <v>2.4081649035135304E-2</v>
      </c>
      <c r="E200" s="36">
        <f t="shared" si="9"/>
        <v>-2.3630364874790866E-2</v>
      </c>
    </row>
    <row r="201" spans="1:5" x14ac:dyDescent="0.35">
      <c r="A201" s="35">
        <v>34973</v>
      </c>
      <c r="B201" s="63">
        <f>VLOOKUP(A201,Database!A:L,MATCH($A$1,Database!$A$1:$L$1,),)</f>
        <v>1542.7850000000001</v>
      </c>
      <c r="C201" s="37">
        <f t="shared" si="10"/>
        <v>2.4834611953375947E-2</v>
      </c>
      <c r="D201" s="36">
        <f t="shared" si="8"/>
        <v>8.0425958982695365E-3</v>
      </c>
      <c r="E201" s="36">
        <f t="shared" si="9"/>
        <v>0.10310064368663885</v>
      </c>
    </row>
    <row r="202" spans="1:5" x14ac:dyDescent="0.35">
      <c r="A202" s="35">
        <v>35065</v>
      </c>
      <c r="B202" s="63">
        <f>VLOOKUP(A202,Database!A:L,MATCH($A$1,Database!$A$1:$L$1,),)</f>
        <v>1567.56</v>
      </c>
      <c r="C202" s="37">
        <f t="shared" si="10"/>
        <v>1.6058621259605107E-2</v>
      </c>
      <c r="D202" s="36">
        <f t="shared" ref="D202:D265" si="11">(B202-B198)/B198</f>
        <v>1.3586387231434099E-2</v>
      </c>
      <c r="E202" s="36">
        <f t="shared" si="9"/>
        <v>6.5798392185832499E-2</v>
      </c>
    </row>
    <row r="203" spans="1:5" x14ac:dyDescent="0.35">
      <c r="A203" s="35">
        <v>35156</v>
      </c>
      <c r="B203" s="63">
        <f>VLOOKUP(A203,Database!A:L,MATCH($A$1,Database!$A$1:$L$1,),)</f>
        <v>1642.8820000000001</v>
      </c>
      <c r="C203" s="37">
        <f t="shared" si="10"/>
        <v>4.8050473347112786E-2</v>
      </c>
      <c r="D203" s="36">
        <f t="shared" si="11"/>
        <v>8.4821575963434426E-2</v>
      </c>
      <c r="E203" s="36">
        <f t="shared" si="9"/>
        <v>0.20650407705578533</v>
      </c>
    </row>
    <row r="204" spans="1:5" x14ac:dyDescent="0.35">
      <c r="A204" s="35">
        <v>35247</v>
      </c>
      <c r="B204" s="63">
        <f>VLOOKUP(A204,Database!A:L,MATCH($A$1,Database!$A$1:$L$1,),)</f>
        <v>1717.51</v>
      </c>
      <c r="C204" s="37">
        <f t="shared" si="10"/>
        <v>4.542505182965053E-2</v>
      </c>
      <c r="D204" s="36">
        <f t="shared" si="11"/>
        <v>0.14090018659504897</v>
      </c>
      <c r="E204" s="36">
        <f t="shared" si="9"/>
        <v>0.19446000371426453</v>
      </c>
    </row>
    <row r="205" spans="1:5" x14ac:dyDescent="0.35">
      <c r="A205" s="35">
        <v>35339</v>
      </c>
      <c r="B205" s="63">
        <f>VLOOKUP(A205,Database!A:L,MATCH($A$1,Database!$A$1:$L$1,),)</f>
        <v>1715.2449999999999</v>
      </c>
      <c r="C205" s="37">
        <f t="shared" si="10"/>
        <v>-1.3187696141507765E-3</v>
      </c>
      <c r="D205" s="36">
        <f t="shared" si="11"/>
        <v>0.11178485660672083</v>
      </c>
      <c r="E205" s="36">
        <f t="shared" si="9"/>
        <v>-5.2646527079773797E-3</v>
      </c>
    </row>
    <row r="206" spans="1:5" x14ac:dyDescent="0.35">
      <c r="A206" s="35">
        <v>35431</v>
      </c>
      <c r="B206" s="63">
        <f>VLOOKUP(A206,Database!A:L,MATCH($A$1,Database!$A$1:$L$1,),)</f>
        <v>1749.8789999999999</v>
      </c>
      <c r="C206" s="37">
        <f t="shared" si="10"/>
        <v>2.0191867634069778E-2</v>
      </c>
      <c r="D206" s="36">
        <f t="shared" si="11"/>
        <v>0.11630750976039192</v>
      </c>
      <c r="E206" s="36">
        <f t="shared" si="9"/>
        <v>8.3246835704334332E-2</v>
      </c>
    </row>
    <row r="207" spans="1:5" x14ac:dyDescent="0.35">
      <c r="A207" s="35">
        <v>35521</v>
      </c>
      <c r="B207" s="63">
        <f>VLOOKUP(A207,Database!A:L,MATCH($A$1,Database!$A$1:$L$1,),)</f>
        <v>1856.9559999999999</v>
      </c>
      <c r="C207" s="37">
        <f t="shared" si="10"/>
        <v>6.1191088069517952E-2</v>
      </c>
      <c r="D207" s="36">
        <f t="shared" si="11"/>
        <v>0.13030394148818955</v>
      </c>
      <c r="E207" s="36">
        <f t="shared" si="9"/>
        <v>0.26816095120534933</v>
      </c>
    </row>
    <row r="208" spans="1:5" x14ac:dyDescent="0.35">
      <c r="A208" s="35">
        <v>35612</v>
      </c>
      <c r="B208" s="63">
        <f>VLOOKUP(A208,Database!A:L,MATCH($A$1,Database!$A$1:$L$1,),)</f>
        <v>1882.9549999999999</v>
      </c>
      <c r="C208" s="37">
        <f t="shared" si="10"/>
        <v>1.4000870241405842E-2</v>
      </c>
      <c r="D208" s="36">
        <f t="shared" si="11"/>
        <v>9.6328405657026703E-2</v>
      </c>
      <c r="E208" s="36">
        <f t="shared" si="9"/>
        <v>5.7190643643211247E-2</v>
      </c>
    </row>
    <row r="209" spans="1:5" x14ac:dyDescent="0.35">
      <c r="A209" s="35">
        <v>35704</v>
      </c>
      <c r="B209" s="63">
        <f>VLOOKUP(A209,Database!A:L,MATCH($A$1,Database!$A$1:$L$1,),)</f>
        <v>1911.048</v>
      </c>
      <c r="C209" s="37">
        <f t="shared" si="10"/>
        <v>1.4919634298217469E-2</v>
      </c>
      <c r="D209" s="36">
        <f t="shared" si="11"/>
        <v>0.11415453768995107</v>
      </c>
      <c r="E209" s="36">
        <f t="shared" si="9"/>
        <v>6.1027443840261153E-2</v>
      </c>
    </row>
    <row r="210" spans="1:5" x14ac:dyDescent="0.35">
      <c r="A210" s="35">
        <v>35796</v>
      </c>
      <c r="B210" s="63">
        <f>VLOOKUP(A210,Database!A:L,MATCH($A$1,Database!$A$1:$L$1,),)</f>
        <v>1994.375</v>
      </c>
      <c r="C210" s="37">
        <f t="shared" si="10"/>
        <v>4.3602777114965192E-2</v>
      </c>
      <c r="D210" s="36">
        <f t="shared" si="11"/>
        <v>0.13972166075482939</v>
      </c>
      <c r="E210" s="36">
        <f t="shared" si="9"/>
        <v>0.18615352684063291</v>
      </c>
    </row>
    <row r="211" spans="1:5" x14ac:dyDescent="0.35">
      <c r="A211" s="35">
        <v>35886</v>
      </c>
      <c r="B211" s="63">
        <f>VLOOKUP(A211,Database!A:L,MATCH($A$1,Database!$A$1:$L$1,),)</f>
        <v>1982.058</v>
      </c>
      <c r="C211" s="37">
        <f t="shared" si="10"/>
        <v>-6.1758696333437833E-3</v>
      </c>
      <c r="D211" s="36">
        <f t="shared" si="11"/>
        <v>6.7369393782082121E-2</v>
      </c>
      <c r="E211" s="36">
        <f t="shared" si="9"/>
        <v>-2.4475571108652616E-2</v>
      </c>
    </row>
    <row r="212" spans="1:5" x14ac:dyDescent="0.35">
      <c r="A212" s="35">
        <v>35977</v>
      </c>
      <c r="B212" s="63">
        <f>VLOOKUP(A212,Database!A:L,MATCH($A$1,Database!$A$1:$L$1,),)</f>
        <v>2033.0150000000001</v>
      </c>
      <c r="C212" s="37">
        <f t="shared" si="10"/>
        <v>2.5709136665021965E-2</v>
      </c>
      <c r="D212" s="36">
        <f t="shared" si="11"/>
        <v>7.9693885408838858E-2</v>
      </c>
      <c r="E212" s="36">
        <f t="shared" si="9"/>
        <v>0.10687071259004632</v>
      </c>
    </row>
    <row r="213" spans="1:5" x14ac:dyDescent="0.35">
      <c r="A213" s="35">
        <v>36069</v>
      </c>
      <c r="B213" s="63">
        <f>VLOOKUP(A213,Database!A:L,MATCH($A$1,Database!$A$1:$L$1,),)</f>
        <v>2095.7600000000002</v>
      </c>
      <c r="C213" s="37">
        <f t="shared" si="10"/>
        <v>3.0863028556110072E-2</v>
      </c>
      <c r="D213" s="36">
        <f t="shared" si="11"/>
        <v>9.6654819763815569E-2</v>
      </c>
      <c r="E213" s="36">
        <f t="shared" si="9"/>
        <v>0.12928577213535264</v>
      </c>
    </row>
    <row r="214" spans="1:5" x14ac:dyDescent="0.35">
      <c r="A214" s="35">
        <v>36161</v>
      </c>
      <c r="B214" s="63">
        <f>VLOOKUP(A214,Database!A:L,MATCH($A$1,Database!$A$1:$L$1,),)</f>
        <v>2153.308</v>
      </c>
      <c r="C214" s="37">
        <f t="shared" si="10"/>
        <v>2.7459251059281486E-2</v>
      </c>
      <c r="D214" s="36">
        <f t="shared" si="11"/>
        <v>7.9690629896584139E-2</v>
      </c>
      <c r="E214" s="36">
        <f t="shared" si="9"/>
        <v>0.11444445383238233</v>
      </c>
    </row>
    <row r="215" spans="1:5" x14ac:dyDescent="0.35">
      <c r="A215" s="35">
        <v>36251</v>
      </c>
      <c r="B215" s="63">
        <f>VLOOKUP(A215,Database!A:L,MATCH($A$1,Database!$A$1:$L$1,),)</f>
        <v>2154.652</v>
      </c>
      <c r="C215" s="37">
        <f t="shared" si="10"/>
        <v>6.2415594982234354E-4</v>
      </c>
      <c r="D215" s="36">
        <f t="shared" si="11"/>
        <v>8.7078178337869044E-2</v>
      </c>
      <c r="E215" s="36">
        <f t="shared" si="9"/>
        <v>2.4989621959508046E-3</v>
      </c>
    </row>
    <row r="216" spans="1:5" x14ac:dyDescent="0.35">
      <c r="A216" s="35">
        <v>36342</v>
      </c>
      <c r="B216" s="63">
        <f>VLOOKUP(A216,Database!A:L,MATCH($A$1,Database!$A$1:$L$1,),)</f>
        <v>2213.7730000000001</v>
      </c>
      <c r="C216" s="37">
        <f t="shared" si="10"/>
        <v>2.7438769694595737E-2</v>
      </c>
      <c r="D216" s="36">
        <f t="shared" si="11"/>
        <v>8.8911296768592468E-2</v>
      </c>
      <c r="E216" s="36">
        <f t="shared" si="9"/>
        <v>0.11435559518123406</v>
      </c>
    </row>
    <row r="217" spans="1:5" x14ac:dyDescent="0.35">
      <c r="A217" s="35">
        <v>36434</v>
      </c>
      <c r="B217" s="63">
        <f>VLOOKUP(A217,Database!A:L,MATCH($A$1,Database!$A$1:$L$1,),)</f>
        <v>2273.0949999999998</v>
      </c>
      <c r="C217" s="37">
        <f t="shared" si="10"/>
        <v>2.6796785397599329E-2</v>
      </c>
      <c r="D217" s="36">
        <f t="shared" si="11"/>
        <v>8.4616081994121253E-2</v>
      </c>
      <c r="E217" s="36">
        <f t="shared" si="9"/>
        <v>0.11157303108255046</v>
      </c>
    </row>
    <row r="218" spans="1:5" x14ac:dyDescent="0.35">
      <c r="A218" s="35">
        <v>36526</v>
      </c>
      <c r="B218" s="63">
        <f>VLOOKUP(A218,Database!A:L,MATCH($A$1,Database!$A$1:$L$1,),)</f>
        <v>2257.1089999999999</v>
      </c>
      <c r="C218" s="37">
        <f t="shared" si="10"/>
        <v>-7.0327021087987426E-3</v>
      </c>
      <c r="D218" s="36">
        <f t="shared" si="11"/>
        <v>4.8205365883561446E-2</v>
      </c>
      <c r="E218" s="36">
        <f t="shared" si="9"/>
        <v>-2.7835443914117186E-2</v>
      </c>
    </row>
    <row r="219" spans="1:5" x14ac:dyDescent="0.35">
      <c r="A219" s="35">
        <v>36617</v>
      </c>
      <c r="B219" s="63">
        <f>VLOOKUP(A219,Database!A:L,MATCH($A$1,Database!$A$1:$L$1,),)</f>
        <v>2390.7330000000002</v>
      </c>
      <c r="C219" s="37">
        <f t="shared" si="10"/>
        <v>5.9201394350029288E-2</v>
      </c>
      <c r="D219" s="36">
        <f t="shared" si="11"/>
        <v>0.10956804161414471</v>
      </c>
      <c r="E219" s="36">
        <f t="shared" si="9"/>
        <v>0.25867664901050347</v>
      </c>
    </row>
    <row r="220" spans="1:5" x14ac:dyDescent="0.35">
      <c r="A220" s="35">
        <v>36708</v>
      </c>
      <c r="B220" s="63">
        <f>VLOOKUP(A220,Database!A:L,MATCH($A$1,Database!$A$1:$L$1,),)</f>
        <v>2367.2739999999999</v>
      </c>
      <c r="C220" s="37">
        <f t="shared" si="10"/>
        <v>-9.8124717398389051E-3</v>
      </c>
      <c r="D220" s="36">
        <f t="shared" si="11"/>
        <v>6.933908761196371E-2</v>
      </c>
      <c r="E220" s="36">
        <f t="shared" si="9"/>
        <v>-3.8675949238490825E-2</v>
      </c>
    </row>
    <row r="221" spans="1:5" x14ac:dyDescent="0.35">
      <c r="A221" s="35">
        <v>36800</v>
      </c>
      <c r="B221" s="63">
        <f>VLOOKUP(A221,Database!A:L,MATCH($A$1,Database!$A$1:$L$1,),)</f>
        <v>2371.8090000000002</v>
      </c>
      <c r="C221" s="37">
        <f t="shared" si="10"/>
        <v>1.915705575273631E-3</v>
      </c>
      <c r="D221" s="36">
        <f t="shared" si="11"/>
        <v>4.3427133489801525E-2</v>
      </c>
      <c r="E221" s="36">
        <f t="shared" si="9"/>
        <v>7.684870003674904E-3</v>
      </c>
    </row>
    <row r="222" spans="1:5" x14ac:dyDescent="0.35">
      <c r="A222" s="35">
        <v>36892</v>
      </c>
      <c r="B222" s="63">
        <f>VLOOKUP(A222,Database!A:L,MATCH($A$1,Database!$A$1:$L$1,),)</f>
        <v>2264.2020000000002</v>
      </c>
      <c r="C222" s="37">
        <f t="shared" si="10"/>
        <v>-4.5369167584742263E-2</v>
      </c>
      <c r="D222" s="36">
        <f t="shared" si="11"/>
        <v>3.1425154921628962E-3</v>
      </c>
      <c r="E222" s="36">
        <f t="shared" si="9"/>
        <v>-0.16949580985075396</v>
      </c>
    </row>
    <row r="223" spans="1:5" x14ac:dyDescent="0.35">
      <c r="A223" s="35">
        <v>36982</v>
      </c>
      <c r="B223" s="63">
        <f>VLOOKUP(A223,Database!A:L,MATCH($A$1,Database!$A$1:$L$1,),)</f>
        <v>2267.433</v>
      </c>
      <c r="C223" s="37">
        <f t="shared" si="10"/>
        <v>1.4269928213117764E-3</v>
      </c>
      <c r="D223" s="36">
        <f t="shared" si="11"/>
        <v>-5.1574140650587151E-2</v>
      </c>
      <c r="E223" s="36">
        <f t="shared" si="9"/>
        <v>5.7202007636565355E-3</v>
      </c>
    </row>
    <row r="224" spans="1:5" x14ac:dyDescent="0.35">
      <c r="A224" s="35">
        <v>37073</v>
      </c>
      <c r="B224" s="63">
        <f>VLOOKUP(A224,Database!A:L,MATCH($A$1,Database!$A$1:$L$1,),)</f>
        <v>2218.37</v>
      </c>
      <c r="C224" s="37">
        <f t="shared" si="10"/>
        <v>-2.1638125580777955E-2</v>
      </c>
      <c r="D224" s="36">
        <f t="shared" si="11"/>
        <v>-6.2901041451052991E-2</v>
      </c>
      <c r="E224" s="36">
        <f t="shared" si="9"/>
        <v>-8.3783556847471297E-2</v>
      </c>
    </row>
    <row r="225" spans="1:5" x14ac:dyDescent="0.35">
      <c r="A225" s="35">
        <v>37165</v>
      </c>
      <c r="B225" s="63">
        <f>VLOOKUP(A225,Database!A:L,MATCH($A$1,Database!$A$1:$L$1,),)</f>
        <v>2108.5</v>
      </c>
      <c r="C225" s="37">
        <f t="shared" si="10"/>
        <v>-4.9527355671055727E-2</v>
      </c>
      <c r="D225" s="36">
        <f t="shared" si="11"/>
        <v>-0.1110161062716265</v>
      </c>
      <c r="E225" s="36">
        <f t="shared" si="9"/>
        <v>-0.18387160620134857</v>
      </c>
    </row>
    <row r="226" spans="1:5" x14ac:dyDescent="0.35">
      <c r="A226" s="35">
        <v>37257</v>
      </c>
      <c r="B226" s="63">
        <f>VLOOKUP(A226,Database!A:L,MATCH($A$1,Database!$A$1:$L$1,),)</f>
        <v>2170.7069999999999</v>
      </c>
      <c r="C226" s="37">
        <f t="shared" si="10"/>
        <v>2.9502964192553893E-2</v>
      </c>
      <c r="D226" s="36">
        <f t="shared" si="11"/>
        <v>-4.1292693849753835E-2</v>
      </c>
      <c r="E226" s="36">
        <f t="shared" si="9"/>
        <v>0.12333788424477166</v>
      </c>
    </row>
    <row r="227" spans="1:5" x14ac:dyDescent="0.35">
      <c r="A227" s="35">
        <v>37347</v>
      </c>
      <c r="B227" s="63">
        <f>VLOOKUP(A227,Database!A:L,MATCH($A$1,Database!$A$1:$L$1,),)</f>
        <v>2206.375</v>
      </c>
      <c r="C227" s="37">
        <f t="shared" si="10"/>
        <v>1.6431512866545379E-2</v>
      </c>
      <c r="D227" s="36">
        <f t="shared" si="11"/>
        <v>-2.692824881705435E-2</v>
      </c>
      <c r="E227" s="36">
        <f t="shared" si="9"/>
        <v>6.7363837733740661E-2</v>
      </c>
    </row>
    <row r="228" spans="1:5" x14ac:dyDescent="0.35">
      <c r="A228" s="35">
        <v>37438</v>
      </c>
      <c r="B228" s="63">
        <f>VLOOKUP(A228,Database!A:L,MATCH($A$1,Database!$A$1:$L$1,),)</f>
        <v>2203.1089999999999</v>
      </c>
      <c r="C228" s="37">
        <f t="shared" si="10"/>
        <v>-1.4802560761430293E-3</v>
      </c>
      <c r="D228" s="36">
        <f t="shared" si="11"/>
        <v>-6.8793753972511201E-3</v>
      </c>
      <c r="E228" s="36">
        <f t="shared" si="9"/>
        <v>-5.907890325365095E-3</v>
      </c>
    </row>
    <row r="229" spans="1:5" x14ac:dyDescent="0.35">
      <c r="A229" s="35">
        <v>37530</v>
      </c>
      <c r="B229" s="63">
        <f>VLOOKUP(A229,Database!A:L,MATCH($A$1,Database!$A$1:$L$1,),)</f>
        <v>2201.7489999999998</v>
      </c>
      <c r="C229" s="37">
        <f t="shared" si="10"/>
        <v>-6.173094476942028E-4</v>
      </c>
      <c r="D229" s="36">
        <f t="shared" si="11"/>
        <v>4.4225278634099974E-2</v>
      </c>
      <c r="E229" s="36">
        <f t="shared" si="9"/>
        <v>-2.4669523058611365E-3</v>
      </c>
    </row>
    <row r="230" spans="1:5" x14ac:dyDescent="0.35">
      <c r="A230" s="35">
        <v>37622</v>
      </c>
      <c r="B230" s="63">
        <f>VLOOKUP(A230,Database!A:L,MATCH($A$1,Database!$A$1:$L$1,),)</f>
        <v>2218.6849999999999</v>
      </c>
      <c r="C230" s="37">
        <f t="shared" si="10"/>
        <v>7.6920666252148408E-3</v>
      </c>
      <c r="D230" s="36">
        <f t="shared" si="11"/>
        <v>2.2102476289982971E-2</v>
      </c>
      <c r="E230" s="36">
        <f t="shared" si="9"/>
        <v>3.1125097828875292E-2</v>
      </c>
    </row>
    <row r="231" spans="1:5" x14ac:dyDescent="0.35">
      <c r="A231" s="35">
        <v>37712</v>
      </c>
      <c r="B231" s="63">
        <f>VLOOKUP(A231,Database!A:L,MATCH($A$1,Database!$A$1:$L$1,),)</f>
        <v>2233.9969999999998</v>
      </c>
      <c r="C231" s="37">
        <f t="shared" si="10"/>
        <v>6.9013852800194255E-3</v>
      </c>
      <c r="D231" s="36">
        <f t="shared" si="11"/>
        <v>1.2519177383717566E-2</v>
      </c>
      <c r="E231" s="36">
        <f t="shared" si="9"/>
        <v>2.7892632928907535E-2</v>
      </c>
    </row>
    <row r="232" spans="1:5" x14ac:dyDescent="0.35">
      <c r="A232" s="35">
        <v>37803</v>
      </c>
      <c r="B232" s="63">
        <f>VLOOKUP(A232,Database!A:L,MATCH($A$1,Database!$A$1:$L$1,),)</f>
        <v>2315.3989999999999</v>
      </c>
      <c r="C232" s="37">
        <f t="shared" si="10"/>
        <v>3.6437828698964253E-2</v>
      </c>
      <c r="D232" s="36">
        <f t="shared" si="11"/>
        <v>5.0968880795276117E-2</v>
      </c>
      <c r="E232" s="36">
        <f t="shared" si="9"/>
        <v>0.15391288604514264</v>
      </c>
    </row>
    <row r="233" spans="1:5" x14ac:dyDescent="0.35">
      <c r="A233" s="35">
        <v>37895</v>
      </c>
      <c r="B233" s="63">
        <f>VLOOKUP(A233,Database!A:L,MATCH($A$1,Database!$A$1:$L$1,),)</f>
        <v>2393.402</v>
      </c>
      <c r="C233" s="37">
        <f t="shared" si="10"/>
        <v>3.3688794026429207E-2</v>
      </c>
      <c r="D233" s="36">
        <f t="shared" si="11"/>
        <v>8.7045798590120974E-2</v>
      </c>
      <c r="E233" s="36">
        <f t="shared" si="9"/>
        <v>0.14171901158517675</v>
      </c>
    </row>
    <row r="234" spans="1:5" x14ac:dyDescent="0.35">
      <c r="A234" s="35">
        <v>37987</v>
      </c>
      <c r="B234" s="63">
        <f>VLOOKUP(A234,Database!A:L,MATCH($A$1,Database!$A$1:$L$1,),)</f>
        <v>2398.1509999999998</v>
      </c>
      <c r="C234" s="37">
        <f t="shared" si="10"/>
        <v>1.9842049099983187E-3</v>
      </c>
      <c r="D234" s="36">
        <f t="shared" si="11"/>
        <v>8.0888454196967982E-2</v>
      </c>
      <c r="E234" s="36">
        <f t="shared" si="9"/>
        <v>7.9604733180504983E-3</v>
      </c>
    </row>
    <row r="235" spans="1:5" x14ac:dyDescent="0.35">
      <c r="A235" s="35">
        <v>38078</v>
      </c>
      <c r="B235" s="63">
        <f>VLOOKUP(A235,Database!A:L,MATCH($A$1,Database!$A$1:$L$1,),)</f>
        <v>2493.9450000000002</v>
      </c>
      <c r="C235" s="37">
        <f t="shared" si="10"/>
        <v>3.9944940914896657E-2</v>
      </c>
      <c r="D235" s="36">
        <f t="shared" si="11"/>
        <v>0.11636004882728147</v>
      </c>
      <c r="E235" s="36">
        <f t="shared" si="9"/>
        <v>0.16961084374172408</v>
      </c>
    </row>
    <row r="236" spans="1:5" x14ac:dyDescent="0.35">
      <c r="A236" s="35">
        <v>38169</v>
      </c>
      <c r="B236" s="63">
        <f>VLOOKUP(A236,Database!A:L,MATCH($A$1,Database!$A$1:$L$1,),)</f>
        <v>2532.6350000000002</v>
      </c>
      <c r="C236" s="37">
        <f t="shared" si="10"/>
        <v>1.5513573875927517E-2</v>
      </c>
      <c r="D236" s="36">
        <f t="shared" si="11"/>
        <v>9.382227426028962E-2</v>
      </c>
      <c r="E236" s="36">
        <f t="shared" si="9"/>
        <v>6.3513313940416039E-2</v>
      </c>
    </row>
    <row r="237" spans="1:5" x14ac:dyDescent="0.35">
      <c r="A237" s="35">
        <v>38261</v>
      </c>
      <c r="B237" s="63">
        <f>VLOOKUP(A237,Database!A:L,MATCH($A$1,Database!$A$1:$L$1,),)</f>
        <v>2585.4769999999999</v>
      </c>
      <c r="C237" s="37">
        <f t="shared" si="10"/>
        <v>2.0864435656934237E-2</v>
      </c>
      <c r="D237" s="36">
        <f t="shared" si="11"/>
        <v>8.0251875781836818E-2</v>
      </c>
      <c r="E237" s="36">
        <f t="shared" si="9"/>
        <v>8.6106211401713484E-2</v>
      </c>
    </row>
    <row r="238" spans="1:5" x14ac:dyDescent="0.35">
      <c r="A238" s="35">
        <v>38353</v>
      </c>
      <c r="B238" s="63">
        <f>VLOOKUP(A238,Database!A:L,MATCH($A$1,Database!$A$1:$L$1,),)</f>
        <v>2658.163</v>
      </c>
      <c r="C238" s="37">
        <f t="shared" si="10"/>
        <v>2.8113187624566049E-2</v>
      </c>
      <c r="D238" s="36">
        <f t="shared" si="11"/>
        <v>0.10842186334388459</v>
      </c>
      <c r="E238" s="36">
        <f t="shared" si="9"/>
        <v>0.11728436024357003</v>
      </c>
    </row>
    <row r="239" spans="1:5" x14ac:dyDescent="0.35">
      <c r="A239" s="35">
        <v>38443</v>
      </c>
      <c r="B239" s="63">
        <f>VLOOKUP(A239,Database!A:L,MATCH($A$1,Database!$A$1:$L$1,),)</f>
        <v>2622.7930000000001</v>
      </c>
      <c r="C239" s="37">
        <f t="shared" si="10"/>
        <v>-1.3306181750329039E-2</v>
      </c>
      <c r="D239" s="36">
        <f t="shared" si="11"/>
        <v>5.1664331009705487E-2</v>
      </c>
      <c r="E239" s="36">
        <f t="shared" si="9"/>
        <v>-5.2171792492370694E-2</v>
      </c>
    </row>
    <row r="240" spans="1:5" x14ac:dyDescent="0.35">
      <c r="A240" s="35">
        <v>38534</v>
      </c>
      <c r="B240" s="63">
        <f>VLOOKUP(A240,Database!A:L,MATCH($A$1,Database!$A$1:$L$1,),)</f>
        <v>2657.4580000000001</v>
      </c>
      <c r="C240" s="37">
        <f t="shared" si="10"/>
        <v>1.3216826489928852E-2</v>
      </c>
      <c r="D240" s="36">
        <f t="shared" si="11"/>
        <v>4.928582286827745E-2</v>
      </c>
      <c r="E240" s="36">
        <f t="shared" si="9"/>
        <v>5.3924678588218145E-2</v>
      </c>
    </row>
    <row r="241" spans="1:5" x14ac:dyDescent="0.35">
      <c r="A241" s="35">
        <v>38626</v>
      </c>
      <c r="B241" s="63">
        <f>VLOOKUP(A241,Database!A:L,MATCH($A$1,Database!$A$1:$L$1,),)</f>
        <v>2743.846</v>
      </c>
      <c r="C241" s="37">
        <f t="shared" si="10"/>
        <v>3.2507757413287403E-2</v>
      </c>
      <c r="D241" s="36">
        <f t="shared" si="11"/>
        <v>6.1253300648197666E-2</v>
      </c>
      <c r="E241" s="36">
        <f t="shared" si="9"/>
        <v>0.13651008298371514</v>
      </c>
    </row>
    <row r="242" spans="1:5" x14ac:dyDescent="0.35">
      <c r="A242" s="35">
        <v>38718</v>
      </c>
      <c r="B242" s="63">
        <f>VLOOKUP(A242,Database!A:L,MATCH($A$1,Database!$A$1:$L$1,),)</f>
        <v>2784.5830000000001</v>
      </c>
      <c r="C242" s="37">
        <f t="shared" si="10"/>
        <v>1.484667871301818E-2</v>
      </c>
      <c r="D242" s="36">
        <f t="shared" si="11"/>
        <v>4.7559160217037134E-2</v>
      </c>
      <c r="E242" s="36">
        <f t="shared" si="9"/>
        <v>6.0722396901043307E-2</v>
      </c>
    </row>
    <row r="243" spans="1:5" x14ac:dyDescent="0.35">
      <c r="A243" s="35">
        <v>38808</v>
      </c>
      <c r="B243" s="63">
        <f>VLOOKUP(A243,Database!A:L,MATCH($A$1,Database!$A$1:$L$1,),)</f>
        <v>2766.6280000000002</v>
      </c>
      <c r="C243" s="37">
        <f t="shared" si="10"/>
        <v>-6.4480031660036448E-3</v>
      </c>
      <c r="D243" s="36">
        <f t="shared" si="11"/>
        <v>5.4840393427922081E-2</v>
      </c>
      <c r="E243" s="36">
        <f t="shared" si="9"/>
        <v>-2.5543622814345524E-2</v>
      </c>
    </row>
    <row r="244" spans="1:5" x14ac:dyDescent="0.35">
      <c r="A244" s="35">
        <v>38899</v>
      </c>
      <c r="B244" s="63">
        <f>VLOOKUP(A244,Database!A:L,MATCH($A$1,Database!$A$1:$L$1,),)</f>
        <v>2755.9540000000002</v>
      </c>
      <c r="C244" s="37">
        <f t="shared" si="10"/>
        <v>-3.8581262099566613E-3</v>
      </c>
      <c r="D244" s="36">
        <f t="shared" si="11"/>
        <v>3.7063991227707115E-2</v>
      </c>
      <c r="E244" s="36">
        <f t="shared" si="9"/>
        <v>-1.5343423506109399E-2</v>
      </c>
    </row>
    <row r="245" spans="1:5" x14ac:dyDescent="0.35">
      <c r="A245" s="35">
        <v>38991</v>
      </c>
      <c r="B245" s="63">
        <f>VLOOKUP(A245,Database!A:L,MATCH($A$1,Database!$A$1:$L$1,),)</f>
        <v>2702.4870000000001</v>
      </c>
      <c r="C245" s="37">
        <f t="shared" si="10"/>
        <v>-1.9400541518472404E-2</v>
      </c>
      <c r="D245" s="36">
        <f t="shared" si="11"/>
        <v>-1.5073367820205625E-2</v>
      </c>
      <c r="E245" s="36">
        <f t="shared" si="9"/>
        <v>-7.5372946325703016E-2</v>
      </c>
    </row>
    <row r="246" spans="1:5" x14ac:dyDescent="0.35">
      <c r="A246" s="35">
        <v>39083</v>
      </c>
      <c r="B246" s="63">
        <f>VLOOKUP(A246,Database!A:L,MATCH($A$1,Database!$A$1:$L$1,),)</f>
        <v>2683.893</v>
      </c>
      <c r="C246" s="37">
        <f t="shared" si="10"/>
        <v>-6.8803291190670116E-3</v>
      </c>
      <c r="D246" s="36">
        <f t="shared" si="11"/>
        <v>-3.6159812797822891E-2</v>
      </c>
      <c r="E246" s="36">
        <f t="shared" si="9"/>
        <v>-2.7238583492214419E-2</v>
      </c>
    </row>
    <row r="247" spans="1:5" x14ac:dyDescent="0.35">
      <c r="A247" s="35">
        <v>39173</v>
      </c>
      <c r="B247" s="63">
        <f>VLOOKUP(A247,Database!A:L,MATCH($A$1,Database!$A$1:$L$1,),)</f>
        <v>2713.4949999999999</v>
      </c>
      <c r="C247" s="37">
        <f t="shared" si="10"/>
        <v>1.1029500803496958E-2</v>
      </c>
      <c r="D247" s="36">
        <f t="shared" si="11"/>
        <v>-1.9204967201951351E-2</v>
      </c>
      <c r="E247" s="36">
        <f t="shared" si="9"/>
        <v>4.4853284290677253E-2</v>
      </c>
    </row>
    <row r="248" spans="1:5" x14ac:dyDescent="0.35">
      <c r="A248" s="35">
        <v>39264</v>
      </c>
      <c r="B248" s="63">
        <f>VLOOKUP(A248,Database!A:L,MATCH($A$1,Database!$A$1:$L$1,),)</f>
        <v>2686.1060000000002</v>
      </c>
      <c r="C248" s="37">
        <f t="shared" si="10"/>
        <v>-1.009362464275765E-2</v>
      </c>
      <c r="D248" s="36">
        <f t="shared" si="11"/>
        <v>-2.5344399797674399E-2</v>
      </c>
      <c r="E248" s="36">
        <f t="shared" si="9"/>
        <v>-3.9767314045389246E-2</v>
      </c>
    </row>
    <row r="249" spans="1:5" x14ac:dyDescent="0.35">
      <c r="A249" s="35">
        <v>39356</v>
      </c>
      <c r="B249" s="63">
        <f>VLOOKUP(A249,Database!A:L,MATCH($A$1,Database!$A$1:$L$1,),)</f>
        <v>2653.056</v>
      </c>
      <c r="C249" s="37">
        <f t="shared" si="10"/>
        <v>-1.230405650409931E-2</v>
      </c>
      <c r="D249" s="36">
        <f t="shared" si="11"/>
        <v>-1.8290929799107281E-2</v>
      </c>
      <c r="E249" s="36">
        <f t="shared" si="9"/>
        <v>-4.8315315093718447E-2</v>
      </c>
    </row>
    <row r="250" spans="1:5" x14ac:dyDescent="0.35">
      <c r="A250" s="35">
        <v>39448</v>
      </c>
      <c r="B250" s="63">
        <f>VLOOKUP(A250,Database!A:L,MATCH($A$1,Database!$A$1:$L$1,),)</f>
        <v>2583.2530000000002</v>
      </c>
      <c r="C250" s="37">
        <f t="shared" si="10"/>
        <v>-2.6310413349737015E-2</v>
      </c>
      <c r="D250" s="36">
        <f t="shared" si="11"/>
        <v>-3.7497769098842566E-2</v>
      </c>
      <c r="E250" s="36">
        <f t="shared" si="9"/>
        <v>-0.10116059935784838</v>
      </c>
    </row>
    <row r="251" spans="1:5" x14ac:dyDescent="0.35">
      <c r="A251" s="35">
        <v>39539</v>
      </c>
      <c r="B251" s="63">
        <f>VLOOKUP(A251,Database!A:L,MATCH($A$1,Database!$A$1:$L$1,),)</f>
        <v>2536.4029999999998</v>
      </c>
      <c r="C251" s="37">
        <f t="shared" si="10"/>
        <v>-1.8136047843552435E-2</v>
      </c>
      <c r="D251" s="36">
        <f t="shared" si="11"/>
        <v>-6.5263433321233355E-2</v>
      </c>
      <c r="E251" s="36">
        <f t="shared" si="9"/>
        <v>-7.0594446762056062E-2</v>
      </c>
    </row>
    <row r="252" spans="1:5" x14ac:dyDescent="0.35">
      <c r="A252" s="35">
        <v>39630</v>
      </c>
      <c r="B252" s="63">
        <f>VLOOKUP(A252,Database!A:L,MATCH($A$1,Database!$A$1:$L$1,),)</f>
        <v>2485.549</v>
      </c>
      <c r="C252" s="37">
        <f t="shared" si="10"/>
        <v>-2.0049652992840578E-2</v>
      </c>
      <c r="D252" s="36">
        <f t="shared" si="11"/>
        <v>-7.4664588813695448E-2</v>
      </c>
      <c r="E252" s="36">
        <f t="shared" si="9"/>
        <v>-7.7818757792295856E-2</v>
      </c>
    </row>
    <row r="253" spans="1:5" x14ac:dyDescent="0.35">
      <c r="A253" s="35">
        <v>39722</v>
      </c>
      <c r="B253" s="63">
        <f>VLOOKUP(A253,Database!A:L,MATCH($A$1,Database!$A$1:$L$1,),)</f>
        <v>2246.4409999999998</v>
      </c>
      <c r="C253" s="37">
        <f t="shared" si="10"/>
        <v>-9.6199270261821498E-2</v>
      </c>
      <c r="D253" s="36">
        <f t="shared" si="11"/>
        <v>-0.15326287873305358</v>
      </c>
      <c r="E253" s="36">
        <f t="shared" si="9"/>
        <v>-0.33274666886557425</v>
      </c>
    </row>
    <row r="254" spans="1:5" x14ac:dyDescent="0.35">
      <c r="A254" s="35">
        <v>39814</v>
      </c>
      <c r="B254" s="63">
        <f>VLOOKUP(A254,Database!A:L,MATCH($A$1,Database!$A$1:$L$1,),)</f>
        <v>1986.845</v>
      </c>
      <c r="C254" s="37">
        <f t="shared" si="10"/>
        <v>-0.11555878832339679</v>
      </c>
      <c r="D254" s="36">
        <f t="shared" si="11"/>
        <v>-0.23087479236451097</v>
      </c>
      <c r="E254" s="36">
        <f t="shared" si="9"/>
        <v>-0.38810643837233805</v>
      </c>
    </row>
    <row r="255" spans="1:5" x14ac:dyDescent="0.35">
      <c r="A255" s="35">
        <v>39904</v>
      </c>
      <c r="B255" s="63">
        <f>VLOOKUP(A255,Database!A:L,MATCH($A$1,Database!$A$1:$L$1,),)</f>
        <v>1872.287</v>
      </c>
      <c r="C255" s="37">
        <f t="shared" si="10"/>
        <v>-5.7658247120434651E-2</v>
      </c>
      <c r="D255" s="36">
        <f t="shared" si="11"/>
        <v>-0.2618337858770865</v>
      </c>
      <c r="E255" s="36">
        <f t="shared" si="9"/>
        <v>-0.21144182884137808</v>
      </c>
    </row>
    <row r="256" spans="1:5" x14ac:dyDescent="0.35">
      <c r="A256" s="35">
        <v>39995</v>
      </c>
      <c r="B256" s="63">
        <f>VLOOKUP(A256,Database!A:L,MATCH($A$1,Database!$A$1:$L$1,),)</f>
        <v>1868.0129999999999</v>
      </c>
      <c r="C256" s="37">
        <f t="shared" si="10"/>
        <v>-2.2827696822122433E-3</v>
      </c>
      <c r="D256" s="36">
        <f t="shared" si="11"/>
        <v>-0.24845054352177329</v>
      </c>
      <c r="E256" s="36">
        <f t="shared" si="9"/>
        <v>-9.0998600595546542E-3</v>
      </c>
    </row>
    <row r="257" spans="1:5" x14ac:dyDescent="0.35">
      <c r="A257" s="35">
        <v>40087</v>
      </c>
      <c r="B257" s="63">
        <f>VLOOKUP(A257,Database!A:L,MATCH($A$1,Database!$A$1:$L$1,),)</f>
        <v>2040.7360000000001</v>
      </c>
      <c r="C257" s="37">
        <f t="shared" si="10"/>
        <v>9.2463489279785635E-2</v>
      </c>
      <c r="D257" s="36">
        <f t="shared" si="11"/>
        <v>-9.1569286707284869E-2</v>
      </c>
      <c r="E257" s="36">
        <f t="shared" si="9"/>
        <v>0.42438609735555843</v>
      </c>
    </row>
    <row r="258" spans="1:5" x14ac:dyDescent="0.35">
      <c r="A258" s="35">
        <v>40179</v>
      </c>
      <c r="B258" s="63">
        <f>VLOOKUP(A258,Database!A:L,MATCH($A$1,Database!$A$1:$L$1,),)</f>
        <v>2087.1709999999998</v>
      </c>
      <c r="C258" s="37">
        <f t="shared" si="10"/>
        <v>2.2754045599234645E-2</v>
      </c>
      <c r="D258" s="36">
        <f t="shared" si="11"/>
        <v>5.0495131728947047E-2</v>
      </c>
      <c r="E258" s="36">
        <f t="shared" si="9"/>
        <v>9.4170053323437086E-2</v>
      </c>
    </row>
    <row r="259" spans="1:5" x14ac:dyDescent="0.35">
      <c r="A259" s="35">
        <v>40269</v>
      </c>
      <c r="B259" s="63">
        <f>VLOOKUP(A259,Database!A:L,MATCH($A$1,Database!$A$1:$L$1,),)</f>
        <v>2196.7060000000001</v>
      </c>
      <c r="C259" s="37">
        <f t="shared" si="10"/>
        <v>5.2480127406906441E-2</v>
      </c>
      <c r="D259" s="36">
        <f t="shared" si="11"/>
        <v>0.17327418285764953</v>
      </c>
      <c r="E259" s="36">
        <f t="shared" si="9"/>
        <v>0.22703123314433471</v>
      </c>
    </row>
    <row r="260" spans="1:5" x14ac:dyDescent="0.35">
      <c r="A260" s="35">
        <v>40360</v>
      </c>
      <c r="B260" s="63">
        <f>VLOOKUP(A260,Database!A:L,MATCH($A$1,Database!$A$1:$L$1,),)</f>
        <v>2294.672</v>
      </c>
      <c r="C260" s="37">
        <f t="shared" si="10"/>
        <v>4.4596773532734869E-2</v>
      </c>
      <c r="D260" s="36">
        <f t="shared" si="11"/>
        <v>0.2284025860633733</v>
      </c>
      <c r="E260" s="36">
        <f t="shared" si="9"/>
        <v>0.19067907213484125</v>
      </c>
    </row>
    <row r="261" spans="1:5" x14ac:dyDescent="0.35">
      <c r="A261" s="35">
        <v>40452</v>
      </c>
      <c r="B261" s="63">
        <f>VLOOKUP(A261,Database!A:L,MATCH($A$1,Database!$A$1:$L$1,),)</f>
        <v>2287.3620000000001</v>
      </c>
      <c r="C261" s="37">
        <f t="shared" si="10"/>
        <v>-3.1856404749785352E-3</v>
      </c>
      <c r="D261" s="36">
        <f t="shared" si="11"/>
        <v>0.12085149671491068</v>
      </c>
      <c r="E261" s="36">
        <f t="shared" si="9"/>
        <v>-1.2681801280918559E-2</v>
      </c>
    </row>
    <row r="262" spans="1:5" x14ac:dyDescent="0.35">
      <c r="A262" s="35">
        <v>40544</v>
      </c>
      <c r="B262" s="63">
        <f>VLOOKUP(A262,Database!A:L,MATCH($A$1,Database!$A$1:$L$1,),)</f>
        <v>2244.241</v>
      </c>
      <c r="C262" s="37">
        <f t="shared" si="10"/>
        <v>-1.8851847674307823E-2</v>
      </c>
      <c r="D262" s="36">
        <f t="shared" si="11"/>
        <v>7.5254974316910389E-2</v>
      </c>
      <c r="E262" s="36">
        <f t="shared" ref="E262:E309" si="12">((1+C262)^4)-1</f>
        <v>-7.3301710624746774E-2</v>
      </c>
    </row>
    <row r="263" spans="1:5" x14ac:dyDescent="0.35">
      <c r="A263" s="35">
        <v>40634</v>
      </c>
      <c r="B263" s="63">
        <f>VLOOKUP(A263,Database!A:L,MATCH($A$1,Database!$A$1:$L$1,),)</f>
        <v>2336.0569999999998</v>
      </c>
      <c r="C263" s="37">
        <f t="shared" ref="C263:C326" si="13">(B263-B262)/B262</f>
        <v>4.091182720572336E-2</v>
      </c>
      <c r="D263" s="36">
        <f t="shared" si="11"/>
        <v>6.3436345145868239E-2</v>
      </c>
      <c r="E263" s="36">
        <f t="shared" si="12"/>
        <v>0.17396668518690883</v>
      </c>
    </row>
    <row r="264" spans="1:5" x14ac:dyDescent="0.35">
      <c r="A264" s="35">
        <v>40725</v>
      </c>
      <c r="B264" s="63">
        <f>VLOOKUP(A264,Database!A:L,MATCH($A$1,Database!$A$1:$L$1,),)</f>
        <v>2343.7860000000001</v>
      </c>
      <c r="C264" s="37">
        <f t="shared" si="13"/>
        <v>3.3085665289846393E-3</v>
      </c>
      <c r="D264" s="36">
        <f t="shared" si="11"/>
        <v>2.1403494704254043E-2</v>
      </c>
      <c r="E264" s="36">
        <f t="shared" si="12"/>
        <v>1.330009078100991E-2</v>
      </c>
    </row>
    <row r="265" spans="1:5" x14ac:dyDescent="0.35">
      <c r="A265" s="35">
        <v>40817</v>
      </c>
      <c r="B265" s="63">
        <f>VLOOKUP(A265,Database!A:L,MATCH($A$1,Database!$A$1:$L$1,),)</f>
        <v>2524.4290000000001</v>
      </c>
      <c r="C265" s="37">
        <f t="shared" si="13"/>
        <v>7.7073162822885719E-2</v>
      </c>
      <c r="D265" s="36">
        <f t="shared" si="11"/>
        <v>0.10364209950152184</v>
      </c>
      <c r="E265" s="36">
        <f t="shared" si="12"/>
        <v>0.3458009150292698</v>
      </c>
    </row>
    <row r="266" spans="1:5" x14ac:dyDescent="0.35">
      <c r="A266" s="35">
        <v>40909</v>
      </c>
      <c r="B266" s="63">
        <f>VLOOKUP(A266,Database!A:L,MATCH($A$1,Database!$A$1:$L$1,),)</f>
        <v>2577.1570000000002</v>
      </c>
      <c r="C266" s="37">
        <f t="shared" si="13"/>
        <v>2.0887099617378845E-2</v>
      </c>
      <c r="D266" s="36">
        <f t="shared" ref="D266:D329" si="14">(B266-B262)/B262</f>
        <v>0.14834235717108821</v>
      </c>
      <c r="E266" s="36">
        <f t="shared" si="12"/>
        <v>8.6202664121934225E-2</v>
      </c>
    </row>
    <row r="267" spans="1:5" x14ac:dyDescent="0.35">
      <c r="A267" s="35">
        <v>41000</v>
      </c>
      <c r="B267" s="63">
        <f>VLOOKUP(A267,Database!A:L,MATCH($A$1,Database!$A$1:$L$1,),)</f>
        <v>2636.4949999999999</v>
      </c>
      <c r="C267" s="37">
        <f t="shared" si="13"/>
        <v>2.302459648364447E-2</v>
      </c>
      <c r="D267" s="36">
        <f t="shared" si="14"/>
        <v>0.12860901938608524</v>
      </c>
      <c r="E267" s="36">
        <f t="shared" si="12"/>
        <v>9.5328283539483083E-2</v>
      </c>
    </row>
    <row r="268" spans="1:5" x14ac:dyDescent="0.35">
      <c r="A268" s="35">
        <v>41091</v>
      </c>
      <c r="B268" s="63">
        <f>VLOOKUP(A268,Database!A:L,MATCH($A$1,Database!$A$1:$L$1,),)</f>
        <v>2648.4589999999998</v>
      </c>
      <c r="C268" s="37">
        <f t="shared" si="13"/>
        <v>4.5378428557611306E-3</v>
      </c>
      <c r="D268" s="36">
        <f t="shared" si="14"/>
        <v>0.12999181665902934</v>
      </c>
      <c r="E268" s="36">
        <f t="shared" si="12"/>
        <v>1.8275297727140538E-2</v>
      </c>
    </row>
    <row r="269" spans="1:5" x14ac:dyDescent="0.35">
      <c r="A269" s="35">
        <v>41183</v>
      </c>
      <c r="B269" s="63">
        <f>VLOOKUP(A269,Database!A:L,MATCH($A$1,Database!$A$1:$L$1,),)</f>
        <v>2624.9050000000002</v>
      </c>
      <c r="C269" s="37">
        <f t="shared" si="13"/>
        <v>-8.8934735255481144E-3</v>
      </c>
      <c r="D269" s="36">
        <f t="shared" si="14"/>
        <v>3.980147589811403E-2</v>
      </c>
      <c r="E269" s="36">
        <f t="shared" si="12"/>
        <v>-3.5102138295257879E-2</v>
      </c>
    </row>
    <row r="270" spans="1:5" x14ac:dyDescent="0.35">
      <c r="A270" s="35">
        <v>41275</v>
      </c>
      <c r="B270" s="63">
        <f>VLOOKUP(A270,Database!A:L,MATCH($A$1,Database!$A$1:$L$1,),)</f>
        <v>2722.7779999999998</v>
      </c>
      <c r="C270" s="37">
        <f t="shared" si="13"/>
        <v>3.7286301789969382E-2</v>
      </c>
      <c r="D270" s="36">
        <f t="shared" si="14"/>
        <v>5.6504512530668342E-2</v>
      </c>
      <c r="E270" s="36">
        <f t="shared" si="12"/>
        <v>0.15769610166664894</v>
      </c>
    </row>
    <row r="271" spans="1:5" x14ac:dyDescent="0.35">
      <c r="A271" s="35">
        <v>41365</v>
      </c>
      <c r="B271" s="63">
        <f>VLOOKUP(A271,Database!A:L,MATCH($A$1,Database!$A$1:$L$1,),)</f>
        <v>2753.2370000000001</v>
      </c>
      <c r="C271" s="37">
        <f t="shared" si="13"/>
        <v>1.1186736487513962E-2</v>
      </c>
      <c r="D271" s="36">
        <f t="shared" si="14"/>
        <v>4.4279241948116797E-2</v>
      </c>
      <c r="E271" s="36">
        <f t="shared" si="12"/>
        <v>4.550341982062589E-2</v>
      </c>
    </row>
    <row r="272" spans="1:5" x14ac:dyDescent="0.35">
      <c r="A272" s="35">
        <v>41456</v>
      </c>
      <c r="B272" s="63">
        <f>VLOOKUP(A272,Database!A:L,MATCH($A$1,Database!$A$1:$L$1,),)</f>
        <v>2859.7510000000002</v>
      </c>
      <c r="C272" s="37">
        <f t="shared" si="13"/>
        <v>3.8686825725500612E-2</v>
      </c>
      <c r="D272" s="36">
        <f t="shared" si="14"/>
        <v>7.9779222559231755E-2</v>
      </c>
      <c r="E272" s="36">
        <f t="shared" si="12"/>
        <v>0.16396117155367662</v>
      </c>
    </row>
    <row r="273" spans="1:5" x14ac:dyDescent="0.35">
      <c r="A273" s="35">
        <v>41548</v>
      </c>
      <c r="B273" s="63">
        <f>VLOOKUP(A273,Database!A:L,MATCH($A$1,Database!$A$1:$L$1,),)</f>
        <v>2870.127</v>
      </c>
      <c r="C273" s="37">
        <f t="shared" si="13"/>
        <v>3.6282879173745366E-3</v>
      </c>
      <c r="D273" s="36">
        <f t="shared" si="14"/>
        <v>9.3421285722721292E-2</v>
      </c>
      <c r="E273" s="36">
        <f t="shared" si="12"/>
        <v>1.4592329740066079E-2</v>
      </c>
    </row>
    <row r="274" spans="1:5" x14ac:dyDescent="0.35">
      <c r="A274" s="35">
        <v>41640</v>
      </c>
      <c r="B274" s="63">
        <f>VLOOKUP(A274,Database!A:L,MATCH($A$1,Database!$A$1:$L$1,),)</f>
        <v>2838.2869999999998</v>
      </c>
      <c r="C274" s="37">
        <f t="shared" si="13"/>
        <v>-1.1093585754219289E-2</v>
      </c>
      <c r="D274" s="36">
        <f t="shared" si="14"/>
        <v>4.2423216288658139E-2</v>
      </c>
      <c r="E274" s="36">
        <f t="shared" si="12"/>
        <v>-4.3641383047802962E-2</v>
      </c>
    </row>
    <row r="275" spans="1:5" x14ac:dyDescent="0.35">
      <c r="A275" s="35">
        <v>41730</v>
      </c>
      <c r="B275" s="63">
        <f>VLOOKUP(A275,Database!A:L,MATCH($A$1,Database!$A$1:$L$1,),)</f>
        <v>2958.0680000000002</v>
      </c>
      <c r="C275" s="37">
        <f t="shared" si="13"/>
        <v>4.2201863306987775E-2</v>
      </c>
      <c r="D275" s="36">
        <f t="shared" si="14"/>
        <v>7.4396428640178855E-2</v>
      </c>
      <c r="E275" s="36">
        <f t="shared" si="12"/>
        <v>0.17979725439148253</v>
      </c>
    </row>
    <row r="276" spans="1:5" x14ac:dyDescent="0.35">
      <c r="A276" s="35">
        <v>41821</v>
      </c>
      <c r="B276" s="63">
        <f>VLOOKUP(A276,Database!A:L,MATCH($A$1,Database!$A$1:$L$1,),)</f>
        <v>3018.5819999999999</v>
      </c>
      <c r="C276" s="37">
        <f t="shared" si="13"/>
        <v>2.0457271435274531E-2</v>
      </c>
      <c r="D276" s="36">
        <f t="shared" si="14"/>
        <v>5.5540150173913623E-2</v>
      </c>
      <c r="E276" s="36">
        <f t="shared" si="12"/>
        <v>8.4374506079434308E-2</v>
      </c>
    </row>
    <row r="277" spans="1:5" x14ac:dyDescent="0.35">
      <c r="A277" s="35">
        <v>41913</v>
      </c>
      <c r="B277" s="63">
        <f>VLOOKUP(A277,Database!A:L,MATCH($A$1,Database!$A$1:$L$1,),)</f>
        <v>3021.857</v>
      </c>
      <c r="C277" s="37">
        <f t="shared" si="13"/>
        <v>1.0849465079961688E-3</v>
      </c>
      <c r="D277" s="36">
        <f t="shared" si="14"/>
        <v>5.2865256485165997E-2</v>
      </c>
      <c r="E277" s="36">
        <f t="shared" si="12"/>
        <v>4.3468537953219588E-3</v>
      </c>
    </row>
    <row r="278" spans="1:5" x14ac:dyDescent="0.35">
      <c r="A278" s="35">
        <v>42005</v>
      </c>
      <c r="B278" s="63">
        <f>VLOOKUP(A278,Database!A:L,MATCH($A$1,Database!$A$1:$L$1,),)</f>
        <v>3127.2739999999999</v>
      </c>
      <c r="C278" s="37">
        <f t="shared" si="13"/>
        <v>3.4884840679092331E-2</v>
      </c>
      <c r="D278" s="36">
        <f t="shared" si="14"/>
        <v>0.10181739901567392</v>
      </c>
      <c r="E278" s="36">
        <f t="shared" si="12"/>
        <v>0.14701236906581383</v>
      </c>
    </row>
    <row r="279" spans="1:5" x14ac:dyDescent="0.35">
      <c r="A279" s="35">
        <v>42095</v>
      </c>
      <c r="B279" s="63">
        <f>VLOOKUP(A279,Database!A:L,MATCH($A$1,Database!$A$1:$L$1,),)</f>
        <v>3136.6880000000001</v>
      </c>
      <c r="C279" s="37">
        <f t="shared" si="13"/>
        <v>3.0102894725566789E-3</v>
      </c>
      <c r="D279" s="36">
        <f t="shared" si="14"/>
        <v>6.0384007399424178E-2</v>
      </c>
      <c r="E279" s="36">
        <f t="shared" si="12"/>
        <v>1.2095638143674536E-2</v>
      </c>
    </row>
    <row r="280" spans="1:5" x14ac:dyDescent="0.35">
      <c r="A280" s="35">
        <v>42186</v>
      </c>
      <c r="B280" s="63">
        <f>VLOOKUP(A280,Database!A:L,MATCH($A$1,Database!$A$1:$L$1,),)</f>
        <v>3130.3539999999998</v>
      </c>
      <c r="C280" s="37">
        <f t="shared" si="13"/>
        <v>-2.0193273924599092E-3</v>
      </c>
      <c r="D280" s="36">
        <f t="shared" si="14"/>
        <v>3.702798201274636E-2</v>
      </c>
      <c r="E280" s="36">
        <f t="shared" si="12"/>
        <v>-8.0528763912134371E-3</v>
      </c>
    </row>
    <row r="281" spans="1:5" x14ac:dyDescent="0.35">
      <c r="A281" s="35">
        <v>42278</v>
      </c>
      <c r="B281" s="63">
        <f>VLOOKUP(A281,Database!A:L,MATCH($A$1,Database!$A$1:$L$1,),)</f>
        <v>3092.7069999999999</v>
      </c>
      <c r="C281" s="37">
        <f t="shared" si="13"/>
        <v>-1.202643534884551E-2</v>
      </c>
      <c r="D281" s="36">
        <f t="shared" si="14"/>
        <v>2.3445848033179569E-2</v>
      </c>
      <c r="E281" s="36">
        <f t="shared" si="12"/>
        <v>-4.7244867373844368E-2</v>
      </c>
    </row>
    <row r="282" spans="1:5" x14ac:dyDescent="0.35">
      <c r="A282" s="35">
        <v>42370</v>
      </c>
      <c r="B282" s="63">
        <f>VLOOKUP(A282,Database!A:L,MATCH($A$1,Database!$A$1:$L$1,),)</f>
        <v>3079.4490000000001</v>
      </c>
      <c r="C282" s="37">
        <f t="shared" si="13"/>
        <v>-4.2868593759447021E-3</v>
      </c>
      <c r="D282" s="36">
        <f t="shared" si="14"/>
        <v>-1.529287168313356E-2</v>
      </c>
      <c r="E282" s="36">
        <f t="shared" si="12"/>
        <v>-1.7037489307463516E-2</v>
      </c>
    </row>
    <row r="283" spans="1:5" x14ac:dyDescent="0.35">
      <c r="A283" s="35">
        <v>42461</v>
      </c>
      <c r="B283" s="63">
        <f>VLOOKUP(A283,Database!A:L,MATCH($A$1,Database!$A$1:$L$1,),)</f>
        <v>3063.3330000000001</v>
      </c>
      <c r="C283" s="37">
        <f t="shared" si="13"/>
        <v>-5.2334037680117403E-3</v>
      </c>
      <c r="D283" s="36">
        <f t="shared" si="14"/>
        <v>-2.3386132124074824E-2</v>
      </c>
      <c r="E283" s="36">
        <f t="shared" si="12"/>
        <v>-2.0769856572552259E-2</v>
      </c>
    </row>
    <row r="284" spans="1:5" x14ac:dyDescent="0.35">
      <c r="A284" s="35">
        <v>42552</v>
      </c>
      <c r="B284" s="63">
        <f>VLOOKUP(A284,Database!A:L,MATCH($A$1,Database!$A$1:$L$1,),)</f>
        <v>3069.2979999999998</v>
      </c>
      <c r="C284" s="37">
        <f t="shared" si="13"/>
        <v>1.9472254567164883E-3</v>
      </c>
      <c r="D284" s="36">
        <f t="shared" si="14"/>
        <v>-1.9504503324544138E-2</v>
      </c>
      <c r="E284" s="36">
        <f t="shared" si="12"/>
        <v>7.8116814961963765E-3</v>
      </c>
    </row>
    <row r="285" spans="1:5" x14ac:dyDescent="0.35">
      <c r="A285" s="35">
        <v>42644</v>
      </c>
      <c r="B285" s="63">
        <f>VLOOKUP(A285,Database!A:L,MATCH($A$1,Database!$A$1:$L$1,),)</f>
        <v>3147.576</v>
      </c>
      <c r="C285" s="37">
        <f t="shared" si="13"/>
        <v>2.5503551626463204E-2</v>
      </c>
      <c r="D285" s="36">
        <f t="shared" si="14"/>
        <v>1.7741415530148876E-2</v>
      </c>
      <c r="E285" s="36">
        <f t="shared" si="12"/>
        <v>0.10598356965711164</v>
      </c>
    </row>
    <row r="286" spans="1:5" x14ac:dyDescent="0.35">
      <c r="A286" s="35">
        <v>42736</v>
      </c>
      <c r="B286" s="63">
        <f>VLOOKUP(A286,Database!A:L,MATCH($A$1,Database!$A$1:$L$1,),)</f>
        <v>3131.9169999999999</v>
      </c>
      <c r="C286" s="37">
        <f t="shared" si="13"/>
        <v>-4.9749394454653697E-3</v>
      </c>
      <c r="D286" s="36">
        <f t="shared" si="14"/>
        <v>1.7038112987096017E-2</v>
      </c>
      <c r="E286" s="36">
        <f t="shared" si="12"/>
        <v>-1.9751749553834075E-2</v>
      </c>
    </row>
    <row r="287" spans="1:5" x14ac:dyDescent="0.35">
      <c r="A287" s="35">
        <v>42826</v>
      </c>
      <c r="B287" s="63">
        <f>VLOOKUP(A287,Database!A:L,MATCH($A$1,Database!$A$1:$L$1,),)</f>
        <v>3187.7809999999999</v>
      </c>
      <c r="C287" s="37">
        <f t="shared" si="13"/>
        <v>1.7836998873214084E-2</v>
      </c>
      <c r="D287" s="36">
        <f t="shared" si="14"/>
        <v>4.0625031624051275E-2</v>
      </c>
      <c r="E287" s="36">
        <f t="shared" si="12"/>
        <v>7.3279747863803202E-2</v>
      </c>
    </row>
    <row r="288" spans="1:5" x14ac:dyDescent="0.35">
      <c r="A288" s="35">
        <v>42917</v>
      </c>
      <c r="B288" s="63">
        <f>VLOOKUP(A288,Database!A:L,MATCH($A$1,Database!$A$1:$L$1,),)</f>
        <v>3250.8249999999998</v>
      </c>
      <c r="C288" s="37">
        <f t="shared" si="13"/>
        <v>1.97767663462452E-2</v>
      </c>
      <c r="D288" s="36">
        <f t="shared" si="14"/>
        <v>5.9142839828521067E-2</v>
      </c>
      <c r="E288" s="36">
        <f t="shared" si="12"/>
        <v>8.1484881676847198E-2</v>
      </c>
    </row>
    <row r="289" spans="1:5" x14ac:dyDescent="0.35">
      <c r="A289" s="35">
        <v>43009</v>
      </c>
      <c r="B289" s="63">
        <f>VLOOKUP(A289,Database!A:L,MATCH($A$1,Database!$A$1:$L$1,),)</f>
        <v>3293.4409999999998</v>
      </c>
      <c r="C289" s="37">
        <f t="shared" si="13"/>
        <v>1.3109287642367703E-2</v>
      </c>
      <c r="D289" s="36">
        <f t="shared" si="14"/>
        <v>4.634201048679993E-2</v>
      </c>
      <c r="E289" s="36">
        <f t="shared" si="12"/>
        <v>5.3477312141802846E-2</v>
      </c>
    </row>
    <row r="290" spans="1:5" x14ac:dyDescent="0.35">
      <c r="A290" s="35">
        <v>43101</v>
      </c>
      <c r="B290" s="63">
        <f>VLOOKUP(A290,Database!A:L,MATCH($A$1,Database!$A$1:$L$1,),)</f>
        <v>3342.884</v>
      </c>
      <c r="C290" s="37">
        <f t="shared" si="13"/>
        <v>1.5012565884738854E-2</v>
      </c>
      <c r="D290" s="36">
        <f t="shared" si="14"/>
        <v>6.736034192477007E-2</v>
      </c>
      <c r="E290" s="36">
        <f t="shared" si="12"/>
        <v>6.1416111096788795E-2</v>
      </c>
    </row>
    <row r="291" spans="1:5" x14ac:dyDescent="0.35">
      <c r="A291" s="35">
        <v>43191</v>
      </c>
      <c r="B291" s="63">
        <f>VLOOKUP(A291,Database!A:L,MATCH($A$1,Database!$A$1:$L$1,),)</f>
        <v>3349.047</v>
      </c>
      <c r="C291" s="37">
        <f t="shared" si="13"/>
        <v>1.8436176666614848E-3</v>
      </c>
      <c r="D291" s="36">
        <f t="shared" si="14"/>
        <v>5.058879515249011E-2</v>
      </c>
      <c r="E291" s="36">
        <f t="shared" si="12"/>
        <v>7.3948893000841398E-3</v>
      </c>
    </row>
    <row r="292" spans="1:5" x14ac:dyDescent="0.35">
      <c r="A292" s="35">
        <v>43282</v>
      </c>
      <c r="B292" s="63">
        <f>VLOOKUP(A292,Database!A:L,MATCH($A$1,Database!$A$1:$L$1,),)</f>
        <v>3453.0590000000002</v>
      </c>
      <c r="C292" s="37">
        <f t="shared" si="13"/>
        <v>3.1057193285134597E-2</v>
      </c>
      <c r="D292" s="36">
        <f t="shared" si="14"/>
        <v>6.2210054370813679E-2</v>
      </c>
      <c r="E292" s="36">
        <f t="shared" si="12"/>
        <v>0.13013682379485636</v>
      </c>
    </row>
    <row r="293" spans="1:5" x14ac:dyDescent="0.35">
      <c r="A293" s="35">
        <v>43374</v>
      </c>
      <c r="B293" s="63">
        <f>VLOOKUP(A293,Database!A:L,MATCH($A$1,Database!$A$1:$L$1,),)</f>
        <v>3450.6080000000002</v>
      </c>
      <c r="C293" s="37">
        <f t="shared" si="13"/>
        <v>-7.0980542180137138E-4</v>
      </c>
      <c r="D293" s="36">
        <f t="shared" si="14"/>
        <v>4.7721213162768172E-2</v>
      </c>
      <c r="E293" s="36">
        <f t="shared" si="12"/>
        <v>-2.8362001749977495E-3</v>
      </c>
    </row>
    <row r="294" spans="1:5" x14ac:dyDescent="0.35">
      <c r="A294" s="35">
        <v>43466</v>
      </c>
      <c r="B294" s="63">
        <f>VLOOKUP(A294,Database!A:L,MATCH($A$1,Database!$A$1:$L$1,),)</f>
        <v>3484.3490000000002</v>
      </c>
      <c r="C294" s="37">
        <f t="shared" si="13"/>
        <v>9.7782767558644689E-3</v>
      </c>
      <c r="D294" s="36">
        <f t="shared" si="14"/>
        <v>4.231824975081401E-2</v>
      </c>
      <c r="E294" s="36">
        <f t="shared" si="12"/>
        <v>3.9690544131363747E-2</v>
      </c>
    </row>
    <row r="295" spans="1:5" x14ac:dyDescent="0.35">
      <c r="A295" s="35">
        <v>43556</v>
      </c>
      <c r="B295" s="63">
        <f>VLOOKUP(A295,Database!A:L,MATCH($A$1,Database!$A$1:$L$1,),)</f>
        <v>3504.855</v>
      </c>
      <c r="C295" s="37">
        <f t="shared" si="13"/>
        <v>5.885173959324929E-3</v>
      </c>
      <c r="D295" s="36">
        <f t="shared" si="14"/>
        <v>4.6523085522538199E-2</v>
      </c>
      <c r="E295" s="36">
        <f t="shared" si="12"/>
        <v>2.3749324010506667E-2</v>
      </c>
    </row>
    <row r="296" spans="1:5" x14ac:dyDescent="0.35">
      <c r="A296" s="35">
        <v>43647</v>
      </c>
      <c r="B296" s="63">
        <f>VLOOKUP(A296,Database!A:L,MATCH($A$1,Database!$A$1:$L$1,),)</f>
        <v>3527.1930000000002</v>
      </c>
      <c r="C296" s="37">
        <f t="shared" si="13"/>
        <v>6.3734448358063866E-3</v>
      </c>
      <c r="D296" s="36">
        <f t="shared" si="14"/>
        <v>2.1469080024407346E-2</v>
      </c>
      <c r="E296" s="36">
        <f t="shared" si="12"/>
        <v>2.5738541365413647E-2</v>
      </c>
    </row>
    <row r="297" spans="1:5" x14ac:dyDescent="0.35">
      <c r="A297" s="35">
        <v>43739</v>
      </c>
      <c r="B297" s="63">
        <f>VLOOKUP(A297,Database!A:L,MATCH($A$1,Database!$A$1:$L$1,),)</f>
        <v>3454.3539999999998</v>
      </c>
      <c r="C297" s="37">
        <f t="shared" si="13"/>
        <v>-2.0650698728422401E-2</v>
      </c>
      <c r="D297" s="36">
        <f t="shared" si="14"/>
        <v>1.0856057830966716E-3</v>
      </c>
      <c r="E297" s="36">
        <f t="shared" si="12"/>
        <v>-8.0079130979159752E-2</v>
      </c>
    </row>
    <row r="298" spans="1:5" x14ac:dyDescent="0.35">
      <c r="A298" s="35">
        <v>43831</v>
      </c>
      <c r="B298" s="63">
        <f>VLOOKUP(A298,Database!A:L,MATCH($A$1,Database!$A$1:$L$1,),)</f>
        <v>3409.8829999999998</v>
      </c>
      <c r="C298" s="37">
        <f t="shared" si="13"/>
        <v>-1.2873897695488072E-2</v>
      </c>
      <c r="D298" s="36">
        <f t="shared" si="14"/>
        <v>-2.137156754389424E-2</v>
      </c>
      <c r="E298" s="36">
        <f t="shared" si="12"/>
        <v>-5.0509674599060528E-2</v>
      </c>
    </row>
    <row r="299" spans="1:5" x14ac:dyDescent="0.35">
      <c r="A299" s="35">
        <v>43922</v>
      </c>
      <c r="B299" s="63">
        <f>VLOOKUP(A299,Database!A:L,MATCH($A$1,Database!$A$1:$L$1,),)</f>
        <v>2884.223</v>
      </c>
      <c r="C299" s="37">
        <f t="shared" si="13"/>
        <v>-0.15415778195322241</v>
      </c>
      <c r="D299" s="36">
        <f t="shared" si="14"/>
        <v>-0.17707779637103391</v>
      </c>
      <c r="E299" s="36">
        <f t="shared" si="12"/>
        <v>-0.4881326456497469</v>
      </c>
    </row>
    <row r="300" spans="1:5" x14ac:dyDescent="0.35">
      <c r="A300" s="35">
        <v>44013</v>
      </c>
      <c r="B300" s="63">
        <f>VLOOKUP(A300,Database!A:L,MATCH($A$1,Database!$A$1:$L$1,),)</f>
        <v>3394.1419999999998</v>
      </c>
      <c r="C300" s="37">
        <f t="shared" si="13"/>
        <v>0.17679596896633856</v>
      </c>
      <c r="D300" s="36">
        <f t="shared" si="14"/>
        <v>-3.7721496952392561E-2</v>
      </c>
      <c r="E300" s="36">
        <f t="shared" si="12"/>
        <v>0.91780606750970684</v>
      </c>
    </row>
    <row r="301" spans="1:5" x14ac:dyDescent="0.35">
      <c r="A301" s="35">
        <v>44105</v>
      </c>
      <c r="B301" s="63">
        <f>VLOOKUP(A301,Database!A:L,MATCH($A$1,Database!$A$1:$L$1,),)</f>
        <v>3537.645</v>
      </c>
      <c r="C301" s="37">
        <f t="shared" si="13"/>
        <v>4.2279609986853872E-2</v>
      </c>
      <c r="D301" s="36">
        <f t="shared" si="14"/>
        <v>2.4111888937844869E-2</v>
      </c>
      <c r="E301" s="36">
        <f t="shared" si="12"/>
        <v>0.18014933813663414</v>
      </c>
    </row>
    <row r="302" spans="1:5" x14ac:dyDescent="0.35">
      <c r="A302" s="35">
        <v>44197</v>
      </c>
      <c r="B302" s="63">
        <f>VLOOKUP(A302,Database!A:L,MATCH($A$1,Database!$A$1:$L$1,),)</f>
        <v>3489.2939999999999</v>
      </c>
      <c r="C302" s="37">
        <f t="shared" si="13"/>
        <v>-1.3667566983120159E-2</v>
      </c>
      <c r="D302" s="36">
        <f t="shared" si="14"/>
        <v>2.3288482332091763E-2</v>
      </c>
      <c r="E302" s="36">
        <f t="shared" si="12"/>
        <v>-5.3559631250480799E-2</v>
      </c>
    </row>
    <row r="303" spans="1:5" x14ac:dyDescent="0.35">
      <c r="A303" s="35">
        <v>44287</v>
      </c>
      <c r="B303" s="63">
        <f>VLOOKUP(A303,Database!A:L,MATCH($A$1,Database!$A$1:$L$1,),)</f>
        <v>3496.8670000000002</v>
      </c>
      <c r="C303" s="37">
        <f t="shared" si="13"/>
        <v>2.1703530857532555E-3</v>
      </c>
      <c r="D303" s="36">
        <f t="shared" si="14"/>
        <v>0.21241214704965608</v>
      </c>
      <c r="E303" s="36">
        <f t="shared" si="12"/>
        <v>8.7097158535096586E-3</v>
      </c>
    </row>
    <row r="304" spans="1:5" x14ac:dyDescent="0.35">
      <c r="A304" s="53">
        <v>44378</v>
      </c>
      <c r="B304" s="64">
        <f>VLOOKUP(A304,Database!A:L,MATCH($A$1,Database!$A$1:$L$1,),)</f>
        <v>3584.05</v>
      </c>
      <c r="C304" s="54">
        <f t="shared" si="13"/>
        <v>2.493174604581758E-2</v>
      </c>
      <c r="D304" s="55">
        <f t="shared" si="14"/>
        <v>5.5951695597886111E-2</v>
      </c>
      <c r="E304" s="55">
        <f t="shared" si="12"/>
        <v>0.10351891181684758</v>
      </c>
    </row>
    <row r="305" spans="1:5" x14ac:dyDescent="0.35">
      <c r="A305" s="35">
        <v>44470</v>
      </c>
      <c r="B305" s="63">
        <f>VLOOKUP(A305,Database!A:L,MATCH($A$1,Database!$A$1:$L$1,),)</f>
        <v>3841.7710000000002</v>
      </c>
      <c r="C305" s="37">
        <f t="shared" si="13"/>
        <v>7.1907757983287066E-2</v>
      </c>
      <c r="D305" s="36">
        <f t="shared" si="14"/>
        <v>8.5968490337498593E-2</v>
      </c>
      <c r="E305" s="36">
        <f t="shared" si="12"/>
        <v>0.3201693834429844</v>
      </c>
    </row>
    <row r="306" spans="1:5" x14ac:dyDescent="0.35">
      <c r="A306" s="35">
        <v>44562</v>
      </c>
      <c r="B306" s="63">
        <f>VLOOKUP(A306,Database!A:L,MATCH($A$1,Database!$A$1:$L$1,),)</f>
        <v>3892.48</v>
      </c>
      <c r="C306" s="37">
        <f t="shared" si="13"/>
        <v>1.3199381222878675E-2</v>
      </c>
      <c r="D306" s="36">
        <f t="shared" si="14"/>
        <v>0.11554944925821675</v>
      </c>
      <c r="E306" s="36">
        <f t="shared" si="12"/>
        <v>5.3852095811673717E-2</v>
      </c>
    </row>
    <row r="307" spans="1:5" x14ac:dyDescent="0.35">
      <c r="A307" s="35">
        <v>44652</v>
      </c>
      <c r="B307" s="63">
        <f>VLOOKUP(A307,Database!A:L,MATCH($A$1,Database!$A$1:$L$1,),)</f>
        <v>3746.973</v>
      </c>
      <c r="C307" s="37">
        <f t="shared" si="13"/>
        <v>-3.738156650772774E-2</v>
      </c>
      <c r="D307" s="36">
        <f t="shared" si="14"/>
        <v>7.1522880338314193E-2</v>
      </c>
      <c r="E307" s="36">
        <f t="shared" si="12"/>
        <v>-0.14134896950847808</v>
      </c>
    </row>
    <row r="308" spans="1:5" x14ac:dyDescent="0.35">
      <c r="A308" s="35">
        <v>44743</v>
      </c>
      <c r="B308" s="63">
        <f>VLOOKUP(A308,Database!A:L,MATCH($A$1,Database!$A$1:$L$1,),)</f>
        <v>3653.85</v>
      </c>
      <c r="C308" s="37">
        <f t="shared" si="13"/>
        <v>-2.4852861229584532E-2</v>
      </c>
      <c r="D308" s="36">
        <f t="shared" si="14"/>
        <v>1.9475174732495285E-2</v>
      </c>
      <c r="E308" s="36">
        <f t="shared" si="12"/>
        <v>-9.5766478082285666E-2</v>
      </c>
    </row>
    <row r="309" spans="1:5" x14ac:dyDescent="0.35">
      <c r="A309" s="35">
        <v>44835</v>
      </c>
      <c r="B309" s="63">
        <f>VLOOKUP(A309,Database!A:L,MATCH($A$1,Database!$A$1:$L$1,),)</f>
        <v>3666.902</v>
      </c>
      <c r="C309" s="37">
        <f t="shared" si="13"/>
        <v>3.5721225556605046E-3</v>
      </c>
      <c r="D309" s="36">
        <f t="shared" si="14"/>
        <v>-4.5517809364483235E-2</v>
      </c>
      <c r="E309" s="36">
        <f t="shared" si="12"/>
        <v>1.4365233064763006E-2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9"/>
  <sheetViews>
    <sheetView zoomScale="150" zoomScaleNormal="150" workbookViewId="0">
      <pane ySplit="5" topLeftCell="A288" activePane="bottomLeft" state="frozen"/>
      <selection pane="bottomLeft" activeCell="A299" sqref="A299:E309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15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61</v>
      </c>
      <c r="M1" s="76"/>
      <c r="N1" s="76"/>
      <c r="O1" s="76"/>
    </row>
    <row r="2" spans="1:15" x14ac:dyDescent="0.35">
      <c r="A2" s="48" t="s">
        <v>62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>
        <f>VLOOKUP(A6,Database!A:I,MATCH($A$1,Database!$A$1:$G$1,),)</f>
        <v>97.63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96.399000000000001</v>
      </c>
      <c r="C7" s="37">
        <f t="shared" ref="C7:C70" si="1">(B7-B6)/B6</f>
        <v>-1.2608829253303233E-2</v>
      </c>
      <c r="D7" s="36"/>
      <c r="E7" s="36">
        <f t="shared" si="0"/>
        <v>-4.9489414623496653E-2</v>
      </c>
    </row>
    <row r="8" spans="1:15" x14ac:dyDescent="0.35">
      <c r="A8" s="35">
        <v>17349</v>
      </c>
      <c r="B8" s="63">
        <f>VLOOKUP(A8,Database!A:L,MATCH($A$1,Database!$A$1:$L$1,),)</f>
        <v>91.506</v>
      </c>
      <c r="C8" s="37">
        <f t="shared" si="1"/>
        <v>-5.0757787943858344E-2</v>
      </c>
      <c r="D8" s="36"/>
      <c r="E8" s="36">
        <f t="shared" si="0"/>
        <v>-0.18808947588321301</v>
      </c>
    </row>
    <row r="9" spans="1:15" x14ac:dyDescent="0.35">
      <c r="A9" s="35">
        <v>17441</v>
      </c>
      <c r="B9" s="63">
        <f>VLOOKUP(A9,Database!A:L,MATCH($A$1,Database!$A$1:$L$1,),)</f>
        <v>81.138999999999996</v>
      </c>
      <c r="C9" s="37">
        <f t="shared" si="1"/>
        <v>-0.11329311739120937</v>
      </c>
      <c r="D9" s="36"/>
      <c r="E9" s="36">
        <f t="shared" si="0"/>
        <v>-0.38181235956471238</v>
      </c>
    </row>
    <row r="10" spans="1:15" x14ac:dyDescent="0.35">
      <c r="A10" s="35">
        <v>17533</v>
      </c>
      <c r="B10" s="63">
        <f>VLOOKUP(A10,Database!A:L,MATCH($A$1,Database!$A$1:$L$1,),)</f>
        <v>77.436999999999998</v>
      </c>
      <c r="C10" s="37">
        <f t="shared" si="1"/>
        <v>-4.5625408250040037E-2</v>
      </c>
      <c r="D10" s="36">
        <f t="shared" ref="D10:D73" si="2">(B10-B6)/B6</f>
        <v>-0.20683191641913345</v>
      </c>
      <c r="E10" s="36">
        <f t="shared" si="0"/>
        <v>-0.17038714196158755</v>
      </c>
    </row>
    <row r="11" spans="1:15" x14ac:dyDescent="0.35">
      <c r="A11" s="35">
        <v>17624</v>
      </c>
      <c r="B11" s="63">
        <f>VLOOKUP(A11,Database!A:L,MATCH($A$1,Database!$A$1:$L$1,),)</f>
        <v>70.197999999999993</v>
      </c>
      <c r="C11" s="37">
        <f t="shared" si="1"/>
        <v>-9.3482443793018899E-2</v>
      </c>
      <c r="D11" s="36">
        <f t="shared" si="2"/>
        <v>-0.27179742528449474</v>
      </c>
      <c r="E11" s="36">
        <f t="shared" si="0"/>
        <v>-0.32468736191435477</v>
      </c>
    </row>
    <row r="12" spans="1:15" x14ac:dyDescent="0.35">
      <c r="A12" s="35">
        <v>17715</v>
      </c>
      <c r="B12" s="63">
        <f>VLOOKUP(A12,Database!A:L,MATCH($A$1,Database!$A$1:$L$1,),)</f>
        <v>71.847999999999999</v>
      </c>
      <c r="C12" s="37">
        <f t="shared" si="1"/>
        <v>2.3504943160773895E-2</v>
      </c>
      <c r="D12" s="36">
        <f t="shared" si="2"/>
        <v>-0.21482744300920159</v>
      </c>
      <c r="E12" s="36">
        <f t="shared" si="0"/>
        <v>9.738691626301077E-2</v>
      </c>
    </row>
    <row r="13" spans="1:15" x14ac:dyDescent="0.35">
      <c r="A13" s="35">
        <v>17807</v>
      </c>
      <c r="B13" s="63">
        <f>VLOOKUP(A13,Database!A:L,MATCH($A$1,Database!$A$1:$L$1,),)</f>
        <v>69.316000000000003</v>
      </c>
      <c r="C13" s="37">
        <f t="shared" si="1"/>
        <v>-3.5241064469435424E-2</v>
      </c>
      <c r="D13" s="36">
        <f t="shared" si="2"/>
        <v>-0.14571291240956868</v>
      </c>
      <c r="E13" s="36">
        <f t="shared" si="0"/>
        <v>-0.13368618784227204</v>
      </c>
    </row>
    <row r="14" spans="1:15" x14ac:dyDescent="0.35">
      <c r="A14" s="35">
        <v>17899</v>
      </c>
      <c r="B14" s="63">
        <f>VLOOKUP(A14,Database!A:L,MATCH($A$1,Database!$A$1:$L$1,),)</f>
        <v>77.611999999999995</v>
      </c>
      <c r="C14" s="37">
        <f t="shared" si="1"/>
        <v>0.11968376709561994</v>
      </c>
      <c r="D14" s="36">
        <f t="shared" si="2"/>
        <v>2.2599015974275496E-3</v>
      </c>
      <c r="E14" s="36">
        <f t="shared" si="0"/>
        <v>0.5717429746752527</v>
      </c>
    </row>
    <row r="15" spans="1:15" x14ac:dyDescent="0.35">
      <c r="A15" s="35">
        <v>17989</v>
      </c>
      <c r="B15" s="63">
        <f>VLOOKUP(A15,Database!A:L,MATCH($A$1,Database!$A$1:$L$1,),)</f>
        <v>76.947000000000003</v>
      </c>
      <c r="C15" s="37">
        <f t="shared" si="1"/>
        <v>-8.5682626397978676E-3</v>
      </c>
      <c r="D15" s="36">
        <f t="shared" si="2"/>
        <v>9.6142340237613755E-2</v>
      </c>
      <c r="E15" s="36">
        <f t="shared" si="0"/>
        <v>-3.3835070581702875E-2</v>
      </c>
    </row>
    <row r="16" spans="1:15" x14ac:dyDescent="0.35">
      <c r="A16" s="35">
        <v>18080</v>
      </c>
      <c r="B16" s="63">
        <f>VLOOKUP(A16,Database!A:L,MATCH($A$1,Database!$A$1:$L$1,),)</f>
        <v>70.52</v>
      </c>
      <c r="C16" s="37">
        <f t="shared" si="1"/>
        <v>-8.3525023717623909E-2</v>
      </c>
      <c r="D16" s="36">
        <f t="shared" si="2"/>
        <v>-1.8483465092974098E-2</v>
      </c>
      <c r="E16" s="36">
        <f t="shared" si="0"/>
        <v>-0.29452367256541911</v>
      </c>
    </row>
    <row r="17" spans="1:5" x14ac:dyDescent="0.35">
      <c r="A17" s="35">
        <v>18172</v>
      </c>
      <c r="B17" s="63">
        <f>VLOOKUP(A17,Database!A:L,MATCH($A$1,Database!$A$1:$L$1,),)</f>
        <v>61.046999999999997</v>
      </c>
      <c r="C17" s="37">
        <f t="shared" si="1"/>
        <v>-0.1343306863301191</v>
      </c>
      <c r="D17" s="36">
        <f t="shared" si="2"/>
        <v>-0.11929424663858279</v>
      </c>
      <c r="E17" s="36">
        <f t="shared" si="0"/>
        <v>-0.4384245788113631</v>
      </c>
    </row>
    <row r="18" spans="1:5" x14ac:dyDescent="0.35">
      <c r="A18" s="35">
        <v>18264</v>
      </c>
      <c r="B18" s="63">
        <f>VLOOKUP(A18,Database!A:L,MATCH($A$1,Database!$A$1:$L$1,),)</f>
        <v>60.040999999999997</v>
      </c>
      <c r="C18" s="37">
        <f t="shared" si="1"/>
        <v>-1.6479106262388001E-2</v>
      </c>
      <c r="D18" s="36">
        <f t="shared" si="2"/>
        <v>-0.2263954027727671</v>
      </c>
      <c r="E18" s="36">
        <f t="shared" si="0"/>
        <v>-6.4304885971522951E-2</v>
      </c>
    </row>
    <row r="19" spans="1:5" x14ac:dyDescent="0.35">
      <c r="A19" s="35">
        <v>18354</v>
      </c>
      <c r="B19" s="63">
        <f>VLOOKUP(A19,Database!A:L,MATCH($A$1,Database!$A$1:$L$1,),)</f>
        <v>60.765999999999998</v>
      </c>
      <c r="C19" s="37">
        <f t="shared" si="1"/>
        <v>1.2075082027281383E-2</v>
      </c>
      <c r="D19" s="36">
        <f t="shared" si="2"/>
        <v>-0.21028760055622706</v>
      </c>
      <c r="E19" s="36">
        <f t="shared" si="0"/>
        <v>4.9182237559985964E-2</v>
      </c>
    </row>
    <row r="20" spans="1:5" x14ac:dyDescent="0.35">
      <c r="A20" s="35">
        <v>18445</v>
      </c>
      <c r="B20" s="63">
        <f>VLOOKUP(A20,Database!A:L,MATCH($A$1,Database!$A$1:$L$1,),)</f>
        <v>62.341999999999999</v>
      </c>
      <c r="C20" s="37">
        <f t="shared" si="1"/>
        <v>2.5935556067537776E-2</v>
      </c>
      <c r="D20" s="36">
        <f t="shared" si="2"/>
        <v>-0.1159671015314804</v>
      </c>
      <c r="E20" s="36">
        <f t="shared" si="0"/>
        <v>0.10784837766898803</v>
      </c>
    </row>
    <row r="21" spans="1:5" x14ac:dyDescent="0.35">
      <c r="A21" s="35">
        <v>18537</v>
      </c>
      <c r="B21" s="63">
        <f>VLOOKUP(A21,Database!A:L,MATCH($A$1,Database!$A$1:$L$1,),)</f>
        <v>67.394999999999996</v>
      </c>
      <c r="C21" s="37">
        <f t="shared" si="1"/>
        <v>8.1052901735587518E-2</v>
      </c>
      <c r="D21" s="36">
        <f t="shared" si="2"/>
        <v>0.10398545383065506</v>
      </c>
      <c r="E21" s="36">
        <f t="shared" si="0"/>
        <v>0.36580213528899641</v>
      </c>
    </row>
    <row r="22" spans="1:5" x14ac:dyDescent="0.35">
      <c r="A22" s="35">
        <v>18629</v>
      </c>
      <c r="B22" s="63">
        <f>VLOOKUP(A22,Database!A:L,MATCH($A$1,Database!$A$1:$L$1,),)</f>
        <v>70.763000000000005</v>
      </c>
      <c r="C22" s="37">
        <f t="shared" si="1"/>
        <v>4.9974033682024029E-2</v>
      </c>
      <c r="D22" s="36">
        <f t="shared" si="2"/>
        <v>0.17857797171932527</v>
      </c>
      <c r="E22" s="36">
        <f t="shared" si="0"/>
        <v>0.21538601742470043</v>
      </c>
    </row>
    <row r="23" spans="1:5" x14ac:dyDescent="0.35">
      <c r="A23" s="35">
        <v>18719</v>
      </c>
      <c r="B23" s="63">
        <f>VLOOKUP(A23,Database!A:L,MATCH($A$1,Database!$A$1:$L$1,),)</f>
        <v>77.727000000000004</v>
      </c>
      <c r="C23" s="37">
        <f t="shared" si="1"/>
        <v>9.8413012450009163E-2</v>
      </c>
      <c r="D23" s="36">
        <f t="shared" si="2"/>
        <v>0.27911990257709912</v>
      </c>
      <c r="E23" s="36">
        <f t="shared" si="0"/>
        <v>0.4556691452279944</v>
      </c>
    </row>
    <row r="24" spans="1:5" x14ac:dyDescent="0.35">
      <c r="A24" s="35">
        <v>18810</v>
      </c>
      <c r="B24" s="63">
        <f>VLOOKUP(A24,Database!A:L,MATCH($A$1,Database!$A$1:$L$1,),)</f>
        <v>79.635999999999996</v>
      </c>
      <c r="C24" s="37">
        <f t="shared" si="1"/>
        <v>2.4560320094690283E-2</v>
      </c>
      <c r="D24" s="36">
        <f t="shared" si="2"/>
        <v>0.27740528054922842</v>
      </c>
      <c r="E24" s="36">
        <f t="shared" si="0"/>
        <v>0.10192016023541317</v>
      </c>
    </row>
    <row r="25" spans="1:5" x14ac:dyDescent="0.35">
      <c r="A25" s="35">
        <v>18902</v>
      </c>
      <c r="B25" s="63">
        <f>VLOOKUP(A25,Database!A:L,MATCH($A$1,Database!$A$1:$L$1,),)</f>
        <v>78.888999999999996</v>
      </c>
      <c r="C25" s="37">
        <f t="shared" si="1"/>
        <v>-9.3801798181726848E-3</v>
      </c>
      <c r="D25" s="36">
        <f t="shared" si="2"/>
        <v>0.17054677646709698</v>
      </c>
      <c r="E25" s="36">
        <f t="shared" si="0"/>
        <v>-3.6996086254861171E-2</v>
      </c>
    </row>
    <row r="26" spans="1:5" x14ac:dyDescent="0.35">
      <c r="A26" s="35">
        <v>18994</v>
      </c>
      <c r="B26" s="63">
        <f>VLOOKUP(A26,Database!A:L,MATCH($A$1,Database!$A$1:$L$1,),)</f>
        <v>83.087999999999994</v>
      </c>
      <c r="C26" s="37">
        <f t="shared" si="1"/>
        <v>5.3226685596217446E-2</v>
      </c>
      <c r="D26" s="36">
        <f t="shared" si="2"/>
        <v>0.17417294348741558</v>
      </c>
      <c r="E26" s="36">
        <f t="shared" si="0"/>
        <v>0.23051643093124086</v>
      </c>
    </row>
    <row r="27" spans="1:5" x14ac:dyDescent="0.35">
      <c r="A27" s="35">
        <v>19085</v>
      </c>
      <c r="B27" s="63">
        <f>VLOOKUP(A27,Database!A:L,MATCH($A$1,Database!$A$1:$L$1,),)</f>
        <v>73.953999999999994</v>
      </c>
      <c r="C27" s="37">
        <f t="shared" si="1"/>
        <v>-0.10993163874446371</v>
      </c>
      <c r="D27" s="36">
        <f t="shared" si="2"/>
        <v>-4.8541690789558459E-2</v>
      </c>
      <c r="E27" s="36">
        <f t="shared" si="0"/>
        <v>-0.37238479752490472</v>
      </c>
    </row>
    <row r="28" spans="1:5" x14ac:dyDescent="0.35">
      <c r="A28" s="35">
        <v>19176</v>
      </c>
      <c r="B28" s="63">
        <f>VLOOKUP(A28,Database!A:L,MATCH($A$1,Database!$A$1:$L$1,),)</f>
        <v>68.114000000000004</v>
      </c>
      <c r="C28" s="37">
        <f t="shared" si="1"/>
        <v>-7.896800713957311E-2</v>
      </c>
      <c r="D28" s="36">
        <f t="shared" si="2"/>
        <v>-0.14468330905620563</v>
      </c>
      <c r="E28" s="36">
        <f t="shared" si="0"/>
        <v>-0.28038722558519757</v>
      </c>
    </row>
    <row r="29" spans="1:5" x14ac:dyDescent="0.35">
      <c r="A29" s="35">
        <v>19268</v>
      </c>
      <c r="B29" s="63">
        <f>VLOOKUP(A29,Database!A:L,MATCH($A$1,Database!$A$1:$L$1,),)</f>
        <v>68.58</v>
      </c>
      <c r="C29" s="37">
        <f t="shared" si="1"/>
        <v>6.8414716504682435E-3</v>
      </c>
      <c r="D29" s="36">
        <f t="shared" si="2"/>
        <v>-0.13067728073622428</v>
      </c>
      <c r="E29" s="36">
        <f t="shared" si="0"/>
        <v>2.764800407913337E-2</v>
      </c>
    </row>
    <row r="30" spans="1:5" x14ac:dyDescent="0.35">
      <c r="A30" s="35">
        <v>19360</v>
      </c>
      <c r="B30" s="63">
        <f>VLOOKUP(A30,Database!A:L,MATCH($A$1,Database!$A$1:$L$1,),)</f>
        <v>67.42</v>
      </c>
      <c r="C30" s="37">
        <f t="shared" si="1"/>
        <v>-1.6914552347623166E-2</v>
      </c>
      <c r="D30" s="36">
        <f t="shared" si="2"/>
        <v>-0.18857115347583278</v>
      </c>
      <c r="E30" s="36">
        <f t="shared" si="0"/>
        <v>-6.5960872203880583E-2</v>
      </c>
    </row>
    <row r="31" spans="1:5" x14ac:dyDescent="0.35">
      <c r="A31" s="35">
        <v>19450</v>
      </c>
      <c r="B31" s="63">
        <f>VLOOKUP(A31,Database!A:L,MATCH($A$1,Database!$A$1:$L$1,),)</f>
        <v>67.84</v>
      </c>
      <c r="C31" s="37">
        <f t="shared" si="1"/>
        <v>6.2296054583209984E-3</v>
      </c>
      <c r="D31" s="36">
        <f t="shared" si="2"/>
        <v>-8.2673012953998301E-2</v>
      </c>
      <c r="E31" s="36">
        <f t="shared" si="0"/>
        <v>2.5152238278062233E-2</v>
      </c>
    </row>
    <row r="32" spans="1:5" x14ac:dyDescent="0.35">
      <c r="A32" s="35">
        <v>19541</v>
      </c>
      <c r="B32" s="63">
        <f>VLOOKUP(A32,Database!A:L,MATCH($A$1,Database!$A$1:$L$1,),)</f>
        <v>70.56</v>
      </c>
      <c r="C32" s="37">
        <f t="shared" si="1"/>
        <v>4.0094339622641494E-2</v>
      </c>
      <c r="D32" s="36">
        <f t="shared" si="2"/>
        <v>3.5910385530140615E-2</v>
      </c>
      <c r="E32" s="36">
        <f t="shared" si="0"/>
        <v>0.17028309474183345</v>
      </c>
    </row>
    <row r="33" spans="1:5" x14ac:dyDescent="0.35">
      <c r="A33" s="35">
        <v>19633</v>
      </c>
      <c r="B33" s="63">
        <f>VLOOKUP(A33,Database!A:L,MATCH($A$1,Database!$A$1:$L$1,),)</f>
        <v>68.233999999999995</v>
      </c>
      <c r="C33" s="37">
        <f t="shared" si="1"/>
        <v>-3.2964852607709857E-2</v>
      </c>
      <c r="D33" s="36">
        <f t="shared" si="2"/>
        <v>-5.0452026829980118E-3</v>
      </c>
      <c r="E33" s="36">
        <f t="shared" si="0"/>
        <v>-0.12548142969235077</v>
      </c>
    </row>
    <row r="34" spans="1:5" x14ac:dyDescent="0.35">
      <c r="A34" s="35">
        <v>19725</v>
      </c>
      <c r="B34" s="63">
        <f>VLOOKUP(A34,Database!A:L,MATCH($A$1,Database!$A$1:$L$1,),)</f>
        <v>65.174000000000007</v>
      </c>
      <c r="C34" s="37">
        <f t="shared" si="1"/>
        <v>-4.4845678107688081E-2</v>
      </c>
      <c r="D34" s="36">
        <f t="shared" si="2"/>
        <v>-3.3313556808068752E-2</v>
      </c>
      <c r="E34" s="36">
        <f t="shared" si="0"/>
        <v>-0.16767262152130635</v>
      </c>
    </row>
    <row r="35" spans="1:5" x14ac:dyDescent="0.35">
      <c r="A35" s="35">
        <v>19815</v>
      </c>
      <c r="B35" s="63">
        <f>VLOOKUP(A35,Database!A:L,MATCH($A$1,Database!$A$1:$L$1,),)</f>
        <v>74.537999999999997</v>
      </c>
      <c r="C35" s="37">
        <f t="shared" si="1"/>
        <v>0.14367692638168578</v>
      </c>
      <c r="D35" s="36">
        <f t="shared" si="2"/>
        <v>9.8732311320754607E-2</v>
      </c>
      <c r="E35" s="36">
        <f t="shared" si="0"/>
        <v>0.71085592163897737</v>
      </c>
    </row>
    <row r="36" spans="1:5" x14ac:dyDescent="0.35">
      <c r="A36" s="35">
        <v>19906</v>
      </c>
      <c r="B36" s="63">
        <f>VLOOKUP(A36,Database!A:L,MATCH($A$1,Database!$A$1:$L$1,),)</f>
        <v>72.143000000000001</v>
      </c>
      <c r="C36" s="37">
        <f t="shared" si="1"/>
        <v>-3.2131261906678421E-2</v>
      </c>
      <c r="D36" s="36">
        <f t="shared" si="2"/>
        <v>2.2434807256235804E-2</v>
      </c>
      <c r="E36" s="36">
        <f t="shared" si="0"/>
        <v>-0.12246216536106669</v>
      </c>
    </row>
    <row r="37" spans="1:5" x14ac:dyDescent="0.35">
      <c r="A37" s="35">
        <v>19998</v>
      </c>
      <c r="B37" s="63">
        <f>VLOOKUP(A37,Database!A:L,MATCH($A$1,Database!$A$1:$L$1,),)</f>
        <v>75.465000000000003</v>
      </c>
      <c r="C37" s="37">
        <f t="shared" si="1"/>
        <v>4.6047433569438516E-2</v>
      </c>
      <c r="D37" s="36">
        <f t="shared" si="2"/>
        <v>0.1059735615675471</v>
      </c>
      <c r="E37" s="36">
        <f t="shared" si="0"/>
        <v>0.19730697673589659</v>
      </c>
    </row>
    <row r="38" spans="1:5" x14ac:dyDescent="0.35">
      <c r="A38" s="35">
        <v>20090</v>
      </c>
      <c r="B38" s="63">
        <f>VLOOKUP(A38,Database!A:L,MATCH($A$1,Database!$A$1:$L$1,),)</f>
        <v>78.269000000000005</v>
      </c>
      <c r="C38" s="37">
        <f t="shared" si="1"/>
        <v>3.7156297621413925E-2</v>
      </c>
      <c r="D38" s="36">
        <f t="shared" si="2"/>
        <v>0.20092368122257337</v>
      </c>
      <c r="E38" s="36">
        <f t="shared" si="0"/>
        <v>0.15711582975229077</v>
      </c>
    </row>
    <row r="39" spans="1:5" x14ac:dyDescent="0.35">
      <c r="A39" s="35">
        <v>20180</v>
      </c>
      <c r="B39" s="63">
        <f>VLOOKUP(A39,Database!A:L,MATCH($A$1,Database!$A$1:$L$1,),)</f>
        <v>76.444000000000003</v>
      </c>
      <c r="C39" s="37">
        <f t="shared" si="1"/>
        <v>-2.3317022064929957E-2</v>
      </c>
      <c r="D39" s="36">
        <f t="shared" si="2"/>
        <v>2.5570849767903699E-2</v>
      </c>
      <c r="E39" s="36">
        <f t="shared" si="0"/>
        <v>-9.0056399882433413E-2</v>
      </c>
    </row>
    <row r="40" spans="1:5" x14ac:dyDescent="0.35">
      <c r="A40" s="35">
        <v>20271</v>
      </c>
      <c r="B40" s="63">
        <f>VLOOKUP(A40,Database!A:L,MATCH($A$1,Database!$A$1:$L$1,),)</f>
        <v>81.460999999999999</v>
      </c>
      <c r="C40" s="37">
        <f t="shared" si="1"/>
        <v>6.5629742033383856E-2</v>
      </c>
      <c r="D40" s="36">
        <f t="shared" si="2"/>
        <v>0.12916014027694991</v>
      </c>
      <c r="E40" s="36">
        <f t="shared" si="0"/>
        <v>0.28951183713321127</v>
      </c>
    </row>
    <row r="41" spans="1:5" x14ac:dyDescent="0.35">
      <c r="A41" s="35">
        <v>20363</v>
      </c>
      <c r="B41" s="63">
        <f>VLOOKUP(A41,Database!A:L,MATCH($A$1,Database!$A$1:$L$1,),)</f>
        <v>81.828999999999994</v>
      </c>
      <c r="C41" s="37">
        <f t="shared" si="1"/>
        <v>4.5174991713825639E-3</v>
      </c>
      <c r="D41" s="36">
        <f t="shared" si="2"/>
        <v>8.4330484330484193E-2</v>
      </c>
      <c r="E41" s="36">
        <f t="shared" si="0"/>
        <v>1.8192812663444968E-2</v>
      </c>
    </row>
    <row r="42" spans="1:5" x14ac:dyDescent="0.35">
      <c r="A42" s="35">
        <v>20455</v>
      </c>
      <c r="B42" s="63">
        <f>VLOOKUP(A42,Database!A:L,MATCH($A$1,Database!$A$1:$L$1,),)</f>
        <v>85.712999999999994</v>
      </c>
      <c r="C42" s="37">
        <f t="shared" si="1"/>
        <v>4.7464835205122888E-2</v>
      </c>
      <c r="D42" s="36">
        <f t="shared" si="2"/>
        <v>9.5107897124020846E-2</v>
      </c>
      <c r="E42" s="36">
        <f t="shared" si="0"/>
        <v>0.20380961603071945</v>
      </c>
    </row>
    <row r="43" spans="1:5" x14ac:dyDescent="0.35">
      <c r="A43" s="35">
        <v>20546</v>
      </c>
      <c r="B43" s="63">
        <f>VLOOKUP(A43,Database!A:L,MATCH($A$1,Database!$A$1:$L$1,),)</f>
        <v>91.488</v>
      </c>
      <c r="C43" s="37">
        <f t="shared" si="1"/>
        <v>6.7376010640159675E-2</v>
      </c>
      <c r="D43" s="36">
        <f t="shared" si="2"/>
        <v>0.19679765580032438</v>
      </c>
      <c r="E43" s="36">
        <f t="shared" si="0"/>
        <v>0.29798523154954237</v>
      </c>
    </row>
    <row r="44" spans="1:5" x14ac:dyDescent="0.35">
      <c r="A44" s="35">
        <v>20637</v>
      </c>
      <c r="B44" s="63">
        <f>VLOOKUP(A44,Database!A:L,MATCH($A$1,Database!$A$1:$L$1,),)</f>
        <v>94.531999999999996</v>
      </c>
      <c r="C44" s="37">
        <f t="shared" si="1"/>
        <v>3.3272123119971984E-2</v>
      </c>
      <c r="D44" s="36">
        <f t="shared" si="2"/>
        <v>0.16045715127484314</v>
      </c>
      <c r="E44" s="36">
        <f t="shared" si="0"/>
        <v>0.13987925657574896</v>
      </c>
    </row>
    <row r="45" spans="1:5" x14ac:dyDescent="0.35">
      <c r="A45" s="35">
        <v>20729</v>
      </c>
      <c r="B45" s="63">
        <f>VLOOKUP(A45,Database!A:L,MATCH($A$1,Database!$A$1:$L$1,),)</f>
        <v>98.769000000000005</v>
      </c>
      <c r="C45" s="37">
        <f t="shared" si="1"/>
        <v>4.4820801421740886E-2</v>
      </c>
      <c r="D45" s="36">
        <f t="shared" si="2"/>
        <v>0.20701707218712209</v>
      </c>
      <c r="E45" s="36">
        <f t="shared" si="0"/>
        <v>0.1917008296158127</v>
      </c>
    </row>
    <row r="46" spans="1:5" x14ac:dyDescent="0.35">
      <c r="A46" s="35">
        <v>20821</v>
      </c>
      <c r="B46" s="63">
        <f>VLOOKUP(A46,Database!A:L,MATCH($A$1,Database!$A$1:$L$1,),)</f>
        <v>105.205</v>
      </c>
      <c r="C46" s="37">
        <f t="shared" si="1"/>
        <v>6.5162146017475039E-2</v>
      </c>
      <c r="D46" s="36">
        <f t="shared" si="2"/>
        <v>0.22741007781783401</v>
      </c>
      <c r="E46" s="36">
        <f t="shared" si="0"/>
        <v>0.28724998644888688</v>
      </c>
    </row>
    <row r="47" spans="1:5" x14ac:dyDescent="0.35">
      <c r="A47" s="35">
        <v>20911</v>
      </c>
      <c r="B47" s="63">
        <f>VLOOKUP(A47,Database!A:L,MATCH($A$1,Database!$A$1:$L$1,),)</f>
        <v>102.08799999999999</v>
      </c>
      <c r="C47" s="37">
        <f t="shared" si="1"/>
        <v>-2.962786939784235E-2</v>
      </c>
      <c r="D47" s="36">
        <f t="shared" si="2"/>
        <v>0.11586218957677503</v>
      </c>
      <c r="E47" s="36">
        <f t="shared" si="0"/>
        <v>-0.11334787380609801</v>
      </c>
    </row>
    <row r="48" spans="1:5" x14ac:dyDescent="0.35">
      <c r="A48" s="35">
        <v>21002</v>
      </c>
      <c r="B48" s="63">
        <f>VLOOKUP(A48,Database!A:L,MATCH($A$1,Database!$A$1:$L$1,),)</f>
        <v>99.233999999999995</v>
      </c>
      <c r="C48" s="37">
        <f t="shared" si="1"/>
        <v>-2.7956273019355844E-2</v>
      </c>
      <c r="D48" s="36">
        <f t="shared" si="2"/>
        <v>4.9739770659670779E-2</v>
      </c>
      <c r="E48" s="36">
        <f t="shared" si="0"/>
        <v>-0.1072225593039009</v>
      </c>
    </row>
    <row r="49" spans="1:5" x14ac:dyDescent="0.35">
      <c r="A49" s="35">
        <v>21094</v>
      </c>
      <c r="B49" s="63">
        <f>VLOOKUP(A49,Database!A:L,MATCH($A$1,Database!$A$1:$L$1,),)</f>
        <v>96.277000000000001</v>
      </c>
      <c r="C49" s="37">
        <f t="shared" si="1"/>
        <v>-2.9798254630469333E-2</v>
      </c>
      <c r="D49" s="36">
        <f t="shared" si="2"/>
        <v>-2.5230588544988854E-2</v>
      </c>
      <c r="E49" s="36">
        <f t="shared" si="0"/>
        <v>-0.11397044998703476</v>
      </c>
    </row>
    <row r="50" spans="1:5" x14ac:dyDescent="0.35">
      <c r="A50" s="35">
        <v>21186</v>
      </c>
      <c r="B50" s="63">
        <f>VLOOKUP(A50,Database!A:L,MATCH($A$1,Database!$A$1:$L$1,),)</f>
        <v>86.733999999999995</v>
      </c>
      <c r="C50" s="37">
        <f t="shared" si="1"/>
        <v>-9.9120246787914104E-2</v>
      </c>
      <c r="D50" s="36">
        <f t="shared" si="2"/>
        <v>-0.17557150325554874</v>
      </c>
      <c r="E50" s="36">
        <f t="shared" si="0"/>
        <v>-0.34133087570835174</v>
      </c>
    </row>
    <row r="51" spans="1:5" x14ac:dyDescent="0.35">
      <c r="A51" s="35">
        <v>21276</v>
      </c>
      <c r="B51" s="63">
        <f>VLOOKUP(A51,Database!A:L,MATCH($A$1,Database!$A$1:$L$1,),)</f>
        <v>87.14</v>
      </c>
      <c r="C51" s="37">
        <f t="shared" si="1"/>
        <v>4.6809786242996507E-3</v>
      </c>
      <c r="D51" s="36">
        <f t="shared" si="2"/>
        <v>-0.14642269414622672</v>
      </c>
      <c r="E51" s="36">
        <f t="shared" si="0"/>
        <v>1.8855794612794075E-2</v>
      </c>
    </row>
    <row r="52" spans="1:5" x14ac:dyDescent="0.35">
      <c r="A52" s="35">
        <v>21367</v>
      </c>
      <c r="B52" s="63">
        <f>VLOOKUP(A52,Database!A:L,MATCH($A$1,Database!$A$1:$L$1,),)</f>
        <v>87.394000000000005</v>
      </c>
      <c r="C52" s="37">
        <f t="shared" si="1"/>
        <v>2.9148496672022593E-3</v>
      </c>
      <c r="D52" s="36">
        <f t="shared" si="2"/>
        <v>-0.11931394481730041</v>
      </c>
      <c r="E52" s="36">
        <f t="shared" si="0"/>
        <v>1.1710475894806782E-2</v>
      </c>
    </row>
    <row r="53" spans="1:5" x14ac:dyDescent="0.35">
      <c r="A53" s="35">
        <v>21459</v>
      </c>
      <c r="B53" s="63">
        <f>VLOOKUP(A53,Database!A:L,MATCH($A$1,Database!$A$1:$L$1,),)</f>
        <v>87.08</v>
      </c>
      <c r="C53" s="37">
        <f t="shared" si="1"/>
        <v>-3.5929239993593054E-3</v>
      </c>
      <c r="D53" s="36">
        <f t="shared" si="2"/>
        <v>-9.5526449723194559E-2</v>
      </c>
      <c r="E53" s="36">
        <f t="shared" si="0"/>
        <v>-1.4294426739303034E-2</v>
      </c>
    </row>
    <row r="54" spans="1:5" x14ac:dyDescent="0.35">
      <c r="A54" s="35">
        <v>21551</v>
      </c>
      <c r="B54" s="63">
        <f>VLOOKUP(A54,Database!A:L,MATCH($A$1,Database!$A$1:$L$1,),)</f>
        <v>93.393000000000001</v>
      </c>
      <c r="C54" s="37">
        <f t="shared" si="1"/>
        <v>7.2496554892053311E-2</v>
      </c>
      <c r="D54" s="36">
        <f t="shared" si="2"/>
        <v>7.6774967140913669E-2</v>
      </c>
      <c r="E54" s="36">
        <f t="shared" si="0"/>
        <v>0.32307244051866979</v>
      </c>
    </row>
    <row r="55" spans="1:5" x14ac:dyDescent="0.35">
      <c r="A55" s="35">
        <v>21641</v>
      </c>
      <c r="B55" s="63">
        <f>VLOOKUP(A55,Database!A:L,MATCH($A$1,Database!$A$1:$L$1,),)</f>
        <v>92.647000000000006</v>
      </c>
      <c r="C55" s="37">
        <f t="shared" si="1"/>
        <v>-7.9877506879530054E-3</v>
      </c>
      <c r="D55" s="36">
        <f t="shared" si="2"/>
        <v>6.3197154005049397E-2</v>
      </c>
      <c r="E55" s="36">
        <f t="shared" si="0"/>
        <v>-3.1570212321448965E-2</v>
      </c>
    </row>
    <row r="56" spans="1:5" x14ac:dyDescent="0.35">
      <c r="A56" s="35">
        <v>21732</v>
      </c>
      <c r="B56" s="63">
        <f>VLOOKUP(A56,Database!A:L,MATCH($A$1,Database!$A$1:$L$1,),)</f>
        <v>101.58199999999999</v>
      </c>
      <c r="C56" s="37">
        <f t="shared" si="1"/>
        <v>9.6441331073860867E-2</v>
      </c>
      <c r="D56" s="36">
        <f t="shared" si="2"/>
        <v>0.16234524109206566</v>
      </c>
      <c r="E56" s="36">
        <f t="shared" si="0"/>
        <v>0.44524539004499664</v>
      </c>
    </row>
    <row r="57" spans="1:5" x14ac:dyDescent="0.35">
      <c r="A57" s="35">
        <v>21824</v>
      </c>
      <c r="B57" s="63">
        <f>VLOOKUP(A57,Database!A:L,MATCH($A$1,Database!$A$1:$L$1,),)</f>
        <v>96.555000000000007</v>
      </c>
      <c r="C57" s="37">
        <f t="shared" si="1"/>
        <v>-4.9487113858754379E-2</v>
      </c>
      <c r="D57" s="36">
        <f t="shared" si="2"/>
        <v>0.10880799265043647</v>
      </c>
      <c r="E57" s="36">
        <f t="shared" si="0"/>
        <v>-0.18373338203821887</v>
      </c>
    </row>
    <row r="58" spans="1:5" x14ac:dyDescent="0.35">
      <c r="A58" s="35">
        <v>21916</v>
      </c>
      <c r="B58" s="63">
        <f>VLOOKUP(A58,Database!A:L,MATCH($A$1,Database!$A$1:$L$1,),)</f>
        <v>108.999</v>
      </c>
      <c r="C58" s="37">
        <f t="shared" si="1"/>
        <v>0.12887991300295157</v>
      </c>
      <c r="D58" s="36">
        <f t="shared" si="2"/>
        <v>0.16710031801098577</v>
      </c>
      <c r="E58" s="36">
        <f t="shared" si="0"/>
        <v>0.62401853493192028</v>
      </c>
    </row>
    <row r="59" spans="1:5" x14ac:dyDescent="0.35">
      <c r="A59" s="35">
        <v>22007</v>
      </c>
      <c r="B59" s="63">
        <f>VLOOKUP(A59,Database!A:L,MATCH($A$1,Database!$A$1:$L$1,),)</f>
        <v>112.126</v>
      </c>
      <c r="C59" s="37">
        <f t="shared" si="1"/>
        <v>2.8688336590244036E-2</v>
      </c>
      <c r="D59" s="36">
        <f t="shared" si="2"/>
        <v>0.21024965730136969</v>
      </c>
      <c r="E59" s="36">
        <f t="shared" si="0"/>
        <v>0.11978659203630371</v>
      </c>
    </row>
    <row r="60" spans="1:5" x14ac:dyDescent="0.35">
      <c r="A60" s="35">
        <v>22098</v>
      </c>
      <c r="B60" s="63">
        <f>VLOOKUP(A60,Database!A:L,MATCH($A$1,Database!$A$1:$L$1,),)</f>
        <v>114.57</v>
      </c>
      <c r="C60" s="37">
        <f t="shared" si="1"/>
        <v>2.1796907050996097E-2</v>
      </c>
      <c r="D60" s="36">
        <f t="shared" si="2"/>
        <v>0.12785729755271605</v>
      </c>
      <c r="E60" s="36">
        <f t="shared" si="0"/>
        <v>9.0079908162618239E-2</v>
      </c>
    </row>
    <row r="61" spans="1:5" x14ac:dyDescent="0.35">
      <c r="A61" s="35">
        <v>22190</v>
      </c>
      <c r="B61" s="63">
        <f>VLOOKUP(A61,Database!A:L,MATCH($A$1,Database!$A$1:$L$1,),)</f>
        <v>115.18</v>
      </c>
      <c r="C61" s="37">
        <f t="shared" si="1"/>
        <v>5.3242559134154986E-3</v>
      </c>
      <c r="D61" s="36">
        <f t="shared" si="2"/>
        <v>0.19289524105432135</v>
      </c>
      <c r="E61" s="36">
        <f t="shared" si="0"/>
        <v>2.146771438510231E-2</v>
      </c>
    </row>
    <row r="62" spans="1:5" x14ac:dyDescent="0.35">
      <c r="A62" s="35">
        <v>22282</v>
      </c>
      <c r="B62" s="63">
        <f>VLOOKUP(A62,Database!A:L,MATCH($A$1,Database!$A$1:$L$1,),)</f>
        <v>114.38800000000001</v>
      </c>
      <c r="C62" s="37">
        <f t="shared" si="1"/>
        <v>-6.8761937836430073E-3</v>
      </c>
      <c r="D62" s="36">
        <f t="shared" si="2"/>
        <v>4.9440820557986861E-2</v>
      </c>
      <c r="E62" s="36">
        <f t="shared" si="0"/>
        <v>-2.7222381135183715E-2</v>
      </c>
    </row>
    <row r="63" spans="1:5" x14ac:dyDescent="0.35">
      <c r="A63" s="35">
        <v>22372</v>
      </c>
      <c r="B63" s="63">
        <f>VLOOKUP(A63,Database!A:L,MATCH($A$1,Database!$A$1:$L$1,),)</f>
        <v>109.06399999999999</v>
      </c>
      <c r="C63" s="37">
        <f t="shared" si="1"/>
        <v>-4.6543343707382001E-2</v>
      </c>
      <c r="D63" s="36">
        <f t="shared" si="2"/>
        <v>-2.730856358025803E-2</v>
      </c>
      <c r="E63" s="36">
        <f t="shared" si="0"/>
        <v>-0.17357428917519202</v>
      </c>
    </row>
    <row r="64" spans="1:5" x14ac:dyDescent="0.35">
      <c r="A64" s="35">
        <v>22463</v>
      </c>
      <c r="B64" s="63">
        <f>VLOOKUP(A64,Database!A:L,MATCH($A$1,Database!$A$1:$L$1,),)</f>
        <v>113.99299999999999</v>
      </c>
      <c r="C64" s="37">
        <f t="shared" si="1"/>
        <v>4.5193647766449081E-2</v>
      </c>
      <c r="D64" s="36">
        <f t="shared" si="2"/>
        <v>-5.0362223967879739E-3</v>
      </c>
      <c r="E64" s="36">
        <f t="shared" si="0"/>
        <v>0.19340278344244033</v>
      </c>
    </row>
    <row r="65" spans="1:5" x14ac:dyDescent="0.35">
      <c r="A65" s="35">
        <v>22555</v>
      </c>
      <c r="B65" s="63">
        <f>VLOOKUP(A65,Database!A:L,MATCH($A$1,Database!$A$1:$L$1,),)</f>
        <v>115.852</v>
      </c>
      <c r="C65" s="37">
        <f t="shared" si="1"/>
        <v>1.6308018913442131E-2</v>
      </c>
      <c r="D65" s="36">
        <f t="shared" si="2"/>
        <v>5.8343462406667563E-3</v>
      </c>
      <c r="E65" s="36">
        <f t="shared" si="0"/>
        <v>6.684520383636694E-2</v>
      </c>
    </row>
    <row r="66" spans="1:5" x14ac:dyDescent="0.35">
      <c r="A66" s="35">
        <v>22647</v>
      </c>
      <c r="B66" s="63">
        <f>VLOOKUP(A66,Database!A:L,MATCH($A$1,Database!$A$1:$L$1,),)</f>
        <v>115.17</v>
      </c>
      <c r="C66" s="37">
        <f t="shared" si="1"/>
        <v>-5.8868211165970562E-3</v>
      </c>
      <c r="D66" s="36">
        <f t="shared" si="2"/>
        <v>6.836381438612411E-3</v>
      </c>
      <c r="E66" s="36">
        <f t="shared" si="0"/>
        <v>-2.3340171311494351E-2</v>
      </c>
    </row>
    <row r="67" spans="1:5" x14ac:dyDescent="0.35">
      <c r="A67" s="35">
        <v>22737</v>
      </c>
      <c r="B67" s="63">
        <f>VLOOKUP(A67,Database!A:L,MATCH($A$1,Database!$A$1:$L$1,),)</f>
        <v>121.789</v>
      </c>
      <c r="C67" s="37">
        <f t="shared" si="1"/>
        <v>5.7471563775288698E-2</v>
      </c>
      <c r="D67" s="36">
        <f t="shared" si="2"/>
        <v>0.11667461307122431</v>
      </c>
      <c r="E67" s="36">
        <f t="shared" si="0"/>
        <v>0.25047435848958366</v>
      </c>
    </row>
    <row r="68" spans="1:5" x14ac:dyDescent="0.35">
      <c r="A68" s="35">
        <v>22828</v>
      </c>
      <c r="B68" s="63">
        <f>VLOOKUP(A68,Database!A:L,MATCH($A$1,Database!$A$1:$L$1,),)</f>
        <v>121.57599999999999</v>
      </c>
      <c r="C68" s="37">
        <f t="shared" si="1"/>
        <v>-1.7489264219265129E-3</v>
      </c>
      <c r="D68" s="36">
        <f t="shared" si="2"/>
        <v>6.6521628521049522E-2</v>
      </c>
      <c r="E68" s="36">
        <f t="shared" si="0"/>
        <v>-6.9773746146444271E-3</v>
      </c>
    </row>
    <row r="69" spans="1:5" x14ac:dyDescent="0.35">
      <c r="A69" s="35">
        <v>22920</v>
      </c>
      <c r="B69" s="63">
        <f>VLOOKUP(A69,Database!A:L,MATCH($A$1,Database!$A$1:$L$1,),)</f>
        <v>117.64400000000001</v>
      </c>
      <c r="C69" s="37">
        <f t="shared" si="1"/>
        <v>-3.234190958741847E-2</v>
      </c>
      <c r="D69" s="36">
        <f t="shared" si="2"/>
        <v>1.5468010910471995E-2</v>
      </c>
      <c r="E69" s="36">
        <f t="shared" si="0"/>
        <v>-0.12322586797628099</v>
      </c>
    </row>
    <row r="70" spans="1:5" x14ac:dyDescent="0.35">
      <c r="A70" s="35">
        <v>23012</v>
      </c>
      <c r="B70" s="63">
        <f>VLOOKUP(A70,Database!A:L,MATCH($A$1,Database!$A$1:$L$1,),)</f>
        <v>119.43</v>
      </c>
      <c r="C70" s="37">
        <f t="shared" si="1"/>
        <v>1.5181394716262633E-2</v>
      </c>
      <c r="D70" s="36">
        <f t="shared" si="2"/>
        <v>3.6988799166449642E-2</v>
      </c>
      <c r="E70" s="36">
        <f t="shared" ref="E70:E133" si="3">((1+C70)^4)-1</f>
        <v>6.2122476169181207E-2</v>
      </c>
    </row>
    <row r="71" spans="1:5" x14ac:dyDescent="0.35">
      <c r="A71" s="35">
        <v>23102</v>
      </c>
      <c r="B71" s="63">
        <f>VLOOKUP(A71,Database!A:L,MATCH($A$1,Database!$A$1:$L$1,),)</f>
        <v>128.977</v>
      </c>
      <c r="C71" s="37">
        <f t="shared" ref="C71:C134" si="4">(B71-B70)/B70</f>
        <v>7.9938039018671997E-2</v>
      </c>
      <c r="D71" s="36">
        <f t="shared" si="2"/>
        <v>5.9020108548391091E-2</v>
      </c>
      <c r="E71" s="36">
        <f t="shared" si="3"/>
        <v>0.36017677490012923</v>
      </c>
    </row>
    <row r="72" spans="1:5" x14ac:dyDescent="0.35">
      <c r="A72" s="35">
        <v>23193</v>
      </c>
      <c r="B72" s="63">
        <f>VLOOKUP(A72,Database!A:L,MATCH($A$1,Database!$A$1:$L$1,),)</f>
        <v>128.33099999999999</v>
      </c>
      <c r="C72" s="37">
        <f t="shared" si="4"/>
        <v>-5.0086449522008959E-3</v>
      </c>
      <c r="D72" s="36">
        <f t="shared" si="2"/>
        <v>5.5561953017042802E-2</v>
      </c>
      <c r="E72" s="36">
        <f t="shared" si="3"/>
        <v>-1.9884562631898861E-2</v>
      </c>
    </row>
    <row r="73" spans="1:5" x14ac:dyDescent="0.35">
      <c r="A73" s="35">
        <v>23285</v>
      </c>
      <c r="B73" s="63">
        <f>VLOOKUP(A73,Database!A:L,MATCH($A$1,Database!$A$1:$L$1,),)</f>
        <v>133.34700000000001</v>
      </c>
      <c r="C73" s="37">
        <f t="shared" si="4"/>
        <v>3.9086424947986226E-2</v>
      </c>
      <c r="D73" s="36">
        <f t="shared" si="2"/>
        <v>0.13347897045323182</v>
      </c>
      <c r="E73" s="36">
        <f t="shared" si="3"/>
        <v>0.16575338242541582</v>
      </c>
    </row>
    <row r="74" spans="1:5" x14ac:dyDescent="0.35">
      <c r="A74" s="35">
        <v>23377</v>
      </c>
      <c r="B74" s="63">
        <f>VLOOKUP(A74,Database!A:L,MATCH($A$1,Database!$A$1:$L$1,),)</f>
        <v>140.09100000000001</v>
      </c>
      <c r="C74" s="37">
        <f t="shared" si="4"/>
        <v>5.0574816081351656E-2</v>
      </c>
      <c r="D74" s="36">
        <f t="shared" ref="D74:D137" si="5">(B74-B70)/B70</f>
        <v>0.17299673448882191</v>
      </c>
      <c r="E74" s="36">
        <f t="shared" si="3"/>
        <v>0.21817012234798527</v>
      </c>
    </row>
    <row r="75" spans="1:5" x14ac:dyDescent="0.35">
      <c r="A75" s="35">
        <v>23468</v>
      </c>
      <c r="B75" s="63">
        <f>VLOOKUP(A75,Database!A:L,MATCH($A$1,Database!$A$1:$L$1,),)</f>
        <v>139.51900000000001</v>
      </c>
      <c r="C75" s="37">
        <f t="shared" si="4"/>
        <v>-4.0830602965215663E-3</v>
      </c>
      <c r="D75" s="36">
        <f t="shared" si="5"/>
        <v>8.1735503229257933E-2</v>
      </c>
      <c r="E75" s="36">
        <f t="shared" si="3"/>
        <v>-1.6232484900862931E-2</v>
      </c>
    </row>
    <row r="76" spans="1:5" x14ac:dyDescent="0.35">
      <c r="A76" s="35">
        <v>23559</v>
      </c>
      <c r="B76" s="63">
        <f>VLOOKUP(A76,Database!A:L,MATCH($A$1,Database!$A$1:$L$1,),)</f>
        <v>143.887</v>
      </c>
      <c r="C76" s="37">
        <f t="shared" si="4"/>
        <v>3.1307563844350912E-2</v>
      </c>
      <c r="D76" s="36">
        <f t="shared" si="5"/>
        <v>0.12121778837537316</v>
      </c>
      <c r="E76" s="36">
        <f t="shared" si="3"/>
        <v>0.13123494355336751</v>
      </c>
    </row>
    <row r="77" spans="1:5" x14ac:dyDescent="0.35">
      <c r="A77" s="35">
        <v>23651</v>
      </c>
      <c r="B77" s="63">
        <f>VLOOKUP(A77,Database!A:L,MATCH($A$1,Database!$A$1:$L$1,),)</f>
        <v>146.78399999999999</v>
      </c>
      <c r="C77" s="37">
        <f t="shared" si="4"/>
        <v>2.0133855039023617E-2</v>
      </c>
      <c r="D77" s="36">
        <f t="shared" si="5"/>
        <v>0.10076717136493496</v>
      </c>
      <c r="E77" s="36">
        <f t="shared" si="3"/>
        <v>8.3000464008945007E-2</v>
      </c>
    </row>
    <row r="78" spans="1:5" x14ac:dyDescent="0.35">
      <c r="A78" s="35">
        <v>23743</v>
      </c>
      <c r="B78" s="63">
        <f>VLOOKUP(A78,Database!A:L,MATCH($A$1,Database!$A$1:$L$1,),)</f>
        <v>129.69999999999999</v>
      </c>
      <c r="C78" s="37">
        <f t="shared" si="4"/>
        <v>-0.11638870721604537</v>
      </c>
      <c r="D78" s="36">
        <f t="shared" si="5"/>
        <v>-7.4173215981041027E-2</v>
      </c>
      <c r="E78" s="36">
        <f t="shared" si="3"/>
        <v>-0.39039989865993674</v>
      </c>
    </row>
    <row r="79" spans="1:5" x14ac:dyDescent="0.35">
      <c r="A79" s="35">
        <v>23833</v>
      </c>
      <c r="B79" s="63">
        <f>VLOOKUP(A79,Database!A:L,MATCH($A$1,Database!$A$1:$L$1,),)</f>
        <v>151.411</v>
      </c>
      <c r="C79" s="37">
        <f t="shared" si="4"/>
        <v>0.16739398612181969</v>
      </c>
      <c r="D79" s="36">
        <f t="shared" si="5"/>
        <v>8.5235702664153243E-2</v>
      </c>
      <c r="E79" s="36">
        <f t="shared" si="3"/>
        <v>0.85724760412830925</v>
      </c>
    </row>
    <row r="80" spans="1:5" x14ac:dyDescent="0.35">
      <c r="A80" s="35">
        <v>23924</v>
      </c>
      <c r="B80" s="63">
        <f>VLOOKUP(A80,Database!A:L,MATCH($A$1,Database!$A$1:$L$1,),)</f>
        <v>148.04599999999999</v>
      </c>
      <c r="C80" s="37">
        <f t="shared" si="4"/>
        <v>-2.2224276967987854E-2</v>
      </c>
      <c r="D80" s="36">
        <f t="shared" si="5"/>
        <v>2.8904626547221025E-2</v>
      </c>
      <c r="E80" s="36">
        <f t="shared" si="3"/>
        <v>-8.5977260920977572E-2</v>
      </c>
    </row>
    <row r="81" spans="1:5" x14ac:dyDescent="0.35">
      <c r="A81" s="35">
        <v>24016</v>
      </c>
      <c r="B81" s="63">
        <f>VLOOKUP(A81,Database!A:L,MATCH($A$1,Database!$A$1:$L$1,),)</f>
        <v>157.095</v>
      </c>
      <c r="C81" s="37">
        <f t="shared" si="4"/>
        <v>6.112289423557548E-2</v>
      </c>
      <c r="D81" s="36">
        <f t="shared" si="5"/>
        <v>7.0246075866579522E-2</v>
      </c>
      <c r="E81" s="36">
        <f t="shared" si="3"/>
        <v>0.26783500643419256</v>
      </c>
    </row>
    <row r="82" spans="1:5" x14ac:dyDescent="0.35">
      <c r="A82" s="35">
        <v>24108</v>
      </c>
      <c r="B82" s="63">
        <f>VLOOKUP(A82,Database!A:L,MATCH($A$1,Database!$A$1:$L$1,),)</f>
        <v>153.22399999999999</v>
      </c>
      <c r="C82" s="37">
        <f t="shared" si="4"/>
        <v>-2.4641140711034782E-2</v>
      </c>
      <c r="D82" s="36">
        <f t="shared" si="5"/>
        <v>0.18137239784117196</v>
      </c>
      <c r="E82" s="36">
        <f t="shared" si="3"/>
        <v>-9.4980926280752276E-2</v>
      </c>
    </row>
    <row r="83" spans="1:5" x14ac:dyDescent="0.35">
      <c r="A83" s="35">
        <v>24198</v>
      </c>
      <c r="B83" s="63">
        <f>VLOOKUP(A83,Database!A:L,MATCH($A$1,Database!$A$1:$L$1,),)</f>
        <v>157.828</v>
      </c>
      <c r="C83" s="37">
        <f t="shared" si="4"/>
        <v>3.0047512139090571E-2</v>
      </c>
      <c r="D83" s="36">
        <f t="shared" si="5"/>
        <v>4.238133292825489E-2</v>
      </c>
      <c r="E83" s="36">
        <f t="shared" si="3"/>
        <v>0.12571649555856568</v>
      </c>
    </row>
    <row r="84" spans="1:5" x14ac:dyDescent="0.35">
      <c r="A84" s="35">
        <v>24289</v>
      </c>
      <c r="B84" s="63">
        <f>VLOOKUP(A84,Database!A:L,MATCH($A$1,Database!$A$1:$L$1,),)</f>
        <v>155.94200000000001</v>
      </c>
      <c r="C84" s="37">
        <f t="shared" si="4"/>
        <v>-1.1949717413893578E-2</v>
      </c>
      <c r="D84" s="36">
        <f t="shared" si="5"/>
        <v>5.3334774326898503E-2</v>
      </c>
      <c r="E84" s="36">
        <f t="shared" si="3"/>
        <v>-4.6948900262581139E-2</v>
      </c>
    </row>
    <row r="85" spans="1:5" x14ac:dyDescent="0.35">
      <c r="A85" s="35">
        <v>24381</v>
      </c>
      <c r="B85" s="63">
        <f>VLOOKUP(A85,Database!A:L,MATCH($A$1,Database!$A$1:$L$1,),)</f>
        <v>159.81899999999999</v>
      </c>
      <c r="C85" s="37">
        <f t="shared" si="4"/>
        <v>2.4861807595131402E-2</v>
      </c>
      <c r="D85" s="36">
        <f t="shared" si="5"/>
        <v>1.7339826219803237E-2</v>
      </c>
      <c r="E85" s="36">
        <f t="shared" si="3"/>
        <v>0.10321773857678473</v>
      </c>
    </row>
    <row r="86" spans="1:5" x14ac:dyDescent="0.35">
      <c r="A86" s="35">
        <v>24473</v>
      </c>
      <c r="B86" s="63">
        <f>VLOOKUP(A86,Database!A:L,MATCH($A$1,Database!$A$1:$L$1,),)</f>
        <v>161.78200000000001</v>
      </c>
      <c r="C86" s="37">
        <f t="shared" si="4"/>
        <v>1.2282644741864374E-2</v>
      </c>
      <c r="D86" s="36">
        <f t="shared" si="5"/>
        <v>5.5852869002245224E-2</v>
      </c>
      <c r="E86" s="36">
        <f t="shared" si="3"/>
        <v>5.0043193902653771E-2</v>
      </c>
    </row>
    <row r="87" spans="1:5" x14ac:dyDescent="0.35">
      <c r="A87" s="35">
        <v>24563</v>
      </c>
      <c r="B87" s="63">
        <f>VLOOKUP(A87,Database!A:L,MATCH($A$1,Database!$A$1:$L$1,),)</f>
        <v>159.631</v>
      </c>
      <c r="C87" s="37">
        <f t="shared" si="4"/>
        <v>-1.3295669481153715E-2</v>
      </c>
      <c r="D87" s="36">
        <f t="shared" si="5"/>
        <v>1.1423828471500603E-2</v>
      </c>
      <c r="E87" s="36">
        <f t="shared" si="3"/>
        <v>-5.2131399072249729E-2</v>
      </c>
    </row>
    <row r="88" spans="1:5" x14ac:dyDescent="0.35">
      <c r="A88" s="35">
        <v>24654</v>
      </c>
      <c r="B88" s="63">
        <f>VLOOKUP(A88,Database!A:L,MATCH($A$1,Database!$A$1:$L$1,),)</f>
        <v>158.35</v>
      </c>
      <c r="C88" s="37">
        <f t="shared" si="4"/>
        <v>-8.0247570960528085E-3</v>
      </c>
      <c r="D88" s="36">
        <f t="shared" si="5"/>
        <v>1.5441638557925299E-2</v>
      </c>
      <c r="E88" s="36">
        <f t="shared" si="3"/>
        <v>-3.1714710950919045E-2</v>
      </c>
    </row>
    <row r="89" spans="1:5" x14ac:dyDescent="0.35">
      <c r="A89" s="35">
        <v>24746</v>
      </c>
      <c r="B89" s="63">
        <f>VLOOKUP(A89,Database!A:L,MATCH($A$1,Database!$A$1:$L$1,),)</f>
        <v>161.33699999999999</v>
      </c>
      <c r="C89" s="37">
        <f t="shared" si="4"/>
        <v>1.8863277549731574E-2</v>
      </c>
      <c r="D89" s="36">
        <f t="shared" si="5"/>
        <v>9.4982448895312866E-3</v>
      </c>
      <c r="E89" s="36">
        <f t="shared" si="3"/>
        <v>7.7615024218745887E-2</v>
      </c>
    </row>
    <row r="90" spans="1:5" x14ac:dyDescent="0.35">
      <c r="A90" s="35">
        <v>24838</v>
      </c>
      <c r="B90" s="63">
        <f>VLOOKUP(A90,Database!A:L,MATCH($A$1,Database!$A$1:$L$1,),)</f>
        <v>165.86799999999999</v>
      </c>
      <c r="C90" s="37">
        <f t="shared" si="4"/>
        <v>2.8084072469427387E-2</v>
      </c>
      <c r="D90" s="36">
        <f t="shared" si="5"/>
        <v>2.5256208972567924E-2</v>
      </c>
      <c r="E90" s="36">
        <f t="shared" si="3"/>
        <v>0.11715780403914633</v>
      </c>
    </row>
    <row r="91" spans="1:5" x14ac:dyDescent="0.35">
      <c r="A91" s="35">
        <v>24929</v>
      </c>
      <c r="B91" s="63">
        <f>VLOOKUP(A91,Database!A:L,MATCH($A$1,Database!$A$1:$L$1,),)</f>
        <v>168.643</v>
      </c>
      <c r="C91" s="37">
        <f t="shared" si="4"/>
        <v>1.6730170979332999E-2</v>
      </c>
      <c r="D91" s="36">
        <f t="shared" si="5"/>
        <v>5.6455199804549244E-2</v>
      </c>
      <c r="E91" s="36">
        <f t="shared" si="3"/>
        <v>6.8618884993701279E-2</v>
      </c>
    </row>
    <row r="92" spans="1:5" x14ac:dyDescent="0.35">
      <c r="A92" s="35">
        <v>25020</v>
      </c>
      <c r="B92" s="63">
        <f>VLOOKUP(A92,Database!A:L,MATCH($A$1,Database!$A$1:$L$1,),)</f>
        <v>180.63499999999999</v>
      </c>
      <c r="C92" s="37">
        <f t="shared" si="4"/>
        <v>7.1108791945114769E-2</v>
      </c>
      <c r="D92" s="36">
        <f t="shared" si="5"/>
        <v>0.14073255446795072</v>
      </c>
      <c r="E92" s="36">
        <f t="shared" si="3"/>
        <v>0.31623773245400444</v>
      </c>
    </row>
    <row r="93" spans="1:5" x14ac:dyDescent="0.35">
      <c r="A93" s="35">
        <v>25112</v>
      </c>
      <c r="B93" s="63">
        <f>VLOOKUP(A93,Database!A:L,MATCH($A$1,Database!$A$1:$L$1,),)</f>
        <v>176.62100000000001</v>
      </c>
      <c r="C93" s="37">
        <f t="shared" si="4"/>
        <v>-2.222160710825688E-2</v>
      </c>
      <c r="D93" s="36">
        <f t="shared" si="5"/>
        <v>9.4733384158624631E-2</v>
      </c>
      <c r="E93" s="36">
        <f t="shared" si="3"/>
        <v>-8.5967277762500682E-2</v>
      </c>
    </row>
    <row r="94" spans="1:5" x14ac:dyDescent="0.35">
      <c r="A94" s="35">
        <v>25204</v>
      </c>
      <c r="B94" s="63">
        <f>VLOOKUP(A94,Database!A:L,MATCH($A$1,Database!$A$1:$L$1,),)</f>
        <v>156.09</v>
      </c>
      <c r="C94" s="37">
        <f t="shared" si="4"/>
        <v>-0.11624325533203869</v>
      </c>
      <c r="D94" s="36">
        <f t="shared" si="5"/>
        <v>-5.895049075168201E-2</v>
      </c>
      <c r="E94" s="36">
        <f t="shared" si="3"/>
        <v>-0.38999841271341784</v>
      </c>
    </row>
    <row r="95" spans="1:5" x14ac:dyDescent="0.35">
      <c r="A95" s="35">
        <v>25294</v>
      </c>
      <c r="B95" s="63">
        <f>VLOOKUP(A95,Database!A:L,MATCH($A$1,Database!$A$1:$L$1,),)</f>
        <v>190.297</v>
      </c>
      <c r="C95" s="37">
        <f t="shared" si="4"/>
        <v>0.21914920878980071</v>
      </c>
      <c r="D95" s="36">
        <f t="shared" si="5"/>
        <v>0.12840141600896565</v>
      </c>
      <c r="E95" s="36">
        <f t="shared" si="3"/>
        <v>1.209161391156877</v>
      </c>
    </row>
    <row r="96" spans="1:5" x14ac:dyDescent="0.35">
      <c r="A96" s="35">
        <v>25385</v>
      </c>
      <c r="B96" s="63">
        <f>VLOOKUP(A96,Database!A:L,MATCH($A$1,Database!$A$1:$L$1,),)</f>
        <v>187.11199999999999</v>
      </c>
      <c r="C96" s="37">
        <f t="shared" si="4"/>
        <v>-1.6736995328355164E-2</v>
      </c>
      <c r="D96" s="36">
        <f t="shared" si="5"/>
        <v>3.5856838375730088E-2</v>
      </c>
      <c r="E96" s="36">
        <f t="shared" si="3"/>
        <v>-6.528589470455548E-2</v>
      </c>
    </row>
    <row r="97" spans="1:5" x14ac:dyDescent="0.35">
      <c r="A97" s="35">
        <v>25477</v>
      </c>
      <c r="B97" s="63">
        <f>VLOOKUP(A97,Database!A:L,MATCH($A$1,Database!$A$1:$L$1,),)</f>
        <v>192.00700000000001</v>
      </c>
      <c r="C97" s="37">
        <f t="shared" si="4"/>
        <v>2.6160802086450951E-2</v>
      </c>
      <c r="D97" s="36">
        <f t="shared" si="5"/>
        <v>8.7113083948114858E-2</v>
      </c>
      <c r="E97" s="36">
        <f t="shared" si="3"/>
        <v>0.10882161863762096</v>
      </c>
    </row>
    <row r="98" spans="1:5" x14ac:dyDescent="0.35">
      <c r="A98" s="35">
        <v>25569</v>
      </c>
      <c r="B98" s="63">
        <f>VLOOKUP(A98,Database!A:L,MATCH($A$1,Database!$A$1:$L$1,),)</f>
        <v>194.54</v>
      </c>
      <c r="C98" s="37">
        <f t="shared" si="4"/>
        <v>1.319222736671052E-2</v>
      </c>
      <c r="D98" s="36">
        <f t="shared" si="5"/>
        <v>0.24633224421807923</v>
      </c>
      <c r="E98" s="36">
        <f t="shared" si="3"/>
        <v>5.3822332562269093E-2</v>
      </c>
    </row>
    <row r="99" spans="1:5" x14ac:dyDescent="0.35">
      <c r="A99" s="35">
        <v>25659</v>
      </c>
      <c r="B99" s="63">
        <f>VLOOKUP(A99,Database!A:L,MATCH($A$1,Database!$A$1:$L$1,),)</f>
        <v>202.078</v>
      </c>
      <c r="C99" s="37">
        <f t="shared" si="4"/>
        <v>3.8747815359309198E-2</v>
      </c>
      <c r="D99" s="36">
        <f t="shared" si="5"/>
        <v>6.1908490412355459E-2</v>
      </c>
      <c r="E99" s="36">
        <f t="shared" si="3"/>
        <v>0.16423457761470295</v>
      </c>
    </row>
    <row r="100" spans="1:5" x14ac:dyDescent="0.35">
      <c r="A100" s="35">
        <v>25750</v>
      </c>
      <c r="B100" s="63">
        <f>VLOOKUP(A100,Database!A:L,MATCH($A$1,Database!$A$1:$L$1,),)</f>
        <v>202.887</v>
      </c>
      <c r="C100" s="37">
        <f t="shared" si="4"/>
        <v>4.003404625936507E-3</v>
      </c>
      <c r="D100" s="36">
        <f t="shared" si="5"/>
        <v>8.4307794262260066E-2</v>
      </c>
      <c r="E100" s="36">
        <f t="shared" si="3"/>
        <v>1.6110038906457236E-2</v>
      </c>
    </row>
    <row r="101" spans="1:5" x14ac:dyDescent="0.35">
      <c r="A101" s="35">
        <v>25842</v>
      </c>
      <c r="B101" s="63">
        <f>VLOOKUP(A101,Database!A:L,MATCH($A$1,Database!$A$1:$L$1,),)</f>
        <v>203.30799999999999</v>
      </c>
      <c r="C101" s="37">
        <f t="shared" si="4"/>
        <v>2.0750467008728616E-3</v>
      </c>
      <c r="D101" s="36">
        <f t="shared" si="5"/>
        <v>5.8857229163520014E-2</v>
      </c>
      <c r="E101" s="36">
        <f t="shared" si="3"/>
        <v>8.3260574739965065E-3</v>
      </c>
    </row>
    <row r="102" spans="1:5" x14ac:dyDescent="0.35">
      <c r="A102" s="35">
        <v>25934</v>
      </c>
      <c r="B102" s="63">
        <f>VLOOKUP(A102,Database!A:L,MATCH($A$1,Database!$A$1:$L$1,),)</f>
        <v>205.16399999999999</v>
      </c>
      <c r="C102" s="37">
        <f t="shared" si="4"/>
        <v>9.1290062368425962E-3</v>
      </c>
      <c r="D102" s="36">
        <f t="shared" si="5"/>
        <v>5.4610876940474944E-2</v>
      </c>
      <c r="E102" s="36">
        <f t="shared" si="3"/>
        <v>3.7019107622003888E-2</v>
      </c>
    </row>
    <row r="103" spans="1:5" x14ac:dyDescent="0.35">
      <c r="A103" s="35">
        <v>26024</v>
      </c>
      <c r="B103" s="63">
        <f>VLOOKUP(A103,Database!A:L,MATCH($A$1,Database!$A$1:$L$1,),)</f>
        <v>203.64699999999999</v>
      </c>
      <c r="C103" s="37">
        <f t="shared" si="4"/>
        <v>-7.394084732214209E-3</v>
      </c>
      <c r="D103" s="36">
        <f t="shared" si="5"/>
        <v>7.7643286255801641E-3</v>
      </c>
      <c r="E103" s="36">
        <f t="shared" si="3"/>
        <v>-2.9249918017678622E-2</v>
      </c>
    </row>
    <row r="104" spans="1:5" x14ac:dyDescent="0.35">
      <c r="A104" s="35">
        <v>26115</v>
      </c>
      <c r="B104" s="63">
        <f>VLOOKUP(A104,Database!A:L,MATCH($A$1,Database!$A$1:$L$1,),)</f>
        <v>213.827</v>
      </c>
      <c r="C104" s="37">
        <f t="shared" si="4"/>
        <v>4.9988460424165382E-2</v>
      </c>
      <c r="D104" s="36">
        <f t="shared" si="5"/>
        <v>5.3921641110568928E-2</v>
      </c>
      <c r="E104" s="36">
        <f t="shared" si="3"/>
        <v>0.21545281687495677</v>
      </c>
    </row>
    <row r="105" spans="1:5" x14ac:dyDescent="0.35">
      <c r="A105" s="35">
        <v>26207</v>
      </c>
      <c r="B105" s="63">
        <f>VLOOKUP(A105,Database!A:L,MATCH($A$1,Database!$A$1:$L$1,),)</f>
        <v>194.08799999999999</v>
      </c>
      <c r="C105" s="37">
        <f t="shared" si="4"/>
        <v>-9.2312944576690523E-2</v>
      </c>
      <c r="D105" s="36">
        <f t="shared" si="5"/>
        <v>-4.5349912448108286E-2</v>
      </c>
      <c r="E105" s="36">
        <f t="shared" si="3"/>
        <v>-0.32119572625955051</v>
      </c>
    </row>
    <row r="106" spans="1:5" x14ac:dyDescent="0.35">
      <c r="A106" s="35">
        <v>26299</v>
      </c>
      <c r="B106" s="63">
        <f>VLOOKUP(A106,Database!A:L,MATCH($A$1,Database!$A$1:$L$1,),)</f>
        <v>216.149</v>
      </c>
      <c r="C106" s="37">
        <f t="shared" si="4"/>
        <v>0.1136649354931784</v>
      </c>
      <c r="D106" s="36">
        <f t="shared" si="5"/>
        <v>5.3542531828196051E-2</v>
      </c>
      <c r="E106" s="36">
        <f t="shared" si="3"/>
        <v>0.53821904189106551</v>
      </c>
    </row>
    <row r="107" spans="1:5" x14ac:dyDescent="0.35">
      <c r="A107" s="35">
        <v>26390</v>
      </c>
      <c r="B107" s="63">
        <f>VLOOKUP(A107,Database!A:L,MATCH($A$1,Database!$A$1:$L$1,),)</f>
        <v>209.84200000000001</v>
      </c>
      <c r="C107" s="37">
        <f t="shared" si="4"/>
        <v>-2.9178946004839199E-2</v>
      </c>
      <c r="D107" s="36">
        <f t="shared" si="5"/>
        <v>3.0420286083271651E-2</v>
      </c>
      <c r="E107" s="36">
        <f t="shared" si="3"/>
        <v>-0.11170596686867673</v>
      </c>
    </row>
    <row r="108" spans="1:5" x14ac:dyDescent="0.35">
      <c r="A108" s="35">
        <v>26481</v>
      </c>
      <c r="B108" s="63">
        <f>VLOOKUP(A108,Database!A:L,MATCH($A$1,Database!$A$1:$L$1,),)</f>
        <v>222.49299999999999</v>
      </c>
      <c r="C108" s="37">
        <f t="shared" si="4"/>
        <v>6.0288216848867156E-2</v>
      </c>
      <c r="D108" s="36">
        <f t="shared" si="5"/>
        <v>4.0528090465656801E-2</v>
      </c>
      <c r="E108" s="36">
        <f t="shared" si="3"/>
        <v>0.26385060363304857</v>
      </c>
    </row>
    <row r="109" spans="1:5" x14ac:dyDescent="0.35">
      <c r="A109" s="35">
        <v>26573</v>
      </c>
      <c r="B109" s="63">
        <f>VLOOKUP(A109,Database!A:L,MATCH($A$1,Database!$A$1:$L$1,),)</f>
        <v>231.90199999999999</v>
      </c>
      <c r="C109" s="37">
        <f t="shared" si="4"/>
        <v>4.2288970888971752E-2</v>
      </c>
      <c r="D109" s="36">
        <f t="shared" si="5"/>
        <v>0.19482914966406989</v>
      </c>
      <c r="E109" s="36">
        <f t="shared" si="3"/>
        <v>0.18019173524834997</v>
      </c>
    </row>
    <row r="110" spans="1:5" x14ac:dyDescent="0.35">
      <c r="A110" s="35">
        <v>26665</v>
      </c>
      <c r="B110" s="63">
        <f>VLOOKUP(A110,Database!A:L,MATCH($A$1,Database!$A$1:$L$1,),)</f>
        <v>248.86699999999999</v>
      </c>
      <c r="C110" s="37">
        <f t="shared" si="4"/>
        <v>7.3155902062077963E-2</v>
      </c>
      <c r="D110" s="36">
        <f t="shared" si="5"/>
        <v>0.15136780646683531</v>
      </c>
      <c r="E110" s="36">
        <f t="shared" si="3"/>
        <v>0.32632902483266957</v>
      </c>
    </row>
    <row r="111" spans="1:5" x14ac:dyDescent="0.35">
      <c r="A111" s="35">
        <v>26755</v>
      </c>
      <c r="B111" s="63">
        <f>VLOOKUP(A111,Database!A:L,MATCH($A$1,Database!$A$1:$L$1,),)</f>
        <v>260.85599999999999</v>
      </c>
      <c r="C111" s="37">
        <f t="shared" si="4"/>
        <v>4.8174326045638857E-2</v>
      </c>
      <c r="D111" s="36">
        <f t="shared" si="5"/>
        <v>0.24310671838812048</v>
      </c>
      <c r="E111" s="36">
        <f t="shared" si="3"/>
        <v>0.20707448956774543</v>
      </c>
    </row>
    <row r="112" spans="1:5" x14ac:dyDescent="0.35">
      <c r="A112" s="35">
        <v>26846</v>
      </c>
      <c r="B112" s="63">
        <f>VLOOKUP(A112,Database!A:L,MATCH($A$1,Database!$A$1:$L$1,),)</f>
        <v>261.73500000000001</v>
      </c>
      <c r="C112" s="37">
        <f t="shared" si="4"/>
        <v>3.3696752231116749E-3</v>
      </c>
      <c r="D112" s="36">
        <f t="shared" si="5"/>
        <v>0.17637408817356059</v>
      </c>
      <c r="E112" s="36">
        <f t="shared" si="3"/>
        <v>1.3546982334786462E-2</v>
      </c>
    </row>
    <row r="113" spans="1:5" x14ac:dyDescent="0.35">
      <c r="A113" s="35">
        <v>26938</v>
      </c>
      <c r="B113" s="63">
        <f>VLOOKUP(A113,Database!A:L,MATCH($A$1,Database!$A$1:$L$1,),)</f>
        <v>274.61</v>
      </c>
      <c r="C113" s="37">
        <f t="shared" si="4"/>
        <v>4.9190975605096755E-2</v>
      </c>
      <c r="D113" s="36">
        <f t="shared" si="5"/>
        <v>0.18416400031047611</v>
      </c>
      <c r="E113" s="36">
        <f t="shared" si="3"/>
        <v>0.21176438996875158</v>
      </c>
    </row>
    <row r="114" spans="1:5" x14ac:dyDescent="0.35">
      <c r="A114" s="35">
        <v>27030</v>
      </c>
      <c r="B114" s="63">
        <f>VLOOKUP(A114,Database!A:L,MATCH($A$1,Database!$A$1:$L$1,),)</f>
        <v>278.17099999999999</v>
      </c>
      <c r="C114" s="37">
        <f t="shared" si="4"/>
        <v>1.2967481155092598E-2</v>
      </c>
      <c r="D114" s="36">
        <f t="shared" si="5"/>
        <v>0.1177496413747102</v>
      </c>
      <c r="E114" s="36">
        <f t="shared" si="3"/>
        <v>5.2887608518322526E-2</v>
      </c>
    </row>
    <row r="115" spans="1:5" x14ac:dyDescent="0.35">
      <c r="A115" s="35">
        <v>27120</v>
      </c>
      <c r="B115" s="63">
        <f>VLOOKUP(A115,Database!A:L,MATCH($A$1,Database!$A$1:$L$1,),)</f>
        <v>291.73500000000001</v>
      </c>
      <c r="C115" s="37">
        <f t="shared" si="4"/>
        <v>4.8761373399815303E-2</v>
      </c>
      <c r="D115" s="36">
        <f t="shared" si="5"/>
        <v>0.11837565553408785</v>
      </c>
      <c r="E115" s="36">
        <f t="shared" si="3"/>
        <v>0.20978093025453481</v>
      </c>
    </row>
    <row r="116" spans="1:5" x14ac:dyDescent="0.35">
      <c r="A116" s="35">
        <v>27211</v>
      </c>
      <c r="B116" s="63">
        <f>VLOOKUP(A116,Database!A:L,MATCH($A$1,Database!$A$1:$L$1,),)</f>
        <v>276.01799999999997</v>
      </c>
      <c r="C116" s="37">
        <f t="shared" si="4"/>
        <v>-5.3874235179186727E-2</v>
      </c>
      <c r="D116" s="36">
        <f t="shared" si="5"/>
        <v>5.4570462490686984E-2</v>
      </c>
      <c r="E116" s="36">
        <f t="shared" si="3"/>
        <v>-0.19869938278003219</v>
      </c>
    </row>
    <row r="117" spans="1:5" x14ac:dyDescent="0.35">
      <c r="A117" s="35">
        <v>27303</v>
      </c>
      <c r="B117" s="63">
        <f>VLOOKUP(A117,Database!A:L,MATCH($A$1,Database!$A$1:$L$1,),)</f>
        <v>283.22800000000001</v>
      </c>
      <c r="C117" s="37">
        <f t="shared" si="4"/>
        <v>2.6121484830699582E-2</v>
      </c>
      <c r="D117" s="36">
        <f t="shared" si="5"/>
        <v>3.1382688175958615E-2</v>
      </c>
      <c r="E117" s="36">
        <f t="shared" si="3"/>
        <v>0.10865169081506876</v>
      </c>
    </row>
    <row r="118" spans="1:5" x14ac:dyDescent="0.35">
      <c r="A118" s="35">
        <v>27395</v>
      </c>
      <c r="B118" s="63">
        <f>VLOOKUP(A118,Database!A:L,MATCH($A$1,Database!$A$1:$L$1,),)</f>
        <v>285.20400000000001</v>
      </c>
      <c r="C118" s="37">
        <f t="shared" si="4"/>
        <v>6.9767113420989412E-3</v>
      </c>
      <c r="D118" s="36">
        <f t="shared" si="5"/>
        <v>2.5283009371933146E-2</v>
      </c>
      <c r="E118" s="36">
        <f t="shared" si="3"/>
        <v>2.8200253096285488E-2</v>
      </c>
    </row>
    <row r="119" spans="1:5" x14ac:dyDescent="0.35">
      <c r="A119" s="35">
        <v>27485</v>
      </c>
      <c r="B119" s="63">
        <f>VLOOKUP(A119,Database!A:L,MATCH($A$1,Database!$A$1:$L$1,),)</f>
        <v>276.88900000000001</v>
      </c>
      <c r="C119" s="37">
        <f t="shared" si="4"/>
        <v>-2.9154570062130958E-2</v>
      </c>
      <c r="D119" s="36">
        <f t="shared" si="5"/>
        <v>-5.0888648945104302E-2</v>
      </c>
      <c r="E119" s="36">
        <f t="shared" si="3"/>
        <v>-0.11161674828447465</v>
      </c>
    </row>
    <row r="120" spans="1:5" x14ac:dyDescent="0.35">
      <c r="A120" s="35">
        <v>27576</v>
      </c>
      <c r="B120" s="63">
        <f>VLOOKUP(A120,Database!A:L,MATCH($A$1,Database!$A$1:$L$1,),)</f>
        <v>272.21800000000002</v>
      </c>
      <c r="C120" s="37">
        <f t="shared" si="4"/>
        <v>-1.6869575895033722E-2</v>
      </c>
      <c r="D120" s="36">
        <f t="shared" si="5"/>
        <v>-1.3767218079980128E-2</v>
      </c>
      <c r="E120" s="36">
        <f t="shared" si="3"/>
        <v>-6.5789930198074886E-2</v>
      </c>
    </row>
    <row r="121" spans="1:5" x14ac:dyDescent="0.35">
      <c r="A121" s="35">
        <v>27668</v>
      </c>
      <c r="B121" s="63">
        <f>VLOOKUP(A121,Database!A:L,MATCH($A$1,Database!$A$1:$L$1,),)</f>
        <v>287.60899999999998</v>
      </c>
      <c r="C121" s="37">
        <f t="shared" si="4"/>
        <v>5.6539244282156072E-2</v>
      </c>
      <c r="D121" s="36">
        <f t="shared" si="5"/>
        <v>1.546810343610085E-2</v>
      </c>
      <c r="E121" s="36">
        <f t="shared" si="3"/>
        <v>0.24607026567006729</v>
      </c>
    </row>
    <row r="122" spans="1:5" x14ac:dyDescent="0.35">
      <c r="A122" s="35">
        <v>27760</v>
      </c>
      <c r="B122" s="63">
        <f>VLOOKUP(A122,Database!A:L,MATCH($A$1,Database!$A$1:$L$1,),)</f>
        <v>285.62400000000002</v>
      </c>
      <c r="C122" s="37">
        <f t="shared" si="4"/>
        <v>-6.9017311697476677E-3</v>
      </c>
      <c r="D122" s="36">
        <f t="shared" si="5"/>
        <v>1.4726301173897138E-3</v>
      </c>
      <c r="E122" s="36">
        <f t="shared" si="3"/>
        <v>-2.7322434076466284E-2</v>
      </c>
    </row>
    <row r="123" spans="1:5" x14ac:dyDescent="0.35">
      <c r="A123" s="35">
        <v>27851</v>
      </c>
      <c r="B123" s="63">
        <f>VLOOKUP(A123,Database!A:L,MATCH($A$1,Database!$A$1:$L$1,),)</f>
        <v>288.50299999999999</v>
      </c>
      <c r="C123" s="37">
        <f t="shared" si="4"/>
        <v>1.007968518051691E-2</v>
      </c>
      <c r="D123" s="36">
        <f t="shared" si="5"/>
        <v>4.1944605961233478E-2</v>
      </c>
      <c r="E123" s="36">
        <f t="shared" si="3"/>
        <v>4.0932447750876344E-2</v>
      </c>
    </row>
    <row r="124" spans="1:5" x14ac:dyDescent="0.35">
      <c r="A124" s="35">
        <v>27942</v>
      </c>
      <c r="B124" s="63">
        <f>VLOOKUP(A124,Database!A:L,MATCH($A$1,Database!$A$1:$L$1,),)</f>
        <v>296.88600000000002</v>
      </c>
      <c r="C124" s="37">
        <f t="shared" si="4"/>
        <v>2.9056890222978752E-2</v>
      </c>
      <c r="D124" s="36">
        <f t="shared" si="5"/>
        <v>9.0618548369321664E-2</v>
      </c>
      <c r="E124" s="36">
        <f t="shared" si="3"/>
        <v>0.12139222221900026</v>
      </c>
    </row>
    <row r="125" spans="1:5" x14ac:dyDescent="0.35">
      <c r="A125" s="35">
        <v>28034</v>
      </c>
      <c r="B125" s="63">
        <f>VLOOKUP(A125,Database!A:L,MATCH($A$1,Database!$A$1:$L$1,),)</f>
        <v>299.89800000000002</v>
      </c>
      <c r="C125" s="37">
        <f t="shared" si="4"/>
        <v>1.0145308300155616E-2</v>
      </c>
      <c r="D125" s="36">
        <f t="shared" si="5"/>
        <v>4.2728148284650498E-2</v>
      </c>
      <c r="E125" s="36">
        <f t="shared" si="3"/>
        <v>4.1202984393652109E-2</v>
      </c>
    </row>
    <row r="126" spans="1:5" x14ac:dyDescent="0.35">
      <c r="A126" s="35">
        <v>28126</v>
      </c>
      <c r="B126" s="63">
        <f>VLOOKUP(A126,Database!A:L,MATCH($A$1,Database!$A$1:$L$1,),)</f>
        <v>295.072</v>
      </c>
      <c r="C126" s="37">
        <f t="shared" si="4"/>
        <v>-1.6092137993584558E-2</v>
      </c>
      <c r="D126" s="36">
        <f t="shared" si="5"/>
        <v>3.3078452791081903E-2</v>
      </c>
      <c r="E126" s="36">
        <f t="shared" si="3"/>
        <v>-6.2831412165443745E-2</v>
      </c>
    </row>
    <row r="127" spans="1:5" x14ac:dyDescent="0.35">
      <c r="A127" s="35">
        <v>28216</v>
      </c>
      <c r="B127" s="63">
        <f>VLOOKUP(A127,Database!A:L,MATCH($A$1,Database!$A$1:$L$1,),)</f>
        <v>303.024</v>
      </c>
      <c r="C127" s="37">
        <f t="shared" si="4"/>
        <v>2.6949354733759888E-2</v>
      </c>
      <c r="D127" s="36">
        <f t="shared" si="5"/>
        <v>5.0332232247151727E-2</v>
      </c>
      <c r="E127" s="36">
        <f t="shared" si="3"/>
        <v>0.11223384250896995</v>
      </c>
    </row>
    <row r="128" spans="1:5" x14ac:dyDescent="0.35">
      <c r="A128" s="35">
        <v>28307</v>
      </c>
      <c r="B128" s="63">
        <f>VLOOKUP(A128,Database!A:L,MATCH($A$1,Database!$A$1:$L$1,),)</f>
        <v>305.375</v>
      </c>
      <c r="C128" s="37">
        <f t="shared" si="4"/>
        <v>7.7584613759966179E-3</v>
      </c>
      <c r="D128" s="36">
        <f t="shared" si="5"/>
        <v>2.8593466852596536E-2</v>
      </c>
      <c r="E128" s="36">
        <f t="shared" si="3"/>
        <v>3.1396879507505249E-2</v>
      </c>
    </row>
    <row r="129" spans="1:5" x14ac:dyDescent="0.35">
      <c r="A129" s="35">
        <v>28399</v>
      </c>
      <c r="B129" s="63">
        <f>VLOOKUP(A129,Database!A:L,MATCH($A$1,Database!$A$1:$L$1,),)</f>
        <v>295.584</v>
      </c>
      <c r="C129" s="37">
        <f t="shared" si="4"/>
        <v>-3.2062218583708543E-2</v>
      </c>
      <c r="D129" s="36">
        <f t="shared" si="5"/>
        <v>-1.4384890862893454E-2</v>
      </c>
      <c r="E129" s="36">
        <f t="shared" si="3"/>
        <v>-0.12221174044629013</v>
      </c>
    </row>
    <row r="130" spans="1:5" x14ac:dyDescent="0.35">
      <c r="A130" s="35">
        <v>28491</v>
      </c>
      <c r="B130" s="63">
        <f>VLOOKUP(A130,Database!A:L,MATCH($A$1,Database!$A$1:$L$1,),)</f>
        <v>302.56299999999999</v>
      </c>
      <c r="C130" s="37">
        <f t="shared" si="4"/>
        <v>2.3610885568907603E-2</v>
      </c>
      <c r="D130" s="36">
        <f t="shared" si="5"/>
        <v>2.538702418392794E-2</v>
      </c>
      <c r="E130" s="36">
        <f t="shared" si="3"/>
        <v>9.7841346368367832E-2</v>
      </c>
    </row>
    <row r="131" spans="1:5" x14ac:dyDescent="0.35">
      <c r="A131" s="35">
        <v>28581</v>
      </c>
      <c r="B131" s="63">
        <f>VLOOKUP(A131,Database!A:L,MATCH($A$1,Database!$A$1:$L$1,),)</f>
        <v>334.10599999999999</v>
      </c>
      <c r="C131" s="37">
        <f t="shared" si="4"/>
        <v>0.10425266803938356</v>
      </c>
      <c r="D131" s="36">
        <f t="shared" si="5"/>
        <v>0.10257273351285705</v>
      </c>
      <c r="E131" s="36">
        <f t="shared" si="3"/>
        <v>0.48687284182041934</v>
      </c>
    </row>
    <row r="132" spans="1:5" x14ac:dyDescent="0.35">
      <c r="A132" s="35">
        <v>28672</v>
      </c>
      <c r="B132" s="63">
        <f>VLOOKUP(A132,Database!A:L,MATCH($A$1,Database!$A$1:$L$1,),)</f>
        <v>337.77199999999999</v>
      </c>
      <c r="C132" s="37">
        <f t="shared" si="4"/>
        <v>1.097256559295552E-2</v>
      </c>
      <c r="D132" s="36">
        <f t="shared" si="5"/>
        <v>0.10608923454768725</v>
      </c>
      <c r="E132" s="36">
        <f t="shared" si="3"/>
        <v>4.4617944305965107E-2</v>
      </c>
    </row>
    <row r="133" spans="1:5" x14ac:dyDescent="0.35">
      <c r="A133" s="35">
        <v>28764</v>
      </c>
      <c r="B133" s="63">
        <f>VLOOKUP(A133,Database!A:L,MATCH($A$1,Database!$A$1:$L$1,),)</f>
        <v>351.178</v>
      </c>
      <c r="C133" s="37">
        <f t="shared" si="4"/>
        <v>3.9689494688724958E-2</v>
      </c>
      <c r="D133" s="36">
        <f t="shared" si="5"/>
        <v>0.18808189888491933</v>
      </c>
      <c r="E133" s="36">
        <f t="shared" si="3"/>
        <v>0.16846208057498679</v>
      </c>
    </row>
    <row r="134" spans="1:5" x14ac:dyDescent="0.35">
      <c r="A134" s="35">
        <v>28856</v>
      </c>
      <c r="B134" s="63">
        <f>VLOOKUP(A134,Database!A:L,MATCH($A$1,Database!$A$1:$L$1,),)</f>
        <v>351.45299999999997</v>
      </c>
      <c r="C134" s="37">
        <f t="shared" si="4"/>
        <v>7.8307866665900847E-4</v>
      </c>
      <c r="D134" s="36">
        <f t="shared" si="5"/>
        <v>0.16158618205134134</v>
      </c>
      <c r="E134" s="36">
        <f t="shared" ref="E134:E197" si="6">((1+C134)^4)-1</f>
        <v>3.1359958609742389E-3</v>
      </c>
    </row>
    <row r="135" spans="1:5" x14ac:dyDescent="0.35">
      <c r="A135" s="35">
        <v>28946</v>
      </c>
      <c r="B135" s="63">
        <f>VLOOKUP(A135,Database!A:L,MATCH($A$1,Database!$A$1:$L$1,),)</f>
        <v>352.36900000000003</v>
      </c>
      <c r="C135" s="37">
        <f t="shared" ref="C135:C198" si="7">(B135-B134)/B134</f>
        <v>2.6063228938152574E-3</v>
      </c>
      <c r="D135" s="36">
        <f t="shared" si="5"/>
        <v>5.4662292805277471E-2</v>
      </c>
      <c r="E135" s="36">
        <f t="shared" si="6"/>
        <v>1.0466119953727704E-2</v>
      </c>
    </row>
    <row r="136" spans="1:5" x14ac:dyDescent="0.35">
      <c r="A136" s="35">
        <v>29037</v>
      </c>
      <c r="B136" s="63">
        <f>VLOOKUP(A136,Database!A:L,MATCH($A$1,Database!$A$1:$L$1,),)</f>
        <v>365.05</v>
      </c>
      <c r="C136" s="37">
        <f t="shared" si="7"/>
        <v>3.5987842290326283E-2</v>
      </c>
      <c r="D136" s="36">
        <f t="shared" si="5"/>
        <v>8.0758618239522573E-2</v>
      </c>
      <c r="E136" s="36">
        <f t="shared" si="6"/>
        <v>0.15191023025296024</v>
      </c>
    </row>
    <row r="137" spans="1:5" x14ac:dyDescent="0.35">
      <c r="A137" s="35">
        <v>29129</v>
      </c>
      <c r="B137" s="63">
        <f>VLOOKUP(A137,Database!A:L,MATCH($A$1,Database!$A$1:$L$1,),)</f>
        <v>388.01900000000001</v>
      </c>
      <c r="C137" s="37">
        <f t="shared" si="7"/>
        <v>6.2920147924941772E-2</v>
      </c>
      <c r="D137" s="36">
        <f t="shared" si="5"/>
        <v>0.10490691330322517</v>
      </c>
      <c r="E137" s="36">
        <f t="shared" si="6"/>
        <v>0.27644632465863284</v>
      </c>
    </row>
    <row r="138" spans="1:5" x14ac:dyDescent="0.35">
      <c r="A138" s="35">
        <v>29221</v>
      </c>
      <c r="B138" s="63">
        <f>VLOOKUP(A138,Database!A:L,MATCH($A$1,Database!$A$1:$L$1,),)</f>
        <v>398.84800000000001</v>
      </c>
      <c r="C138" s="37">
        <f t="shared" si="7"/>
        <v>2.7908427164649172E-2</v>
      </c>
      <c r="D138" s="36">
        <f t="shared" ref="D138:D201" si="8">(B138-B134)/B134</f>
        <v>0.13485444710957095</v>
      </c>
      <c r="E138" s="36">
        <f t="shared" si="6"/>
        <v>0.11639454645120617</v>
      </c>
    </row>
    <row r="139" spans="1:5" x14ac:dyDescent="0.35">
      <c r="A139" s="35">
        <v>29312</v>
      </c>
      <c r="B139" s="63">
        <f>VLOOKUP(A139,Database!A:L,MATCH($A$1,Database!$A$1:$L$1,),)</f>
        <v>406.36700000000002</v>
      </c>
      <c r="C139" s="37">
        <f t="shared" si="7"/>
        <v>1.8851793164313235E-2</v>
      </c>
      <c r="D139" s="36">
        <f t="shared" si="8"/>
        <v>0.15324276539650192</v>
      </c>
      <c r="E139" s="36">
        <f t="shared" si="6"/>
        <v>7.7566438555487283E-2</v>
      </c>
    </row>
    <row r="140" spans="1:5" x14ac:dyDescent="0.35">
      <c r="A140" s="35">
        <v>29403</v>
      </c>
      <c r="B140" s="63">
        <f>VLOOKUP(A140,Database!A:L,MATCH($A$1,Database!$A$1:$L$1,),)</f>
        <v>405.50099999999998</v>
      </c>
      <c r="C140" s="37">
        <f t="shared" si="7"/>
        <v>-2.1310785570679762E-3</v>
      </c>
      <c r="D140" s="36">
        <f t="shared" si="8"/>
        <v>0.11080947815367748</v>
      </c>
      <c r="E140" s="36">
        <f t="shared" si="6"/>
        <v>-8.4971039458856534E-3</v>
      </c>
    </row>
    <row r="141" spans="1:5" x14ac:dyDescent="0.35">
      <c r="A141" s="35">
        <v>29495</v>
      </c>
      <c r="B141" s="63">
        <f>VLOOKUP(A141,Database!A:L,MATCH($A$1,Database!$A$1:$L$1,),)</f>
        <v>403.04500000000002</v>
      </c>
      <c r="C141" s="37">
        <f t="shared" si="7"/>
        <v>-6.0567051622559759E-3</v>
      </c>
      <c r="D141" s="36">
        <f t="shared" si="8"/>
        <v>3.8724907800906684E-2</v>
      </c>
      <c r="E141" s="36">
        <f t="shared" si="6"/>
        <v>-2.4007605967670376E-2</v>
      </c>
    </row>
    <row r="142" spans="1:5" x14ac:dyDescent="0.35">
      <c r="A142" s="35">
        <v>29587</v>
      </c>
      <c r="B142" s="63">
        <f>VLOOKUP(A142,Database!A:L,MATCH($A$1,Database!$A$1:$L$1,),)</f>
        <v>410.625</v>
      </c>
      <c r="C142" s="37">
        <f t="shared" si="7"/>
        <v>1.8806832983909946E-2</v>
      </c>
      <c r="D142" s="36">
        <f t="shared" si="8"/>
        <v>2.9527539313222044E-2</v>
      </c>
      <c r="E142" s="36">
        <f t="shared" si="6"/>
        <v>7.7376246517624869E-2</v>
      </c>
    </row>
    <row r="143" spans="1:5" x14ac:dyDescent="0.35">
      <c r="A143" s="35">
        <v>29677</v>
      </c>
      <c r="B143" s="63">
        <f>VLOOKUP(A143,Database!A:L,MATCH($A$1,Database!$A$1:$L$1,),)</f>
        <v>412.84500000000003</v>
      </c>
      <c r="C143" s="37">
        <f t="shared" si="7"/>
        <v>5.4063926940639932E-3</v>
      </c>
      <c r="D143" s="36">
        <f t="shared" si="8"/>
        <v>1.5941255072385328E-2</v>
      </c>
      <c r="E143" s="36">
        <f t="shared" si="6"/>
        <v>2.1801578217950146E-2</v>
      </c>
    </row>
    <row r="144" spans="1:5" x14ac:dyDescent="0.35">
      <c r="A144" s="35">
        <v>29768</v>
      </c>
      <c r="B144" s="63">
        <f>VLOOKUP(A144,Database!A:L,MATCH($A$1,Database!$A$1:$L$1,),)</f>
        <v>404.05</v>
      </c>
      <c r="C144" s="37">
        <f t="shared" si="7"/>
        <v>-2.1303394736523429E-2</v>
      </c>
      <c r="D144" s="36">
        <f t="shared" si="8"/>
        <v>-3.5782895726520158E-3</v>
      </c>
      <c r="E144" s="36">
        <f t="shared" si="6"/>
        <v>-8.2529038089265927E-2</v>
      </c>
    </row>
    <row r="145" spans="1:5" x14ac:dyDescent="0.35">
      <c r="A145" s="35">
        <v>29860</v>
      </c>
      <c r="B145" s="63">
        <f>VLOOKUP(A145,Database!A:L,MATCH($A$1,Database!$A$1:$L$1,),)</f>
        <v>405.90499999999997</v>
      </c>
      <c r="C145" s="37">
        <f t="shared" si="7"/>
        <v>4.5910159633707742E-3</v>
      </c>
      <c r="D145" s="36">
        <f t="shared" si="8"/>
        <v>7.0959818382561671E-3</v>
      </c>
      <c r="E145" s="36">
        <f t="shared" si="6"/>
        <v>1.8490915930422958E-2</v>
      </c>
    </row>
    <row r="146" spans="1:5" x14ac:dyDescent="0.35">
      <c r="A146" s="35">
        <v>29952</v>
      </c>
      <c r="B146" s="63">
        <f>VLOOKUP(A146,Database!A:L,MATCH($A$1,Database!$A$1:$L$1,),)</f>
        <v>388.28899999999999</v>
      </c>
      <c r="C146" s="37">
        <f t="shared" si="7"/>
        <v>-4.3399317574309225E-2</v>
      </c>
      <c r="D146" s="36">
        <f t="shared" si="8"/>
        <v>-5.4395129375951326E-2</v>
      </c>
      <c r="E146" s="36">
        <f t="shared" si="6"/>
        <v>-0.16261968871817312</v>
      </c>
    </row>
    <row r="147" spans="1:5" x14ac:dyDescent="0.35">
      <c r="A147" s="35">
        <v>30042</v>
      </c>
      <c r="B147" s="63">
        <f>VLOOKUP(A147,Database!A:L,MATCH($A$1,Database!$A$1:$L$1,),)</f>
        <v>390.60500000000002</v>
      </c>
      <c r="C147" s="37">
        <f t="shared" si="7"/>
        <v>5.9646294383823156E-3</v>
      </c>
      <c r="D147" s="36">
        <f t="shared" si="8"/>
        <v>-5.3870096525330348E-2</v>
      </c>
      <c r="E147" s="36">
        <f t="shared" si="6"/>
        <v>2.4072828655079759E-2</v>
      </c>
    </row>
    <row r="148" spans="1:5" x14ac:dyDescent="0.35">
      <c r="A148" s="35">
        <v>30133</v>
      </c>
      <c r="B148" s="63">
        <f>VLOOKUP(A148,Database!A:L,MATCH($A$1,Database!$A$1:$L$1,),)</f>
        <v>373.28300000000002</v>
      </c>
      <c r="C148" s="37">
        <f t="shared" si="7"/>
        <v>-4.4346590545435931E-2</v>
      </c>
      <c r="D148" s="36">
        <f t="shared" si="8"/>
        <v>-7.6146516520232632E-2</v>
      </c>
      <c r="E148" s="36">
        <f t="shared" si="6"/>
        <v>-0.16593162561321773</v>
      </c>
    </row>
    <row r="149" spans="1:5" x14ac:dyDescent="0.35">
      <c r="A149" s="35">
        <v>30225</v>
      </c>
      <c r="B149" s="63">
        <f>VLOOKUP(A149,Database!A:L,MATCH($A$1,Database!$A$1:$L$1,),)</f>
        <v>356.178</v>
      </c>
      <c r="C149" s="37">
        <f t="shared" si="7"/>
        <v>-4.5823142227211039E-2</v>
      </c>
      <c r="D149" s="36">
        <f t="shared" si="8"/>
        <v>-0.12250896145649839</v>
      </c>
      <c r="E149" s="36">
        <f t="shared" si="6"/>
        <v>-0.17107446820494132</v>
      </c>
    </row>
    <row r="150" spans="1:5" x14ac:dyDescent="0.35">
      <c r="A150" s="35">
        <v>30317</v>
      </c>
      <c r="B150" s="63">
        <f>VLOOKUP(A150,Database!A:L,MATCH($A$1,Database!$A$1:$L$1,),)</f>
        <v>361.923</v>
      </c>
      <c r="C150" s="37">
        <f t="shared" si="7"/>
        <v>1.6129575661607411E-2</v>
      </c>
      <c r="D150" s="36">
        <f t="shared" si="8"/>
        <v>-6.790303098980395E-2</v>
      </c>
      <c r="E150" s="36">
        <f t="shared" si="6"/>
        <v>6.6096134886252988E-2</v>
      </c>
    </row>
    <row r="151" spans="1:5" x14ac:dyDescent="0.35">
      <c r="A151" s="35">
        <v>30407</v>
      </c>
      <c r="B151" s="63">
        <f>VLOOKUP(A151,Database!A:L,MATCH($A$1,Database!$A$1:$L$1,),)</f>
        <v>363.00599999999997</v>
      </c>
      <c r="C151" s="37">
        <f t="shared" si="7"/>
        <v>2.9923492013493752E-3</v>
      </c>
      <c r="D151" s="36">
        <f t="shared" si="8"/>
        <v>-7.0657057641351356E-2</v>
      </c>
      <c r="E151" s="36">
        <f t="shared" si="6"/>
        <v>1.202322898385022E-2</v>
      </c>
    </row>
    <row r="152" spans="1:5" x14ac:dyDescent="0.35">
      <c r="A152" s="35">
        <v>30498</v>
      </c>
      <c r="B152" s="63">
        <f>VLOOKUP(A152,Database!A:L,MATCH($A$1,Database!$A$1:$L$1,),)</f>
        <v>368.46300000000002</v>
      </c>
      <c r="C152" s="37">
        <f t="shared" si="7"/>
        <v>1.5032809375051793E-2</v>
      </c>
      <c r="D152" s="36">
        <f t="shared" si="8"/>
        <v>-1.2912455161365487E-2</v>
      </c>
      <c r="E152" s="36">
        <f t="shared" si="6"/>
        <v>6.1500789495044783E-2</v>
      </c>
    </row>
    <row r="153" spans="1:5" x14ac:dyDescent="0.35">
      <c r="A153" s="35">
        <v>30590</v>
      </c>
      <c r="B153" s="63">
        <f>VLOOKUP(A153,Database!A:L,MATCH($A$1,Database!$A$1:$L$1,),)</f>
        <v>375.87799999999999</v>
      </c>
      <c r="C153" s="37">
        <f t="shared" si="7"/>
        <v>2.0124137294653639E-2</v>
      </c>
      <c r="D153" s="36">
        <f t="shared" si="8"/>
        <v>5.5309423939715503E-2</v>
      </c>
      <c r="E153" s="36">
        <f t="shared" si="6"/>
        <v>8.2959198164352488E-2</v>
      </c>
    </row>
    <row r="154" spans="1:5" x14ac:dyDescent="0.35">
      <c r="A154" s="35">
        <v>30682</v>
      </c>
      <c r="B154" s="63">
        <f>VLOOKUP(A154,Database!A:L,MATCH($A$1,Database!$A$1:$L$1,),)</f>
        <v>383.72300000000001</v>
      </c>
      <c r="C154" s="37">
        <f t="shared" si="7"/>
        <v>2.0871133718919511E-2</v>
      </c>
      <c r="D154" s="36">
        <f t="shared" si="8"/>
        <v>6.0233806638428644E-2</v>
      </c>
      <c r="E154" s="36">
        <f t="shared" si="6"/>
        <v>8.6134716178918103E-2</v>
      </c>
    </row>
    <row r="155" spans="1:5" x14ac:dyDescent="0.35">
      <c r="A155" s="35">
        <v>30773</v>
      </c>
      <c r="B155" s="63">
        <f>VLOOKUP(A155,Database!A:L,MATCH($A$1,Database!$A$1:$L$1,),)</f>
        <v>393.26</v>
      </c>
      <c r="C155" s="37">
        <f t="shared" si="7"/>
        <v>2.4853865939753358E-2</v>
      </c>
      <c r="D155" s="36">
        <f t="shared" si="8"/>
        <v>8.3342975047244458E-2</v>
      </c>
      <c r="E155" s="36">
        <f t="shared" si="6"/>
        <v>0.10318354363192639</v>
      </c>
    </row>
    <row r="156" spans="1:5" x14ac:dyDescent="0.35">
      <c r="A156" s="35">
        <v>30864</v>
      </c>
      <c r="B156" s="63">
        <f>VLOOKUP(A156,Database!A:L,MATCH($A$1,Database!$A$1:$L$1,),)</f>
        <v>401.94799999999998</v>
      </c>
      <c r="C156" s="37">
        <f t="shared" si="7"/>
        <v>2.2092254488124876E-2</v>
      </c>
      <c r="D156" s="36">
        <f t="shared" si="8"/>
        <v>9.0877510089208288E-2</v>
      </c>
      <c r="E156" s="36">
        <f t="shared" si="6"/>
        <v>9.1340792476878319E-2</v>
      </c>
    </row>
    <row r="157" spans="1:5" x14ac:dyDescent="0.35">
      <c r="A157" s="35">
        <v>30956</v>
      </c>
      <c r="B157" s="63">
        <f>VLOOKUP(A157,Database!A:L,MATCH($A$1,Database!$A$1:$L$1,),)</f>
        <v>410.12599999999998</v>
      </c>
      <c r="C157" s="37">
        <f t="shared" si="7"/>
        <v>2.0345915392040757E-2</v>
      </c>
      <c r="D157" s="36">
        <f t="shared" si="8"/>
        <v>9.1114670185538899E-2</v>
      </c>
      <c r="E157" s="36">
        <f t="shared" si="6"/>
        <v>8.3901259844036291E-2</v>
      </c>
    </row>
    <row r="158" spans="1:5" x14ac:dyDescent="0.35">
      <c r="A158" s="35">
        <v>31048</v>
      </c>
      <c r="B158" s="63">
        <f>VLOOKUP(A158,Database!A:L,MATCH($A$1,Database!$A$1:$L$1,),)</f>
        <v>411.214</v>
      </c>
      <c r="C158" s="37">
        <f t="shared" si="7"/>
        <v>2.6528432725553179E-3</v>
      </c>
      <c r="D158" s="36">
        <f t="shared" si="8"/>
        <v>7.1642825684152325E-2</v>
      </c>
      <c r="E158" s="36">
        <f t="shared" si="6"/>
        <v>1.0653673282680742E-2</v>
      </c>
    </row>
    <row r="159" spans="1:5" x14ac:dyDescent="0.35">
      <c r="A159" s="35">
        <v>31138</v>
      </c>
      <c r="B159" s="63">
        <f>VLOOKUP(A159,Database!A:L,MATCH($A$1,Database!$A$1:$L$1,),)</f>
        <v>410.33199999999999</v>
      </c>
      <c r="C159" s="37">
        <f t="shared" si="7"/>
        <v>-2.1448686085590593E-3</v>
      </c>
      <c r="D159" s="36">
        <f t="shared" si="8"/>
        <v>4.3411483496923163E-2</v>
      </c>
      <c r="E159" s="36">
        <f t="shared" si="6"/>
        <v>-8.5519111145248017E-3</v>
      </c>
    </row>
    <row r="160" spans="1:5" x14ac:dyDescent="0.35">
      <c r="A160" s="35">
        <v>31229</v>
      </c>
      <c r="B160" s="63">
        <f>VLOOKUP(A160,Database!A:L,MATCH($A$1,Database!$A$1:$L$1,),)</f>
        <v>404.34699999999998</v>
      </c>
      <c r="C160" s="37">
        <f t="shared" si="7"/>
        <v>-1.4585750075548614E-2</v>
      </c>
      <c r="D160" s="36">
        <f t="shared" si="8"/>
        <v>5.9684337277458805E-3</v>
      </c>
      <c r="E160" s="36">
        <f t="shared" si="6"/>
        <v>-5.7078902539939746E-2</v>
      </c>
    </row>
    <row r="161" spans="1:5" x14ac:dyDescent="0.35">
      <c r="A161" s="35">
        <v>31321</v>
      </c>
      <c r="B161" s="63">
        <f>VLOOKUP(A161,Database!A:L,MATCH($A$1,Database!$A$1:$L$1,),)</f>
        <v>416.411</v>
      </c>
      <c r="C161" s="37">
        <f t="shared" si="7"/>
        <v>2.9835759879509486E-2</v>
      </c>
      <c r="D161" s="36">
        <f t="shared" si="8"/>
        <v>1.5324558794126746E-2</v>
      </c>
      <c r="E161" s="36">
        <f t="shared" si="6"/>
        <v>0.12479110323067655</v>
      </c>
    </row>
    <row r="162" spans="1:5" x14ac:dyDescent="0.35">
      <c r="A162" s="35">
        <v>31413</v>
      </c>
      <c r="B162" s="63">
        <f>VLOOKUP(A162,Database!A:L,MATCH($A$1,Database!$A$1:$L$1,),)</f>
        <v>429.45299999999997</v>
      </c>
      <c r="C162" s="37">
        <f t="shared" si="7"/>
        <v>3.1320017963022043E-2</v>
      </c>
      <c r="D162" s="36">
        <f t="shared" si="8"/>
        <v>4.4354034638898421E-2</v>
      </c>
      <c r="E162" s="36">
        <f t="shared" si="6"/>
        <v>0.13128958792883183</v>
      </c>
    </row>
    <row r="163" spans="1:5" x14ac:dyDescent="0.35">
      <c r="A163" s="35">
        <v>31503</v>
      </c>
      <c r="B163" s="63">
        <f>VLOOKUP(A163,Database!A:L,MATCH($A$1,Database!$A$1:$L$1,),)</f>
        <v>434.077</v>
      </c>
      <c r="C163" s="37">
        <f t="shared" si="7"/>
        <v>1.0767185233308474E-2</v>
      </c>
      <c r="D163" s="36">
        <f t="shared" si="8"/>
        <v>5.786777536238949E-2</v>
      </c>
      <c r="E163" s="36">
        <f t="shared" si="6"/>
        <v>4.3769341097857462E-2</v>
      </c>
    </row>
    <row r="164" spans="1:5" x14ac:dyDescent="0.35">
      <c r="A164" s="35">
        <v>31594</v>
      </c>
      <c r="B164" s="63">
        <f>VLOOKUP(A164,Database!A:L,MATCH($A$1,Database!$A$1:$L$1,),)</f>
        <v>444.012</v>
      </c>
      <c r="C164" s="37">
        <f t="shared" si="7"/>
        <v>2.2887644358028651E-2</v>
      </c>
      <c r="D164" s="36">
        <f t="shared" si="8"/>
        <v>9.8096436971215367E-2</v>
      </c>
      <c r="E164" s="36">
        <f t="shared" si="6"/>
        <v>9.4741875675362852E-2</v>
      </c>
    </row>
    <row r="165" spans="1:5" x14ac:dyDescent="0.35">
      <c r="A165" s="35">
        <v>31686</v>
      </c>
      <c r="B165" s="63">
        <f>VLOOKUP(A165,Database!A:L,MATCH($A$1,Database!$A$1:$L$1,),)</f>
        <v>460.6</v>
      </c>
      <c r="C165" s="37">
        <f t="shared" si="7"/>
        <v>3.7359350648180731E-2</v>
      </c>
      <c r="D165" s="36">
        <f t="shared" si="8"/>
        <v>0.10611871444318238</v>
      </c>
      <c r="E165" s="36">
        <f t="shared" si="6"/>
        <v>0.1580222500482471</v>
      </c>
    </row>
    <row r="166" spans="1:5" x14ac:dyDescent="0.35">
      <c r="A166" s="35">
        <v>31778</v>
      </c>
      <c r="B166" s="63">
        <f>VLOOKUP(A166,Database!A:L,MATCH($A$1,Database!$A$1:$L$1,),)</f>
        <v>461.01</v>
      </c>
      <c r="C166" s="37">
        <f t="shared" si="7"/>
        <v>8.9014329135902765E-4</v>
      </c>
      <c r="D166" s="36">
        <f t="shared" si="8"/>
        <v>7.3481847838995223E-2</v>
      </c>
      <c r="E166" s="36">
        <f t="shared" si="6"/>
        <v>3.5653301177771546E-3</v>
      </c>
    </row>
    <row r="167" spans="1:5" x14ac:dyDescent="0.35">
      <c r="A167" s="35">
        <v>31868</v>
      </c>
      <c r="B167" s="63">
        <f>VLOOKUP(A167,Database!A:L,MATCH($A$1,Database!$A$1:$L$1,),)</f>
        <v>480.00299999999999</v>
      </c>
      <c r="C167" s="37">
        <f t="shared" si="7"/>
        <v>4.1198672479989581E-2</v>
      </c>
      <c r="D167" s="36">
        <f t="shared" si="8"/>
        <v>0.10580150526289112</v>
      </c>
      <c r="E167" s="36">
        <f t="shared" si="6"/>
        <v>0.17526126560809696</v>
      </c>
    </row>
    <row r="168" spans="1:5" x14ac:dyDescent="0.35">
      <c r="A168" s="35">
        <v>31959</v>
      </c>
      <c r="B168" s="63">
        <f>VLOOKUP(A168,Database!A:L,MATCH($A$1,Database!$A$1:$L$1,),)</f>
        <v>500.839</v>
      </c>
      <c r="C168" s="37">
        <f t="shared" si="7"/>
        <v>4.3408062032945657E-2</v>
      </c>
      <c r="D168" s="36">
        <f t="shared" si="8"/>
        <v>0.12798527967712583</v>
      </c>
      <c r="E168" s="36">
        <f t="shared" si="6"/>
        <v>0.18526852593742404</v>
      </c>
    </row>
    <row r="169" spans="1:5" x14ac:dyDescent="0.35">
      <c r="A169" s="35">
        <v>32051</v>
      </c>
      <c r="B169" s="63">
        <f>VLOOKUP(A169,Database!A:L,MATCH($A$1,Database!$A$1:$L$1,),)</f>
        <v>519.52300000000002</v>
      </c>
      <c r="C169" s="37">
        <f t="shared" si="7"/>
        <v>3.730540153622227E-2</v>
      </c>
      <c r="D169" s="36">
        <f t="shared" si="8"/>
        <v>0.12792661745549283</v>
      </c>
      <c r="E169" s="36">
        <f t="shared" si="6"/>
        <v>0.15778137151922245</v>
      </c>
    </row>
    <row r="170" spans="1:5" x14ac:dyDescent="0.35">
      <c r="A170" s="35">
        <v>32143</v>
      </c>
      <c r="B170" s="63">
        <f>VLOOKUP(A170,Database!A:L,MATCH($A$1,Database!$A$1:$L$1,),)</f>
        <v>548.37300000000005</v>
      </c>
      <c r="C170" s="37">
        <f t="shared" si="7"/>
        <v>5.5531708894505191E-2</v>
      </c>
      <c r="D170" s="36">
        <f t="shared" si="8"/>
        <v>0.18950348148630194</v>
      </c>
      <c r="E170" s="36">
        <f t="shared" si="6"/>
        <v>0.24132395760179759</v>
      </c>
    </row>
    <row r="171" spans="1:5" x14ac:dyDescent="0.35">
      <c r="A171" s="35">
        <v>32234</v>
      </c>
      <c r="B171" s="63">
        <f>VLOOKUP(A171,Database!A:L,MATCH($A$1,Database!$A$1:$L$1,),)</f>
        <v>563.74099999999999</v>
      </c>
      <c r="C171" s="37">
        <f t="shared" si="7"/>
        <v>2.8024720400165466E-2</v>
      </c>
      <c r="D171" s="36">
        <f t="shared" si="8"/>
        <v>0.17445307633493959</v>
      </c>
      <c r="E171" s="36">
        <f t="shared" si="6"/>
        <v>0.11689984892614658</v>
      </c>
    </row>
    <row r="172" spans="1:5" x14ac:dyDescent="0.35">
      <c r="A172" s="35">
        <v>32325</v>
      </c>
      <c r="B172" s="63">
        <f>VLOOKUP(A172,Database!A:L,MATCH($A$1,Database!$A$1:$L$1,),)</f>
        <v>574.85</v>
      </c>
      <c r="C172" s="37">
        <f t="shared" si="7"/>
        <v>1.9705857831876762E-2</v>
      </c>
      <c r="D172" s="36">
        <f t="shared" si="8"/>
        <v>0.14777403516898649</v>
      </c>
      <c r="E172" s="36">
        <f t="shared" si="6"/>
        <v>8.1184115898421227E-2</v>
      </c>
    </row>
    <row r="173" spans="1:5" x14ac:dyDescent="0.35">
      <c r="A173" s="35">
        <v>32417</v>
      </c>
      <c r="B173" s="63">
        <f>VLOOKUP(A173,Database!A:L,MATCH($A$1,Database!$A$1:$L$1,),)</f>
        <v>592.39499999999998</v>
      </c>
      <c r="C173" s="37">
        <f t="shared" si="7"/>
        <v>3.0521005479690281E-2</v>
      </c>
      <c r="D173" s="36">
        <f t="shared" si="8"/>
        <v>0.14026712965547233</v>
      </c>
      <c r="E173" s="36">
        <f t="shared" si="6"/>
        <v>0.1277878054688546</v>
      </c>
    </row>
    <row r="174" spans="1:5" x14ac:dyDescent="0.35">
      <c r="A174" s="35">
        <v>32509</v>
      </c>
      <c r="B174" s="63">
        <f>VLOOKUP(A174,Database!A:L,MATCH($A$1,Database!$A$1:$L$1,),)</f>
        <v>610.08799999999997</v>
      </c>
      <c r="C174" s="37">
        <f t="shared" si="7"/>
        <v>2.9866896243216069E-2</v>
      </c>
      <c r="D174" s="36">
        <f t="shared" si="8"/>
        <v>0.1125420106387439</v>
      </c>
      <c r="E174" s="36">
        <f t="shared" si="6"/>
        <v>0.12492713848823755</v>
      </c>
    </row>
    <row r="175" spans="1:5" x14ac:dyDescent="0.35">
      <c r="A175" s="35">
        <v>32599</v>
      </c>
      <c r="B175" s="63">
        <f>VLOOKUP(A175,Database!A:L,MATCH($A$1,Database!$A$1:$L$1,),)</f>
        <v>636.79999999999995</v>
      </c>
      <c r="C175" s="37">
        <f t="shared" si="7"/>
        <v>4.3783847576087366E-2</v>
      </c>
      <c r="D175" s="36">
        <f t="shared" si="8"/>
        <v>0.12959674744253119</v>
      </c>
      <c r="E175" s="36">
        <f t="shared" si="6"/>
        <v>0.18697695611741882</v>
      </c>
    </row>
    <row r="176" spans="1:5" x14ac:dyDescent="0.35">
      <c r="A176" s="35">
        <v>32690</v>
      </c>
      <c r="B176" s="63">
        <f>VLOOKUP(A176,Database!A:L,MATCH($A$1,Database!$A$1:$L$1,),)</f>
        <v>643.30499999999995</v>
      </c>
      <c r="C176" s="37">
        <f t="shared" si="7"/>
        <v>1.0215138190954768E-2</v>
      </c>
      <c r="D176" s="36">
        <f t="shared" si="8"/>
        <v>0.11908323910585357</v>
      </c>
      <c r="E176" s="36">
        <f t="shared" si="6"/>
        <v>4.1490921701897276E-2</v>
      </c>
    </row>
    <row r="177" spans="1:5" x14ac:dyDescent="0.35">
      <c r="A177" s="35">
        <v>32782</v>
      </c>
      <c r="B177" s="63">
        <f>VLOOKUP(A177,Database!A:L,MATCH($A$1,Database!$A$1:$L$1,),)</f>
        <v>653.04300000000001</v>
      </c>
      <c r="C177" s="37">
        <f t="shared" si="7"/>
        <v>1.513745424021274E-2</v>
      </c>
      <c r="D177" s="36">
        <f t="shared" si="8"/>
        <v>0.10237763654318491</v>
      </c>
      <c r="E177" s="36">
        <f t="shared" si="6"/>
        <v>6.1938599130089811E-2</v>
      </c>
    </row>
    <row r="178" spans="1:5" x14ac:dyDescent="0.35">
      <c r="A178" s="35">
        <v>32874</v>
      </c>
      <c r="B178" s="63">
        <f>VLOOKUP(A178,Database!A:L,MATCH($A$1,Database!$A$1:$L$1,),)</f>
        <v>681.404</v>
      </c>
      <c r="C178" s="37">
        <f t="shared" si="7"/>
        <v>4.34289931903412E-2</v>
      </c>
      <c r="D178" s="36">
        <f t="shared" si="8"/>
        <v>0.11689461192483713</v>
      </c>
      <c r="E178" s="36">
        <f t="shared" si="6"/>
        <v>0.18536363652551779</v>
      </c>
    </row>
    <row r="179" spans="1:5" x14ac:dyDescent="0.35">
      <c r="A179" s="35">
        <v>32964</v>
      </c>
      <c r="B179" s="63">
        <f>VLOOKUP(A179,Database!A:L,MATCH($A$1,Database!$A$1:$L$1,),)</f>
        <v>689.87800000000004</v>
      </c>
      <c r="C179" s="37">
        <f t="shared" si="7"/>
        <v>1.2436087842161252E-2</v>
      </c>
      <c r="D179" s="36">
        <f t="shared" si="8"/>
        <v>8.3351130653266478E-2</v>
      </c>
      <c r="E179" s="36">
        <f t="shared" si="6"/>
        <v>5.0680006248492004E-2</v>
      </c>
    </row>
    <row r="180" spans="1:5" x14ac:dyDescent="0.35">
      <c r="A180" s="35">
        <v>33055</v>
      </c>
      <c r="B180" s="63">
        <f>VLOOKUP(A180,Database!A:L,MATCH($A$1,Database!$A$1:$L$1,),)</f>
        <v>695.09900000000005</v>
      </c>
      <c r="C180" s="37">
        <f t="shared" si="7"/>
        <v>7.5680047776563444E-3</v>
      </c>
      <c r="D180" s="36">
        <f t="shared" si="8"/>
        <v>8.0512354171038775E-2</v>
      </c>
      <c r="E180" s="36">
        <f t="shared" si="6"/>
        <v>3.061740438960503E-2</v>
      </c>
    </row>
    <row r="181" spans="1:5" x14ac:dyDescent="0.35">
      <c r="A181" s="35">
        <v>33147</v>
      </c>
      <c r="B181" s="63">
        <f>VLOOKUP(A181,Database!A:L,MATCH($A$1,Database!$A$1:$L$1,),)</f>
        <v>701.21900000000005</v>
      </c>
      <c r="C181" s="37">
        <f t="shared" si="7"/>
        <v>8.8045012293212974E-3</v>
      </c>
      <c r="D181" s="36">
        <f t="shared" si="8"/>
        <v>7.3771558687559691E-2</v>
      </c>
      <c r="E181" s="36">
        <f t="shared" si="6"/>
        <v>3.5685856450942799E-2</v>
      </c>
    </row>
    <row r="182" spans="1:5" x14ac:dyDescent="0.35">
      <c r="A182" s="35">
        <v>33239</v>
      </c>
      <c r="B182" s="63">
        <f>VLOOKUP(A182,Database!A:L,MATCH($A$1,Database!$A$1:$L$1,),)</f>
        <v>705.50300000000004</v>
      </c>
      <c r="C182" s="37">
        <f t="shared" si="7"/>
        <v>6.109360984228881E-3</v>
      </c>
      <c r="D182" s="36">
        <f t="shared" si="8"/>
        <v>3.5366684081690226E-2</v>
      </c>
      <c r="E182" s="36">
        <f t="shared" si="6"/>
        <v>2.4662303190116308E-2</v>
      </c>
    </row>
    <row r="183" spans="1:5" x14ac:dyDescent="0.35">
      <c r="A183" s="35">
        <v>33329</v>
      </c>
      <c r="B183" s="63">
        <f>VLOOKUP(A183,Database!A:L,MATCH($A$1,Database!$A$1:$L$1,),)</f>
        <v>731.22500000000002</v>
      </c>
      <c r="C183" s="37">
        <f t="shared" si="7"/>
        <v>3.645909372461914E-2</v>
      </c>
      <c r="D183" s="36">
        <f t="shared" si="8"/>
        <v>5.9933785393939183E-2</v>
      </c>
      <c r="E183" s="36">
        <f t="shared" si="6"/>
        <v>0.15400759020062749</v>
      </c>
    </row>
    <row r="184" spans="1:5" x14ac:dyDescent="0.35">
      <c r="A184" s="35">
        <v>33420</v>
      </c>
      <c r="B184" s="63">
        <f>VLOOKUP(A184,Database!A:L,MATCH($A$1,Database!$A$1:$L$1,),)</f>
        <v>748.53599999999994</v>
      </c>
      <c r="C184" s="37">
        <f t="shared" si="7"/>
        <v>2.3673971759718172E-2</v>
      </c>
      <c r="D184" s="36">
        <f t="shared" si="8"/>
        <v>7.6876818985496878E-2</v>
      </c>
      <c r="E184" s="36">
        <f t="shared" si="6"/>
        <v>9.8112015751106618E-2</v>
      </c>
    </row>
    <row r="185" spans="1:5" x14ac:dyDescent="0.35">
      <c r="A185" s="35">
        <v>33512</v>
      </c>
      <c r="B185" s="63">
        <f>VLOOKUP(A185,Database!A:L,MATCH($A$1,Database!$A$1:$L$1,),)</f>
        <v>765.39099999999996</v>
      </c>
      <c r="C185" s="37">
        <f t="shared" si="7"/>
        <v>2.2517287077709048E-2</v>
      </c>
      <c r="D185" s="36">
        <f t="shared" si="8"/>
        <v>9.1514919019592897E-2</v>
      </c>
      <c r="E185" s="36">
        <f t="shared" si="6"/>
        <v>9.3157242292194686E-2</v>
      </c>
    </row>
    <row r="186" spans="1:5" x14ac:dyDescent="0.35">
      <c r="A186" s="35">
        <v>33604</v>
      </c>
      <c r="B186" s="63">
        <f>VLOOKUP(A186,Database!A:L,MATCH($A$1,Database!$A$1:$L$1,),)</f>
        <v>779.22799999999995</v>
      </c>
      <c r="C186" s="37">
        <f t="shared" si="7"/>
        <v>1.8078341658054498E-2</v>
      </c>
      <c r="D186" s="36">
        <f t="shared" si="8"/>
        <v>0.10449990999329543</v>
      </c>
      <c r="E186" s="36">
        <f t="shared" si="6"/>
        <v>7.4298065990341611E-2</v>
      </c>
    </row>
    <row r="187" spans="1:5" x14ac:dyDescent="0.35">
      <c r="A187" s="35">
        <v>33695</v>
      </c>
      <c r="B187" s="63">
        <f>VLOOKUP(A187,Database!A:L,MATCH($A$1,Database!$A$1:$L$1,),)</f>
        <v>779.59900000000005</v>
      </c>
      <c r="C187" s="37">
        <f t="shared" si="7"/>
        <v>4.7611225469322793E-4</v>
      </c>
      <c r="D187" s="36">
        <f t="shared" si="8"/>
        <v>6.6154740333002865E-2</v>
      </c>
      <c r="E187" s="36">
        <f t="shared" si="6"/>
        <v>1.9058095478048376E-3</v>
      </c>
    </row>
    <row r="188" spans="1:5" x14ac:dyDescent="0.35">
      <c r="A188" s="35">
        <v>33786</v>
      </c>
      <c r="B188" s="63">
        <f>VLOOKUP(A188,Database!A:L,MATCH($A$1,Database!$A$1:$L$1,),)</f>
        <v>796.12</v>
      </c>
      <c r="C188" s="37">
        <f t="shared" si="7"/>
        <v>2.1191663919527804E-2</v>
      </c>
      <c r="D188" s="36">
        <f t="shared" si="8"/>
        <v>6.3569420842818594E-2</v>
      </c>
      <c r="E188" s="36">
        <f t="shared" si="6"/>
        <v>8.7499444645832369E-2</v>
      </c>
    </row>
    <row r="189" spans="1:5" x14ac:dyDescent="0.35">
      <c r="A189" s="35">
        <v>33878</v>
      </c>
      <c r="B189" s="63">
        <f>VLOOKUP(A189,Database!A:L,MATCH($A$1,Database!$A$1:$L$1,),)</f>
        <v>800.11</v>
      </c>
      <c r="C189" s="37">
        <f t="shared" si="7"/>
        <v>5.0118072652364076E-3</v>
      </c>
      <c r="D189" s="36">
        <f t="shared" si="8"/>
        <v>4.536112914836999E-2</v>
      </c>
      <c r="E189" s="36">
        <f t="shared" si="6"/>
        <v>2.0198442514803849E-2</v>
      </c>
    </row>
    <row r="190" spans="1:5" x14ac:dyDescent="0.35">
      <c r="A190" s="35">
        <v>33970</v>
      </c>
      <c r="B190" s="63">
        <f>VLOOKUP(A190,Database!A:L,MATCH($A$1,Database!$A$1:$L$1,),)</f>
        <v>801.89599999999996</v>
      </c>
      <c r="C190" s="37">
        <f t="shared" si="7"/>
        <v>2.232193073452331E-3</v>
      </c>
      <c r="D190" s="36">
        <f t="shared" si="8"/>
        <v>2.9090330429604697E-2</v>
      </c>
      <c r="E190" s="36">
        <f t="shared" si="6"/>
        <v>8.9587129234076635E-3</v>
      </c>
    </row>
    <row r="191" spans="1:5" x14ac:dyDescent="0.35">
      <c r="A191" s="35">
        <v>34060</v>
      </c>
      <c r="B191" s="63">
        <f>VLOOKUP(A191,Database!A:L,MATCH($A$1,Database!$A$1:$L$1,),)</f>
        <v>811.48</v>
      </c>
      <c r="C191" s="37">
        <f t="shared" si="7"/>
        <v>1.1951674531360751E-2</v>
      </c>
      <c r="D191" s="36">
        <f t="shared" si="8"/>
        <v>4.0894100685095761E-2</v>
      </c>
      <c r="E191" s="36">
        <f t="shared" si="6"/>
        <v>4.8670602503480875E-2</v>
      </c>
    </row>
    <row r="192" spans="1:5" x14ac:dyDescent="0.35">
      <c r="A192" s="35">
        <v>34151</v>
      </c>
      <c r="B192" s="63">
        <f>VLOOKUP(A192,Database!A:L,MATCH($A$1,Database!$A$1:$L$1,),)</f>
        <v>809.29899999999998</v>
      </c>
      <c r="C192" s="37">
        <f t="shared" si="7"/>
        <v>-2.6876817666486421E-3</v>
      </c>
      <c r="D192" s="36">
        <f t="shared" si="8"/>
        <v>1.6554037079837176E-2</v>
      </c>
      <c r="E192" s="36">
        <f t="shared" si="6"/>
        <v>-1.0707462874050999E-2</v>
      </c>
    </row>
    <row r="193" spans="1:5" x14ac:dyDescent="0.35">
      <c r="A193" s="35">
        <v>34243</v>
      </c>
      <c r="B193" s="63">
        <f>VLOOKUP(A193,Database!A:L,MATCH($A$1,Database!$A$1:$L$1,),)</f>
        <v>835.38400000000001</v>
      </c>
      <c r="C193" s="37">
        <f t="shared" si="7"/>
        <v>3.2231597963175582E-2</v>
      </c>
      <c r="D193" s="36">
        <f t="shared" si="8"/>
        <v>4.4086438114759222E-2</v>
      </c>
      <c r="E193" s="36">
        <f t="shared" si="6"/>
        <v>0.13529466508171706</v>
      </c>
    </row>
    <row r="194" spans="1:5" x14ac:dyDescent="0.35">
      <c r="A194" s="35">
        <v>34335</v>
      </c>
      <c r="B194" s="63">
        <f>VLOOKUP(A194,Database!A:L,MATCH($A$1,Database!$A$1:$L$1,),)</f>
        <v>843.58399999999995</v>
      </c>
      <c r="C194" s="37">
        <f t="shared" si="7"/>
        <v>9.815845168209986E-3</v>
      </c>
      <c r="D194" s="36">
        <f t="shared" si="8"/>
        <v>5.1986791304608065E-2</v>
      </c>
      <c r="E194" s="36">
        <f t="shared" si="6"/>
        <v>3.9845277913298505E-2</v>
      </c>
    </row>
    <row r="195" spans="1:5" x14ac:dyDescent="0.35">
      <c r="A195" s="35">
        <v>34425</v>
      </c>
      <c r="B195" s="63">
        <f>VLOOKUP(A195,Database!A:L,MATCH($A$1,Database!$A$1:$L$1,),)</f>
        <v>872.06500000000005</v>
      </c>
      <c r="C195" s="37">
        <f t="shared" si="7"/>
        <v>3.3761901600789145E-2</v>
      </c>
      <c r="D195" s="36">
        <f t="shared" si="8"/>
        <v>7.465988071178592E-2</v>
      </c>
      <c r="E195" s="36">
        <f t="shared" si="6"/>
        <v>0.14204203787074166</v>
      </c>
    </row>
    <row r="196" spans="1:5" x14ac:dyDescent="0.35">
      <c r="A196" s="35">
        <v>34516</v>
      </c>
      <c r="B196" s="63">
        <f>VLOOKUP(A196,Database!A:L,MATCH($A$1,Database!$A$1:$L$1,),)</f>
        <v>904.70500000000004</v>
      </c>
      <c r="C196" s="37">
        <f t="shared" si="7"/>
        <v>3.7428402699340058E-2</v>
      </c>
      <c r="D196" s="36">
        <f t="shared" si="8"/>
        <v>0.11788720855950652</v>
      </c>
      <c r="E196" s="36">
        <f t="shared" si="6"/>
        <v>0.15833061684966965</v>
      </c>
    </row>
    <row r="197" spans="1:5" x14ac:dyDescent="0.35">
      <c r="A197" s="35">
        <v>34608</v>
      </c>
      <c r="B197" s="63">
        <f>VLOOKUP(A197,Database!A:L,MATCH($A$1,Database!$A$1:$L$1,),)</f>
        <v>925.58900000000006</v>
      </c>
      <c r="C197" s="37">
        <f t="shared" si="7"/>
        <v>2.3083767636964552E-2</v>
      </c>
      <c r="D197" s="36">
        <f t="shared" si="8"/>
        <v>0.10798028212175484</v>
      </c>
      <c r="E197" s="36">
        <f t="shared" si="6"/>
        <v>9.558171815389982E-2</v>
      </c>
    </row>
    <row r="198" spans="1:5" x14ac:dyDescent="0.35">
      <c r="A198" s="35">
        <v>34700</v>
      </c>
      <c r="B198" s="63">
        <f>VLOOKUP(A198,Database!A:L,MATCH($A$1,Database!$A$1:$L$1,),)</f>
        <v>943.41800000000001</v>
      </c>
      <c r="C198" s="37">
        <f t="shared" si="7"/>
        <v>1.9262329176340631E-2</v>
      </c>
      <c r="D198" s="36">
        <f t="shared" si="8"/>
        <v>0.11834506107275632</v>
      </c>
      <c r="E198" s="36">
        <f t="shared" ref="E198:E261" si="9">((1+C198)^4)-1</f>
        <v>7.930426649823219E-2</v>
      </c>
    </row>
    <row r="199" spans="1:5" x14ac:dyDescent="0.35">
      <c r="A199" s="35">
        <v>34790</v>
      </c>
      <c r="B199" s="63">
        <f>VLOOKUP(A199,Database!A:L,MATCH($A$1,Database!$A$1:$L$1,),)</f>
        <v>956.64700000000005</v>
      </c>
      <c r="C199" s="37">
        <f t="shared" ref="C199:C262" si="10">(B199-B198)/B198</f>
        <v>1.4022416362630396E-2</v>
      </c>
      <c r="D199" s="36">
        <f t="shared" si="8"/>
        <v>9.6990476627315608E-2</v>
      </c>
      <c r="E199" s="36">
        <f t="shared" si="9"/>
        <v>5.7280501884785506E-2</v>
      </c>
    </row>
    <row r="200" spans="1:5" x14ac:dyDescent="0.35">
      <c r="A200" s="35">
        <v>34881</v>
      </c>
      <c r="B200" s="63">
        <f>VLOOKUP(A200,Database!A:L,MATCH($A$1,Database!$A$1:$L$1,),)</f>
        <v>998.04600000000005</v>
      </c>
      <c r="C200" s="37">
        <f t="shared" si="10"/>
        <v>4.3275105655482114E-2</v>
      </c>
      <c r="D200" s="36">
        <f t="shared" si="8"/>
        <v>0.10317285745077125</v>
      </c>
      <c r="E200" s="36">
        <f t="shared" si="9"/>
        <v>0.18466450955446212</v>
      </c>
    </row>
    <row r="201" spans="1:5" x14ac:dyDescent="0.35">
      <c r="A201" s="35">
        <v>34973</v>
      </c>
      <c r="B201" s="63">
        <f>VLOOKUP(A201,Database!A:L,MATCH($A$1,Database!$A$1:$L$1,),)</f>
        <v>1012.295</v>
      </c>
      <c r="C201" s="37">
        <f t="shared" si="10"/>
        <v>1.4276897056848993E-2</v>
      </c>
      <c r="D201" s="36">
        <f t="shared" si="8"/>
        <v>9.3676567029210484E-2</v>
      </c>
      <c r="E201" s="36">
        <f t="shared" si="9"/>
        <v>5.8342248739101654E-2</v>
      </c>
    </row>
    <row r="202" spans="1:5" x14ac:dyDescent="0.35">
      <c r="A202" s="35">
        <v>35065</v>
      </c>
      <c r="B202" s="63">
        <f>VLOOKUP(A202,Database!A:L,MATCH($A$1,Database!$A$1:$L$1,),)</f>
        <v>1024.482</v>
      </c>
      <c r="C202" s="37">
        <f t="shared" si="10"/>
        <v>1.2038980731901286E-2</v>
      </c>
      <c r="D202" s="36">
        <f t="shared" ref="D202:D265" si="11">(B202-B198)/B198</f>
        <v>8.5925856831224293E-2</v>
      </c>
      <c r="E202" s="36">
        <f t="shared" si="9"/>
        <v>4.9032545854483578E-2</v>
      </c>
    </row>
    <row r="203" spans="1:5" x14ac:dyDescent="0.35">
      <c r="A203" s="35">
        <v>35156</v>
      </c>
      <c r="B203" s="63">
        <f>VLOOKUP(A203,Database!A:L,MATCH($A$1,Database!$A$1:$L$1,),)</f>
        <v>1041.134</v>
      </c>
      <c r="C203" s="37">
        <f t="shared" si="10"/>
        <v>1.6254067909441106E-2</v>
      </c>
      <c r="D203" s="36">
        <f t="shared" si="11"/>
        <v>8.8315752832549485E-2</v>
      </c>
      <c r="E203" s="36">
        <f t="shared" si="9"/>
        <v>6.6618686734160049E-2</v>
      </c>
    </row>
    <row r="204" spans="1:5" x14ac:dyDescent="0.35">
      <c r="A204" s="35">
        <v>35247</v>
      </c>
      <c r="B204" s="63">
        <f>VLOOKUP(A204,Database!A:L,MATCH($A$1,Database!$A$1:$L$1,),)</f>
        <v>1049.548</v>
      </c>
      <c r="C204" s="37">
        <f t="shared" si="10"/>
        <v>8.0815725929611251E-3</v>
      </c>
      <c r="D204" s="36">
        <f t="shared" si="11"/>
        <v>5.1602831933598201E-2</v>
      </c>
      <c r="E204" s="36">
        <f t="shared" si="9"/>
        <v>3.27202768196444E-2</v>
      </c>
    </row>
    <row r="205" spans="1:5" x14ac:dyDescent="0.35">
      <c r="A205" s="35">
        <v>35339</v>
      </c>
      <c r="B205" s="63">
        <f>VLOOKUP(A205,Database!A:L,MATCH($A$1,Database!$A$1:$L$1,),)</f>
        <v>1114.9749999999999</v>
      </c>
      <c r="C205" s="37">
        <f t="shared" si="10"/>
        <v>6.2338263709711142E-2</v>
      </c>
      <c r="D205" s="36">
        <f t="shared" si="11"/>
        <v>0.10143288270711596</v>
      </c>
      <c r="E205" s="36">
        <f t="shared" si="9"/>
        <v>0.27365351174183639</v>
      </c>
    </row>
    <row r="206" spans="1:5" x14ac:dyDescent="0.35">
      <c r="A206" s="35">
        <v>35431</v>
      </c>
      <c r="B206" s="63">
        <f>VLOOKUP(A206,Database!A:L,MATCH($A$1,Database!$A$1:$L$1,),)</f>
        <v>1136.155</v>
      </c>
      <c r="C206" s="37">
        <f t="shared" si="10"/>
        <v>1.8995941613040711E-2</v>
      </c>
      <c r="D206" s="36">
        <f t="shared" si="11"/>
        <v>0.10900435537178789</v>
      </c>
      <c r="E206" s="36">
        <f t="shared" si="9"/>
        <v>7.8176389871271512E-2</v>
      </c>
    </row>
    <row r="207" spans="1:5" x14ac:dyDescent="0.35">
      <c r="A207" s="35">
        <v>35521</v>
      </c>
      <c r="B207" s="63">
        <f>VLOOKUP(A207,Database!A:L,MATCH($A$1,Database!$A$1:$L$1,),)</f>
        <v>1181.5740000000001</v>
      </c>
      <c r="C207" s="37">
        <f t="shared" si="10"/>
        <v>3.9976059604543479E-2</v>
      </c>
      <c r="D207" s="36">
        <f t="shared" si="11"/>
        <v>0.13489137805508231</v>
      </c>
      <c r="E207" s="36">
        <f t="shared" si="9"/>
        <v>0.16975084496342996</v>
      </c>
    </row>
    <row r="208" spans="1:5" x14ac:dyDescent="0.35">
      <c r="A208" s="35">
        <v>35612</v>
      </c>
      <c r="B208" s="63">
        <f>VLOOKUP(A208,Database!A:L,MATCH($A$1,Database!$A$1:$L$1,),)</f>
        <v>1208.942</v>
      </c>
      <c r="C208" s="37">
        <f t="shared" si="10"/>
        <v>2.3162324154052085E-2</v>
      </c>
      <c r="D208" s="36">
        <f t="shared" si="11"/>
        <v>0.15186918559227403</v>
      </c>
      <c r="E208" s="36">
        <f t="shared" si="9"/>
        <v>9.5918249725729821E-2</v>
      </c>
    </row>
    <row r="209" spans="1:5" x14ac:dyDescent="0.35">
      <c r="A209" s="35">
        <v>35704</v>
      </c>
      <c r="B209" s="63">
        <f>VLOOKUP(A209,Database!A:L,MATCH($A$1,Database!$A$1:$L$1,),)</f>
        <v>1207.259</v>
      </c>
      <c r="C209" s="37">
        <f t="shared" si="10"/>
        <v>-1.3921263385671047E-3</v>
      </c>
      <c r="D209" s="36">
        <f t="shared" si="11"/>
        <v>8.276777506222123E-2</v>
      </c>
      <c r="E209" s="36">
        <f t="shared" si="9"/>
        <v>-5.556888047908326E-3</v>
      </c>
    </row>
    <row r="210" spans="1:5" x14ac:dyDescent="0.35">
      <c r="A210" s="35">
        <v>35796</v>
      </c>
      <c r="B210" s="63">
        <f>VLOOKUP(A210,Database!A:L,MATCH($A$1,Database!$A$1:$L$1,),)</f>
        <v>1212.914</v>
      </c>
      <c r="C210" s="37">
        <f t="shared" si="10"/>
        <v>4.6841647069932576E-3</v>
      </c>
      <c r="D210" s="36">
        <f t="shared" si="11"/>
        <v>6.7560324075500278E-2</v>
      </c>
      <c r="E210" s="36">
        <f t="shared" si="9"/>
        <v>1.8868718811918761E-2</v>
      </c>
    </row>
    <row r="211" spans="1:5" x14ac:dyDescent="0.35">
      <c r="A211" s="35">
        <v>35886</v>
      </c>
      <c r="B211" s="63">
        <f>VLOOKUP(A211,Database!A:L,MATCH($A$1,Database!$A$1:$L$1,),)</f>
        <v>1199.5250000000001</v>
      </c>
      <c r="C211" s="37">
        <f t="shared" si="10"/>
        <v>-1.1038705134906429E-2</v>
      </c>
      <c r="D211" s="36">
        <f t="shared" si="11"/>
        <v>1.5192446685522889E-2</v>
      </c>
      <c r="E211" s="36">
        <f t="shared" si="9"/>
        <v>-4.3429068022972528E-2</v>
      </c>
    </row>
    <row r="212" spans="1:5" x14ac:dyDescent="0.35">
      <c r="A212" s="35">
        <v>35977</v>
      </c>
      <c r="B212" s="63">
        <f>VLOOKUP(A212,Database!A:L,MATCH($A$1,Database!$A$1:$L$1,),)</f>
        <v>1193.9449999999999</v>
      </c>
      <c r="C212" s="37">
        <f t="shared" si="10"/>
        <v>-4.6518413538693681E-3</v>
      </c>
      <c r="D212" s="36">
        <f t="shared" si="11"/>
        <v>-1.2405061615859215E-2</v>
      </c>
      <c r="E212" s="36">
        <f t="shared" si="9"/>
        <v>-1.8477929835780227E-2</v>
      </c>
    </row>
    <row r="213" spans="1:5" x14ac:dyDescent="0.35">
      <c r="A213" s="35">
        <v>36069</v>
      </c>
      <c r="B213" s="63">
        <f>VLOOKUP(A213,Database!A:L,MATCH($A$1,Database!$A$1:$L$1,),)</f>
        <v>1238.1189999999999</v>
      </c>
      <c r="C213" s="37">
        <f t="shared" si="10"/>
        <v>3.6998354195545008E-2</v>
      </c>
      <c r="D213" s="36">
        <f t="shared" si="11"/>
        <v>2.5562037640638753E-2</v>
      </c>
      <c r="E213" s="36">
        <f t="shared" si="9"/>
        <v>0.15641114485274366</v>
      </c>
    </row>
    <row r="214" spans="1:5" x14ac:dyDescent="0.35">
      <c r="A214" s="35">
        <v>36161</v>
      </c>
      <c r="B214" s="63">
        <f>VLOOKUP(A214,Database!A:L,MATCH($A$1,Database!$A$1:$L$1,),)</f>
        <v>1234.528</v>
      </c>
      <c r="C214" s="37">
        <f t="shared" si="10"/>
        <v>-2.9003674121791966E-3</v>
      </c>
      <c r="D214" s="36">
        <f t="shared" si="11"/>
        <v>1.7819894897742158E-2</v>
      </c>
      <c r="E214" s="36">
        <f t="shared" si="9"/>
        <v>-1.1551094384283145E-2</v>
      </c>
    </row>
    <row r="215" spans="1:5" x14ac:dyDescent="0.35">
      <c r="A215" s="35">
        <v>36251</v>
      </c>
      <c r="B215" s="63">
        <f>VLOOKUP(A215,Database!A:L,MATCH($A$1,Database!$A$1:$L$1,),)</f>
        <v>1249.6110000000001</v>
      </c>
      <c r="C215" s="37">
        <f t="shared" si="10"/>
        <v>1.2217624873635983E-2</v>
      </c>
      <c r="D215" s="36">
        <f t="shared" si="11"/>
        <v>4.1754861299264298E-2</v>
      </c>
      <c r="E215" s="36">
        <f t="shared" si="9"/>
        <v>4.9773438838434769E-2</v>
      </c>
    </row>
    <row r="216" spans="1:5" x14ac:dyDescent="0.35">
      <c r="A216" s="35">
        <v>36342</v>
      </c>
      <c r="B216" s="63">
        <f>VLOOKUP(A216,Database!A:L,MATCH($A$1,Database!$A$1:$L$1,),)</f>
        <v>1287.1600000000001</v>
      </c>
      <c r="C216" s="37">
        <f t="shared" si="10"/>
        <v>3.0048551109105134E-2</v>
      </c>
      <c r="D216" s="36">
        <f t="shared" si="11"/>
        <v>7.8073110570420032E-2</v>
      </c>
      <c r="E216" s="36">
        <f t="shared" si="9"/>
        <v>0.12572103743625362</v>
      </c>
    </row>
    <row r="217" spans="1:5" x14ac:dyDescent="0.35">
      <c r="A217" s="35">
        <v>36434</v>
      </c>
      <c r="B217" s="63">
        <f>VLOOKUP(A217,Database!A:L,MATCH($A$1,Database!$A$1:$L$1,),)</f>
        <v>1314.6369999999999</v>
      </c>
      <c r="C217" s="37">
        <f t="shared" si="10"/>
        <v>2.1346996488392944E-2</v>
      </c>
      <c r="D217" s="36">
        <f t="shared" si="11"/>
        <v>6.1801813880572092E-2</v>
      </c>
      <c r="E217" s="36">
        <f t="shared" si="9"/>
        <v>8.8161269980275625E-2</v>
      </c>
    </row>
    <row r="218" spans="1:5" x14ac:dyDescent="0.35">
      <c r="A218" s="35">
        <v>36526</v>
      </c>
      <c r="B218" s="63">
        <f>VLOOKUP(A218,Database!A:L,MATCH($A$1,Database!$A$1:$L$1,),)</f>
        <v>1333.6659999999999</v>
      </c>
      <c r="C218" s="37">
        <f t="shared" si="10"/>
        <v>1.4474718116103531E-2</v>
      </c>
      <c r="D218" s="36">
        <f t="shared" si="11"/>
        <v>8.0304375437414074E-2</v>
      </c>
      <c r="E218" s="36">
        <f t="shared" si="9"/>
        <v>5.916815197418468E-2</v>
      </c>
    </row>
    <row r="219" spans="1:5" x14ac:dyDescent="0.35">
      <c r="A219" s="35">
        <v>36617</v>
      </c>
      <c r="B219" s="63">
        <f>VLOOKUP(A219,Database!A:L,MATCH($A$1,Database!$A$1:$L$1,),)</f>
        <v>1374.2919999999999</v>
      </c>
      <c r="C219" s="37">
        <f t="shared" si="10"/>
        <v>3.0461899756010859E-2</v>
      </c>
      <c r="D219" s="36">
        <f t="shared" si="11"/>
        <v>9.9775850244595954E-2</v>
      </c>
      <c r="E219" s="36">
        <f t="shared" si="9"/>
        <v>0.12752908981170852</v>
      </c>
    </row>
    <row r="220" spans="1:5" x14ac:dyDescent="0.35">
      <c r="A220" s="35">
        <v>36708</v>
      </c>
      <c r="B220" s="63">
        <f>VLOOKUP(A220,Database!A:L,MATCH($A$1,Database!$A$1:$L$1,),)</f>
        <v>1407.33</v>
      </c>
      <c r="C220" s="37">
        <f t="shared" si="10"/>
        <v>2.4040014785795167E-2</v>
      </c>
      <c r="D220" s="36">
        <f t="shared" si="11"/>
        <v>9.3360576773672141E-2</v>
      </c>
      <c r="E220" s="36">
        <f t="shared" si="9"/>
        <v>9.9683500046381823E-2</v>
      </c>
    </row>
    <row r="221" spans="1:5" x14ac:dyDescent="0.35">
      <c r="A221" s="35">
        <v>36800</v>
      </c>
      <c r="B221" s="63">
        <f>VLOOKUP(A221,Database!A:L,MATCH($A$1,Database!$A$1:$L$1,),)</f>
        <v>1393.3489999999999</v>
      </c>
      <c r="C221" s="37">
        <f t="shared" si="10"/>
        <v>-9.9344148138673909E-3</v>
      </c>
      <c r="D221" s="36">
        <f t="shared" si="11"/>
        <v>5.9873562055533194E-2</v>
      </c>
      <c r="E221" s="36">
        <f t="shared" si="9"/>
        <v>-3.9149415741894789E-2</v>
      </c>
    </row>
    <row r="222" spans="1:5" x14ac:dyDescent="0.35">
      <c r="A222" s="35">
        <v>36892</v>
      </c>
      <c r="B222" s="63">
        <f>VLOOKUP(A222,Database!A:L,MATCH($A$1,Database!$A$1:$L$1,),)</f>
        <v>1375.8</v>
      </c>
      <c r="C222" s="37">
        <f t="shared" si="10"/>
        <v>-1.2594834459995291E-2</v>
      </c>
      <c r="D222" s="36">
        <f t="shared" si="11"/>
        <v>3.1592617641898357E-2</v>
      </c>
      <c r="E222" s="36">
        <f t="shared" si="9"/>
        <v>-4.9435525213162634E-2</v>
      </c>
    </row>
    <row r="223" spans="1:5" x14ac:dyDescent="0.35">
      <c r="A223" s="35">
        <v>36982</v>
      </c>
      <c r="B223" s="63">
        <f>VLOOKUP(A223,Database!A:L,MATCH($A$1,Database!$A$1:$L$1,),)</f>
        <v>1335.433</v>
      </c>
      <c r="C223" s="37">
        <f t="shared" si="10"/>
        <v>-2.9340747201628117E-2</v>
      </c>
      <c r="D223" s="36">
        <f t="shared" si="11"/>
        <v>-2.827565029848091E-2</v>
      </c>
      <c r="E223" s="36">
        <f t="shared" si="9"/>
        <v>-0.11229800639981813</v>
      </c>
    </row>
    <row r="224" spans="1:5" x14ac:dyDescent="0.35">
      <c r="A224" s="35">
        <v>37073</v>
      </c>
      <c r="B224" s="63">
        <f>VLOOKUP(A224,Database!A:L,MATCH($A$1,Database!$A$1:$L$1,),)</f>
        <v>1266.999</v>
      </c>
      <c r="C224" s="37">
        <f t="shared" si="10"/>
        <v>-5.1244802247660474E-2</v>
      </c>
      <c r="D224" s="36">
        <f t="shared" si="11"/>
        <v>-9.9714352710451648E-2</v>
      </c>
      <c r="E224" s="36">
        <f t="shared" si="9"/>
        <v>-0.18975441591640241</v>
      </c>
    </row>
    <row r="225" spans="1:5" x14ac:dyDescent="0.35">
      <c r="A225" s="35">
        <v>37165</v>
      </c>
      <c r="B225" s="63">
        <f>VLOOKUP(A225,Database!A:L,MATCH($A$1,Database!$A$1:$L$1,),)</f>
        <v>1222.9069999999999</v>
      </c>
      <c r="C225" s="37">
        <f t="shared" si="10"/>
        <v>-3.4800343173120182E-2</v>
      </c>
      <c r="D225" s="36">
        <f t="shared" si="11"/>
        <v>-0.12232541882902274</v>
      </c>
      <c r="E225" s="36">
        <f t="shared" si="9"/>
        <v>-0.13210210446215143</v>
      </c>
    </row>
    <row r="226" spans="1:5" x14ac:dyDescent="0.35">
      <c r="A226" s="35">
        <v>37257</v>
      </c>
      <c r="B226" s="63">
        <f>VLOOKUP(A226,Database!A:L,MATCH($A$1,Database!$A$1:$L$1,),)</f>
        <v>1249.6199999999999</v>
      </c>
      <c r="C226" s="37">
        <f t="shared" si="10"/>
        <v>2.1843852394335766E-2</v>
      </c>
      <c r="D226" s="36">
        <f t="shared" si="11"/>
        <v>-9.1713911905800305E-2</v>
      </c>
      <c r="E226" s="36">
        <f t="shared" si="9"/>
        <v>9.0280252094073976E-2</v>
      </c>
    </row>
    <row r="227" spans="1:5" x14ac:dyDescent="0.35">
      <c r="A227" s="35">
        <v>37347</v>
      </c>
      <c r="B227" s="63">
        <f>VLOOKUP(A227,Database!A:L,MATCH($A$1,Database!$A$1:$L$1,),)</f>
        <v>1286.817</v>
      </c>
      <c r="C227" s="37">
        <f t="shared" si="10"/>
        <v>2.9766649061314734E-2</v>
      </c>
      <c r="D227" s="36">
        <f t="shared" si="11"/>
        <v>-3.6404671743172426E-2</v>
      </c>
      <c r="E227" s="36">
        <f t="shared" si="9"/>
        <v>0.12448920107591044</v>
      </c>
    </row>
    <row r="228" spans="1:5" x14ac:dyDescent="0.35">
      <c r="A228" s="35">
        <v>37438</v>
      </c>
      <c r="B228" s="63">
        <f>VLOOKUP(A228,Database!A:L,MATCH($A$1,Database!$A$1:$L$1,),)</f>
        <v>1290.8679999999999</v>
      </c>
      <c r="C228" s="37">
        <f t="shared" si="10"/>
        <v>3.1480777764048276E-3</v>
      </c>
      <c r="D228" s="36">
        <f t="shared" si="11"/>
        <v>1.8839004608527641E-2</v>
      </c>
      <c r="E228" s="36">
        <f t="shared" si="9"/>
        <v>1.2651898360713565E-2</v>
      </c>
    </row>
    <row r="229" spans="1:5" x14ac:dyDescent="0.35">
      <c r="A229" s="35">
        <v>37530</v>
      </c>
      <c r="B229" s="63">
        <f>VLOOKUP(A229,Database!A:L,MATCH($A$1,Database!$A$1:$L$1,),)</f>
        <v>1271.796</v>
      </c>
      <c r="C229" s="37">
        <f t="shared" si="10"/>
        <v>-1.4774554795687778E-2</v>
      </c>
      <c r="D229" s="36">
        <f t="shared" si="11"/>
        <v>3.9977692498284929E-2</v>
      </c>
      <c r="E229" s="36">
        <f t="shared" si="9"/>
        <v>-5.7801347117579227E-2</v>
      </c>
    </row>
    <row r="230" spans="1:5" x14ac:dyDescent="0.35">
      <c r="A230" s="35">
        <v>37622</v>
      </c>
      <c r="B230" s="63">
        <f>VLOOKUP(A230,Database!A:L,MATCH($A$1,Database!$A$1:$L$1,),)</f>
        <v>1267.886</v>
      </c>
      <c r="C230" s="37">
        <f t="shared" si="10"/>
        <v>-3.0743924340067758E-3</v>
      </c>
      <c r="D230" s="36">
        <f t="shared" si="11"/>
        <v>1.461724364206725E-2</v>
      </c>
      <c r="E230" s="36">
        <f t="shared" si="9"/>
        <v>-1.2240974548921257E-2</v>
      </c>
    </row>
    <row r="231" spans="1:5" x14ac:dyDescent="0.35">
      <c r="A231" s="35">
        <v>37712</v>
      </c>
      <c r="B231" s="63">
        <f>VLOOKUP(A231,Database!A:L,MATCH($A$1,Database!$A$1:$L$1,),)</f>
        <v>1270.133</v>
      </c>
      <c r="C231" s="37">
        <f t="shared" si="10"/>
        <v>1.7722413529292626E-3</v>
      </c>
      <c r="D231" s="36">
        <f t="shared" si="11"/>
        <v>-1.2965324517783003E-2</v>
      </c>
      <c r="E231" s="36">
        <f t="shared" si="9"/>
        <v>7.1078327233622396E-3</v>
      </c>
    </row>
    <row r="232" spans="1:5" x14ac:dyDescent="0.35">
      <c r="A232" s="35">
        <v>37803</v>
      </c>
      <c r="B232" s="63">
        <f>VLOOKUP(A232,Database!A:L,MATCH($A$1,Database!$A$1:$L$1,),)</f>
        <v>1304.816</v>
      </c>
      <c r="C232" s="37">
        <f t="shared" si="10"/>
        <v>2.7306589152474577E-2</v>
      </c>
      <c r="D232" s="36">
        <f t="shared" si="11"/>
        <v>1.0805132670420286E-2</v>
      </c>
      <c r="E232" s="36">
        <f t="shared" si="9"/>
        <v>0.11378225608256942</v>
      </c>
    </row>
    <row r="233" spans="1:5" x14ac:dyDescent="0.35">
      <c r="A233" s="35">
        <v>37895</v>
      </c>
      <c r="B233" s="63">
        <f>VLOOKUP(A233,Database!A:L,MATCH($A$1,Database!$A$1:$L$1,),)</f>
        <v>1363.499</v>
      </c>
      <c r="C233" s="37">
        <f t="shared" si="10"/>
        <v>4.4974157275815128E-2</v>
      </c>
      <c r="D233" s="36">
        <f t="shared" si="11"/>
        <v>7.2105117487395759E-2</v>
      </c>
      <c r="E233" s="36">
        <f t="shared" si="9"/>
        <v>0.19240064163508741</v>
      </c>
    </row>
    <row r="234" spans="1:5" x14ac:dyDescent="0.35">
      <c r="A234" s="35">
        <v>37987</v>
      </c>
      <c r="B234" s="63">
        <f>VLOOKUP(A234,Database!A:L,MATCH($A$1,Database!$A$1:$L$1,),)</f>
        <v>1394.3109999999999</v>
      </c>
      <c r="C234" s="37">
        <f t="shared" si="10"/>
        <v>2.2597743012646065E-2</v>
      </c>
      <c r="D234" s="36">
        <f t="shared" si="11"/>
        <v>9.9713223428604753E-2</v>
      </c>
      <c r="E234" s="36">
        <f t="shared" si="9"/>
        <v>9.3501339629794789E-2</v>
      </c>
    </row>
    <row r="235" spans="1:5" x14ac:dyDescent="0.35">
      <c r="A235" s="35">
        <v>38078</v>
      </c>
      <c r="B235" s="63">
        <f>VLOOKUP(A235,Database!A:L,MATCH($A$1,Database!$A$1:$L$1,),)</f>
        <v>1423.51</v>
      </c>
      <c r="C235" s="37">
        <f t="shared" si="10"/>
        <v>2.0941525957982165E-2</v>
      </c>
      <c r="D235" s="36">
        <f t="shared" si="11"/>
        <v>0.12075664517023016</v>
      </c>
      <c r="E235" s="36">
        <f t="shared" si="9"/>
        <v>8.643431662875134E-2</v>
      </c>
    </row>
    <row r="236" spans="1:5" x14ac:dyDescent="0.35">
      <c r="A236" s="35">
        <v>38169</v>
      </c>
      <c r="B236" s="63">
        <f>VLOOKUP(A236,Database!A:L,MATCH($A$1,Database!$A$1:$L$1,),)</f>
        <v>1428.1790000000001</v>
      </c>
      <c r="C236" s="37">
        <f t="shared" si="10"/>
        <v>3.2799207592500907E-3</v>
      </c>
      <c r="D236" s="36">
        <f t="shared" si="11"/>
        <v>9.4544364875967221E-2</v>
      </c>
      <c r="E236" s="36">
        <f t="shared" si="9"/>
        <v>1.3184371573831788E-2</v>
      </c>
    </row>
    <row r="237" spans="1:5" x14ac:dyDescent="0.35">
      <c r="A237" s="35">
        <v>38261</v>
      </c>
      <c r="B237" s="63">
        <f>VLOOKUP(A237,Database!A:L,MATCH($A$1,Database!$A$1:$L$1,),)</f>
        <v>1462.0809999999999</v>
      </c>
      <c r="C237" s="37">
        <f t="shared" si="10"/>
        <v>2.373792080684551E-2</v>
      </c>
      <c r="D237" s="36">
        <f t="shared" si="11"/>
        <v>7.2300749762192626E-2</v>
      </c>
      <c r="E237" s="36">
        <f t="shared" si="9"/>
        <v>9.8386438270535059E-2</v>
      </c>
    </row>
    <row r="238" spans="1:5" x14ac:dyDescent="0.35">
      <c r="A238" s="35">
        <v>38353</v>
      </c>
      <c r="B238" s="63">
        <f>VLOOKUP(A238,Database!A:L,MATCH($A$1,Database!$A$1:$L$1,),)</f>
        <v>1489.521</v>
      </c>
      <c r="C238" s="37">
        <f t="shared" si="10"/>
        <v>1.8767770048307895E-2</v>
      </c>
      <c r="D238" s="36">
        <f t="shared" si="11"/>
        <v>6.8284622297321074E-2</v>
      </c>
      <c r="E238" s="36">
        <f t="shared" si="9"/>
        <v>7.7211021640116062E-2</v>
      </c>
    </row>
    <row r="239" spans="1:5" x14ac:dyDescent="0.35">
      <c r="A239" s="35">
        <v>38443</v>
      </c>
      <c r="B239" s="63">
        <f>VLOOKUP(A239,Database!A:L,MATCH($A$1,Database!$A$1:$L$1,),)</f>
        <v>1522.7460000000001</v>
      </c>
      <c r="C239" s="37">
        <f t="shared" si="10"/>
        <v>2.2305828518027027E-2</v>
      </c>
      <c r="D239" s="36">
        <f t="shared" si="11"/>
        <v>6.9712190290198248E-2</v>
      </c>
      <c r="E239" s="36">
        <f t="shared" si="9"/>
        <v>9.2253254602007173E-2</v>
      </c>
    </row>
    <row r="240" spans="1:5" x14ac:dyDescent="0.35">
      <c r="A240" s="35">
        <v>38534</v>
      </c>
      <c r="B240" s="63">
        <f>VLOOKUP(A240,Database!A:L,MATCH($A$1,Database!$A$1:$L$1,),)</f>
        <v>1522.433</v>
      </c>
      <c r="C240" s="37">
        <f t="shared" si="10"/>
        <v>-2.0554971085138418E-4</v>
      </c>
      <c r="D240" s="36">
        <f t="shared" si="11"/>
        <v>6.5995929081718682E-2</v>
      </c>
      <c r="E240" s="36">
        <f t="shared" si="9"/>
        <v>-8.2194537404056689E-4</v>
      </c>
    </row>
    <row r="241" spans="1:5" x14ac:dyDescent="0.35">
      <c r="A241" s="35">
        <v>38626</v>
      </c>
      <c r="B241" s="63">
        <f>VLOOKUP(A241,Database!A:L,MATCH($A$1,Database!$A$1:$L$1,),)</f>
        <v>1569.6130000000001</v>
      </c>
      <c r="C241" s="37">
        <f t="shared" si="10"/>
        <v>3.0989869504930635E-2</v>
      </c>
      <c r="D241" s="36">
        <f t="shared" si="11"/>
        <v>7.3547224811758141E-2</v>
      </c>
      <c r="E241" s="36">
        <f t="shared" si="9"/>
        <v>0.1298416796190236</v>
      </c>
    </row>
    <row r="242" spans="1:5" x14ac:dyDescent="0.35">
      <c r="A242" s="35">
        <v>38718</v>
      </c>
      <c r="B242" s="63">
        <f>VLOOKUP(A242,Database!A:L,MATCH($A$1,Database!$A$1:$L$1,),)</f>
        <v>1633.194</v>
      </c>
      <c r="C242" s="37">
        <f t="shared" si="10"/>
        <v>4.0507437183560473E-2</v>
      </c>
      <c r="D242" s="36">
        <f t="shared" si="11"/>
        <v>9.6455840501745202E-2</v>
      </c>
      <c r="E242" s="36">
        <f t="shared" si="9"/>
        <v>0.17214342284710882</v>
      </c>
    </row>
    <row r="243" spans="1:5" x14ac:dyDescent="0.35">
      <c r="A243" s="35">
        <v>38808</v>
      </c>
      <c r="B243" s="63">
        <f>VLOOKUP(A243,Database!A:L,MATCH($A$1,Database!$A$1:$L$1,),)</f>
        <v>1663.431</v>
      </c>
      <c r="C243" s="37">
        <f t="shared" si="10"/>
        <v>1.8514028339560444E-2</v>
      </c>
      <c r="D243" s="36">
        <f t="shared" si="11"/>
        <v>9.2389013006765372E-2</v>
      </c>
      <c r="E243" s="36">
        <f t="shared" si="9"/>
        <v>7.6138230479235514E-2</v>
      </c>
    </row>
    <row r="244" spans="1:5" x14ac:dyDescent="0.35">
      <c r="A244" s="35">
        <v>38899</v>
      </c>
      <c r="B244" s="63">
        <f>VLOOKUP(A244,Database!A:L,MATCH($A$1,Database!$A$1:$L$1,),)</f>
        <v>1661.223</v>
      </c>
      <c r="C244" s="37">
        <f t="shared" si="10"/>
        <v>-1.3273769696489266E-3</v>
      </c>
      <c r="D244" s="36">
        <f t="shared" si="11"/>
        <v>9.1163289287607377E-2</v>
      </c>
      <c r="E244" s="36">
        <f t="shared" si="9"/>
        <v>-5.2989456527531287E-3</v>
      </c>
    </row>
    <row r="245" spans="1:5" x14ac:dyDescent="0.35">
      <c r="A245" s="35">
        <v>38991</v>
      </c>
      <c r="B245" s="63">
        <f>VLOOKUP(A245,Database!A:L,MATCH($A$1,Database!$A$1:$L$1,),)</f>
        <v>1724.2629999999999</v>
      </c>
      <c r="C245" s="37">
        <f t="shared" si="10"/>
        <v>3.7947945579852892E-2</v>
      </c>
      <c r="D245" s="36">
        <f t="shared" si="11"/>
        <v>9.8527471421299306E-2</v>
      </c>
      <c r="E245" s="36">
        <f t="shared" si="9"/>
        <v>0.16065272273198405</v>
      </c>
    </row>
    <row r="246" spans="1:5" x14ac:dyDescent="0.35">
      <c r="A246" s="35">
        <v>39083</v>
      </c>
      <c r="B246" s="63">
        <f>VLOOKUP(A246,Database!A:L,MATCH($A$1,Database!$A$1:$L$1,),)</f>
        <v>1758.4490000000001</v>
      </c>
      <c r="C246" s="37">
        <f t="shared" si="10"/>
        <v>1.9826441789912646E-2</v>
      </c>
      <c r="D246" s="36">
        <f t="shared" si="11"/>
        <v>7.6693277099964929E-2</v>
      </c>
      <c r="E246" s="36">
        <f t="shared" si="9"/>
        <v>8.1695622571024806E-2</v>
      </c>
    </row>
    <row r="247" spans="1:5" x14ac:dyDescent="0.35">
      <c r="A247" s="35">
        <v>39173</v>
      </c>
      <c r="B247" s="63">
        <f>VLOOKUP(A247,Database!A:L,MATCH($A$1,Database!$A$1:$L$1,),)</f>
        <v>1785.0640000000001</v>
      </c>
      <c r="C247" s="37">
        <f t="shared" si="10"/>
        <v>1.5135497247858771E-2</v>
      </c>
      <c r="D247" s="36">
        <f t="shared" si="11"/>
        <v>7.3121758582111326E-2</v>
      </c>
      <c r="E247" s="36">
        <f t="shared" si="9"/>
        <v>6.1930410289453341E-2</v>
      </c>
    </row>
    <row r="248" spans="1:5" x14ac:dyDescent="0.35">
      <c r="A248" s="35">
        <v>39264</v>
      </c>
      <c r="B248" s="63">
        <f>VLOOKUP(A248,Database!A:L,MATCH($A$1,Database!$A$1:$L$1,),)</f>
        <v>1840.838</v>
      </c>
      <c r="C248" s="37">
        <f t="shared" si="10"/>
        <v>3.1244818112963951E-2</v>
      </c>
      <c r="D248" s="36">
        <f t="shared" si="11"/>
        <v>0.10812214856163201</v>
      </c>
      <c r="E248" s="36">
        <f t="shared" si="9"/>
        <v>0.13095966704457829</v>
      </c>
    </row>
    <row r="249" spans="1:5" x14ac:dyDescent="0.35">
      <c r="A249" s="35">
        <v>39356</v>
      </c>
      <c r="B249" s="63">
        <f>VLOOKUP(A249,Database!A:L,MATCH($A$1,Database!$A$1:$L$1,),)</f>
        <v>1883.0619999999999</v>
      </c>
      <c r="C249" s="37">
        <f t="shared" si="10"/>
        <v>2.2937379606461805E-2</v>
      </c>
      <c r="D249" s="36">
        <f t="shared" si="11"/>
        <v>9.2096739302530983E-2</v>
      </c>
      <c r="E249" s="36">
        <f t="shared" si="9"/>
        <v>9.4954807097969551E-2</v>
      </c>
    </row>
    <row r="250" spans="1:5" x14ac:dyDescent="0.35">
      <c r="A250" s="35">
        <v>39448</v>
      </c>
      <c r="B250" s="63">
        <f>VLOOKUP(A250,Database!A:L,MATCH($A$1,Database!$A$1:$L$1,),)</f>
        <v>1913.046</v>
      </c>
      <c r="C250" s="37">
        <f t="shared" si="10"/>
        <v>1.5923002004182632E-2</v>
      </c>
      <c r="D250" s="36">
        <f t="shared" si="11"/>
        <v>8.7916681120692147E-2</v>
      </c>
      <c r="E250" s="36">
        <f t="shared" si="9"/>
        <v>6.5229472855863779E-2</v>
      </c>
    </row>
    <row r="251" spans="1:5" x14ac:dyDescent="0.35">
      <c r="A251" s="35">
        <v>39539</v>
      </c>
      <c r="B251" s="63">
        <f>VLOOKUP(A251,Database!A:L,MATCH($A$1,Database!$A$1:$L$1,),)</f>
        <v>1969.204</v>
      </c>
      <c r="C251" s="37">
        <f t="shared" si="10"/>
        <v>2.9355279486222442E-2</v>
      </c>
      <c r="D251" s="36">
        <f t="shared" si="11"/>
        <v>0.10315596527631495</v>
      </c>
      <c r="E251" s="36">
        <f t="shared" si="9"/>
        <v>0.1226934407156981</v>
      </c>
    </row>
    <row r="252" spans="1:5" x14ac:dyDescent="0.35">
      <c r="A252" s="35">
        <v>39630</v>
      </c>
      <c r="B252" s="63">
        <f>VLOOKUP(A252,Database!A:L,MATCH($A$1,Database!$A$1:$L$1,),)</f>
        <v>1960.3620000000001</v>
      </c>
      <c r="C252" s="37">
        <f t="shared" si="10"/>
        <v>-4.4901391628291796E-3</v>
      </c>
      <c r="D252" s="36">
        <f t="shared" si="11"/>
        <v>6.4929124670394744E-2</v>
      </c>
      <c r="E252" s="36">
        <f t="shared" si="9"/>
        <v>-1.7839950255690518E-2</v>
      </c>
    </row>
    <row r="253" spans="1:5" x14ac:dyDescent="0.35">
      <c r="A253" s="35">
        <v>39722</v>
      </c>
      <c r="B253" s="63">
        <f>VLOOKUP(A253,Database!A:L,MATCH($A$1,Database!$A$1:$L$1,),)</f>
        <v>1844.981</v>
      </c>
      <c r="C253" s="37">
        <f t="shared" si="10"/>
        <v>-5.885698661777778E-2</v>
      </c>
      <c r="D253" s="36">
        <f t="shared" si="11"/>
        <v>-2.0222913531259143E-2</v>
      </c>
      <c r="E253" s="36">
        <f t="shared" si="9"/>
        <v>-0.21544663344295312</v>
      </c>
    </row>
    <row r="254" spans="1:5" x14ac:dyDescent="0.35">
      <c r="A254" s="35">
        <v>39814</v>
      </c>
      <c r="B254" s="63">
        <f>VLOOKUP(A254,Database!A:L,MATCH($A$1,Database!$A$1:$L$1,),)</f>
        <v>1697.6369999999999</v>
      </c>
      <c r="C254" s="37">
        <f t="shared" si="10"/>
        <v>-7.9862069040277414E-2</v>
      </c>
      <c r="D254" s="36">
        <f t="shared" si="11"/>
        <v>-0.11260001066362237</v>
      </c>
      <c r="E254" s="36">
        <f t="shared" si="9"/>
        <v>-0.28317732264138051</v>
      </c>
    </row>
    <row r="255" spans="1:5" x14ac:dyDescent="0.35">
      <c r="A255" s="35">
        <v>39904</v>
      </c>
      <c r="B255" s="63">
        <f>VLOOKUP(A255,Database!A:L,MATCH($A$1,Database!$A$1:$L$1,),)</f>
        <v>1708.8320000000001</v>
      </c>
      <c r="C255" s="37">
        <f t="shared" si="10"/>
        <v>6.5944604176276581E-3</v>
      </c>
      <c r="D255" s="36">
        <f t="shared" si="11"/>
        <v>-0.13222195364218225</v>
      </c>
      <c r="E255" s="36">
        <f t="shared" si="9"/>
        <v>2.6639912101598329E-2</v>
      </c>
    </row>
    <row r="256" spans="1:5" x14ac:dyDescent="0.35">
      <c r="A256" s="35">
        <v>39995</v>
      </c>
      <c r="B256" s="63">
        <f>VLOOKUP(A256,Database!A:L,MATCH($A$1,Database!$A$1:$L$1,),)</f>
        <v>1772.0039999999999</v>
      </c>
      <c r="C256" s="37">
        <f t="shared" si="10"/>
        <v>3.6967940675268131E-2</v>
      </c>
      <c r="D256" s="36">
        <f t="shared" si="11"/>
        <v>-9.6083274415643724E-2</v>
      </c>
      <c r="E256" s="36">
        <f t="shared" si="9"/>
        <v>0.15627548798715152</v>
      </c>
    </row>
    <row r="257" spans="1:5" x14ac:dyDescent="0.35">
      <c r="A257" s="35">
        <v>40087</v>
      </c>
      <c r="B257" s="63">
        <f>VLOOKUP(A257,Database!A:L,MATCH($A$1,Database!$A$1:$L$1,),)</f>
        <v>1871.4849999999999</v>
      </c>
      <c r="C257" s="37">
        <f t="shared" si="10"/>
        <v>5.6140392459610701E-2</v>
      </c>
      <c r="D257" s="36">
        <f t="shared" si="11"/>
        <v>1.4365459590098708E-2</v>
      </c>
      <c r="E257" s="36">
        <f t="shared" si="9"/>
        <v>0.24418972582494769</v>
      </c>
    </row>
    <row r="258" spans="1:5" x14ac:dyDescent="0.35">
      <c r="A258" s="35">
        <v>40179</v>
      </c>
      <c r="B258" s="63">
        <f>VLOOKUP(A258,Database!A:L,MATCH($A$1,Database!$A$1:$L$1,),)</f>
        <v>1916.239</v>
      </c>
      <c r="C258" s="37">
        <f t="shared" si="10"/>
        <v>2.3913630085199793E-2</v>
      </c>
      <c r="D258" s="36">
        <f t="shared" si="11"/>
        <v>0.12876839984048422</v>
      </c>
      <c r="E258" s="36">
        <f t="shared" si="9"/>
        <v>9.9140718746701495E-2</v>
      </c>
    </row>
    <row r="259" spans="1:5" x14ac:dyDescent="0.35">
      <c r="A259" s="35">
        <v>40269</v>
      </c>
      <c r="B259" s="63">
        <f>VLOOKUP(A259,Database!A:L,MATCH($A$1,Database!$A$1:$L$1,),)</f>
        <v>1958.367</v>
      </c>
      <c r="C259" s="37">
        <f t="shared" si="10"/>
        <v>2.198473154966574E-2</v>
      </c>
      <c r="D259" s="36">
        <f t="shared" si="11"/>
        <v>0.14602664275949878</v>
      </c>
      <c r="E259" s="36">
        <f t="shared" si="9"/>
        <v>9.0881633715262256E-2</v>
      </c>
    </row>
    <row r="260" spans="1:5" x14ac:dyDescent="0.35">
      <c r="A260" s="35">
        <v>40360</v>
      </c>
      <c r="B260" s="63">
        <f>VLOOKUP(A260,Database!A:L,MATCH($A$1,Database!$A$1:$L$1,),)</f>
        <v>2014.232</v>
      </c>
      <c r="C260" s="37">
        <f t="shared" si="10"/>
        <v>2.8526318100744144E-2</v>
      </c>
      <c r="D260" s="36">
        <f t="shared" si="11"/>
        <v>0.13669720835844618</v>
      </c>
      <c r="E260" s="36">
        <f t="shared" si="9"/>
        <v>0.1190812927991749</v>
      </c>
    </row>
    <row r="261" spans="1:5" x14ac:dyDescent="0.35">
      <c r="A261" s="35">
        <v>40452</v>
      </c>
      <c r="B261" s="63">
        <f>VLOOKUP(A261,Database!A:L,MATCH($A$1,Database!$A$1:$L$1,),)</f>
        <v>2069.3490000000002</v>
      </c>
      <c r="C261" s="37">
        <f t="shared" si="10"/>
        <v>2.7363779346172731E-2</v>
      </c>
      <c r="D261" s="36">
        <f t="shared" si="11"/>
        <v>0.10572566705049748</v>
      </c>
      <c r="E261" s="36">
        <f t="shared" si="9"/>
        <v>0.11403029398241182</v>
      </c>
    </row>
    <row r="262" spans="1:5" x14ac:dyDescent="0.35">
      <c r="A262" s="35">
        <v>40544</v>
      </c>
      <c r="B262" s="63">
        <f>VLOOKUP(A262,Database!A:L,MATCH($A$1,Database!$A$1:$L$1,),)</f>
        <v>2087.06</v>
      </c>
      <c r="C262" s="37">
        <f t="shared" si="10"/>
        <v>8.5587303060043439E-3</v>
      </c>
      <c r="D262" s="36">
        <f t="shared" si="11"/>
        <v>8.9143890715093418E-2</v>
      </c>
      <c r="E262" s="36">
        <f t="shared" ref="E262:E309" si="12">((1+C262)^4)-1</f>
        <v>3.4676945548367533E-2</v>
      </c>
    </row>
    <row r="263" spans="1:5" x14ac:dyDescent="0.35">
      <c r="A263" s="35">
        <v>40634</v>
      </c>
      <c r="B263" s="63">
        <f>VLOOKUP(A263,Database!A:L,MATCH($A$1,Database!$A$1:$L$1,),)</f>
        <v>2122.3209999999999</v>
      </c>
      <c r="C263" s="37">
        <f t="shared" ref="C263:C326" si="13">(B263-B262)/B262</f>
        <v>1.6895058120034865E-2</v>
      </c>
      <c r="D263" s="36">
        <f t="shared" si="11"/>
        <v>8.3719752222131988E-2</v>
      </c>
      <c r="E263" s="36">
        <f t="shared" si="12"/>
        <v>6.931226219466402E-2</v>
      </c>
    </row>
    <row r="264" spans="1:5" x14ac:dyDescent="0.35">
      <c r="A264" s="35">
        <v>40725</v>
      </c>
      <c r="B264" s="63">
        <f>VLOOKUP(A264,Database!A:L,MATCH($A$1,Database!$A$1:$L$1,),)</f>
        <v>2151.4740000000002</v>
      </c>
      <c r="C264" s="37">
        <f t="shared" si="13"/>
        <v>1.3736376354001233E-2</v>
      </c>
      <c r="D264" s="36">
        <f t="shared" si="11"/>
        <v>6.8136143204953648E-2</v>
      </c>
      <c r="E264" s="36">
        <f t="shared" si="12"/>
        <v>5.6088036790679974E-2</v>
      </c>
    </row>
    <row r="265" spans="1:5" x14ac:dyDescent="0.35">
      <c r="A265" s="35">
        <v>40817</v>
      </c>
      <c r="B265" s="63">
        <f>VLOOKUP(A265,Database!A:L,MATCH($A$1,Database!$A$1:$L$1,),)</f>
        <v>2167.652</v>
      </c>
      <c r="C265" s="37">
        <f t="shared" si="13"/>
        <v>7.5194959362743317E-3</v>
      </c>
      <c r="D265" s="36">
        <f t="shared" si="11"/>
        <v>4.7504311742485136E-2</v>
      </c>
      <c r="E265" s="36">
        <f t="shared" si="12"/>
        <v>3.0418944550996585E-2</v>
      </c>
    </row>
    <row r="266" spans="1:5" x14ac:dyDescent="0.35">
      <c r="A266" s="35">
        <v>40909</v>
      </c>
      <c r="B266" s="63">
        <f>VLOOKUP(A266,Database!A:L,MATCH($A$1,Database!$A$1:$L$1,),)</f>
        <v>2194.087</v>
      </c>
      <c r="C266" s="37">
        <f t="shared" si="13"/>
        <v>1.2195223218487075E-2</v>
      </c>
      <c r="D266" s="36">
        <f t="shared" ref="D266:D329" si="14">(B266-B262)/B262</f>
        <v>5.1281228139104788E-2</v>
      </c>
      <c r="E266" s="36">
        <f t="shared" si="12"/>
        <v>4.9680510672336586E-2</v>
      </c>
    </row>
    <row r="267" spans="1:5" x14ac:dyDescent="0.35">
      <c r="A267" s="35">
        <v>41000</v>
      </c>
      <c r="B267" s="63">
        <f>VLOOKUP(A267,Database!A:L,MATCH($A$1,Database!$A$1:$L$1,),)</f>
        <v>2215.7530000000002</v>
      </c>
      <c r="C267" s="37">
        <f t="shared" si="13"/>
        <v>9.8747223788300861E-3</v>
      </c>
      <c r="D267" s="36">
        <f t="shared" si="14"/>
        <v>4.4023500686277077E-2</v>
      </c>
      <c r="E267" s="36">
        <f t="shared" si="12"/>
        <v>4.0087811418229702E-2</v>
      </c>
    </row>
    <row r="268" spans="1:5" x14ac:dyDescent="0.35">
      <c r="A268" s="35">
        <v>41091</v>
      </c>
      <c r="B268" s="63">
        <f>VLOOKUP(A268,Database!A:L,MATCH($A$1,Database!$A$1:$L$1,),)</f>
        <v>2229.3530000000001</v>
      </c>
      <c r="C268" s="37">
        <f t="shared" si="13"/>
        <v>6.1378682551710001E-3</v>
      </c>
      <c r="D268" s="36">
        <f t="shared" si="14"/>
        <v>3.6197974040123142E-2</v>
      </c>
      <c r="E268" s="36">
        <f t="shared" si="12"/>
        <v>2.4778439938397456E-2</v>
      </c>
    </row>
    <row r="269" spans="1:5" x14ac:dyDescent="0.35">
      <c r="A269" s="35">
        <v>41183</v>
      </c>
      <c r="B269" s="63">
        <f>VLOOKUP(A269,Database!A:L,MATCH($A$1,Database!$A$1:$L$1,),)</f>
        <v>2231.607</v>
      </c>
      <c r="C269" s="37">
        <f t="shared" si="13"/>
        <v>1.011055674000441E-3</v>
      </c>
      <c r="D269" s="36">
        <f t="shared" si="14"/>
        <v>2.9504274671395558E-2</v>
      </c>
      <c r="E269" s="36">
        <f t="shared" si="12"/>
        <v>4.0503602326424915E-3</v>
      </c>
    </row>
    <row r="270" spans="1:5" x14ac:dyDescent="0.35">
      <c r="A270" s="35">
        <v>41275</v>
      </c>
      <c r="B270" s="63">
        <f>VLOOKUP(A270,Database!A:L,MATCH($A$1,Database!$A$1:$L$1,),)</f>
        <v>2242.308</v>
      </c>
      <c r="C270" s="37">
        <f t="shared" si="13"/>
        <v>4.7951991546898816E-3</v>
      </c>
      <c r="D270" s="36">
        <f t="shared" si="14"/>
        <v>2.1977706444639616E-2</v>
      </c>
      <c r="E270" s="36">
        <f t="shared" si="12"/>
        <v>1.9319201799069319E-2</v>
      </c>
    </row>
    <row r="271" spans="1:5" x14ac:dyDescent="0.35">
      <c r="A271" s="35">
        <v>41365</v>
      </c>
      <c r="B271" s="63">
        <f>VLOOKUP(A271,Database!A:L,MATCH($A$1,Database!$A$1:$L$1,),)</f>
        <v>2262.5239999999999</v>
      </c>
      <c r="C271" s="37">
        <f t="shared" si="13"/>
        <v>9.0157105981871783E-3</v>
      </c>
      <c r="D271" s="36">
        <f t="shared" si="14"/>
        <v>2.1108399717838462E-2</v>
      </c>
      <c r="E271" s="36">
        <f t="shared" si="12"/>
        <v>3.6553478522596272E-2</v>
      </c>
    </row>
    <row r="272" spans="1:5" x14ac:dyDescent="0.35">
      <c r="A272" s="35">
        <v>41456</v>
      </c>
      <c r="B272" s="63">
        <f>VLOOKUP(A272,Database!A:L,MATCH($A$1,Database!$A$1:$L$1,),)</f>
        <v>2281.9789999999998</v>
      </c>
      <c r="C272" s="37">
        <f t="shared" si="13"/>
        <v>8.5988038137937671E-3</v>
      </c>
      <c r="D272" s="36">
        <f t="shared" si="14"/>
        <v>2.3605952040793785E-2</v>
      </c>
      <c r="E272" s="36">
        <f t="shared" si="12"/>
        <v>3.4841400446891546E-2</v>
      </c>
    </row>
    <row r="273" spans="1:5" x14ac:dyDescent="0.35">
      <c r="A273" s="35">
        <v>41548</v>
      </c>
      <c r="B273" s="63">
        <f>VLOOKUP(A273,Database!A:L,MATCH($A$1,Database!$A$1:$L$1,),)</f>
        <v>2347.5790000000002</v>
      </c>
      <c r="C273" s="37">
        <f t="shared" si="13"/>
        <v>2.8746977952032148E-2</v>
      </c>
      <c r="D273" s="36">
        <f t="shared" si="14"/>
        <v>5.1967931629538805E-2</v>
      </c>
      <c r="E273" s="36">
        <f t="shared" si="12"/>
        <v>0.12004195189044076</v>
      </c>
    </row>
    <row r="274" spans="1:5" x14ac:dyDescent="0.35">
      <c r="A274" s="35">
        <v>41640</v>
      </c>
      <c r="B274" s="63">
        <f>VLOOKUP(A274,Database!A:L,MATCH($A$1,Database!$A$1:$L$1,),)</f>
        <v>2324.808</v>
      </c>
      <c r="C274" s="37">
        <f t="shared" si="13"/>
        <v>-9.6997800712990637E-3</v>
      </c>
      <c r="D274" s="36">
        <f t="shared" si="14"/>
        <v>3.6792447781482294E-2</v>
      </c>
      <c r="E274" s="36">
        <f t="shared" si="12"/>
        <v>-3.8238247476169884E-2</v>
      </c>
    </row>
    <row r="275" spans="1:5" x14ac:dyDescent="0.35">
      <c r="A275" s="35">
        <v>41730</v>
      </c>
      <c r="B275" s="63">
        <f>VLOOKUP(A275,Database!A:L,MATCH($A$1,Database!$A$1:$L$1,),)</f>
        <v>2375.1210000000001</v>
      </c>
      <c r="C275" s="37">
        <f t="shared" si="13"/>
        <v>2.1641787192748865E-2</v>
      </c>
      <c r="D275" s="36">
        <f t="shared" si="14"/>
        <v>4.9766101928642621E-2</v>
      </c>
      <c r="E275" s="36">
        <f t="shared" si="12"/>
        <v>8.9418115047665836E-2</v>
      </c>
    </row>
    <row r="276" spans="1:5" x14ac:dyDescent="0.35">
      <c r="A276" s="35">
        <v>41821</v>
      </c>
      <c r="B276" s="63">
        <f>VLOOKUP(A276,Database!A:L,MATCH($A$1,Database!$A$1:$L$1,),)</f>
        <v>2384.779</v>
      </c>
      <c r="C276" s="37">
        <f t="shared" si="13"/>
        <v>4.0663191475297051E-3</v>
      </c>
      <c r="D276" s="36">
        <f t="shared" si="14"/>
        <v>4.5048617888245331E-2</v>
      </c>
      <c r="E276" s="36">
        <f t="shared" si="12"/>
        <v>1.6364755517538798E-2</v>
      </c>
    </row>
    <row r="277" spans="1:5" x14ac:dyDescent="0.35">
      <c r="A277" s="35">
        <v>41913</v>
      </c>
      <c r="B277" s="63">
        <f>VLOOKUP(A277,Database!A:L,MATCH($A$1,Database!$A$1:$L$1,),)</f>
        <v>2404.4299999999998</v>
      </c>
      <c r="C277" s="37">
        <f t="shared" si="13"/>
        <v>8.2401765530474066E-3</v>
      </c>
      <c r="D277" s="36">
        <f t="shared" si="14"/>
        <v>2.4216863415458926E-2</v>
      </c>
      <c r="E277" s="36">
        <f t="shared" si="12"/>
        <v>3.337035192917015E-2</v>
      </c>
    </row>
    <row r="278" spans="1:5" x14ac:dyDescent="0.35">
      <c r="A278" s="35">
        <v>42005</v>
      </c>
      <c r="B278" s="63">
        <f>VLOOKUP(A278,Database!A:L,MATCH($A$1,Database!$A$1:$L$1,),)</f>
        <v>2384.8429999999998</v>
      </c>
      <c r="C278" s="37">
        <f t="shared" si="13"/>
        <v>-8.1462134476778247E-3</v>
      </c>
      <c r="D278" s="36">
        <f t="shared" si="14"/>
        <v>2.5823637909022961E-2</v>
      </c>
      <c r="E278" s="36">
        <f t="shared" si="12"/>
        <v>-3.2188846982500463E-2</v>
      </c>
    </row>
    <row r="279" spans="1:5" x14ac:dyDescent="0.35">
      <c r="A279" s="35">
        <v>42095</v>
      </c>
      <c r="B279" s="63">
        <f>VLOOKUP(A279,Database!A:L,MATCH($A$1,Database!$A$1:$L$1,),)</f>
        <v>2391.145</v>
      </c>
      <c r="C279" s="37">
        <f t="shared" si="13"/>
        <v>2.6425219605651757E-3</v>
      </c>
      <c r="D279" s="36">
        <f t="shared" si="14"/>
        <v>6.7466036467194249E-3</v>
      </c>
      <c r="E279" s="36">
        <f t="shared" si="12"/>
        <v>1.0612059234996973E-2</v>
      </c>
    </row>
    <row r="280" spans="1:5" x14ac:dyDescent="0.35">
      <c r="A280" s="35">
        <v>42186</v>
      </c>
      <c r="B280" s="63">
        <f>VLOOKUP(A280,Database!A:L,MATCH($A$1,Database!$A$1:$L$1,),)</f>
        <v>2371.2049999999999</v>
      </c>
      <c r="C280" s="37">
        <f t="shared" si="13"/>
        <v>-8.3391011419215715E-3</v>
      </c>
      <c r="D280" s="36">
        <f t="shared" si="14"/>
        <v>-5.691932040662916E-3</v>
      </c>
      <c r="E280" s="36">
        <f t="shared" si="12"/>
        <v>-3.2941475709308499E-2</v>
      </c>
    </row>
    <row r="281" spans="1:5" x14ac:dyDescent="0.35">
      <c r="A281" s="35">
        <v>42278</v>
      </c>
      <c r="B281" s="63">
        <f>VLOOKUP(A281,Database!A:L,MATCH($A$1,Database!$A$1:$L$1,),)</f>
        <v>2367.6669999999999</v>
      </c>
      <c r="C281" s="37">
        <f t="shared" si="13"/>
        <v>-1.4920683787357108E-3</v>
      </c>
      <c r="D281" s="36">
        <f t="shared" si="14"/>
        <v>-1.5289694439014619E-2</v>
      </c>
      <c r="E281" s="36">
        <f t="shared" si="12"/>
        <v>-5.9549291886823452E-3</v>
      </c>
    </row>
    <row r="282" spans="1:5" x14ac:dyDescent="0.35">
      <c r="A282" s="35">
        <v>42370</v>
      </c>
      <c r="B282" s="63">
        <f>VLOOKUP(A282,Database!A:L,MATCH($A$1,Database!$A$1:$L$1,),)</f>
        <v>2360.7049999999999</v>
      </c>
      <c r="C282" s="37">
        <f t="shared" si="13"/>
        <v>-2.9404472841831177E-3</v>
      </c>
      <c r="D282" s="36">
        <f t="shared" si="14"/>
        <v>-1.0121420990815715E-2</v>
      </c>
      <c r="E282" s="36">
        <f t="shared" si="12"/>
        <v>-1.1710013375725303E-2</v>
      </c>
    </row>
    <row r="283" spans="1:5" x14ac:dyDescent="0.35">
      <c r="A283" s="35">
        <v>42461</v>
      </c>
      <c r="B283" s="63">
        <f>VLOOKUP(A283,Database!A:L,MATCH($A$1,Database!$A$1:$L$1,),)</f>
        <v>2378.6120000000001</v>
      </c>
      <c r="C283" s="37">
        <f t="shared" si="13"/>
        <v>7.5854458731608367E-3</v>
      </c>
      <c r="D283" s="36">
        <f t="shared" si="14"/>
        <v>-5.2414219965748214E-3</v>
      </c>
      <c r="E283" s="36">
        <f t="shared" si="12"/>
        <v>3.068876657349584E-2</v>
      </c>
    </row>
    <row r="284" spans="1:5" x14ac:dyDescent="0.35">
      <c r="A284" s="35">
        <v>42552</v>
      </c>
      <c r="B284" s="63">
        <f>VLOOKUP(A284,Database!A:L,MATCH($A$1,Database!$A$1:$L$1,),)</f>
        <v>2415.5520000000001</v>
      </c>
      <c r="C284" s="37">
        <f t="shared" si="13"/>
        <v>1.553006543311816E-2</v>
      </c>
      <c r="D284" s="36">
        <f t="shared" si="14"/>
        <v>1.8702305367945923E-2</v>
      </c>
      <c r="E284" s="36">
        <f t="shared" si="12"/>
        <v>6.3582399842704307E-2</v>
      </c>
    </row>
    <row r="285" spans="1:5" x14ac:dyDescent="0.35">
      <c r="A285" s="35">
        <v>42644</v>
      </c>
      <c r="B285" s="63">
        <f>VLOOKUP(A285,Database!A:L,MATCH($A$1,Database!$A$1:$L$1,),)</f>
        <v>2398.5520000000001</v>
      </c>
      <c r="C285" s="37">
        <f t="shared" si="13"/>
        <v>-7.0377288503828518E-3</v>
      </c>
      <c r="D285" s="36">
        <f t="shared" si="14"/>
        <v>1.3044486407928234E-2</v>
      </c>
      <c r="E285" s="36">
        <f t="shared" si="12"/>
        <v>-2.7855129488468577E-2</v>
      </c>
    </row>
    <row r="286" spans="1:5" x14ac:dyDescent="0.35">
      <c r="A286" s="35">
        <v>42736</v>
      </c>
      <c r="B286" s="63">
        <f>VLOOKUP(A286,Database!A:L,MATCH($A$1,Database!$A$1:$L$1,),)</f>
        <v>2460.7539999999999</v>
      </c>
      <c r="C286" s="37">
        <f t="shared" si="13"/>
        <v>2.5933146331619982E-2</v>
      </c>
      <c r="D286" s="36">
        <f t="shared" si="14"/>
        <v>4.2380983646834305E-2</v>
      </c>
      <c r="E286" s="36">
        <f t="shared" si="12"/>
        <v>0.10783796916874344</v>
      </c>
    </row>
    <row r="287" spans="1:5" x14ac:dyDescent="0.35">
      <c r="A287" s="35">
        <v>42826</v>
      </c>
      <c r="B287" s="63">
        <f>VLOOKUP(A287,Database!A:L,MATCH($A$1,Database!$A$1:$L$1,),)</f>
        <v>2468.9459999999999</v>
      </c>
      <c r="C287" s="37">
        <f t="shared" si="13"/>
        <v>3.3290609301051661E-3</v>
      </c>
      <c r="D287" s="36">
        <f t="shared" si="14"/>
        <v>3.7977610471989477E-2</v>
      </c>
      <c r="E287" s="36">
        <f t="shared" si="12"/>
        <v>1.3382887302527902E-2</v>
      </c>
    </row>
    <row r="288" spans="1:5" x14ac:dyDescent="0.35">
      <c r="A288" s="35">
        <v>42917</v>
      </c>
      <c r="B288" s="63">
        <f>VLOOKUP(A288,Database!A:L,MATCH($A$1,Database!$A$1:$L$1,),)</f>
        <v>2483.4670000000001</v>
      </c>
      <c r="C288" s="37">
        <f t="shared" si="13"/>
        <v>5.881457107607937E-3</v>
      </c>
      <c r="D288" s="36">
        <f t="shared" si="14"/>
        <v>2.8115726757279479E-2</v>
      </c>
      <c r="E288" s="36">
        <f t="shared" si="12"/>
        <v>2.3734192647839603E-2</v>
      </c>
    </row>
    <row r="289" spans="1:5" x14ac:dyDescent="0.35">
      <c r="A289" s="35">
        <v>43009</v>
      </c>
      <c r="B289" s="63">
        <f>VLOOKUP(A289,Database!A:L,MATCH($A$1,Database!$A$1:$L$1,),)</f>
        <v>2547.9969999999998</v>
      </c>
      <c r="C289" s="37">
        <f t="shared" si="13"/>
        <v>2.5983836306260458E-2</v>
      </c>
      <c r="D289" s="36">
        <f t="shared" si="14"/>
        <v>6.2306341492700472E-2</v>
      </c>
      <c r="E289" s="36">
        <f t="shared" si="12"/>
        <v>0.10805693252248649</v>
      </c>
    </row>
    <row r="290" spans="1:5" x14ac:dyDescent="0.35">
      <c r="A290" s="35">
        <v>43101</v>
      </c>
      <c r="B290" s="63">
        <f>VLOOKUP(A290,Database!A:L,MATCH($A$1,Database!$A$1:$L$1,),)</f>
        <v>2564.6610000000001</v>
      </c>
      <c r="C290" s="37">
        <f t="shared" si="13"/>
        <v>6.540039097377358E-3</v>
      </c>
      <c r="D290" s="36">
        <f t="shared" si="14"/>
        <v>4.2225675544975305E-2</v>
      </c>
      <c r="E290" s="36">
        <f t="shared" si="12"/>
        <v>2.6417909812457285E-2</v>
      </c>
    </row>
    <row r="291" spans="1:5" x14ac:dyDescent="0.35">
      <c r="A291" s="35">
        <v>43191</v>
      </c>
      <c r="B291" s="63">
        <f>VLOOKUP(A291,Database!A:L,MATCH($A$1,Database!$A$1:$L$1,),)</f>
        <v>2578.61</v>
      </c>
      <c r="C291" s="37">
        <f t="shared" si="13"/>
        <v>5.4389254564248717E-3</v>
      </c>
      <c r="D291" s="36">
        <f t="shared" si="14"/>
        <v>4.4417334360492382E-2</v>
      </c>
      <c r="E291" s="36">
        <f t="shared" si="12"/>
        <v>2.1933837736728412E-2</v>
      </c>
    </row>
    <row r="292" spans="1:5" x14ac:dyDescent="0.35">
      <c r="A292" s="35">
        <v>43282</v>
      </c>
      <c r="B292" s="63">
        <f>VLOOKUP(A292,Database!A:L,MATCH($A$1,Database!$A$1:$L$1,),)</f>
        <v>2544.5520000000001</v>
      </c>
      <c r="C292" s="37">
        <f t="shared" si="13"/>
        <v>-1.3207891073097519E-2</v>
      </c>
      <c r="D292" s="36">
        <f t="shared" si="14"/>
        <v>2.4596662649433245E-2</v>
      </c>
      <c r="E292" s="36">
        <f t="shared" si="12"/>
        <v>-5.1794059921709712E-2</v>
      </c>
    </row>
    <row r="293" spans="1:5" x14ac:dyDescent="0.35">
      <c r="A293" s="35">
        <v>43374</v>
      </c>
      <c r="B293" s="63">
        <f>VLOOKUP(A293,Database!A:L,MATCH($A$1,Database!$A$1:$L$1,),)</f>
        <v>2552.4369999999999</v>
      </c>
      <c r="C293" s="37">
        <f t="shared" si="13"/>
        <v>3.0987773093258709E-3</v>
      </c>
      <c r="D293" s="36">
        <f t="shared" si="14"/>
        <v>1.7425452227769714E-3</v>
      </c>
      <c r="E293" s="36">
        <f t="shared" si="12"/>
        <v>1.2452842877441306E-2</v>
      </c>
    </row>
    <row r="294" spans="1:5" x14ac:dyDescent="0.35">
      <c r="A294" s="35">
        <v>43466</v>
      </c>
      <c r="B294" s="63">
        <f>VLOOKUP(A294,Database!A:L,MATCH($A$1,Database!$A$1:$L$1,),)</f>
        <v>2582.2849999999999</v>
      </c>
      <c r="C294" s="37">
        <f t="shared" si="13"/>
        <v>1.1693922318161019E-2</v>
      </c>
      <c r="D294" s="36">
        <f t="shared" si="14"/>
        <v>6.8718633768750708E-3</v>
      </c>
      <c r="E294" s="36">
        <f t="shared" si="12"/>
        <v>4.760259136120748E-2</v>
      </c>
    </row>
    <row r="295" spans="1:5" x14ac:dyDescent="0.35">
      <c r="A295" s="35">
        <v>43556</v>
      </c>
      <c r="B295" s="63">
        <f>VLOOKUP(A295,Database!A:L,MATCH($A$1,Database!$A$1:$L$1,),)</f>
        <v>2567.2809999999999</v>
      </c>
      <c r="C295" s="37">
        <f t="shared" si="13"/>
        <v>-5.8103578807141374E-3</v>
      </c>
      <c r="D295" s="36">
        <f t="shared" si="14"/>
        <v>-4.3934522863093598E-3</v>
      </c>
      <c r="E295" s="36">
        <f t="shared" si="12"/>
        <v>-2.3039653467630594E-2</v>
      </c>
    </row>
    <row r="296" spans="1:5" x14ac:dyDescent="0.35">
      <c r="A296" s="35">
        <v>43647</v>
      </c>
      <c r="B296" s="63">
        <f>VLOOKUP(A296,Database!A:L,MATCH($A$1,Database!$A$1:$L$1,),)</f>
        <v>2567.0100000000002</v>
      </c>
      <c r="C296" s="37">
        <f t="shared" si="13"/>
        <v>-1.0555914993322928E-4</v>
      </c>
      <c r="D296" s="36">
        <f t="shared" si="14"/>
        <v>8.8259151316224162E-3</v>
      </c>
      <c r="E296" s="36">
        <f t="shared" si="12"/>
        <v>-4.2216974803288565E-4</v>
      </c>
    </row>
    <row r="297" spans="1:5" x14ac:dyDescent="0.35">
      <c r="A297" s="35">
        <v>43739</v>
      </c>
      <c r="B297" s="63">
        <f>VLOOKUP(A297,Database!A:L,MATCH($A$1,Database!$A$1:$L$1,),)</f>
        <v>2571.8449999999998</v>
      </c>
      <c r="C297" s="37">
        <f t="shared" si="13"/>
        <v>1.8835142831541681E-3</v>
      </c>
      <c r="D297" s="36">
        <f t="shared" si="14"/>
        <v>7.6037136274078078E-3</v>
      </c>
      <c r="E297" s="36">
        <f t="shared" si="12"/>
        <v>7.5553696295487249E-3</v>
      </c>
    </row>
    <row r="298" spans="1:5" x14ac:dyDescent="0.35">
      <c r="A298" s="35">
        <v>43831</v>
      </c>
      <c r="B298" s="63">
        <f>VLOOKUP(A298,Database!A:L,MATCH($A$1,Database!$A$1:$L$1,),)</f>
        <v>2467.3040000000001</v>
      </c>
      <c r="C298" s="37">
        <f t="shared" si="13"/>
        <v>-4.0648250574976223E-2</v>
      </c>
      <c r="D298" s="36">
        <f t="shared" si="14"/>
        <v>-4.4526843473899964E-2</v>
      </c>
      <c r="E298" s="36">
        <f t="shared" si="12"/>
        <v>-0.15294523983148378</v>
      </c>
    </row>
    <row r="299" spans="1:5" x14ac:dyDescent="0.35">
      <c r="A299" s="35">
        <v>43922</v>
      </c>
      <c r="B299" s="63">
        <f>VLOOKUP(A299,Database!A:L,MATCH($A$1,Database!$A$1:$L$1,),)</f>
        <v>1951.3679999999999</v>
      </c>
      <c r="C299" s="37">
        <f t="shared" si="13"/>
        <v>-0.20910921394364057</v>
      </c>
      <c r="D299" s="36">
        <f t="shared" si="14"/>
        <v>-0.23990868159737871</v>
      </c>
      <c r="E299" s="36">
        <f t="shared" si="12"/>
        <v>-0.60873944736065044</v>
      </c>
    </row>
    <row r="300" spans="1:5" x14ac:dyDescent="0.35">
      <c r="A300" s="35">
        <v>44013</v>
      </c>
      <c r="B300" s="63">
        <f>VLOOKUP(A300,Database!A:L,MATCH($A$1,Database!$A$1:$L$1,),)</f>
        <v>2193.0329999999999</v>
      </c>
      <c r="C300" s="37">
        <f t="shared" si="13"/>
        <v>0.1238438879801247</v>
      </c>
      <c r="D300" s="36">
        <f t="shared" si="14"/>
        <v>-0.145685836829619</v>
      </c>
      <c r="E300" s="36">
        <f t="shared" si="12"/>
        <v>0.59523236420324976</v>
      </c>
    </row>
    <row r="301" spans="1:5" x14ac:dyDescent="0.35">
      <c r="A301" s="35">
        <v>44105</v>
      </c>
      <c r="B301" s="63">
        <f>VLOOKUP(A301,Database!A:L,MATCH($A$1,Database!$A$1:$L$1,),)</f>
        <v>2315.0329999999999</v>
      </c>
      <c r="C301" s="37">
        <f t="shared" si="13"/>
        <v>5.563071782321561E-2</v>
      </c>
      <c r="D301" s="36">
        <f t="shared" si="14"/>
        <v>-9.9855162344542503E-2</v>
      </c>
      <c r="E301" s="36">
        <f t="shared" si="12"/>
        <v>0.24178976814112363</v>
      </c>
    </row>
    <row r="302" spans="1:5" x14ac:dyDescent="0.35">
      <c r="A302" s="35">
        <v>44197</v>
      </c>
      <c r="B302" s="63">
        <f>VLOOKUP(A302,Database!A:L,MATCH($A$1,Database!$A$1:$L$1,),)</f>
        <v>2317.5050000000001</v>
      </c>
      <c r="C302" s="37">
        <f t="shared" si="13"/>
        <v>1.0678033531272373E-3</v>
      </c>
      <c r="D302" s="36">
        <f t="shared" si="14"/>
        <v>-6.0713637233190551E-2</v>
      </c>
      <c r="E302" s="36">
        <f t="shared" si="12"/>
        <v>4.2780595078695249E-3</v>
      </c>
    </row>
    <row r="303" spans="1:5" x14ac:dyDescent="0.35">
      <c r="A303" s="35">
        <v>44287</v>
      </c>
      <c r="B303" s="63">
        <f>VLOOKUP(A303,Database!A:L,MATCH($A$1,Database!$A$1:$L$1,),)</f>
        <v>2345.1320000000001</v>
      </c>
      <c r="C303" s="37">
        <f t="shared" si="13"/>
        <v>1.1921009879158815E-2</v>
      </c>
      <c r="D303" s="36">
        <f t="shared" si="14"/>
        <v>0.20178869388039578</v>
      </c>
      <c r="E303" s="36">
        <f t="shared" si="12"/>
        <v>4.8543498972836385E-2</v>
      </c>
    </row>
    <row r="304" spans="1:5" x14ac:dyDescent="0.35">
      <c r="A304" s="53">
        <v>44378</v>
      </c>
      <c r="B304" s="64">
        <f>VLOOKUP(A304,Database!A:L,MATCH($A$1,Database!$A$1:$L$1,),)</f>
        <v>2338.8249999999998</v>
      </c>
      <c r="C304" s="54">
        <f t="shared" si="13"/>
        <v>-2.6894008524894308E-3</v>
      </c>
      <c r="D304" s="55">
        <f t="shared" si="14"/>
        <v>6.6479619777723334E-2</v>
      </c>
      <c r="E304" s="55">
        <f t="shared" si="12"/>
        <v>-1.0714283904392885E-2</v>
      </c>
    </row>
    <row r="305" spans="1:5" x14ac:dyDescent="0.35">
      <c r="A305" s="35">
        <v>44470</v>
      </c>
      <c r="B305" s="63">
        <f>VLOOKUP(A305,Database!A:L,MATCH($A$1,Database!$A$1:$L$1,),)</f>
        <v>2465.672</v>
      </c>
      <c r="C305" s="37">
        <f t="shared" si="13"/>
        <v>5.4235353222237756E-2</v>
      </c>
      <c r="D305" s="36">
        <f t="shared" si="14"/>
        <v>6.5069914770113479E-2</v>
      </c>
      <c r="E305" s="36">
        <f t="shared" si="12"/>
        <v>0.23523703381593442</v>
      </c>
    </row>
    <row r="306" spans="1:5" x14ac:dyDescent="0.35">
      <c r="A306" s="35">
        <v>44562</v>
      </c>
      <c r="B306" s="63">
        <f>VLOOKUP(A306,Database!A:L,MATCH($A$1,Database!$A$1:$L$1,),)</f>
        <v>2436.9340000000002</v>
      </c>
      <c r="C306" s="37">
        <f t="shared" si="13"/>
        <v>-1.1655240437495266E-2</v>
      </c>
      <c r="D306" s="36">
        <f t="shared" si="14"/>
        <v>5.1533437899810394E-2</v>
      </c>
      <c r="E306" s="36">
        <f t="shared" si="12"/>
        <v>-4.5812208725565573E-2</v>
      </c>
    </row>
    <row r="307" spans="1:5" x14ac:dyDescent="0.35">
      <c r="A307" s="35">
        <v>44652</v>
      </c>
      <c r="B307" s="63">
        <f>VLOOKUP(A307,Database!A:L,MATCH($A$1,Database!$A$1:$L$1,),)</f>
        <v>2516.9279999999999</v>
      </c>
      <c r="C307" s="37">
        <f t="shared" si="13"/>
        <v>3.2825673571791308E-2</v>
      </c>
      <c r="D307" s="36">
        <f t="shared" si="14"/>
        <v>7.3256430768076086E-2</v>
      </c>
      <c r="E307" s="36">
        <f t="shared" si="12"/>
        <v>0.13791048633497649</v>
      </c>
    </row>
    <row r="308" spans="1:5" x14ac:dyDescent="0.35">
      <c r="A308" s="35">
        <v>44743</v>
      </c>
      <c r="B308" s="63">
        <f>VLOOKUP(A308,Database!A:L,MATCH($A$1,Database!$A$1:$L$1,),)</f>
        <v>2604.1370000000002</v>
      </c>
      <c r="C308" s="37">
        <f t="shared" si="13"/>
        <v>3.464898479416189E-2</v>
      </c>
      <c r="D308" s="36">
        <f t="shared" si="14"/>
        <v>0.11343815804944807</v>
      </c>
      <c r="E308" s="36">
        <f t="shared" si="12"/>
        <v>0.14596708503808253</v>
      </c>
    </row>
    <row r="309" spans="1:5" x14ac:dyDescent="0.35">
      <c r="A309" s="35">
        <v>44835</v>
      </c>
      <c r="B309" s="63">
        <f>VLOOKUP(A309,Database!A:L,MATCH($A$1,Database!$A$1:$L$1,),)</f>
        <v>2595.4520000000002</v>
      </c>
      <c r="C309" s="37">
        <f t="shared" si="13"/>
        <v>-3.3350779932084774E-3</v>
      </c>
      <c r="D309" s="36">
        <f t="shared" si="14"/>
        <v>5.2634738116018757E-2</v>
      </c>
      <c r="E309" s="36">
        <f t="shared" si="12"/>
        <v>-1.3273723758684852E-2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9"/>
  <sheetViews>
    <sheetView zoomScale="110" zoomScaleNormal="110" workbookViewId="0">
      <pane ySplit="5" topLeftCell="A270" activePane="bottomLeft" state="frozen"/>
      <selection pane="bottomLeft" activeCell="A295" sqref="A295:E309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21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63</v>
      </c>
      <c r="M1" s="76"/>
      <c r="N1" s="76"/>
      <c r="O1" s="76"/>
    </row>
    <row r="2" spans="1:15" x14ac:dyDescent="0.35">
      <c r="A2" s="48" t="s">
        <v>64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>
        <f>VLOOKUP(A6,Database!A:L,MATCH($A$1,Database!$A$1:$L$1,),)</f>
        <v>60.396000000000001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61.558999999999997</v>
      </c>
      <c r="C7" s="37">
        <f t="shared" ref="C7:C70" si="1">(B7-B6)/B6</f>
        <v>1.925624213524069E-2</v>
      </c>
      <c r="D7" s="36"/>
      <c r="E7" s="36">
        <f t="shared" si="0"/>
        <v>7.9278484281467332E-2</v>
      </c>
    </row>
    <row r="8" spans="1:15" x14ac:dyDescent="0.35">
      <c r="A8" s="35">
        <v>17349</v>
      </c>
      <c r="B8" s="63">
        <f>VLOOKUP(A8,Database!A:L,MATCH($A$1,Database!$A$1:$L$1,),)</f>
        <v>54.594000000000001</v>
      </c>
      <c r="C8" s="37">
        <f t="shared" si="1"/>
        <v>-0.11314348836075955</v>
      </c>
      <c r="D8" s="36"/>
      <c r="E8" s="36">
        <f t="shared" si="0"/>
        <v>-0.38139498496187574</v>
      </c>
    </row>
    <row r="9" spans="1:15" x14ac:dyDescent="0.35">
      <c r="A9" s="35">
        <v>17441</v>
      </c>
      <c r="B9" s="63">
        <f>VLOOKUP(A9,Database!A:L,MATCH($A$1,Database!$A$1:$L$1,),)</f>
        <v>57.537999999999997</v>
      </c>
      <c r="C9" s="37">
        <f t="shared" si="1"/>
        <v>5.3925339780928221E-2</v>
      </c>
      <c r="D9" s="36"/>
      <c r="E9" s="36">
        <f t="shared" si="0"/>
        <v>0.2337847159748907</v>
      </c>
    </row>
    <row r="10" spans="1:15" x14ac:dyDescent="0.35">
      <c r="A10" s="35">
        <v>17533</v>
      </c>
      <c r="B10" s="63">
        <f>VLOOKUP(A10,Database!A:L,MATCH($A$1,Database!$A$1:$L$1,),)</f>
        <v>64.882999999999996</v>
      </c>
      <c r="C10" s="37">
        <f t="shared" si="1"/>
        <v>0.12765476728422953</v>
      </c>
      <c r="D10" s="36">
        <f t="shared" ref="D10:D73" si="2">(B10-B6)/B6</f>
        <v>7.4292999536393053E-2</v>
      </c>
      <c r="E10" s="36">
        <f t="shared" si="0"/>
        <v>0.61697997331946874</v>
      </c>
    </row>
    <row r="11" spans="1:15" x14ac:dyDescent="0.35">
      <c r="A11" s="35">
        <v>17624</v>
      </c>
      <c r="B11" s="63">
        <f>VLOOKUP(A11,Database!A:L,MATCH($A$1,Database!$A$1:$L$1,),)</f>
        <v>67.454999999999998</v>
      </c>
      <c r="C11" s="37">
        <f t="shared" si="1"/>
        <v>3.9640583820107003E-2</v>
      </c>
      <c r="D11" s="36">
        <f t="shared" si="2"/>
        <v>9.5778034081125438E-2</v>
      </c>
      <c r="E11" s="36">
        <f t="shared" si="0"/>
        <v>0.16824222084621931</v>
      </c>
    </row>
    <row r="12" spans="1:15" x14ac:dyDescent="0.35">
      <c r="A12" s="35">
        <v>17715</v>
      </c>
      <c r="B12" s="63">
        <f>VLOOKUP(A12,Database!A:L,MATCH($A$1,Database!$A$1:$L$1,),)</f>
        <v>70.977000000000004</v>
      </c>
      <c r="C12" s="37">
        <f t="shared" si="1"/>
        <v>5.2212586168556903E-2</v>
      </c>
      <c r="D12" s="36">
        <f t="shared" si="2"/>
        <v>0.30008792174964288</v>
      </c>
      <c r="E12" s="36">
        <f t="shared" si="0"/>
        <v>0.22578405975193871</v>
      </c>
    </row>
    <row r="13" spans="1:15" x14ac:dyDescent="0.35">
      <c r="A13" s="35">
        <v>17807</v>
      </c>
      <c r="B13" s="63">
        <f>VLOOKUP(A13,Database!A:L,MATCH($A$1,Database!$A$1:$L$1,),)</f>
        <v>69.825999999999993</v>
      </c>
      <c r="C13" s="37">
        <f t="shared" si="1"/>
        <v>-1.6216520844780851E-2</v>
      </c>
      <c r="D13" s="36">
        <f t="shared" si="2"/>
        <v>0.21356321040008339</v>
      </c>
      <c r="E13" s="36">
        <f t="shared" si="0"/>
        <v>-6.3305219126972401E-2</v>
      </c>
    </row>
    <row r="14" spans="1:15" x14ac:dyDescent="0.35">
      <c r="A14" s="35">
        <v>17899</v>
      </c>
      <c r="B14" s="63">
        <f>VLOOKUP(A14,Database!A:L,MATCH($A$1,Database!$A$1:$L$1,),)</f>
        <v>67.730999999999995</v>
      </c>
      <c r="C14" s="37">
        <f t="shared" si="1"/>
        <v>-3.0003150688855142E-2</v>
      </c>
      <c r="D14" s="36">
        <f t="shared" si="2"/>
        <v>4.389439452553056E-2</v>
      </c>
      <c r="E14" s="36">
        <f t="shared" si="0"/>
        <v>-0.11471869213855734</v>
      </c>
    </row>
    <row r="15" spans="1:15" x14ac:dyDescent="0.35">
      <c r="A15" s="35">
        <v>17989</v>
      </c>
      <c r="B15" s="63">
        <f>VLOOKUP(A15,Database!A:L,MATCH($A$1,Database!$A$1:$L$1,),)</f>
        <v>66.742999999999995</v>
      </c>
      <c r="C15" s="37">
        <f t="shared" si="1"/>
        <v>-1.4587116682169164E-2</v>
      </c>
      <c r="D15" s="36">
        <f t="shared" si="2"/>
        <v>-1.0555184938106935E-2</v>
      </c>
      <c r="E15" s="36">
        <f t="shared" si="0"/>
        <v>-5.7084133231636969E-2</v>
      </c>
    </row>
    <row r="16" spans="1:15" x14ac:dyDescent="0.35">
      <c r="A16" s="35">
        <v>18080</v>
      </c>
      <c r="B16" s="63">
        <f>VLOOKUP(A16,Database!A:L,MATCH($A$1,Database!$A$1:$L$1,),)</f>
        <v>64.022999999999996</v>
      </c>
      <c r="C16" s="37">
        <f t="shared" si="1"/>
        <v>-4.075333742864419E-2</v>
      </c>
      <c r="D16" s="36">
        <f t="shared" si="2"/>
        <v>-9.7975400481846331E-2</v>
      </c>
      <c r="E16" s="36">
        <f t="shared" si="0"/>
        <v>-0.15331632247091731</v>
      </c>
    </row>
    <row r="17" spans="1:5" x14ac:dyDescent="0.35">
      <c r="A17" s="35">
        <v>18172</v>
      </c>
      <c r="B17" s="63">
        <f>VLOOKUP(A17,Database!A:L,MATCH($A$1,Database!$A$1:$L$1,),)</f>
        <v>64.986999999999995</v>
      </c>
      <c r="C17" s="37">
        <f t="shared" si="1"/>
        <v>1.5057088858691387E-2</v>
      </c>
      <c r="D17" s="36">
        <f t="shared" si="2"/>
        <v>-6.9300833500415299E-2</v>
      </c>
      <c r="E17" s="36">
        <f t="shared" si="0"/>
        <v>6.1602357111574912E-2</v>
      </c>
    </row>
    <row r="18" spans="1:5" x14ac:dyDescent="0.35">
      <c r="A18" s="35">
        <v>18264</v>
      </c>
      <c r="B18" s="63">
        <f>VLOOKUP(A18,Database!A:L,MATCH($A$1,Database!$A$1:$L$1,),)</f>
        <v>66.802999999999997</v>
      </c>
      <c r="C18" s="37">
        <f t="shared" si="1"/>
        <v>2.7944050348531285E-2</v>
      </c>
      <c r="D18" s="36">
        <f t="shared" si="2"/>
        <v>-1.370125939377829E-2</v>
      </c>
      <c r="E18" s="36">
        <f t="shared" si="0"/>
        <v>0.11654931352807196</v>
      </c>
    </row>
    <row r="19" spans="1:5" x14ac:dyDescent="0.35">
      <c r="A19" s="35">
        <v>18354</v>
      </c>
      <c r="B19" s="63">
        <f>VLOOKUP(A19,Database!A:L,MATCH($A$1,Database!$A$1:$L$1,),)</f>
        <v>70.489999999999995</v>
      </c>
      <c r="C19" s="37">
        <f t="shared" si="1"/>
        <v>5.5192132089876167E-2</v>
      </c>
      <c r="D19" s="36">
        <f t="shared" si="2"/>
        <v>5.6140718876885966E-2</v>
      </c>
      <c r="E19" s="36">
        <f t="shared" si="0"/>
        <v>0.23972733497469423</v>
      </c>
    </row>
    <row r="20" spans="1:5" x14ac:dyDescent="0.35">
      <c r="A20" s="35">
        <v>18445</v>
      </c>
      <c r="B20" s="63">
        <f>VLOOKUP(A20,Database!A:L,MATCH($A$1,Database!$A$1:$L$1,),)</f>
        <v>86.986000000000004</v>
      </c>
      <c r="C20" s="37">
        <f t="shared" si="1"/>
        <v>0.23401900978862264</v>
      </c>
      <c r="D20" s="36">
        <f t="shared" si="2"/>
        <v>0.3586679786951566</v>
      </c>
      <c r="E20" s="36">
        <f t="shared" si="0"/>
        <v>1.3189287225608819</v>
      </c>
    </row>
    <row r="21" spans="1:5" x14ac:dyDescent="0.35">
      <c r="A21" s="35">
        <v>18537</v>
      </c>
      <c r="B21" s="63">
        <f>VLOOKUP(A21,Database!A:L,MATCH($A$1,Database!$A$1:$L$1,),)</f>
        <v>87.149000000000001</v>
      </c>
      <c r="C21" s="37">
        <f t="shared" si="1"/>
        <v>1.873864759846374E-3</v>
      </c>
      <c r="D21" s="36">
        <f t="shared" si="2"/>
        <v>0.34102205056395907</v>
      </c>
      <c r="E21" s="36">
        <f t="shared" si="0"/>
        <v>7.5165535858678911E-3</v>
      </c>
    </row>
    <row r="22" spans="1:5" x14ac:dyDescent="0.35">
      <c r="A22" s="35">
        <v>18629</v>
      </c>
      <c r="B22" s="63">
        <f>VLOOKUP(A22,Database!A:L,MATCH($A$1,Database!$A$1:$L$1,),)</f>
        <v>87.153999999999996</v>
      </c>
      <c r="C22" s="37">
        <f t="shared" si="1"/>
        <v>5.7373004853704028E-5</v>
      </c>
      <c r="D22" s="36">
        <f t="shared" si="2"/>
        <v>0.30464200709548972</v>
      </c>
      <c r="E22" s="36">
        <f t="shared" si="0"/>
        <v>2.2951177013985635E-4</v>
      </c>
    </row>
    <row r="23" spans="1:5" x14ac:dyDescent="0.35">
      <c r="A23" s="35">
        <v>18719</v>
      </c>
      <c r="B23" s="63">
        <f>VLOOKUP(A23,Database!A:L,MATCH($A$1,Database!$A$1:$L$1,),)</f>
        <v>84.266000000000005</v>
      </c>
      <c r="C23" s="37">
        <f t="shared" si="1"/>
        <v>-3.313674644881464E-2</v>
      </c>
      <c r="D23" s="36">
        <f t="shared" si="2"/>
        <v>0.19543197616683233</v>
      </c>
      <c r="E23" s="36">
        <f t="shared" si="0"/>
        <v>-0.12610305872129024</v>
      </c>
    </row>
    <row r="24" spans="1:5" x14ac:dyDescent="0.35">
      <c r="A24" s="35">
        <v>18810</v>
      </c>
      <c r="B24" s="63">
        <f>VLOOKUP(A24,Database!A:L,MATCH($A$1,Database!$A$1:$L$1,),)</f>
        <v>77.13</v>
      </c>
      <c r="C24" s="37">
        <f t="shared" si="1"/>
        <v>-8.4684214273847216E-2</v>
      </c>
      <c r="D24" s="36">
        <f t="shared" si="2"/>
        <v>-0.11330558940519174</v>
      </c>
      <c r="E24" s="36">
        <f t="shared" si="0"/>
        <v>-0.2980861539693781</v>
      </c>
    </row>
    <row r="25" spans="1:5" x14ac:dyDescent="0.35">
      <c r="A25" s="35">
        <v>18902</v>
      </c>
      <c r="B25" s="63">
        <f>VLOOKUP(A25,Database!A:L,MATCH($A$1,Database!$A$1:$L$1,),)</f>
        <v>75.113</v>
      </c>
      <c r="C25" s="37">
        <f t="shared" si="1"/>
        <v>-2.6150654738752704E-2</v>
      </c>
      <c r="D25" s="36">
        <f t="shared" si="2"/>
        <v>-0.13810829728396196</v>
      </c>
      <c r="E25" s="36">
        <f t="shared" si="0"/>
        <v>-0.10057054404170829</v>
      </c>
    </row>
    <row r="26" spans="1:5" x14ac:dyDescent="0.35">
      <c r="A26" s="35">
        <v>18994</v>
      </c>
      <c r="B26" s="63">
        <f>VLOOKUP(A26,Database!A:L,MATCH($A$1,Database!$A$1:$L$1,),)</f>
        <v>83.828000000000003</v>
      </c>
      <c r="C26" s="37">
        <f t="shared" si="1"/>
        <v>0.11602518871566844</v>
      </c>
      <c r="D26" s="36">
        <f t="shared" si="2"/>
        <v>-3.8162333340982554E-2</v>
      </c>
      <c r="E26" s="36">
        <f t="shared" si="0"/>
        <v>0.55130069477235133</v>
      </c>
    </row>
    <row r="27" spans="1:5" x14ac:dyDescent="0.35">
      <c r="A27" s="35">
        <v>19085</v>
      </c>
      <c r="B27" s="63">
        <f>VLOOKUP(A27,Database!A:L,MATCH($A$1,Database!$A$1:$L$1,),)</f>
        <v>83.394000000000005</v>
      </c>
      <c r="C27" s="37">
        <f t="shared" si="1"/>
        <v>-5.1772677387030286E-3</v>
      </c>
      <c r="D27" s="36">
        <f t="shared" si="2"/>
        <v>-1.0348183134360239E-2</v>
      </c>
      <c r="E27" s="36">
        <f t="shared" si="0"/>
        <v>-2.0548800716957194E-2</v>
      </c>
    </row>
    <row r="28" spans="1:5" x14ac:dyDescent="0.35">
      <c r="A28" s="35">
        <v>19176</v>
      </c>
      <c r="B28" s="63">
        <f>VLOOKUP(A28,Database!A:L,MATCH($A$1,Database!$A$1:$L$1,),)</f>
        <v>88.497</v>
      </c>
      <c r="C28" s="37">
        <f t="shared" si="1"/>
        <v>6.1191452622490754E-2</v>
      </c>
      <c r="D28" s="36">
        <f t="shared" si="2"/>
        <v>0.14737456242707125</v>
      </c>
      <c r="E28" s="36">
        <f t="shared" si="0"/>
        <v>0.2681626938211259</v>
      </c>
    </row>
    <row r="29" spans="1:5" x14ac:dyDescent="0.35">
      <c r="A29" s="35">
        <v>19268</v>
      </c>
      <c r="B29" s="63">
        <f>VLOOKUP(A29,Database!A:L,MATCH($A$1,Database!$A$1:$L$1,),)</f>
        <v>96.430999999999997</v>
      </c>
      <c r="C29" s="37">
        <f t="shared" si="1"/>
        <v>8.9652756590618859E-2</v>
      </c>
      <c r="D29" s="36">
        <f t="shared" si="2"/>
        <v>0.2838123893334043</v>
      </c>
      <c r="E29" s="36">
        <f t="shared" si="0"/>
        <v>0.40978370822885868</v>
      </c>
    </row>
    <row r="30" spans="1:5" x14ac:dyDescent="0.35">
      <c r="A30" s="35">
        <v>19360</v>
      </c>
      <c r="B30" s="63">
        <f>VLOOKUP(A30,Database!A:L,MATCH($A$1,Database!$A$1:$L$1,),)</f>
        <v>94.054000000000002</v>
      </c>
      <c r="C30" s="37">
        <f t="shared" si="1"/>
        <v>-2.464974956186284E-2</v>
      </c>
      <c r="D30" s="36">
        <f t="shared" si="2"/>
        <v>0.12198787994464855</v>
      </c>
      <c r="E30" s="36">
        <f t="shared" si="0"/>
        <v>-9.5012877889033787E-2</v>
      </c>
    </row>
    <row r="31" spans="1:5" x14ac:dyDescent="0.35">
      <c r="A31" s="35">
        <v>19450</v>
      </c>
      <c r="B31" s="63">
        <f>VLOOKUP(A31,Database!A:L,MATCH($A$1,Database!$A$1:$L$1,),)</f>
        <v>98.932000000000002</v>
      </c>
      <c r="C31" s="37">
        <f t="shared" si="1"/>
        <v>5.1863822910243051E-2</v>
      </c>
      <c r="D31" s="36">
        <f t="shared" si="2"/>
        <v>0.18632035877880898</v>
      </c>
      <c r="E31" s="36">
        <f t="shared" si="0"/>
        <v>0.22415968861541691</v>
      </c>
    </row>
    <row r="32" spans="1:5" x14ac:dyDescent="0.35">
      <c r="A32" s="35">
        <v>19541</v>
      </c>
      <c r="B32" s="63">
        <f>VLOOKUP(A32,Database!A:L,MATCH($A$1,Database!$A$1:$L$1,),)</f>
        <v>98.555000000000007</v>
      </c>
      <c r="C32" s="37">
        <f t="shared" si="1"/>
        <v>-3.8106982573888662E-3</v>
      </c>
      <c r="D32" s="36">
        <f t="shared" si="2"/>
        <v>0.11365357017752022</v>
      </c>
      <c r="E32" s="36">
        <f t="shared" si="0"/>
        <v>-1.5155885638448718E-2</v>
      </c>
    </row>
    <row r="33" spans="1:5" x14ac:dyDescent="0.35">
      <c r="A33" s="35">
        <v>19633</v>
      </c>
      <c r="B33" s="63">
        <f>VLOOKUP(A33,Database!A:L,MATCH($A$1,Database!$A$1:$L$1,),)</f>
        <v>93.706999999999994</v>
      </c>
      <c r="C33" s="37">
        <f t="shared" si="1"/>
        <v>-4.9190807163512887E-2</v>
      </c>
      <c r="D33" s="36">
        <f t="shared" si="2"/>
        <v>-2.8248177453308623E-2</v>
      </c>
      <c r="E33" s="36">
        <f t="shared" si="0"/>
        <v>-0.18271507544904664</v>
      </c>
    </row>
    <row r="34" spans="1:5" x14ac:dyDescent="0.35">
      <c r="A34" s="35">
        <v>19725</v>
      </c>
      <c r="B34" s="63">
        <f>VLOOKUP(A34,Database!A:L,MATCH($A$1,Database!$A$1:$L$1,),)</f>
        <v>88.296000000000006</v>
      </c>
      <c r="C34" s="37">
        <f t="shared" si="1"/>
        <v>-5.7743818498084319E-2</v>
      </c>
      <c r="D34" s="36">
        <f t="shared" si="2"/>
        <v>-6.1220150126523015E-2</v>
      </c>
      <c r="E34" s="36">
        <f t="shared" si="0"/>
        <v>-0.21172821673911757</v>
      </c>
    </row>
    <row r="35" spans="1:5" x14ac:dyDescent="0.35">
      <c r="A35" s="35">
        <v>19815</v>
      </c>
      <c r="B35" s="63">
        <f>VLOOKUP(A35,Database!A:L,MATCH($A$1,Database!$A$1:$L$1,),)</f>
        <v>96.236999999999995</v>
      </c>
      <c r="C35" s="37">
        <f t="shared" si="1"/>
        <v>8.9936123946724511E-2</v>
      </c>
      <c r="D35" s="36">
        <f t="shared" si="2"/>
        <v>-2.7240933166215252E-2</v>
      </c>
      <c r="E35" s="36">
        <f t="shared" si="0"/>
        <v>0.41125075371903308</v>
      </c>
    </row>
    <row r="36" spans="1:5" x14ac:dyDescent="0.35">
      <c r="A36" s="35">
        <v>19906</v>
      </c>
      <c r="B36" s="63">
        <f>VLOOKUP(A36,Database!A:L,MATCH($A$1,Database!$A$1:$L$1,),)</f>
        <v>90.432000000000002</v>
      </c>
      <c r="C36" s="37">
        <f t="shared" si="1"/>
        <v>-6.0319835406340526E-2</v>
      </c>
      <c r="D36" s="36">
        <f t="shared" si="2"/>
        <v>-8.2420983207346199E-2</v>
      </c>
      <c r="E36" s="36">
        <f t="shared" si="0"/>
        <v>-0.22031309848205372</v>
      </c>
    </row>
    <row r="37" spans="1:5" x14ac:dyDescent="0.35">
      <c r="A37" s="35">
        <v>19998</v>
      </c>
      <c r="B37" s="63">
        <f>VLOOKUP(A37,Database!A:L,MATCH($A$1,Database!$A$1:$L$1,),)</f>
        <v>91.29</v>
      </c>
      <c r="C37" s="37">
        <f t="shared" si="1"/>
        <v>9.4877919320594927E-3</v>
      </c>
      <c r="D37" s="36">
        <f t="shared" si="2"/>
        <v>-2.5793163797795123E-2</v>
      </c>
      <c r="E37" s="36">
        <f t="shared" si="0"/>
        <v>3.8494701301635015E-2</v>
      </c>
    </row>
    <row r="38" spans="1:5" x14ac:dyDescent="0.35">
      <c r="A38" s="35">
        <v>20090</v>
      </c>
      <c r="B38" s="63">
        <f>VLOOKUP(A38,Database!A:L,MATCH($A$1,Database!$A$1:$L$1,),)</f>
        <v>96.683999999999997</v>
      </c>
      <c r="C38" s="37">
        <f t="shared" si="1"/>
        <v>5.9086427867236183E-2</v>
      </c>
      <c r="D38" s="36">
        <f t="shared" si="2"/>
        <v>9.4998640935036585E-2</v>
      </c>
      <c r="E38" s="36">
        <f t="shared" si="0"/>
        <v>0.25813026729270172</v>
      </c>
    </row>
    <row r="39" spans="1:5" x14ac:dyDescent="0.35">
      <c r="A39" s="35">
        <v>20180</v>
      </c>
      <c r="B39" s="63">
        <f>VLOOKUP(A39,Database!A:L,MATCH($A$1,Database!$A$1:$L$1,),)</f>
        <v>102.167</v>
      </c>
      <c r="C39" s="37">
        <f t="shared" si="1"/>
        <v>5.6710520872119523E-2</v>
      </c>
      <c r="D39" s="36">
        <f t="shared" si="2"/>
        <v>6.1618712137743351E-2</v>
      </c>
      <c r="E39" s="36">
        <f t="shared" si="0"/>
        <v>0.2468784687536818</v>
      </c>
    </row>
    <row r="40" spans="1:5" x14ac:dyDescent="0.35">
      <c r="A40" s="35">
        <v>20271</v>
      </c>
      <c r="B40" s="63">
        <f>VLOOKUP(A40,Database!A:L,MATCH($A$1,Database!$A$1:$L$1,),)</f>
        <v>103.886</v>
      </c>
      <c r="C40" s="37">
        <f t="shared" si="1"/>
        <v>1.6825393718128103E-2</v>
      </c>
      <c r="D40" s="36">
        <f t="shared" si="2"/>
        <v>0.14877476999292277</v>
      </c>
      <c r="E40" s="36">
        <f t="shared" si="0"/>
        <v>6.9019270920815945E-2</v>
      </c>
    </row>
    <row r="41" spans="1:5" x14ac:dyDescent="0.35">
      <c r="A41" s="35">
        <v>20363</v>
      </c>
      <c r="B41" s="63">
        <f>VLOOKUP(A41,Database!A:L,MATCH($A$1,Database!$A$1:$L$1,),)</f>
        <v>107.65</v>
      </c>
      <c r="C41" s="37">
        <f t="shared" si="1"/>
        <v>3.6232023564291727E-2</v>
      </c>
      <c r="D41" s="36">
        <f t="shared" si="2"/>
        <v>0.17920911381312299</v>
      </c>
      <c r="E41" s="36">
        <f t="shared" si="0"/>
        <v>0.15299663052126222</v>
      </c>
    </row>
    <row r="42" spans="1:5" x14ac:dyDescent="0.35">
      <c r="A42" s="35">
        <v>20455</v>
      </c>
      <c r="B42" s="63">
        <f>VLOOKUP(A42,Database!A:L,MATCH($A$1,Database!$A$1:$L$1,),)</f>
        <v>112.169</v>
      </c>
      <c r="C42" s="37">
        <f t="shared" si="1"/>
        <v>4.1978634463539166E-2</v>
      </c>
      <c r="D42" s="36">
        <f t="shared" si="2"/>
        <v>0.16016093665963343</v>
      </c>
      <c r="E42" s="36">
        <f t="shared" si="0"/>
        <v>0.1787867776961618</v>
      </c>
    </row>
    <row r="43" spans="1:5" x14ac:dyDescent="0.35">
      <c r="A43" s="35">
        <v>20546</v>
      </c>
      <c r="B43" s="63">
        <f>VLOOKUP(A43,Database!A:L,MATCH($A$1,Database!$A$1:$L$1,),)</f>
        <v>111.58499999999999</v>
      </c>
      <c r="C43" s="37">
        <f t="shared" si="1"/>
        <v>-5.2064295839314174E-3</v>
      </c>
      <c r="D43" s="36">
        <f t="shared" si="2"/>
        <v>9.2182407235212857E-2</v>
      </c>
      <c r="E43" s="36">
        <f t="shared" si="0"/>
        <v>-2.0663640667718863E-2</v>
      </c>
    </row>
    <row r="44" spans="1:5" x14ac:dyDescent="0.35">
      <c r="A44" s="35">
        <v>20637</v>
      </c>
      <c r="B44" s="63">
        <f>VLOOKUP(A44,Database!A:L,MATCH($A$1,Database!$A$1:$L$1,),)</f>
        <v>112.55500000000001</v>
      </c>
      <c r="C44" s="37">
        <f t="shared" si="1"/>
        <v>8.6929246762558875E-3</v>
      </c>
      <c r="D44" s="36">
        <f t="shared" si="2"/>
        <v>8.3447240244113846E-2</v>
      </c>
      <c r="E44" s="36">
        <f t="shared" si="0"/>
        <v>3.5227733642798187E-2</v>
      </c>
    </row>
    <row r="45" spans="1:5" x14ac:dyDescent="0.35">
      <c r="A45" s="35">
        <v>20729</v>
      </c>
      <c r="B45" s="63">
        <f>VLOOKUP(A45,Database!A:L,MATCH($A$1,Database!$A$1:$L$1,),)</f>
        <v>107.392</v>
      </c>
      <c r="C45" s="37">
        <f t="shared" si="1"/>
        <v>-4.58709075563059E-2</v>
      </c>
      <c r="D45" s="36">
        <f t="shared" si="2"/>
        <v>-2.396655829075799E-3</v>
      </c>
      <c r="E45" s="36">
        <f t="shared" si="0"/>
        <v>-0.17124043713424209</v>
      </c>
    </row>
    <row r="46" spans="1:5" x14ac:dyDescent="0.35">
      <c r="A46" s="35">
        <v>20821</v>
      </c>
      <c r="B46" s="63">
        <f>VLOOKUP(A46,Database!A:L,MATCH($A$1,Database!$A$1:$L$1,),)</f>
        <v>115.93600000000001</v>
      </c>
      <c r="C46" s="37">
        <f t="shared" si="1"/>
        <v>7.9558998808104991E-2</v>
      </c>
      <c r="D46" s="36">
        <f t="shared" si="2"/>
        <v>3.3583253840187663E-2</v>
      </c>
      <c r="E46" s="36">
        <f t="shared" si="0"/>
        <v>0.35826818271893468</v>
      </c>
    </row>
    <row r="47" spans="1:5" x14ac:dyDescent="0.35">
      <c r="A47" s="35">
        <v>20911</v>
      </c>
      <c r="B47" s="63">
        <f>VLOOKUP(A47,Database!A:L,MATCH($A$1,Database!$A$1:$L$1,),)</f>
        <v>116.84</v>
      </c>
      <c r="C47" s="37">
        <f t="shared" si="1"/>
        <v>7.7974054650841529E-3</v>
      </c>
      <c r="D47" s="36">
        <f t="shared" si="2"/>
        <v>4.709414347806614E-2</v>
      </c>
      <c r="E47" s="36">
        <f t="shared" si="0"/>
        <v>3.1556319063253735E-2</v>
      </c>
    </row>
    <row r="48" spans="1:5" x14ac:dyDescent="0.35">
      <c r="A48" s="35">
        <v>21002</v>
      </c>
      <c r="B48" s="63">
        <f>VLOOKUP(A48,Database!A:L,MATCH($A$1,Database!$A$1:$L$1,),)</f>
        <v>114.584</v>
      </c>
      <c r="C48" s="37">
        <f t="shared" si="1"/>
        <v>-1.9308456008216367E-2</v>
      </c>
      <c r="D48" s="36">
        <f t="shared" si="2"/>
        <v>1.802674248145348E-2</v>
      </c>
      <c r="E48" s="36">
        <f t="shared" si="0"/>
        <v>-7.5025580242120138E-2</v>
      </c>
    </row>
    <row r="49" spans="1:5" x14ac:dyDescent="0.35">
      <c r="A49" s="35">
        <v>21094</v>
      </c>
      <c r="B49" s="63">
        <f>VLOOKUP(A49,Database!A:L,MATCH($A$1,Database!$A$1:$L$1,),)</f>
        <v>114.971</v>
      </c>
      <c r="C49" s="37">
        <f t="shared" si="1"/>
        <v>3.3774348949242518E-3</v>
      </c>
      <c r="D49" s="36">
        <f t="shared" si="2"/>
        <v>7.057322705601915E-2</v>
      </c>
      <c r="E49" s="36">
        <f t="shared" si="0"/>
        <v>1.357833621513227E-2</v>
      </c>
    </row>
    <row r="50" spans="1:5" x14ac:dyDescent="0.35">
      <c r="A50" s="35">
        <v>21186</v>
      </c>
      <c r="B50" s="63">
        <f>VLOOKUP(A50,Database!A:L,MATCH($A$1,Database!$A$1:$L$1,),)</f>
        <v>116.672</v>
      </c>
      <c r="C50" s="37">
        <f t="shared" si="1"/>
        <v>1.4795035269763621E-2</v>
      </c>
      <c r="D50" s="36">
        <f t="shared" si="2"/>
        <v>6.348330113165798E-3</v>
      </c>
      <c r="E50" s="36">
        <f t="shared" si="0"/>
        <v>6.0506501527714418E-2</v>
      </c>
    </row>
    <row r="51" spans="1:5" x14ac:dyDescent="0.35">
      <c r="A51" s="35">
        <v>21276</v>
      </c>
      <c r="B51" s="63">
        <f>VLOOKUP(A51,Database!A:L,MATCH($A$1,Database!$A$1:$L$1,),)</f>
        <v>121.661</v>
      </c>
      <c r="C51" s="37">
        <f t="shared" si="1"/>
        <v>4.2760902358749353E-2</v>
      </c>
      <c r="D51" s="36">
        <f t="shared" si="2"/>
        <v>4.1261554262238938E-2</v>
      </c>
      <c r="E51" s="36">
        <f t="shared" si="0"/>
        <v>0.18233067379671564</v>
      </c>
    </row>
    <row r="52" spans="1:5" x14ac:dyDescent="0.35">
      <c r="A52" s="35">
        <v>21367</v>
      </c>
      <c r="B52" s="63">
        <f>VLOOKUP(A52,Database!A:L,MATCH($A$1,Database!$A$1:$L$1,),)</f>
        <v>119.82899999999999</v>
      </c>
      <c r="C52" s="37">
        <f t="shared" si="1"/>
        <v>-1.5058235589054897E-2</v>
      </c>
      <c r="D52" s="36">
        <f t="shared" si="2"/>
        <v>4.5774279131466783E-2</v>
      </c>
      <c r="E52" s="36">
        <f t="shared" si="0"/>
        <v>-5.8886046033445716E-2</v>
      </c>
    </row>
    <row r="53" spans="1:5" x14ac:dyDescent="0.35">
      <c r="A53" s="35">
        <v>21459</v>
      </c>
      <c r="B53" s="63">
        <f>VLOOKUP(A53,Database!A:L,MATCH($A$1,Database!$A$1:$L$1,),)</f>
        <v>126.13200000000001</v>
      </c>
      <c r="C53" s="37">
        <f t="shared" si="1"/>
        <v>5.2599954935783587E-2</v>
      </c>
      <c r="D53" s="36">
        <f t="shared" si="2"/>
        <v>9.7076654112776273E-2</v>
      </c>
      <c r="E53" s="36">
        <f t="shared" si="0"/>
        <v>0.22759013104109682</v>
      </c>
    </row>
    <row r="54" spans="1:5" x14ac:dyDescent="0.35">
      <c r="A54" s="35">
        <v>21551</v>
      </c>
      <c r="B54" s="63">
        <f>VLOOKUP(A54,Database!A:L,MATCH($A$1,Database!$A$1:$L$1,),)</f>
        <v>129.446</v>
      </c>
      <c r="C54" s="37">
        <f t="shared" si="1"/>
        <v>2.6274062093679579E-2</v>
      </c>
      <c r="D54" s="36">
        <f t="shared" si="2"/>
        <v>0.10948642347778388</v>
      </c>
      <c r="E54" s="36">
        <f t="shared" si="0"/>
        <v>0.10931123366696083</v>
      </c>
    </row>
    <row r="55" spans="1:5" x14ac:dyDescent="0.35">
      <c r="A55" s="35">
        <v>21641</v>
      </c>
      <c r="B55" s="63">
        <f>VLOOKUP(A55,Database!A:L,MATCH($A$1,Database!$A$1:$L$1,),)</f>
        <v>135.745</v>
      </c>
      <c r="C55" s="37">
        <f t="shared" si="1"/>
        <v>4.8661217805107973E-2</v>
      </c>
      <c r="D55" s="36">
        <f t="shared" si="2"/>
        <v>0.11576429587131458</v>
      </c>
      <c r="E55" s="36">
        <f t="shared" si="0"/>
        <v>0.20931886528597343</v>
      </c>
    </row>
    <row r="56" spans="1:5" x14ac:dyDescent="0.35">
      <c r="A56" s="35">
        <v>21732</v>
      </c>
      <c r="B56" s="63">
        <f>VLOOKUP(A56,Database!A:L,MATCH($A$1,Database!$A$1:$L$1,),)</f>
        <v>137.041</v>
      </c>
      <c r="C56" s="37">
        <f t="shared" si="1"/>
        <v>9.5473129765368311E-3</v>
      </c>
      <c r="D56" s="36">
        <f t="shared" si="2"/>
        <v>0.14363801750828267</v>
      </c>
      <c r="E56" s="36">
        <f t="shared" si="0"/>
        <v>3.8739648320685882E-2</v>
      </c>
    </row>
    <row r="57" spans="1:5" x14ac:dyDescent="0.35">
      <c r="A57" s="35">
        <v>21824</v>
      </c>
      <c r="B57" s="63">
        <f>VLOOKUP(A57,Database!A:L,MATCH($A$1,Database!$A$1:$L$1,),)</f>
        <v>133.56100000000001</v>
      </c>
      <c r="C57" s="37">
        <f t="shared" si="1"/>
        <v>-2.5393860231609444E-2</v>
      </c>
      <c r="D57" s="36">
        <f t="shared" si="2"/>
        <v>5.8898614150255303E-2</v>
      </c>
      <c r="E57" s="36">
        <f t="shared" si="0"/>
        <v>-9.7771437006435757E-2</v>
      </c>
    </row>
    <row r="58" spans="1:5" x14ac:dyDescent="0.35">
      <c r="A58" s="35">
        <v>21916</v>
      </c>
      <c r="B58" s="63">
        <f>VLOOKUP(A58,Database!A:L,MATCH($A$1,Database!$A$1:$L$1,),)</f>
        <v>138.60599999999999</v>
      </c>
      <c r="C58" s="37">
        <f t="shared" si="1"/>
        <v>3.777300259806371E-2</v>
      </c>
      <c r="D58" s="36">
        <f t="shared" si="2"/>
        <v>7.0763098125859403E-2</v>
      </c>
      <c r="E58" s="36">
        <f t="shared" si="0"/>
        <v>0.15987042254026895</v>
      </c>
    </row>
    <row r="59" spans="1:5" x14ac:dyDescent="0.35">
      <c r="A59" s="35">
        <v>22007</v>
      </c>
      <c r="B59" s="63">
        <f>VLOOKUP(A59,Database!A:L,MATCH($A$1,Database!$A$1:$L$1,),)</f>
        <v>139.636</v>
      </c>
      <c r="C59" s="37">
        <f t="shared" si="1"/>
        <v>7.4311357372696795E-3</v>
      </c>
      <c r="D59" s="36">
        <f t="shared" si="2"/>
        <v>2.8664039191130364E-2</v>
      </c>
      <c r="E59" s="36">
        <f t="shared" si="0"/>
        <v>3.0057518110719883E-2</v>
      </c>
    </row>
    <row r="60" spans="1:5" x14ac:dyDescent="0.35">
      <c r="A60" s="35">
        <v>22098</v>
      </c>
      <c r="B60" s="63">
        <f>VLOOKUP(A60,Database!A:L,MATCH($A$1,Database!$A$1:$L$1,),)</f>
        <v>135.52099999999999</v>
      </c>
      <c r="C60" s="37">
        <f t="shared" si="1"/>
        <v>-2.9469477785098466E-2</v>
      </c>
      <c r="D60" s="36">
        <f t="shared" si="2"/>
        <v>-1.1091571135645613E-2</v>
      </c>
      <c r="E60" s="36">
        <f t="shared" si="0"/>
        <v>-0.11276882729540727</v>
      </c>
    </row>
    <row r="61" spans="1:5" x14ac:dyDescent="0.35">
      <c r="A61" s="35">
        <v>22190</v>
      </c>
      <c r="B61" s="63">
        <f>VLOOKUP(A61,Database!A:L,MATCH($A$1,Database!$A$1:$L$1,),)</f>
        <v>129.12799999999999</v>
      </c>
      <c r="C61" s="37">
        <f t="shared" si="1"/>
        <v>-4.7173500785856075E-2</v>
      </c>
      <c r="D61" s="36">
        <f t="shared" si="2"/>
        <v>-3.3190826663472277E-2</v>
      </c>
      <c r="E61" s="36">
        <f t="shared" si="0"/>
        <v>-0.17575692410816079</v>
      </c>
    </row>
    <row r="62" spans="1:5" x14ac:dyDescent="0.35">
      <c r="A62" s="35">
        <v>22282</v>
      </c>
      <c r="B62" s="63">
        <f>VLOOKUP(A62,Database!A:L,MATCH($A$1,Database!$A$1:$L$1,),)</f>
        <v>128.50299999999999</v>
      </c>
      <c r="C62" s="37">
        <f t="shared" si="1"/>
        <v>-4.8401586023170814E-3</v>
      </c>
      <c r="D62" s="36">
        <f t="shared" si="2"/>
        <v>-7.2890062479257819E-2</v>
      </c>
      <c r="E62" s="36">
        <f t="shared" si="0"/>
        <v>-1.9220524612866052E-2</v>
      </c>
    </row>
    <row r="63" spans="1:5" x14ac:dyDescent="0.35">
      <c r="A63" s="35">
        <v>22372</v>
      </c>
      <c r="B63" s="63">
        <f>VLOOKUP(A63,Database!A:L,MATCH($A$1,Database!$A$1:$L$1,),)</f>
        <v>130.07300000000001</v>
      </c>
      <c r="C63" s="37">
        <f t="shared" si="1"/>
        <v>1.22176135965699E-2</v>
      </c>
      <c r="D63" s="36">
        <f t="shared" si="2"/>
        <v>-6.8485204388553017E-2</v>
      </c>
      <c r="E63" s="36">
        <f t="shared" si="0"/>
        <v>4.9773392056541077E-2</v>
      </c>
    </row>
    <row r="64" spans="1:5" x14ac:dyDescent="0.35">
      <c r="A64" s="35">
        <v>22463</v>
      </c>
      <c r="B64" s="63">
        <f>VLOOKUP(A64,Database!A:L,MATCH($A$1,Database!$A$1:$L$1,),)</f>
        <v>138.68799999999999</v>
      </c>
      <c r="C64" s="37">
        <f t="shared" si="1"/>
        <v>6.6232038931984191E-2</v>
      </c>
      <c r="D64" s="36">
        <f t="shared" si="2"/>
        <v>2.3369071951948421E-2</v>
      </c>
      <c r="E64" s="36">
        <f t="shared" si="0"/>
        <v>0.29242965243398311</v>
      </c>
    </row>
    <row r="65" spans="1:5" x14ac:dyDescent="0.35">
      <c r="A65" s="35">
        <v>22555</v>
      </c>
      <c r="B65" s="63">
        <f>VLOOKUP(A65,Database!A:L,MATCH($A$1,Database!$A$1:$L$1,),)</f>
        <v>141.98599999999999</v>
      </c>
      <c r="C65" s="37">
        <f t="shared" si="1"/>
        <v>2.377999538532535E-2</v>
      </c>
      <c r="D65" s="36">
        <f t="shared" si="2"/>
        <v>9.9575614893748887E-2</v>
      </c>
      <c r="E65" s="36">
        <f t="shared" si="0"/>
        <v>9.8567019626633501E-2</v>
      </c>
    </row>
    <row r="66" spans="1:5" x14ac:dyDescent="0.35">
      <c r="A66" s="35">
        <v>22647</v>
      </c>
      <c r="B66" s="63">
        <f>VLOOKUP(A66,Database!A:L,MATCH($A$1,Database!$A$1:$L$1,),)</f>
        <v>146.30799999999999</v>
      </c>
      <c r="C66" s="37">
        <f t="shared" si="1"/>
        <v>3.0439620807685287E-2</v>
      </c>
      <c r="D66" s="36">
        <f t="shared" si="2"/>
        <v>0.13855707648848672</v>
      </c>
      <c r="E66" s="36">
        <f t="shared" si="0"/>
        <v>0.12743158267365717</v>
      </c>
    </row>
    <row r="67" spans="1:5" x14ac:dyDescent="0.35">
      <c r="A67" s="35">
        <v>22737</v>
      </c>
      <c r="B67" s="63">
        <f>VLOOKUP(A67,Database!A:L,MATCH($A$1,Database!$A$1:$L$1,),)</f>
        <v>149.5</v>
      </c>
      <c r="C67" s="37">
        <f t="shared" si="1"/>
        <v>2.1816988818109791E-2</v>
      </c>
      <c r="D67" s="36">
        <f t="shared" si="2"/>
        <v>0.14935459318997787</v>
      </c>
      <c r="E67" s="36">
        <f t="shared" si="0"/>
        <v>9.0165605725603726E-2</v>
      </c>
    </row>
    <row r="68" spans="1:5" x14ac:dyDescent="0.35">
      <c r="A68" s="35">
        <v>22828</v>
      </c>
      <c r="B68" s="63">
        <f>VLOOKUP(A68,Database!A:L,MATCH($A$1,Database!$A$1:$L$1,),)</f>
        <v>151.39500000000001</v>
      </c>
      <c r="C68" s="37">
        <f t="shared" si="1"/>
        <v>1.2675585284281005E-2</v>
      </c>
      <c r="D68" s="36">
        <f t="shared" si="2"/>
        <v>9.1622923396400727E-2</v>
      </c>
      <c r="E68" s="36">
        <f t="shared" si="0"/>
        <v>5.167453609450634E-2</v>
      </c>
    </row>
    <row r="69" spans="1:5" x14ac:dyDescent="0.35">
      <c r="A69" s="35">
        <v>22920</v>
      </c>
      <c r="B69" s="63">
        <f>VLOOKUP(A69,Database!A:L,MATCH($A$1,Database!$A$1:$L$1,),)</f>
        <v>153.24600000000001</v>
      </c>
      <c r="C69" s="37">
        <f t="shared" si="1"/>
        <v>1.2226295452293662E-2</v>
      </c>
      <c r="D69" s="36">
        <f t="shared" si="2"/>
        <v>7.9303593312016821E-2</v>
      </c>
      <c r="E69" s="36">
        <f t="shared" si="0"/>
        <v>4.9809408416135792E-2</v>
      </c>
    </row>
    <row r="70" spans="1:5" x14ac:dyDescent="0.35">
      <c r="A70" s="35">
        <v>23012</v>
      </c>
      <c r="B70" s="63">
        <f>VLOOKUP(A70,Database!A:L,MATCH($A$1,Database!$A$1:$L$1,),)</f>
        <v>149.69900000000001</v>
      </c>
      <c r="C70" s="37">
        <f t="shared" si="1"/>
        <v>-2.3145791733552568E-2</v>
      </c>
      <c r="D70" s="36">
        <f t="shared" si="2"/>
        <v>2.3177133171118598E-2</v>
      </c>
      <c r="E70" s="36">
        <f t="shared" ref="E70:E133" si="3">((1+C70)^4)-1</f>
        <v>-8.9418113244993935E-2</v>
      </c>
    </row>
    <row r="71" spans="1:5" x14ac:dyDescent="0.35">
      <c r="A71" s="35">
        <v>23102</v>
      </c>
      <c r="B71" s="63">
        <f>VLOOKUP(A71,Database!A:L,MATCH($A$1,Database!$A$1:$L$1,),)</f>
        <v>153.22300000000001</v>
      </c>
      <c r="C71" s="37">
        <f t="shared" ref="C71:C134" si="4">(B71-B70)/B70</f>
        <v>2.3540571413302697E-2</v>
      </c>
      <c r="D71" s="36">
        <f t="shared" si="2"/>
        <v>2.4903010033444903E-2</v>
      </c>
      <c r="E71" s="36">
        <f t="shared" si="3"/>
        <v>9.753972459085225E-2</v>
      </c>
    </row>
    <row r="72" spans="1:5" x14ac:dyDescent="0.35">
      <c r="A72" s="35">
        <v>23193</v>
      </c>
      <c r="B72" s="63">
        <f>VLOOKUP(A72,Database!A:L,MATCH($A$1,Database!$A$1:$L$1,),)</f>
        <v>157.114</v>
      </c>
      <c r="C72" s="37">
        <f t="shared" si="4"/>
        <v>2.5394359854590962E-2</v>
      </c>
      <c r="D72" s="36">
        <f t="shared" si="2"/>
        <v>3.7775355857194715E-2</v>
      </c>
      <c r="E72" s="36">
        <f t="shared" si="3"/>
        <v>0.10551260095489834</v>
      </c>
    </row>
    <row r="73" spans="1:5" x14ac:dyDescent="0.35">
      <c r="A73" s="35">
        <v>23285</v>
      </c>
      <c r="B73" s="63">
        <f>VLOOKUP(A73,Database!A:L,MATCH($A$1,Database!$A$1:$L$1,),)</f>
        <v>156.59800000000001</v>
      </c>
      <c r="C73" s="37">
        <f t="shared" si="4"/>
        <v>-3.2842394694297841E-3</v>
      </c>
      <c r="D73" s="36">
        <f t="shared" si="2"/>
        <v>2.1873327851950484E-2</v>
      </c>
      <c r="E73" s="36">
        <f t="shared" si="3"/>
        <v>-1.3072382086255607E-2</v>
      </c>
    </row>
    <row r="74" spans="1:5" x14ac:dyDescent="0.35">
      <c r="A74" s="35">
        <v>23377</v>
      </c>
      <c r="B74" s="63">
        <f>VLOOKUP(A74,Database!A:L,MATCH($A$1,Database!$A$1:$L$1,),)</f>
        <v>156.45099999999999</v>
      </c>
      <c r="C74" s="37">
        <f t="shared" si="4"/>
        <v>-9.3870930663239485E-4</v>
      </c>
      <c r="D74" s="36">
        <f t="shared" ref="D74:D137" si="5">(B74-B70)/B70</f>
        <v>4.510384170902932E-2</v>
      </c>
      <c r="E74" s="36">
        <f t="shared" si="3"/>
        <v>-3.749553483448298E-3</v>
      </c>
    </row>
    <row r="75" spans="1:5" x14ac:dyDescent="0.35">
      <c r="A75" s="35">
        <v>23468</v>
      </c>
      <c r="B75" s="63">
        <f>VLOOKUP(A75,Database!A:L,MATCH($A$1,Database!$A$1:$L$1,),)</f>
        <v>159.97300000000001</v>
      </c>
      <c r="C75" s="37">
        <f t="shared" si="4"/>
        <v>2.2511840768036126E-2</v>
      </c>
      <c r="D75" s="36">
        <f t="shared" si="5"/>
        <v>4.4053438452451653E-2</v>
      </c>
      <c r="E75" s="36">
        <f t="shared" si="3"/>
        <v>9.3133952220247451E-2</v>
      </c>
    </row>
    <row r="76" spans="1:5" x14ac:dyDescent="0.35">
      <c r="A76" s="35">
        <v>23559</v>
      </c>
      <c r="B76" s="63">
        <f>VLOOKUP(A76,Database!A:L,MATCH($A$1,Database!$A$1:$L$1,),)</f>
        <v>164.26599999999999</v>
      </c>
      <c r="C76" s="37">
        <f t="shared" si="4"/>
        <v>2.6835778537628086E-2</v>
      </c>
      <c r="D76" s="36">
        <f t="shared" si="5"/>
        <v>4.5521086599539101E-2</v>
      </c>
      <c r="E76" s="36">
        <f t="shared" si="3"/>
        <v>0.11174189094862208</v>
      </c>
    </row>
    <row r="77" spans="1:5" x14ac:dyDescent="0.35">
      <c r="A77" s="35">
        <v>23651</v>
      </c>
      <c r="B77" s="63">
        <f>VLOOKUP(A77,Database!A:L,MATCH($A$1,Database!$A$1:$L$1,),)</f>
        <v>168.709</v>
      </c>
      <c r="C77" s="37">
        <f t="shared" si="4"/>
        <v>2.704759353731151E-2</v>
      </c>
      <c r="D77" s="36">
        <f t="shared" si="5"/>
        <v>7.7338152466825821E-2</v>
      </c>
      <c r="E77" s="36">
        <f t="shared" si="3"/>
        <v>0.11265949232686023</v>
      </c>
    </row>
    <row r="78" spans="1:5" x14ac:dyDescent="0.35">
      <c r="A78" s="35">
        <v>23743</v>
      </c>
      <c r="B78" s="63">
        <f>VLOOKUP(A78,Database!A:L,MATCH($A$1,Database!$A$1:$L$1,),)</f>
        <v>162.63499999999999</v>
      </c>
      <c r="C78" s="37">
        <f t="shared" si="4"/>
        <v>-3.6002821426242892E-2</v>
      </c>
      <c r="D78" s="36">
        <f t="shared" si="5"/>
        <v>3.9526752785217084E-2</v>
      </c>
      <c r="E78" s="36">
        <f t="shared" si="3"/>
        <v>-0.13641905454072412</v>
      </c>
    </row>
    <row r="79" spans="1:5" x14ac:dyDescent="0.35">
      <c r="A79" s="35">
        <v>23833</v>
      </c>
      <c r="B79" s="63">
        <f>VLOOKUP(A79,Database!A:L,MATCH($A$1,Database!$A$1:$L$1,),)</f>
        <v>181.828</v>
      </c>
      <c r="C79" s="37">
        <f t="shared" si="4"/>
        <v>0.11801272788760116</v>
      </c>
      <c r="D79" s="36">
        <f t="shared" si="5"/>
        <v>0.13661680408568938</v>
      </c>
      <c r="E79" s="36">
        <f t="shared" si="3"/>
        <v>0.56238115155676605</v>
      </c>
    </row>
    <row r="80" spans="1:5" x14ac:dyDescent="0.35">
      <c r="A80" s="35">
        <v>23924</v>
      </c>
      <c r="B80" s="63">
        <f>VLOOKUP(A80,Database!A:L,MATCH($A$1,Database!$A$1:$L$1,),)</f>
        <v>182.57400000000001</v>
      </c>
      <c r="C80" s="37">
        <f t="shared" si="4"/>
        <v>4.1027784499637534E-3</v>
      </c>
      <c r="D80" s="36">
        <f t="shared" si="5"/>
        <v>0.11145337440492872</v>
      </c>
      <c r="E80" s="36">
        <f t="shared" si="3"/>
        <v>1.6512387074103296E-2</v>
      </c>
    </row>
    <row r="81" spans="1:5" x14ac:dyDescent="0.35">
      <c r="A81" s="35">
        <v>24016</v>
      </c>
      <c r="B81" s="63">
        <f>VLOOKUP(A81,Database!A:L,MATCH($A$1,Database!$A$1:$L$1,),)</f>
        <v>191.482</v>
      </c>
      <c r="C81" s="37">
        <f t="shared" si="4"/>
        <v>4.8791175085170869E-2</v>
      </c>
      <c r="D81" s="36">
        <f t="shared" si="5"/>
        <v>0.13498390720115699</v>
      </c>
      <c r="E81" s="36">
        <f t="shared" si="3"/>
        <v>0.20991844503463719</v>
      </c>
    </row>
    <row r="82" spans="1:5" x14ac:dyDescent="0.35">
      <c r="A82" s="35">
        <v>24108</v>
      </c>
      <c r="B82" s="63">
        <f>VLOOKUP(A82,Database!A:L,MATCH($A$1,Database!$A$1:$L$1,),)</f>
        <v>196.417</v>
      </c>
      <c r="C82" s="37">
        <f t="shared" si="4"/>
        <v>2.5772657482165437E-2</v>
      </c>
      <c r="D82" s="36">
        <f t="shared" si="5"/>
        <v>0.20771666615427192</v>
      </c>
      <c r="E82" s="36">
        <f t="shared" si="3"/>
        <v>0.10714492624824157</v>
      </c>
    </row>
    <row r="83" spans="1:5" x14ac:dyDescent="0.35">
      <c r="A83" s="35">
        <v>24198</v>
      </c>
      <c r="B83" s="63">
        <f>VLOOKUP(A83,Database!A:L,MATCH($A$1,Database!$A$1:$L$1,),)</f>
        <v>201.30199999999999</v>
      </c>
      <c r="C83" s="37">
        <f t="shared" si="4"/>
        <v>2.4870556010935869E-2</v>
      </c>
      <c r="D83" s="36">
        <f t="shared" si="5"/>
        <v>0.10710121653430708</v>
      </c>
      <c r="E83" s="36">
        <f t="shared" si="3"/>
        <v>0.10325540816700074</v>
      </c>
    </row>
    <row r="84" spans="1:5" x14ac:dyDescent="0.35">
      <c r="A84" s="35">
        <v>24289</v>
      </c>
      <c r="B84" s="63">
        <f>VLOOKUP(A84,Database!A:L,MATCH($A$1,Database!$A$1:$L$1,),)</f>
        <v>212.59299999999999</v>
      </c>
      <c r="C84" s="37">
        <f t="shared" si="4"/>
        <v>5.6089855043665725E-2</v>
      </c>
      <c r="D84" s="36">
        <f t="shared" si="5"/>
        <v>0.16442100189512185</v>
      </c>
      <c r="E84" s="36">
        <f t="shared" si="3"/>
        <v>0.24395159982917969</v>
      </c>
    </row>
    <row r="85" spans="1:5" x14ac:dyDescent="0.35">
      <c r="A85" s="35">
        <v>24381</v>
      </c>
      <c r="B85" s="63">
        <f>VLOOKUP(A85,Database!A:L,MATCH($A$1,Database!$A$1:$L$1,),)</f>
        <v>214.98699999999999</v>
      </c>
      <c r="C85" s="37">
        <f t="shared" si="4"/>
        <v>1.1260954029530632E-2</v>
      </c>
      <c r="D85" s="36">
        <f t="shared" si="5"/>
        <v>0.12275305250624077</v>
      </c>
      <c r="E85" s="36">
        <f t="shared" si="3"/>
        <v>4.5810398677733843E-2</v>
      </c>
    </row>
    <row r="86" spans="1:5" x14ac:dyDescent="0.35">
      <c r="A86" s="35">
        <v>24473</v>
      </c>
      <c r="B86" s="63">
        <f>VLOOKUP(A86,Database!A:L,MATCH($A$1,Database!$A$1:$L$1,),)</f>
        <v>218.34299999999999</v>
      </c>
      <c r="C86" s="37">
        <f t="shared" si="4"/>
        <v>1.5610246200933054E-2</v>
      </c>
      <c r="D86" s="36">
        <f t="shared" si="5"/>
        <v>0.11162984874018027</v>
      </c>
      <c r="E86" s="36">
        <f t="shared" si="3"/>
        <v>6.3918338508136108E-2</v>
      </c>
    </row>
    <row r="87" spans="1:5" x14ac:dyDescent="0.35">
      <c r="A87" s="35">
        <v>24563</v>
      </c>
      <c r="B87" s="63">
        <f>VLOOKUP(A87,Database!A:L,MATCH($A$1,Database!$A$1:$L$1,),)</f>
        <v>216.608</v>
      </c>
      <c r="C87" s="37">
        <f t="shared" si="4"/>
        <v>-7.9462130684289645E-3</v>
      </c>
      <c r="D87" s="36">
        <f t="shared" si="5"/>
        <v>7.6035012071415151E-2</v>
      </c>
      <c r="E87" s="36">
        <f t="shared" si="3"/>
        <v>-3.1408001442737477E-2</v>
      </c>
    </row>
    <row r="88" spans="1:5" x14ac:dyDescent="0.35">
      <c r="A88" s="35">
        <v>24654</v>
      </c>
      <c r="B88" s="63">
        <f>VLOOKUP(A88,Database!A:L,MATCH($A$1,Database!$A$1:$L$1,),)</f>
        <v>219.452</v>
      </c>
      <c r="C88" s="37">
        <f t="shared" si="4"/>
        <v>1.3129708967351132E-2</v>
      </c>
      <c r="D88" s="36">
        <f t="shared" si="5"/>
        <v>3.2263527021115505E-2</v>
      </c>
      <c r="E88" s="36">
        <f t="shared" si="3"/>
        <v>5.3562254815988863E-2</v>
      </c>
    </row>
    <row r="89" spans="1:5" x14ac:dyDescent="0.35">
      <c r="A89" s="35">
        <v>24746</v>
      </c>
      <c r="B89" s="63">
        <f>VLOOKUP(A89,Database!A:L,MATCH($A$1,Database!$A$1:$L$1,),)</f>
        <v>231.02600000000001</v>
      </c>
      <c r="C89" s="37">
        <f t="shared" si="4"/>
        <v>5.2740462606857136E-2</v>
      </c>
      <c r="D89" s="36">
        <f t="shared" si="5"/>
        <v>7.4604510970430846E-2</v>
      </c>
      <c r="E89" s="36">
        <f t="shared" si="3"/>
        <v>0.22824572814368915</v>
      </c>
    </row>
    <row r="90" spans="1:5" x14ac:dyDescent="0.35">
      <c r="A90" s="35">
        <v>24838</v>
      </c>
      <c r="B90" s="63">
        <f>VLOOKUP(A90,Database!A:L,MATCH($A$1,Database!$A$1:$L$1,),)</f>
        <v>244.637</v>
      </c>
      <c r="C90" s="37">
        <f t="shared" si="4"/>
        <v>5.8915446746253625E-2</v>
      </c>
      <c r="D90" s="36">
        <f t="shared" si="5"/>
        <v>0.12042520254828418</v>
      </c>
      <c r="E90" s="36">
        <f t="shared" si="3"/>
        <v>0.25731800332594168</v>
      </c>
    </row>
    <row r="91" spans="1:5" x14ac:dyDescent="0.35">
      <c r="A91" s="35">
        <v>24929</v>
      </c>
      <c r="B91" s="63">
        <f>VLOOKUP(A91,Database!A:L,MATCH($A$1,Database!$A$1:$L$1,),)</f>
        <v>248.369</v>
      </c>
      <c r="C91" s="37">
        <f t="shared" si="4"/>
        <v>1.5255255746268959E-2</v>
      </c>
      <c r="D91" s="36">
        <f t="shared" si="5"/>
        <v>0.14662893337272859</v>
      </c>
      <c r="E91" s="36">
        <f t="shared" si="3"/>
        <v>6.2431615097323645E-2</v>
      </c>
    </row>
    <row r="92" spans="1:5" x14ac:dyDescent="0.35">
      <c r="A92" s="35">
        <v>25020</v>
      </c>
      <c r="B92" s="63">
        <f>VLOOKUP(A92,Database!A:L,MATCH($A$1,Database!$A$1:$L$1,),)</f>
        <v>263.29599999999999</v>
      </c>
      <c r="C92" s="37">
        <f t="shared" si="4"/>
        <v>6.0100093006776177E-2</v>
      </c>
      <c r="D92" s="36">
        <f t="shared" si="5"/>
        <v>0.19978856424183875</v>
      </c>
      <c r="E92" s="36">
        <f t="shared" si="3"/>
        <v>0.26295387703594675</v>
      </c>
    </row>
    <row r="93" spans="1:5" x14ac:dyDescent="0.35">
      <c r="A93" s="35">
        <v>25112</v>
      </c>
      <c r="B93" s="63">
        <f>VLOOKUP(A93,Database!A:L,MATCH($A$1,Database!$A$1:$L$1,),)</f>
        <v>261.077</v>
      </c>
      <c r="C93" s="37">
        <f t="shared" si="4"/>
        <v>-8.4277771025765454E-3</v>
      </c>
      <c r="D93" s="36">
        <f t="shared" si="5"/>
        <v>0.13007626847194681</v>
      </c>
      <c r="E93" s="36">
        <f t="shared" si="3"/>
        <v>-3.3287333217354775E-2</v>
      </c>
    </row>
    <row r="94" spans="1:5" x14ac:dyDescent="0.35">
      <c r="A94" s="35">
        <v>25204</v>
      </c>
      <c r="B94" s="63">
        <f>VLOOKUP(A94,Database!A:L,MATCH($A$1,Database!$A$1:$L$1,),)</f>
        <v>236.452</v>
      </c>
      <c r="C94" s="37">
        <f t="shared" si="4"/>
        <v>-9.4320832551316278E-2</v>
      </c>
      <c r="D94" s="36">
        <f t="shared" si="5"/>
        <v>-3.3457735338481107E-2</v>
      </c>
      <c r="E94" s="36">
        <f t="shared" si="3"/>
        <v>-0.32718213796533391</v>
      </c>
    </row>
    <row r="95" spans="1:5" x14ac:dyDescent="0.35">
      <c r="A95" s="35">
        <v>25294</v>
      </c>
      <c r="B95" s="63">
        <f>VLOOKUP(A95,Database!A:L,MATCH($A$1,Database!$A$1:$L$1,),)</f>
        <v>283.101</v>
      </c>
      <c r="C95" s="37">
        <f t="shared" si="4"/>
        <v>0.19728739871094345</v>
      </c>
      <c r="D95" s="36">
        <f t="shared" si="5"/>
        <v>0.13984031823617279</v>
      </c>
      <c r="E95" s="36">
        <f t="shared" si="3"/>
        <v>1.0549139790344766</v>
      </c>
    </row>
    <row r="96" spans="1:5" x14ac:dyDescent="0.35">
      <c r="A96" s="35">
        <v>25385</v>
      </c>
      <c r="B96" s="63">
        <f>VLOOKUP(A96,Database!A:L,MATCH($A$1,Database!$A$1:$L$1,),)</f>
        <v>279.43299999999999</v>
      </c>
      <c r="C96" s="37">
        <f t="shared" si="4"/>
        <v>-1.2956506688425708E-2</v>
      </c>
      <c r="D96" s="36">
        <f t="shared" si="5"/>
        <v>6.1288435828877011E-2</v>
      </c>
      <c r="E96" s="36">
        <f t="shared" si="3"/>
        <v>-5.082747226994011E-2</v>
      </c>
    </row>
    <row r="97" spans="1:5" x14ac:dyDescent="0.35">
      <c r="A97" s="35">
        <v>25477</v>
      </c>
      <c r="B97" s="63">
        <f>VLOOKUP(A97,Database!A:L,MATCH($A$1,Database!$A$1:$L$1,),)</f>
        <v>276.363</v>
      </c>
      <c r="C97" s="37">
        <f t="shared" si="4"/>
        <v>-1.0986533444510825E-2</v>
      </c>
      <c r="D97" s="36">
        <f t="shared" si="5"/>
        <v>5.8549776502717595E-2</v>
      </c>
      <c r="E97" s="36">
        <f t="shared" si="3"/>
        <v>-4.3227200176333191E-2</v>
      </c>
    </row>
    <row r="98" spans="1:5" x14ac:dyDescent="0.35">
      <c r="A98" s="35">
        <v>25569</v>
      </c>
      <c r="B98" s="63">
        <f>VLOOKUP(A98,Database!A:L,MATCH($A$1,Database!$A$1:$L$1,),)</f>
        <v>275.45800000000003</v>
      </c>
      <c r="C98" s="37">
        <f t="shared" si="4"/>
        <v>-3.2746785930098193E-3</v>
      </c>
      <c r="D98" s="36">
        <f t="shared" si="5"/>
        <v>0.16496371356554407</v>
      </c>
      <c r="E98" s="36">
        <f t="shared" si="3"/>
        <v>-1.3034513602044218E-2</v>
      </c>
    </row>
    <row r="99" spans="1:5" x14ac:dyDescent="0.35">
      <c r="A99" s="35">
        <v>25659</v>
      </c>
      <c r="B99" s="63">
        <f>VLOOKUP(A99,Database!A:L,MATCH($A$1,Database!$A$1:$L$1,),)</f>
        <v>280.90199999999999</v>
      </c>
      <c r="C99" s="37">
        <f t="shared" si="4"/>
        <v>1.9763448511206642E-2</v>
      </c>
      <c r="D99" s="36">
        <f t="shared" si="5"/>
        <v>-7.7675458581919965E-3</v>
      </c>
      <c r="E99" s="36">
        <f t="shared" si="3"/>
        <v>8.1428387920242651E-2</v>
      </c>
    </row>
    <row r="100" spans="1:5" x14ac:dyDescent="0.35">
      <c r="A100" s="35">
        <v>25750</v>
      </c>
      <c r="B100" s="63">
        <f>VLOOKUP(A100,Database!A:L,MATCH($A$1,Database!$A$1:$L$1,),)</f>
        <v>280.25799999999998</v>
      </c>
      <c r="C100" s="37">
        <f t="shared" si="4"/>
        <v>-2.2926145061267114E-3</v>
      </c>
      <c r="D100" s="36">
        <f t="shared" si="5"/>
        <v>2.9524071960004318E-3</v>
      </c>
      <c r="E100" s="36">
        <f t="shared" si="3"/>
        <v>-9.1389697099110156E-3</v>
      </c>
    </row>
    <row r="101" spans="1:5" x14ac:dyDescent="0.35">
      <c r="A101" s="35">
        <v>25842</v>
      </c>
      <c r="B101" s="63">
        <f>VLOOKUP(A101,Database!A:L,MATCH($A$1,Database!$A$1:$L$1,),)</f>
        <v>284.60399999999998</v>
      </c>
      <c r="C101" s="37">
        <f t="shared" si="4"/>
        <v>1.5507139849709924E-2</v>
      </c>
      <c r="D101" s="36">
        <f t="shared" si="5"/>
        <v>2.9819476558005181E-2</v>
      </c>
      <c r="E101" s="36">
        <f t="shared" si="3"/>
        <v>6.3486361636908129E-2</v>
      </c>
    </row>
    <row r="102" spans="1:5" x14ac:dyDescent="0.35">
      <c r="A102" s="35">
        <v>25934</v>
      </c>
      <c r="B102" s="63">
        <f>VLOOKUP(A102,Database!A:L,MATCH($A$1,Database!$A$1:$L$1,),)</f>
        <v>281.24900000000002</v>
      </c>
      <c r="C102" s="37">
        <f t="shared" si="4"/>
        <v>-1.1788309370212512E-2</v>
      </c>
      <c r="D102" s="36">
        <f t="shared" si="5"/>
        <v>2.1023168686333294E-2</v>
      </c>
      <c r="E102" s="36">
        <f t="shared" si="3"/>
        <v>-4.6325985356650223E-2</v>
      </c>
    </row>
    <row r="103" spans="1:5" x14ac:dyDescent="0.35">
      <c r="A103" s="35">
        <v>26024</v>
      </c>
      <c r="B103" s="63">
        <f>VLOOKUP(A103,Database!A:L,MATCH($A$1,Database!$A$1:$L$1,),)</f>
        <v>302.46600000000001</v>
      </c>
      <c r="C103" s="37">
        <f t="shared" si="4"/>
        <v>7.5438490447965981E-2</v>
      </c>
      <c r="D103" s="36">
        <f t="shared" si="5"/>
        <v>7.6766986351111857E-2</v>
      </c>
      <c r="E103" s="36">
        <f t="shared" si="3"/>
        <v>0.33764941541943916</v>
      </c>
    </row>
    <row r="104" spans="1:5" x14ac:dyDescent="0.35">
      <c r="A104" s="35">
        <v>26115</v>
      </c>
      <c r="B104" s="63">
        <f>VLOOKUP(A104,Database!A:L,MATCH($A$1,Database!$A$1:$L$1,),)</f>
        <v>309.15199999999999</v>
      </c>
      <c r="C104" s="37">
        <f t="shared" si="4"/>
        <v>2.2104963863706924E-2</v>
      </c>
      <c r="D104" s="36">
        <f t="shared" si="5"/>
        <v>0.10309785982915745</v>
      </c>
      <c r="E104" s="36">
        <f t="shared" si="3"/>
        <v>9.1395075321383024E-2</v>
      </c>
    </row>
    <row r="105" spans="1:5" x14ac:dyDescent="0.35">
      <c r="A105" s="35">
        <v>26207</v>
      </c>
      <c r="B105" s="63">
        <f>VLOOKUP(A105,Database!A:L,MATCH($A$1,Database!$A$1:$L$1,),)</f>
        <v>288.197</v>
      </c>
      <c r="C105" s="37">
        <f t="shared" si="4"/>
        <v>-6.7782191284546059E-2</v>
      </c>
      <c r="D105" s="36">
        <f t="shared" si="5"/>
        <v>1.2624559036415574E-2</v>
      </c>
      <c r="E105" s="36">
        <f t="shared" si="3"/>
        <v>-0.24478678456113523</v>
      </c>
    </row>
    <row r="106" spans="1:5" x14ac:dyDescent="0.35">
      <c r="A106" s="35">
        <v>26299</v>
      </c>
      <c r="B106" s="63">
        <f>VLOOKUP(A106,Database!A:L,MATCH($A$1,Database!$A$1:$L$1,),)</f>
        <v>330.31700000000001</v>
      </c>
      <c r="C106" s="37">
        <f t="shared" si="4"/>
        <v>0.14615002932022195</v>
      </c>
      <c r="D106" s="36">
        <f t="shared" si="5"/>
        <v>0.17446462031864995</v>
      </c>
      <c r="E106" s="36">
        <f t="shared" si="3"/>
        <v>0.72570230583484907</v>
      </c>
    </row>
    <row r="107" spans="1:5" x14ac:dyDescent="0.35">
      <c r="A107" s="35">
        <v>26390</v>
      </c>
      <c r="B107" s="63">
        <f>VLOOKUP(A107,Database!A:L,MATCH($A$1,Database!$A$1:$L$1,),)</f>
        <v>318.58100000000002</v>
      </c>
      <c r="C107" s="37">
        <f t="shared" si="4"/>
        <v>-3.5529506504357905E-2</v>
      </c>
      <c r="D107" s="36">
        <f t="shared" si="5"/>
        <v>5.327871562423548E-2</v>
      </c>
      <c r="E107" s="36">
        <f t="shared" si="3"/>
        <v>-0.13472175960362986</v>
      </c>
    </row>
    <row r="108" spans="1:5" x14ac:dyDescent="0.35">
      <c r="A108" s="35">
        <v>26481</v>
      </c>
      <c r="B108" s="63">
        <f>VLOOKUP(A108,Database!A:L,MATCH($A$1,Database!$A$1:$L$1,),)</f>
        <v>325.21199999999999</v>
      </c>
      <c r="C108" s="37">
        <f t="shared" si="4"/>
        <v>2.0814172847721527E-2</v>
      </c>
      <c r="D108" s="36">
        <f t="shared" si="5"/>
        <v>5.1948556050098342E-2</v>
      </c>
      <c r="E108" s="36">
        <f t="shared" si="3"/>
        <v>8.5892327105985711E-2</v>
      </c>
    </row>
    <row r="109" spans="1:5" x14ac:dyDescent="0.35">
      <c r="A109" s="35">
        <v>26573</v>
      </c>
      <c r="B109" s="63">
        <f>VLOOKUP(A109,Database!A:L,MATCH($A$1,Database!$A$1:$L$1,),)</f>
        <v>339.86200000000002</v>
      </c>
      <c r="C109" s="37">
        <f t="shared" si="4"/>
        <v>4.5047538221221956E-2</v>
      </c>
      <c r="D109" s="36">
        <f t="shared" si="5"/>
        <v>0.17926973563222387</v>
      </c>
      <c r="E109" s="36">
        <f t="shared" si="3"/>
        <v>0.1927356114633425</v>
      </c>
    </row>
    <row r="110" spans="1:5" x14ac:dyDescent="0.35">
      <c r="A110" s="35">
        <v>26665</v>
      </c>
      <c r="B110" s="63">
        <f>VLOOKUP(A110,Database!A:L,MATCH($A$1,Database!$A$1:$L$1,),)</f>
        <v>355.56599999999997</v>
      </c>
      <c r="C110" s="37">
        <f t="shared" si="4"/>
        <v>4.6206989895898776E-2</v>
      </c>
      <c r="D110" s="36">
        <f t="shared" si="5"/>
        <v>7.6438693739649996E-2</v>
      </c>
      <c r="E110" s="36">
        <f t="shared" si="3"/>
        <v>0.19803765724014788</v>
      </c>
    </row>
    <row r="111" spans="1:5" x14ac:dyDescent="0.35">
      <c r="A111" s="35">
        <v>26755</v>
      </c>
      <c r="B111" s="63">
        <f>VLOOKUP(A111,Database!A:L,MATCH($A$1,Database!$A$1:$L$1,),)</f>
        <v>345.31799999999998</v>
      </c>
      <c r="C111" s="37">
        <f t="shared" si="4"/>
        <v>-2.8821653363932411E-2</v>
      </c>
      <c r="D111" s="36">
        <f t="shared" si="5"/>
        <v>8.3925281168682267E-2</v>
      </c>
      <c r="E111" s="36">
        <f t="shared" si="3"/>
        <v>-0.11039756436996173</v>
      </c>
    </row>
    <row r="112" spans="1:5" x14ac:dyDescent="0.35">
      <c r="A112" s="35">
        <v>26846</v>
      </c>
      <c r="B112" s="63">
        <f>VLOOKUP(A112,Database!A:L,MATCH($A$1,Database!$A$1:$L$1,),)</f>
        <v>335.77800000000002</v>
      </c>
      <c r="C112" s="37">
        <f t="shared" si="4"/>
        <v>-2.7626709294041908E-2</v>
      </c>
      <c r="D112" s="36">
        <f t="shared" si="5"/>
        <v>3.2489576030404879E-2</v>
      </c>
      <c r="E112" s="36">
        <f t="shared" si="3"/>
        <v>-0.10601118694310763</v>
      </c>
    </row>
    <row r="113" spans="1:5" x14ac:dyDescent="0.35">
      <c r="A113" s="35">
        <v>26938</v>
      </c>
      <c r="B113" s="63">
        <f>VLOOKUP(A113,Database!A:L,MATCH($A$1,Database!$A$1:$L$1,),)</f>
        <v>338.28399999999999</v>
      </c>
      <c r="C113" s="37">
        <f t="shared" si="4"/>
        <v>7.4632644187527823E-3</v>
      </c>
      <c r="D113" s="36">
        <f t="shared" si="5"/>
        <v>-4.6430610071147441E-3</v>
      </c>
      <c r="E113" s="36">
        <f t="shared" si="3"/>
        <v>3.01889254969816E-2</v>
      </c>
    </row>
    <row r="114" spans="1:5" x14ac:dyDescent="0.35">
      <c r="A114" s="35">
        <v>27030</v>
      </c>
      <c r="B114" s="63">
        <f>VLOOKUP(A114,Database!A:L,MATCH($A$1,Database!$A$1:$L$1,),)</f>
        <v>326.81</v>
      </c>
      <c r="C114" s="37">
        <f t="shared" si="4"/>
        <v>-3.3918246207328723E-2</v>
      </c>
      <c r="D114" s="36">
        <f t="shared" si="5"/>
        <v>-8.0873874329941489E-2</v>
      </c>
      <c r="E114" s="36">
        <f t="shared" si="3"/>
        <v>-0.12892506138149462</v>
      </c>
    </row>
    <row r="115" spans="1:5" x14ac:dyDescent="0.35">
      <c r="A115" s="35">
        <v>27120</v>
      </c>
      <c r="B115" s="63">
        <f>VLOOKUP(A115,Database!A:L,MATCH($A$1,Database!$A$1:$L$1,),)</f>
        <v>344.12299999999999</v>
      </c>
      <c r="C115" s="37">
        <f t="shared" si="4"/>
        <v>5.2975735136623688E-2</v>
      </c>
      <c r="D115" s="36">
        <f t="shared" si="5"/>
        <v>-3.4605783654486394E-3</v>
      </c>
      <c r="E115" s="36">
        <f t="shared" si="3"/>
        <v>0.22934407812148394</v>
      </c>
    </row>
    <row r="116" spans="1:5" x14ac:dyDescent="0.35">
      <c r="A116" s="35">
        <v>27211</v>
      </c>
      <c r="B116" s="63">
        <f>VLOOKUP(A116,Database!A:L,MATCH($A$1,Database!$A$1:$L$1,),)</f>
        <v>338.10899999999998</v>
      </c>
      <c r="C116" s="37">
        <f t="shared" si="4"/>
        <v>-1.7476309342880338E-2</v>
      </c>
      <c r="D116" s="36">
        <f t="shared" si="5"/>
        <v>6.9420867358789447E-3</v>
      </c>
      <c r="E116" s="36">
        <f t="shared" si="3"/>
        <v>-6.8093966314452525E-2</v>
      </c>
    </row>
    <row r="117" spans="1:5" x14ac:dyDescent="0.35">
      <c r="A117" s="35">
        <v>27303</v>
      </c>
      <c r="B117" s="63">
        <f>VLOOKUP(A117,Database!A:L,MATCH($A$1,Database!$A$1:$L$1,),)</f>
        <v>334.75400000000002</v>
      </c>
      <c r="C117" s="37">
        <f t="shared" si="4"/>
        <v>-9.9228355352858448E-3</v>
      </c>
      <c r="D117" s="36">
        <f t="shared" si="5"/>
        <v>-1.0435019096380475E-2</v>
      </c>
      <c r="E117" s="36">
        <f t="shared" si="3"/>
        <v>-3.9104464571211972E-2</v>
      </c>
    </row>
    <row r="118" spans="1:5" x14ac:dyDescent="0.35">
      <c r="A118" s="35">
        <v>27395</v>
      </c>
      <c r="B118" s="63">
        <f>VLOOKUP(A118,Database!A:L,MATCH($A$1,Database!$A$1:$L$1,),)</f>
        <v>301.16399999999999</v>
      </c>
      <c r="C118" s="37">
        <f t="shared" si="4"/>
        <v>-0.10034234094290144</v>
      </c>
      <c r="D118" s="36">
        <f t="shared" si="5"/>
        <v>-7.8473730913986767E-2</v>
      </c>
      <c r="E118" s="36">
        <f t="shared" si="3"/>
        <v>-0.34489769675494286</v>
      </c>
    </row>
    <row r="119" spans="1:5" x14ac:dyDescent="0.35">
      <c r="A119" s="35">
        <v>27485</v>
      </c>
      <c r="B119" s="63">
        <f>VLOOKUP(A119,Database!A:L,MATCH($A$1,Database!$A$1:$L$1,),)</f>
        <v>277.065</v>
      </c>
      <c r="C119" s="37">
        <f t="shared" si="4"/>
        <v>-8.0019524245925774E-2</v>
      </c>
      <c r="D119" s="36">
        <f t="shared" si="5"/>
        <v>-0.19486637045475017</v>
      </c>
      <c r="E119" s="36">
        <f t="shared" si="3"/>
        <v>-0.28366785124820626</v>
      </c>
    </row>
    <row r="120" spans="1:5" x14ac:dyDescent="0.35">
      <c r="A120" s="35">
        <v>27576</v>
      </c>
      <c r="B120" s="63">
        <f>VLOOKUP(A120,Database!A:L,MATCH($A$1,Database!$A$1:$L$1,),)</f>
        <v>300.09800000000001</v>
      </c>
      <c r="C120" s="37">
        <f t="shared" si="4"/>
        <v>8.3132117012253495E-2</v>
      </c>
      <c r="D120" s="36">
        <f t="shared" si="5"/>
        <v>-0.11242232534478518</v>
      </c>
      <c r="E120" s="36">
        <f t="shared" si="3"/>
        <v>0.37634000978053361</v>
      </c>
    </row>
    <row r="121" spans="1:5" x14ac:dyDescent="0.35">
      <c r="A121" s="35">
        <v>27668</v>
      </c>
      <c r="B121" s="63">
        <f>VLOOKUP(A121,Database!A:L,MATCH($A$1,Database!$A$1:$L$1,),)</f>
        <v>316.11700000000002</v>
      </c>
      <c r="C121" s="37">
        <f t="shared" si="4"/>
        <v>5.3379229451712459E-2</v>
      </c>
      <c r="D121" s="36">
        <f t="shared" si="5"/>
        <v>-5.5673718611278726E-2</v>
      </c>
      <c r="E121" s="36">
        <f t="shared" si="3"/>
        <v>0.23122947212945277</v>
      </c>
    </row>
    <row r="122" spans="1:5" x14ac:dyDescent="0.35">
      <c r="A122" s="35">
        <v>27760</v>
      </c>
      <c r="B122" s="63">
        <f>VLOOKUP(A122,Database!A:L,MATCH($A$1,Database!$A$1:$L$1,),)</f>
        <v>335.92099999999999</v>
      </c>
      <c r="C122" s="37">
        <f t="shared" si="4"/>
        <v>6.2647690570263453E-2</v>
      </c>
      <c r="D122" s="36">
        <f t="shared" si="5"/>
        <v>0.11540888021144628</v>
      </c>
      <c r="E122" s="36">
        <f t="shared" si="3"/>
        <v>0.27513806648169603</v>
      </c>
    </row>
    <row r="123" spans="1:5" x14ac:dyDescent="0.35">
      <c r="A123" s="35">
        <v>27851</v>
      </c>
      <c r="B123" s="63">
        <f>VLOOKUP(A123,Database!A:L,MATCH($A$1,Database!$A$1:$L$1,),)</f>
        <v>350.47</v>
      </c>
      <c r="C123" s="37">
        <f t="shared" si="4"/>
        <v>4.3310778427070755E-2</v>
      </c>
      <c r="D123" s="36">
        <f t="shared" si="5"/>
        <v>0.2649378304729938</v>
      </c>
      <c r="E123" s="36">
        <f t="shared" si="3"/>
        <v>0.18482654709869473</v>
      </c>
    </row>
    <row r="124" spans="1:5" x14ac:dyDescent="0.35">
      <c r="A124" s="35">
        <v>27942</v>
      </c>
      <c r="B124" s="63">
        <f>VLOOKUP(A124,Database!A:L,MATCH($A$1,Database!$A$1:$L$1,),)</f>
        <v>364.76799999999997</v>
      </c>
      <c r="C124" s="37">
        <f t="shared" si="4"/>
        <v>4.0796644505948991E-2</v>
      </c>
      <c r="D124" s="36">
        <f t="shared" si="5"/>
        <v>0.21549627121806861</v>
      </c>
      <c r="E124" s="36">
        <f t="shared" si="3"/>
        <v>0.17344714758155866</v>
      </c>
    </row>
    <row r="125" spans="1:5" x14ac:dyDescent="0.35">
      <c r="A125" s="35">
        <v>28034</v>
      </c>
      <c r="B125" s="63">
        <f>VLOOKUP(A125,Database!A:L,MATCH($A$1,Database!$A$1:$L$1,),)</f>
        <v>376.84100000000001</v>
      </c>
      <c r="C125" s="37">
        <f t="shared" si="4"/>
        <v>3.3097749802614367E-2</v>
      </c>
      <c r="D125" s="36">
        <f t="shared" si="5"/>
        <v>0.19209343376028493</v>
      </c>
      <c r="E125" s="36">
        <f t="shared" si="3"/>
        <v>0.13910999467927665</v>
      </c>
    </row>
    <row r="126" spans="1:5" x14ac:dyDescent="0.35">
      <c r="A126" s="35">
        <v>28126</v>
      </c>
      <c r="B126" s="63">
        <f>VLOOKUP(A126,Database!A:L,MATCH($A$1,Database!$A$1:$L$1,),)</f>
        <v>394.68</v>
      </c>
      <c r="C126" s="37">
        <f t="shared" si="4"/>
        <v>4.7338267332906976E-2</v>
      </c>
      <c r="D126" s="36">
        <f t="shared" si="5"/>
        <v>0.17491910300338478</v>
      </c>
      <c r="E126" s="36">
        <f t="shared" si="3"/>
        <v>0.20322788382157819</v>
      </c>
    </row>
    <row r="127" spans="1:5" x14ac:dyDescent="0.35">
      <c r="A127" s="35">
        <v>28216</v>
      </c>
      <c r="B127" s="63">
        <f>VLOOKUP(A127,Database!A:L,MATCH($A$1,Database!$A$1:$L$1,),)</f>
        <v>398.31900000000002</v>
      </c>
      <c r="C127" s="37">
        <f t="shared" si="4"/>
        <v>9.2201276983885933E-3</v>
      </c>
      <c r="D127" s="36">
        <f t="shared" si="5"/>
        <v>0.13652809084943071</v>
      </c>
      <c r="E127" s="36">
        <f t="shared" si="3"/>
        <v>3.7393717789089065E-2</v>
      </c>
    </row>
    <row r="128" spans="1:5" x14ac:dyDescent="0.35">
      <c r="A128" s="35">
        <v>28307</v>
      </c>
      <c r="B128" s="63">
        <f>VLOOKUP(A128,Database!A:L,MATCH($A$1,Database!$A$1:$L$1,),)</f>
        <v>392.76799999999997</v>
      </c>
      <c r="C128" s="37">
        <f t="shared" si="4"/>
        <v>-1.3936066318704466E-2</v>
      </c>
      <c r="D128" s="36">
        <f t="shared" si="5"/>
        <v>7.6761119396438288E-2</v>
      </c>
      <c r="E128" s="36">
        <f t="shared" si="3"/>
        <v>-5.4589770202764676E-2</v>
      </c>
    </row>
    <row r="129" spans="1:5" x14ac:dyDescent="0.35">
      <c r="A129" s="35">
        <v>28399</v>
      </c>
      <c r="B129" s="63">
        <f>VLOOKUP(A129,Database!A:L,MATCH($A$1,Database!$A$1:$L$1,),)</f>
        <v>398.34199999999998</v>
      </c>
      <c r="C129" s="37">
        <f t="shared" si="4"/>
        <v>1.4191583835750398E-2</v>
      </c>
      <c r="D129" s="36">
        <f t="shared" si="5"/>
        <v>5.7055893599687865E-2</v>
      </c>
      <c r="E129" s="36">
        <f t="shared" si="3"/>
        <v>5.7986215015631171E-2</v>
      </c>
    </row>
    <row r="130" spans="1:5" x14ac:dyDescent="0.35">
      <c r="A130" s="35">
        <v>28491</v>
      </c>
      <c r="B130" s="63">
        <f>VLOOKUP(A130,Database!A:L,MATCH($A$1,Database!$A$1:$L$1,),)</f>
        <v>425.07</v>
      </c>
      <c r="C130" s="37">
        <f t="shared" si="4"/>
        <v>6.7098121714506659E-2</v>
      </c>
      <c r="D130" s="36">
        <f t="shared" si="5"/>
        <v>7.6999087868653046E-2</v>
      </c>
      <c r="E130" s="36">
        <f t="shared" si="3"/>
        <v>0.29663404927491399</v>
      </c>
    </row>
    <row r="131" spans="1:5" x14ac:dyDescent="0.35">
      <c r="A131" s="35">
        <v>28581</v>
      </c>
      <c r="B131" s="63">
        <f>VLOOKUP(A131,Database!A:L,MATCH($A$1,Database!$A$1:$L$1,),)</f>
        <v>426.41899999999998</v>
      </c>
      <c r="C131" s="37">
        <f t="shared" si="4"/>
        <v>3.1735949373044195E-3</v>
      </c>
      <c r="D131" s="36">
        <f t="shared" si="5"/>
        <v>7.0546471546674816E-2</v>
      </c>
      <c r="E131" s="36">
        <f t="shared" si="3"/>
        <v>1.2754937933659338E-2</v>
      </c>
    </row>
    <row r="132" spans="1:5" x14ac:dyDescent="0.35">
      <c r="A132" s="35">
        <v>28672</v>
      </c>
      <c r="B132" s="63">
        <f>VLOOKUP(A132,Database!A:L,MATCH($A$1,Database!$A$1:$L$1,),)</f>
        <v>431.99299999999999</v>
      </c>
      <c r="C132" s="37">
        <f t="shared" si="4"/>
        <v>1.3071650184443031E-2</v>
      </c>
      <c r="D132" s="36">
        <f t="shared" si="5"/>
        <v>9.9868115528760043E-2</v>
      </c>
      <c r="E132" s="36">
        <f t="shared" si="3"/>
        <v>5.332077227383536E-2</v>
      </c>
    </row>
    <row r="133" spans="1:5" x14ac:dyDescent="0.35">
      <c r="A133" s="35">
        <v>28764</v>
      </c>
      <c r="B133" s="63">
        <f>VLOOKUP(A133,Database!A:L,MATCH($A$1,Database!$A$1:$L$1,),)</f>
        <v>437.92399999999998</v>
      </c>
      <c r="C133" s="37">
        <f t="shared" si="4"/>
        <v>1.3729389133620182E-2</v>
      </c>
      <c r="D133" s="36">
        <f t="shared" si="5"/>
        <v>9.9366875699775564E-2</v>
      </c>
      <c r="E133" s="36">
        <f t="shared" si="3"/>
        <v>5.6058920567819248E-2</v>
      </c>
    </row>
    <row r="134" spans="1:5" x14ac:dyDescent="0.35">
      <c r="A134" s="35">
        <v>28856</v>
      </c>
      <c r="B134" s="63">
        <f>VLOOKUP(A134,Database!A:L,MATCH($A$1,Database!$A$1:$L$1,),)</f>
        <v>436.73399999999998</v>
      </c>
      <c r="C134" s="37">
        <f t="shared" si="4"/>
        <v>-2.7173664836820949E-3</v>
      </c>
      <c r="D134" s="36">
        <f t="shared" si="5"/>
        <v>2.7440186322252775E-2</v>
      </c>
      <c r="E134" s="36">
        <f t="shared" ref="E134:E197" si="6">((1+C134)^4)-1</f>
        <v>-1.0825241657576701E-2</v>
      </c>
    </row>
    <row r="135" spans="1:5" x14ac:dyDescent="0.35">
      <c r="A135" s="35">
        <v>28946</v>
      </c>
      <c r="B135" s="63">
        <f>VLOOKUP(A135,Database!A:L,MATCH($A$1,Database!$A$1:$L$1,),)</f>
        <v>439.09199999999998</v>
      </c>
      <c r="C135" s="37">
        <f t="shared" ref="C135:C198" si="7">(B135-B134)/B134</f>
        <v>5.3991674566212025E-3</v>
      </c>
      <c r="D135" s="36">
        <f t="shared" si="5"/>
        <v>2.9719595046186972E-2</v>
      </c>
      <c r="E135" s="36">
        <f t="shared" si="6"/>
        <v>2.1772206296335472E-2</v>
      </c>
    </row>
    <row r="136" spans="1:5" x14ac:dyDescent="0.35">
      <c r="A136" s="35">
        <v>29037</v>
      </c>
      <c r="B136" s="63">
        <f>VLOOKUP(A136,Database!A:L,MATCH($A$1,Database!$A$1:$L$1,),)</f>
        <v>432.38600000000002</v>
      </c>
      <c r="C136" s="37">
        <f t="shared" si="7"/>
        <v>-1.5272425824200761E-2</v>
      </c>
      <c r="D136" s="36">
        <f t="shared" si="5"/>
        <v>9.0973696333049173E-4</v>
      </c>
      <c r="E136" s="36">
        <f t="shared" si="6"/>
        <v>-5.9704415938757971E-2</v>
      </c>
    </row>
    <row r="137" spans="1:5" x14ac:dyDescent="0.35">
      <c r="A137" s="35">
        <v>29129</v>
      </c>
      <c r="B137" s="63">
        <f>VLOOKUP(A137,Database!A:L,MATCH($A$1,Database!$A$1:$L$1,),)</f>
        <v>441.81599999999997</v>
      </c>
      <c r="C137" s="37">
        <f t="shared" si="7"/>
        <v>2.1809216764649988E-2</v>
      </c>
      <c r="D137" s="36">
        <f t="shared" si="5"/>
        <v>8.8873868525132134E-3</v>
      </c>
      <c r="E137" s="36">
        <f t="shared" si="6"/>
        <v>9.0132438421504757E-2</v>
      </c>
    </row>
    <row r="138" spans="1:5" x14ac:dyDescent="0.35">
      <c r="A138" s="35">
        <v>29221</v>
      </c>
      <c r="B138" s="63">
        <f>VLOOKUP(A138,Database!A:L,MATCH($A$1,Database!$A$1:$L$1,),)</f>
        <v>442.11700000000002</v>
      </c>
      <c r="C138" s="37">
        <f t="shared" si="7"/>
        <v>6.8127908450586804E-4</v>
      </c>
      <c r="D138" s="36">
        <f t="shared" ref="D138:D201" si="8">(B138-B134)/B134</f>
        <v>1.2325580330361361E-2</v>
      </c>
      <c r="E138" s="36">
        <f t="shared" si="6"/>
        <v>2.727902450223807E-3</v>
      </c>
    </row>
    <row r="139" spans="1:5" x14ac:dyDescent="0.35">
      <c r="A139" s="35">
        <v>29312</v>
      </c>
      <c r="B139" s="63">
        <f>VLOOKUP(A139,Database!A:L,MATCH($A$1,Database!$A$1:$L$1,),)</f>
        <v>410.012</v>
      </c>
      <c r="C139" s="37">
        <f t="shared" si="7"/>
        <v>-7.2616524585121175E-2</v>
      </c>
      <c r="D139" s="36">
        <f t="shared" si="8"/>
        <v>-6.6227578730653228E-2</v>
      </c>
      <c r="E139" s="36">
        <f t="shared" si="6"/>
        <v>-0.26033100837831369</v>
      </c>
    </row>
    <row r="140" spans="1:5" x14ac:dyDescent="0.35">
      <c r="A140" s="35">
        <v>29403</v>
      </c>
      <c r="B140" s="63">
        <f>VLOOKUP(A140,Database!A:L,MATCH($A$1,Database!$A$1:$L$1,),)</f>
        <v>380.50700000000001</v>
      </c>
      <c r="C140" s="37">
        <f t="shared" si="7"/>
        <v>-7.1961308449508779E-2</v>
      </c>
      <c r="D140" s="36">
        <f t="shared" si="8"/>
        <v>-0.11998307068221455</v>
      </c>
      <c r="E140" s="36">
        <f t="shared" si="6"/>
        <v>-0.2582384245483057</v>
      </c>
    </row>
    <row r="141" spans="1:5" x14ac:dyDescent="0.35">
      <c r="A141" s="35">
        <v>29495</v>
      </c>
      <c r="B141" s="63">
        <f>VLOOKUP(A141,Database!A:L,MATCH($A$1,Database!$A$1:$L$1,),)</f>
        <v>400.911</v>
      </c>
      <c r="C141" s="37">
        <f t="shared" si="7"/>
        <v>5.3623192214597881E-2</v>
      </c>
      <c r="D141" s="36">
        <f t="shared" si="8"/>
        <v>-9.2583790537237171E-2</v>
      </c>
      <c r="E141" s="36">
        <f t="shared" si="6"/>
        <v>0.23237048004573935</v>
      </c>
    </row>
    <row r="142" spans="1:5" x14ac:dyDescent="0.35">
      <c r="A142" s="35">
        <v>29587</v>
      </c>
      <c r="B142" s="63">
        <f>VLOOKUP(A142,Database!A:L,MATCH($A$1,Database!$A$1:$L$1,),)</f>
        <v>418.02199999999999</v>
      </c>
      <c r="C142" s="37">
        <f t="shared" si="7"/>
        <v>4.2680295626710142E-2</v>
      </c>
      <c r="D142" s="36">
        <f t="shared" si="8"/>
        <v>-5.4499148415464743E-2</v>
      </c>
      <c r="E142" s="36">
        <f t="shared" si="6"/>
        <v>0.18196513357938948</v>
      </c>
    </row>
    <row r="143" spans="1:5" x14ac:dyDescent="0.35">
      <c r="A143" s="35">
        <v>29677</v>
      </c>
      <c r="B143" s="63">
        <f>VLOOKUP(A143,Database!A:L,MATCH($A$1,Database!$A$1:$L$1,),)</f>
        <v>418.63900000000001</v>
      </c>
      <c r="C143" s="37">
        <f t="shared" si="7"/>
        <v>1.4759988708728695E-3</v>
      </c>
      <c r="D143" s="36">
        <f t="shared" si="8"/>
        <v>2.1040847584948758E-2</v>
      </c>
      <c r="E143" s="36">
        <f t="shared" si="6"/>
        <v>5.9170797865213398E-3</v>
      </c>
    </row>
    <row r="144" spans="1:5" x14ac:dyDescent="0.35">
      <c r="A144" s="35">
        <v>29768</v>
      </c>
      <c r="B144" s="63">
        <f>VLOOKUP(A144,Database!A:L,MATCH($A$1,Database!$A$1:$L$1,),)</f>
        <v>413.84699999999998</v>
      </c>
      <c r="C144" s="37">
        <f t="shared" si="7"/>
        <v>-1.1446616297096137E-2</v>
      </c>
      <c r="D144" s="36">
        <f t="shared" si="8"/>
        <v>8.7619938660786725E-2</v>
      </c>
      <c r="E144" s="36">
        <f t="shared" si="6"/>
        <v>-4.5006297045639743E-2</v>
      </c>
    </row>
    <row r="145" spans="1:5" x14ac:dyDescent="0.35">
      <c r="A145" s="35">
        <v>29860</v>
      </c>
      <c r="B145" s="63">
        <f>VLOOKUP(A145,Database!A:L,MATCH($A$1,Database!$A$1:$L$1,),)</f>
        <v>425.69600000000003</v>
      </c>
      <c r="C145" s="37">
        <f t="shared" si="7"/>
        <v>2.8631354099461992E-2</v>
      </c>
      <c r="D145" s="36">
        <f t="shared" si="8"/>
        <v>6.1821701075799929E-2</v>
      </c>
      <c r="E145" s="36">
        <f t="shared" si="6"/>
        <v>0.11953849773890535</v>
      </c>
    </row>
    <row r="146" spans="1:5" x14ac:dyDescent="0.35">
      <c r="A146" s="35">
        <v>29952</v>
      </c>
      <c r="B146" s="63">
        <f>VLOOKUP(A146,Database!A:L,MATCH($A$1,Database!$A$1:$L$1,),)</f>
        <v>413.53899999999999</v>
      </c>
      <c r="C146" s="37">
        <f t="shared" si="7"/>
        <v>-2.8557938059084506E-2</v>
      </c>
      <c r="D146" s="36">
        <f t="shared" si="8"/>
        <v>-1.0724315945093809E-2</v>
      </c>
      <c r="E146" s="36">
        <f t="shared" si="6"/>
        <v>-0.10943091451898501</v>
      </c>
    </row>
    <row r="147" spans="1:5" x14ac:dyDescent="0.35">
      <c r="A147" s="35">
        <v>30042</v>
      </c>
      <c r="B147" s="63">
        <f>VLOOKUP(A147,Database!A:L,MATCH($A$1,Database!$A$1:$L$1,),)</f>
        <v>406.76799999999997</v>
      </c>
      <c r="C147" s="37">
        <f t="shared" si="7"/>
        <v>-1.6373304573450181E-2</v>
      </c>
      <c r="D147" s="36">
        <f t="shared" si="8"/>
        <v>-2.8356173218453219E-2</v>
      </c>
      <c r="E147" s="36">
        <f t="shared" si="6"/>
        <v>-6.3902193564398302E-2</v>
      </c>
    </row>
    <row r="148" spans="1:5" x14ac:dyDescent="0.35">
      <c r="A148" s="35">
        <v>30133</v>
      </c>
      <c r="B148" s="63">
        <f>VLOOKUP(A148,Database!A:L,MATCH($A$1,Database!$A$1:$L$1,),)</f>
        <v>425.63499999999999</v>
      </c>
      <c r="C148" s="37">
        <f t="shared" si="7"/>
        <v>4.6382704637532989E-2</v>
      </c>
      <c r="D148" s="36">
        <f t="shared" si="8"/>
        <v>2.8483956631315466E-2</v>
      </c>
      <c r="E148" s="36">
        <f t="shared" si="6"/>
        <v>0.19884272132452052</v>
      </c>
    </row>
    <row r="149" spans="1:5" x14ac:dyDescent="0.35">
      <c r="A149" s="35">
        <v>30225</v>
      </c>
      <c r="B149" s="63">
        <f>VLOOKUP(A149,Database!A:L,MATCH($A$1,Database!$A$1:$L$1,),)</f>
        <v>408.92899999999997</v>
      </c>
      <c r="C149" s="37">
        <f t="shared" si="7"/>
        <v>-3.9249591786389787E-2</v>
      </c>
      <c r="D149" s="36">
        <f t="shared" si="8"/>
        <v>-3.9387262271668166E-2</v>
      </c>
      <c r="E149" s="36">
        <f t="shared" si="6"/>
        <v>-0.14799467194512106</v>
      </c>
    </row>
    <row r="150" spans="1:5" x14ac:dyDescent="0.35">
      <c r="A150" s="35">
        <v>30317</v>
      </c>
      <c r="B150" s="63">
        <f>VLOOKUP(A150,Database!A:L,MATCH($A$1,Database!$A$1:$L$1,),)</f>
        <v>418.30099999999999</v>
      </c>
      <c r="C150" s="37">
        <f t="shared" si="7"/>
        <v>2.2918403928310328E-2</v>
      </c>
      <c r="D150" s="36">
        <f t="shared" si="8"/>
        <v>1.1515237982391022E-2</v>
      </c>
      <c r="E150" s="36">
        <f t="shared" si="6"/>
        <v>9.487356289948301E-2</v>
      </c>
    </row>
    <row r="151" spans="1:5" x14ac:dyDescent="0.35">
      <c r="A151" s="35">
        <v>30407</v>
      </c>
      <c r="B151" s="63">
        <f>VLOOKUP(A151,Database!A:L,MATCH($A$1,Database!$A$1:$L$1,),)</f>
        <v>450.46499999999997</v>
      </c>
      <c r="C151" s="37">
        <f t="shared" si="7"/>
        <v>7.6891998823813451E-2</v>
      </c>
      <c r="D151" s="36">
        <f t="shared" si="8"/>
        <v>0.1074248711796405</v>
      </c>
      <c r="E151" s="36">
        <f t="shared" si="6"/>
        <v>0.3448956871301827</v>
      </c>
    </row>
    <row r="152" spans="1:5" x14ac:dyDescent="0.35">
      <c r="A152" s="35">
        <v>30498</v>
      </c>
      <c r="B152" s="63">
        <f>VLOOKUP(A152,Database!A:L,MATCH($A$1,Database!$A$1:$L$1,),)</f>
        <v>485.55599999999998</v>
      </c>
      <c r="C152" s="37">
        <f t="shared" si="7"/>
        <v>7.78995038460258E-2</v>
      </c>
      <c r="D152" s="36">
        <f t="shared" si="8"/>
        <v>0.14078024598541003</v>
      </c>
      <c r="E152" s="36">
        <f t="shared" si="6"/>
        <v>0.34993571666843759</v>
      </c>
    </row>
    <row r="153" spans="1:5" x14ac:dyDescent="0.35">
      <c r="A153" s="35">
        <v>30590</v>
      </c>
      <c r="B153" s="63">
        <f>VLOOKUP(A153,Database!A:L,MATCH($A$1,Database!$A$1:$L$1,),)</f>
        <v>509.375</v>
      </c>
      <c r="C153" s="37">
        <f t="shared" si="7"/>
        <v>4.905510383972192E-2</v>
      </c>
      <c r="D153" s="36">
        <f t="shared" si="8"/>
        <v>0.24563188230719765</v>
      </c>
      <c r="E153" s="36">
        <f t="shared" si="6"/>
        <v>0.21113681084958791</v>
      </c>
    </row>
    <row r="154" spans="1:5" x14ac:dyDescent="0.35">
      <c r="A154" s="35">
        <v>30682</v>
      </c>
      <c r="B154" s="63">
        <f>VLOOKUP(A154,Database!A:L,MATCH($A$1,Database!$A$1:$L$1,),)</f>
        <v>550.32399999999996</v>
      </c>
      <c r="C154" s="37">
        <f t="shared" si="7"/>
        <v>8.0390674846625682E-2</v>
      </c>
      <c r="D154" s="36">
        <f t="shared" si="8"/>
        <v>0.31561722300448714</v>
      </c>
      <c r="E154" s="36">
        <f t="shared" si="6"/>
        <v>0.36245857957083172</v>
      </c>
    </row>
    <row r="155" spans="1:5" x14ac:dyDescent="0.35">
      <c r="A155" s="35">
        <v>30773</v>
      </c>
      <c r="B155" s="63">
        <f>VLOOKUP(A155,Database!A:L,MATCH($A$1,Database!$A$1:$L$1,),)</f>
        <v>573.37699999999995</v>
      </c>
      <c r="C155" s="37">
        <f t="shared" si="7"/>
        <v>4.1889868513820948E-2</v>
      </c>
      <c r="D155" s="36">
        <f t="shared" si="8"/>
        <v>0.27285582675679571</v>
      </c>
      <c r="E155" s="36">
        <f t="shared" si="6"/>
        <v>0.17838514659072247</v>
      </c>
    </row>
    <row r="156" spans="1:5" x14ac:dyDescent="0.35">
      <c r="A156" s="35">
        <v>30864</v>
      </c>
      <c r="B156" s="63">
        <f>VLOOKUP(A156,Database!A:L,MATCH($A$1,Database!$A$1:$L$1,),)</f>
        <v>588.22</v>
      </c>
      <c r="C156" s="37">
        <f t="shared" si="7"/>
        <v>2.5886981863590754E-2</v>
      </c>
      <c r="D156" s="36">
        <f t="shared" si="8"/>
        <v>0.21143596207234602</v>
      </c>
      <c r="E156" s="36">
        <f t="shared" si="6"/>
        <v>0.10763858269273885</v>
      </c>
    </row>
    <row r="157" spans="1:5" x14ac:dyDescent="0.35">
      <c r="A157" s="35">
        <v>30956</v>
      </c>
      <c r="B157" s="63">
        <f>VLOOKUP(A157,Database!A:L,MATCH($A$1,Database!$A$1:$L$1,),)</f>
        <v>605.46100000000001</v>
      </c>
      <c r="C157" s="37">
        <f t="shared" si="7"/>
        <v>2.9310462072013845E-2</v>
      </c>
      <c r="D157" s="36">
        <f t="shared" si="8"/>
        <v>0.1886350920245399</v>
      </c>
      <c r="E157" s="36">
        <f t="shared" si="6"/>
        <v>0.1224979283130907</v>
      </c>
    </row>
    <row r="158" spans="1:5" x14ac:dyDescent="0.35">
      <c r="A158" s="35">
        <v>31048</v>
      </c>
      <c r="B158" s="63">
        <f>VLOOKUP(A158,Database!A:L,MATCH($A$1,Database!$A$1:$L$1,),)</f>
        <v>592.10799999999995</v>
      </c>
      <c r="C158" s="37">
        <f t="shared" si="7"/>
        <v>-2.205426939142251E-2</v>
      </c>
      <c r="D158" s="36">
        <f t="shared" si="8"/>
        <v>7.5926181667526751E-2</v>
      </c>
      <c r="E158" s="36">
        <f t="shared" si="6"/>
        <v>-8.5341404174133495E-2</v>
      </c>
    </row>
    <row r="159" spans="1:5" x14ac:dyDescent="0.35">
      <c r="A159" s="35">
        <v>31138</v>
      </c>
      <c r="B159" s="63">
        <f>VLOOKUP(A159,Database!A:L,MATCH($A$1,Database!$A$1:$L$1,),)</f>
        <v>621.20100000000002</v>
      </c>
      <c r="C159" s="37">
        <f t="shared" si="7"/>
        <v>4.9134617333324457E-2</v>
      </c>
      <c r="D159" s="36">
        <f t="shared" si="8"/>
        <v>8.3407600932719789E-2</v>
      </c>
      <c r="E159" s="36">
        <f t="shared" si="6"/>
        <v>0.21150404672917134</v>
      </c>
    </row>
    <row r="160" spans="1:5" x14ac:dyDescent="0.35">
      <c r="A160" s="35">
        <v>31229</v>
      </c>
      <c r="B160" s="63">
        <f>VLOOKUP(A160,Database!A:L,MATCH($A$1,Database!$A$1:$L$1,),)</f>
        <v>615.19200000000001</v>
      </c>
      <c r="C160" s="37">
        <f t="shared" si="7"/>
        <v>-9.6731975640734873E-3</v>
      </c>
      <c r="D160" s="36">
        <f t="shared" si="8"/>
        <v>4.5853592193396991E-2</v>
      </c>
      <c r="E160" s="36">
        <f t="shared" si="6"/>
        <v>-3.8134977507573775E-2</v>
      </c>
    </row>
    <row r="161" spans="1:5" x14ac:dyDescent="0.35">
      <c r="A161" s="35">
        <v>31321</v>
      </c>
      <c r="B161" s="63">
        <f>VLOOKUP(A161,Database!A:L,MATCH($A$1,Database!$A$1:$L$1,),)</f>
        <v>639.26700000000005</v>
      </c>
      <c r="C161" s="37">
        <f t="shared" si="7"/>
        <v>3.9134123980806068E-2</v>
      </c>
      <c r="D161" s="36">
        <f t="shared" si="8"/>
        <v>5.5835140496250033E-2</v>
      </c>
      <c r="E161" s="36">
        <f t="shared" si="6"/>
        <v>0.16596745177115757</v>
      </c>
    </row>
    <row r="162" spans="1:5" x14ac:dyDescent="0.35">
      <c r="A162" s="35">
        <v>31413</v>
      </c>
      <c r="B162" s="63">
        <f>VLOOKUP(A162,Database!A:L,MATCH($A$1,Database!$A$1:$L$1,),)</f>
        <v>638.62900000000002</v>
      </c>
      <c r="C162" s="37">
        <f t="shared" si="7"/>
        <v>-9.9801804253939847E-4</v>
      </c>
      <c r="D162" s="36">
        <f t="shared" si="8"/>
        <v>7.8568436839225403E-2</v>
      </c>
      <c r="E162" s="36">
        <f t="shared" si="6"/>
        <v>-3.9860999053497048E-3</v>
      </c>
    </row>
    <row r="163" spans="1:5" x14ac:dyDescent="0.35">
      <c r="A163" s="35">
        <v>31503</v>
      </c>
      <c r="B163" s="63">
        <f>VLOOKUP(A163,Database!A:L,MATCH($A$1,Database!$A$1:$L$1,),)</f>
        <v>665.80100000000004</v>
      </c>
      <c r="C163" s="37">
        <f t="shared" si="7"/>
        <v>4.2547394496648329E-2</v>
      </c>
      <c r="D163" s="36">
        <f t="shared" si="8"/>
        <v>7.1796407282023078E-2</v>
      </c>
      <c r="E163" s="36">
        <f t="shared" si="6"/>
        <v>0.18136263069553316</v>
      </c>
    </row>
    <row r="164" spans="1:5" x14ac:dyDescent="0.35">
      <c r="A164" s="35">
        <v>31594</v>
      </c>
      <c r="B164" s="63">
        <f>VLOOKUP(A164,Database!A:L,MATCH($A$1,Database!$A$1:$L$1,),)</f>
        <v>684.25599999999997</v>
      </c>
      <c r="C164" s="37">
        <f t="shared" si="7"/>
        <v>2.7718492462462396E-2</v>
      </c>
      <c r="D164" s="36">
        <f t="shared" si="8"/>
        <v>0.11226413867540534</v>
      </c>
      <c r="E164" s="36">
        <f t="shared" si="6"/>
        <v>0.11556963521854358</v>
      </c>
    </row>
    <row r="165" spans="1:5" x14ac:dyDescent="0.35">
      <c r="A165" s="35">
        <v>31686</v>
      </c>
      <c r="B165" s="63">
        <f>VLOOKUP(A165,Database!A:L,MATCH($A$1,Database!$A$1:$L$1,),)</f>
        <v>689.56700000000001</v>
      </c>
      <c r="C165" s="37">
        <f t="shared" si="7"/>
        <v>7.7617149137165558E-3</v>
      </c>
      <c r="D165" s="36">
        <f t="shared" si="8"/>
        <v>7.8683867617130171E-2</v>
      </c>
      <c r="E165" s="36">
        <f t="shared" si="6"/>
        <v>3.1410198988436999E-2</v>
      </c>
    </row>
    <row r="166" spans="1:5" x14ac:dyDescent="0.35">
      <c r="A166" s="35">
        <v>31778</v>
      </c>
      <c r="B166" s="63">
        <f>VLOOKUP(A166,Database!A:L,MATCH($A$1,Database!$A$1:$L$1,),)</f>
        <v>685.524</v>
      </c>
      <c r="C166" s="37">
        <f t="shared" si="7"/>
        <v>-5.8630995972835222E-3</v>
      </c>
      <c r="D166" s="36">
        <f t="shared" si="8"/>
        <v>7.3430739913157683E-2</v>
      </c>
      <c r="E166" s="36">
        <f t="shared" si="6"/>
        <v>-2.3246947784269723E-2</v>
      </c>
    </row>
    <row r="167" spans="1:5" x14ac:dyDescent="0.35">
      <c r="A167" s="35">
        <v>31868</v>
      </c>
      <c r="B167" s="63">
        <f>VLOOKUP(A167,Database!A:L,MATCH($A$1,Database!$A$1:$L$1,),)</f>
        <v>702.67499999999995</v>
      </c>
      <c r="C167" s="37">
        <f t="shared" si="7"/>
        <v>2.5018817721917764E-2</v>
      </c>
      <c r="D167" s="36">
        <f t="shared" si="8"/>
        <v>5.5382914714756974E-2</v>
      </c>
      <c r="E167" s="36">
        <f t="shared" si="6"/>
        <v>0.10389395137049529</v>
      </c>
    </row>
    <row r="168" spans="1:5" x14ac:dyDescent="0.35">
      <c r="A168" s="35">
        <v>31959</v>
      </c>
      <c r="B168" s="63">
        <f>VLOOKUP(A168,Database!A:L,MATCH($A$1,Database!$A$1:$L$1,),)</f>
        <v>716.37199999999996</v>
      </c>
      <c r="C168" s="37">
        <f t="shared" si="7"/>
        <v>1.9492653075746262E-2</v>
      </c>
      <c r="D168" s="36">
        <f t="shared" si="8"/>
        <v>4.6935649815273796E-2</v>
      </c>
      <c r="E168" s="36">
        <f t="shared" si="6"/>
        <v>8.0280163807466609E-2</v>
      </c>
    </row>
    <row r="169" spans="1:5" x14ac:dyDescent="0.35">
      <c r="A169" s="35">
        <v>32051</v>
      </c>
      <c r="B169" s="63">
        <f>VLOOKUP(A169,Database!A:L,MATCH($A$1,Database!$A$1:$L$1,),)</f>
        <v>732.84500000000003</v>
      </c>
      <c r="C169" s="37">
        <f t="shared" si="7"/>
        <v>2.2995036098563414E-2</v>
      </c>
      <c r="D169" s="36">
        <f t="shared" si="8"/>
        <v>6.2761124009704669E-2</v>
      </c>
      <c r="E169" s="36">
        <f t="shared" si="6"/>
        <v>9.520169060074779E-2</v>
      </c>
    </row>
    <row r="170" spans="1:5" x14ac:dyDescent="0.35">
      <c r="A170" s="35">
        <v>32143</v>
      </c>
      <c r="B170" s="63">
        <f>VLOOKUP(A170,Database!A:L,MATCH($A$1,Database!$A$1:$L$1,),)</f>
        <v>729.39300000000003</v>
      </c>
      <c r="C170" s="37">
        <f t="shared" si="7"/>
        <v>-4.710409431735221E-3</v>
      </c>
      <c r="D170" s="36">
        <f t="shared" si="8"/>
        <v>6.3993383163828008E-2</v>
      </c>
      <c r="E170" s="36">
        <f t="shared" si="6"/>
        <v>-1.8708927549995757E-2</v>
      </c>
    </row>
    <row r="171" spans="1:5" x14ac:dyDescent="0.35">
      <c r="A171" s="35">
        <v>32234</v>
      </c>
      <c r="B171" s="63">
        <f>VLOOKUP(A171,Database!A:L,MATCH($A$1,Database!$A$1:$L$1,),)</f>
        <v>720.99199999999996</v>
      </c>
      <c r="C171" s="37">
        <f t="shared" si="7"/>
        <v>-1.1517796304598572E-2</v>
      </c>
      <c r="D171" s="36">
        <f t="shared" si="8"/>
        <v>2.6067527662148232E-2</v>
      </c>
      <c r="E171" s="36">
        <f t="shared" si="6"/>
        <v>-4.5281321615994741E-2</v>
      </c>
    </row>
    <row r="172" spans="1:5" x14ac:dyDescent="0.35">
      <c r="A172" s="35">
        <v>32325</v>
      </c>
      <c r="B172" s="63">
        <f>VLOOKUP(A172,Database!A:L,MATCH($A$1,Database!$A$1:$L$1,),)</f>
        <v>738.00300000000004</v>
      </c>
      <c r="C172" s="37">
        <f t="shared" si="7"/>
        <v>2.3593881762904556E-2</v>
      </c>
      <c r="D172" s="36">
        <f t="shared" si="8"/>
        <v>3.0195205842774547E-2</v>
      </c>
      <c r="E172" s="36">
        <f t="shared" si="6"/>
        <v>9.7768400617597173E-2</v>
      </c>
    </row>
    <row r="173" spans="1:5" x14ac:dyDescent="0.35">
      <c r="A173" s="35">
        <v>32417</v>
      </c>
      <c r="B173" s="63">
        <f>VLOOKUP(A173,Database!A:L,MATCH($A$1,Database!$A$1:$L$1,),)</f>
        <v>760.48400000000004</v>
      </c>
      <c r="C173" s="37">
        <f t="shared" si="7"/>
        <v>3.0461935791588915E-2</v>
      </c>
      <c r="D173" s="36">
        <f t="shared" si="8"/>
        <v>3.7714659989493013E-2</v>
      </c>
      <c r="E173" s="36">
        <f t="shared" si="6"/>
        <v>0.12752924753191031</v>
      </c>
    </row>
    <row r="174" spans="1:5" x14ac:dyDescent="0.35">
      <c r="A174" s="35">
        <v>32509</v>
      </c>
      <c r="B174" s="63">
        <f>VLOOKUP(A174,Database!A:L,MATCH($A$1,Database!$A$1:$L$1,),)</f>
        <v>764.02099999999996</v>
      </c>
      <c r="C174" s="37">
        <f t="shared" si="7"/>
        <v>4.6509854250712974E-3</v>
      </c>
      <c r="D174" s="36">
        <f t="shared" si="8"/>
        <v>4.7475092302777688E-2</v>
      </c>
      <c r="E174" s="36">
        <f t="shared" si="6"/>
        <v>1.8734134595002283E-2</v>
      </c>
    </row>
    <row r="175" spans="1:5" x14ac:dyDescent="0.35">
      <c r="A175" s="35">
        <v>32599</v>
      </c>
      <c r="B175" s="63">
        <f>VLOOKUP(A175,Database!A:L,MATCH($A$1,Database!$A$1:$L$1,),)</f>
        <v>767.64300000000003</v>
      </c>
      <c r="C175" s="37">
        <f t="shared" si="7"/>
        <v>4.7407073889331195E-3</v>
      </c>
      <c r="D175" s="36">
        <f t="shared" si="8"/>
        <v>6.4703907949048081E-2</v>
      </c>
      <c r="E175" s="36">
        <f t="shared" si="6"/>
        <v>1.90981020765566E-2</v>
      </c>
    </row>
    <row r="176" spans="1:5" x14ac:dyDescent="0.35">
      <c r="A176" s="35">
        <v>32690</v>
      </c>
      <c r="B176" s="63">
        <f>VLOOKUP(A176,Database!A:L,MATCH($A$1,Database!$A$1:$L$1,),)</f>
        <v>766.59900000000005</v>
      </c>
      <c r="C176" s="37">
        <f t="shared" si="7"/>
        <v>-1.3600071908425957E-3</v>
      </c>
      <c r="D176" s="36">
        <f t="shared" si="8"/>
        <v>3.8747809968252167E-2</v>
      </c>
      <c r="E176" s="36">
        <f t="shared" si="6"/>
        <v>-5.4289411045780334E-3</v>
      </c>
    </row>
    <row r="177" spans="1:5" x14ac:dyDescent="0.35">
      <c r="A177" s="35">
        <v>32782</v>
      </c>
      <c r="B177" s="63">
        <f>VLOOKUP(A177,Database!A:L,MATCH($A$1,Database!$A$1:$L$1,),)</f>
        <v>780.46900000000005</v>
      </c>
      <c r="C177" s="37">
        <f t="shared" si="7"/>
        <v>1.809290124302276E-2</v>
      </c>
      <c r="D177" s="36">
        <f t="shared" si="8"/>
        <v>2.6279316856107442E-2</v>
      </c>
      <c r="E177" s="36">
        <f t="shared" si="6"/>
        <v>7.4359521651923721E-2</v>
      </c>
    </row>
    <row r="178" spans="1:5" x14ac:dyDescent="0.35">
      <c r="A178" s="35">
        <v>32874</v>
      </c>
      <c r="B178" s="63">
        <f>VLOOKUP(A178,Database!A:L,MATCH($A$1,Database!$A$1:$L$1,),)</f>
        <v>805.21900000000005</v>
      </c>
      <c r="C178" s="37">
        <f t="shared" si="7"/>
        <v>3.1711701553809313E-2</v>
      </c>
      <c r="D178" s="36">
        <f t="shared" si="8"/>
        <v>5.3922601603882743E-2</v>
      </c>
      <c r="E178" s="36">
        <f t="shared" si="6"/>
        <v>0.13300917081300101</v>
      </c>
    </row>
    <row r="179" spans="1:5" x14ac:dyDescent="0.35">
      <c r="A179" s="35">
        <v>32964</v>
      </c>
      <c r="B179" s="63">
        <f>VLOOKUP(A179,Database!A:L,MATCH($A$1,Database!$A$1:$L$1,),)</f>
        <v>803.86800000000005</v>
      </c>
      <c r="C179" s="37">
        <f t="shared" si="7"/>
        <v>-1.6778044233928893E-3</v>
      </c>
      <c r="D179" s="36">
        <f t="shared" si="8"/>
        <v>4.7189904682254667E-2</v>
      </c>
      <c r="E179" s="36">
        <f t="shared" si="6"/>
        <v>-6.6943464118119911E-3</v>
      </c>
    </row>
    <row r="180" spans="1:5" x14ac:dyDescent="0.35">
      <c r="A180" s="35">
        <v>33055</v>
      </c>
      <c r="B180" s="63">
        <f>VLOOKUP(A180,Database!A:L,MATCH($A$1,Database!$A$1:$L$1,),)</f>
        <v>800.62199999999996</v>
      </c>
      <c r="C180" s="37">
        <f t="shared" si="7"/>
        <v>-4.037976384182595E-3</v>
      </c>
      <c r="D180" s="36">
        <f t="shared" si="8"/>
        <v>4.4381743258209191E-2</v>
      </c>
      <c r="E180" s="36">
        <f t="shared" si="6"/>
        <v>-1.6054337112104466E-2</v>
      </c>
    </row>
    <row r="181" spans="1:5" x14ac:dyDescent="0.35">
      <c r="A181" s="35">
        <v>33147</v>
      </c>
      <c r="B181" s="63">
        <f>VLOOKUP(A181,Database!A:L,MATCH($A$1,Database!$A$1:$L$1,),)</f>
        <v>779.15099999999995</v>
      </c>
      <c r="C181" s="37">
        <f t="shared" si="7"/>
        <v>-2.6817899083462615E-2</v>
      </c>
      <c r="D181" s="36">
        <f t="shared" si="8"/>
        <v>-1.6887281877948992E-3</v>
      </c>
      <c r="E181" s="36">
        <f t="shared" si="6"/>
        <v>-0.10303303051922996</v>
      </c>
    </row>
    <row r="182" spans="1:5" x14ac:dyDescent="0.35">
      <c r="A182" s="35">
        <v>33239</v>
      </c>
      <c r="B182" s="63">
        <f>VLOOKUP(A182,Database!A:L,MATCH($A$1,Database!$A$1:$L$1,),)</f>
        <v>770.27200000000005</v>
      </c>
      <c r="C182" s="37">
        <f t="shared" si="7"/>
        <v>-1.1395737154928769E-2</v>
      </c>
      <c r="D182" s="36">
        <f t="shared" si="8"/>
        <v>-4.3400615236351851E-2</v>
      </c>
      <c r="E182" s="36">
        <f t="shared" si="6"/>
        <v>-4.4809674334029936E-2</v>
      </c>
    </row>
    <row r="183" spans="1:5" x14ac:dyDescent="0.35">
      <c r="A183" s="35">
        <v>33329</v>
      </c>
      <c r="B183" s="63">
        <f>VLOOKUP(A183,Database!A:L,MATCH($A$1,Database!$A$1:$L$1,),)</f>
        <v>783.96299999999997</v>
      </c>
      <c r="C183" s="37">
        <f t="shared" si="7"/>
        <v>1.77742407876697E-2</v>
      </c>
      <c r="D183" s="36">
        <f t="shared" si="8"/>
        <v>-2.4761528012061787E-2</v>
      </c>
      <c r="E183" s="36">
        <f t="shared" si="6"/>
        <v>7.301506598296803E-2</v>
      </c>
    </row>
    <row r="184" spans="1:5" x14ac:dyDescent="0.35">
      <c r="A184" s="35">
        <v>33420</v>
      </c>
      <c r="B184" s="63">
        <f>VLOOKUP(A184,Database!A:L,MATCH($A$1,Database!$A$1:$L$1,),)</f>
        <v>806.02499999999998</v>
      </c>
      <c r="C184" s="37">
        <f t="shared" si="7"/>
        <v>2.8141634235289183E-2</v>
      </c>
      <c r="D184" s="36">
        <f t="shared" si="8"/>
        <v>6.7485030388872904E-3</v>
      </c>
      <c r="E184" s="36">
        <f t="shared" si="6"/>
        <v>0.11740802083955115</v>
      </c>
    </row>
    <row r="185" spans="1:5" x14ac:dyDescent="0.35">
      <c r="A185" s="35">
        <v>33512</v>
      </c>
      <c r="B185" s="63">
        <f>VLOOKUP(A185,Database!A:L,MATCH($A$1,Database!$A$1:$L$1,),)</f>
        <v>823.83100000000002</v>
      </c>
      <c r="C185" s="37">
        <f t="shared" si="7"/>
        <v>2.2091126205762899E-2</v>
      </c>
      <c r="D185" s="36">
        <f t="shared" si="8"/>
        <v>5.7344468530490321E-2</v>
      </c>
      <c r="E185" s="36">
        <f t="shared" si="6"/>
        <v>9.1335973582995944E-2</v>
      </c>
    </row>
    <row r="186" spans="1:5" x14ac:dyDescent="0.35">
      <c r="A186" s="35">
        <v>33604</v>
      </c>
      <c r="B186" s="63">
        <f>VLOOKUP(A186,Database!A:L,MATCH($A$1,Database!$A$1:$L$1,),)</f>
        <v>829.81500000000005</v>
      </c>
      <c r="C186" s="37">
        <f t="shared" si="7"/>
        <v>7.2636256707990319E-3</v>
      </c>
      <c r="D186" s="36">
        <f t="shared" si="8"/>
        <v>7.7301265007685596E-2</v>
      </c>
      <c r="E186" s="36">
        <f t="shared" si="6"/>
        <v>2.9372599937207866E-2</v>
      </c>
    </row>
    <row r="187" spans="1:5" x14ac:dyDescent="0.35">
      <c r="A187" s="35">
        <v>33695</v>
      </c>
      <c r="B187" s="63">
        <f>VLOOKUP(A187,Database!A:L,MATCH($A$1,Database!$A$1:$L$1,),)</f>
        <v>843.45699999999999</v>
      </c>
      <c r="C187" s="37">
        <f t="shared" si="7"/>
        <v>1.6439808873061994E-2</v>
      </c>
      <c r="D187" s="36">
        <f t="shared" si="8"/>
        <v>7.5888785567686273E-2</v>
      </c>
      <c r="E187" s="36">
        <f t="shared" si="6"/>
        <v>6.7398685003431158E-2</v>
      </c>
    </row>
    <row r="188" spans="1:5" x14ac:dyDescent="0.35">
      <c r="A188" s="35">
        <v>33786</v>
      </c>
      <c r="B188" s="63">
        <f>VLOOKUP(A188,Database!A:L,MATCH($A$1,Database!$A$1:$L$1,),)</f>
        <v>856.75300000000004</v>
      </c>
      <c r="C188" s="37">
        <f t="shared" si="7"/>
        <v>1.576369631172668E-2</v>
      </c>
      <c r="D188" s="36">
        <f t="shared" si="8"/>
        <v>6.293601315095694E-2</v>
      </c>
      <c r="E188" s="36">
        <f t="shared" si="6"/>
        <v>6.4561480468145582E-2</v>
      </c>
    </row>
    <row r="189" spans="1:5" x14ac:dyDescent="0.35">
      <c r="A189" s="35">
        <v>33878</v>
      </c>
      <c r="B189" s="63">
        <f>VLOOKUP(A189,Database!A:L,MATCH($A$1,Database!$A$1:$L$1,),)</f>
        <v>877.26300000000003</v>
      </c>
      <c r="C189" s="37">
        <f t="shared" si="7"/>
        <v>2.3939221689331686E-2</v>
      </c>
      <c r="D189" s="36">
        <f t="shared" si="8"/>
        <v>6.4857962373350869E-2</v>
      </c>
      <c r="E189" s="36">
        <f t="shared" si="6"/>
        <v>9.9250610159111741E-2</v>
      </c>
    </row>
    <row r="190" spans="1:5" x14ac:dyDescent="0.35">
      <c r="A190" s="35">
        <v>33970</v>
      </c>
      <c r="B190" s="63">
        <f>VLOOKUP(A190,Database!A:L,MATCH($A$1,Database!$A$1:$L$1,),)</f>
        <v>896.25699999999995</v>
      </c>
      <c r="C190" s="37">
        <f t="shared" si="7"/>
        <v>2.1651431782715006E-2</v>
      </c>
      <c r="D190" s="36">
        <f t="shared" si="8"/>
        <v>8.0068448991642588E-2</v>
      </c>
      <c r="E190" s="36">
        <f t="shared" si="6"/>
        <v>8.9459253301553243E-2</v>
      </c>
    </row>
    <row r="191" spans="1:5" x14ac:dyDescent="0.35">
      <c r="A191" s="35">
        <v>34060</v>
      </c>
      <c r="B191" s="63">
        <f>VLOOKUP(A191,Database!A:L,MATCH($A$1,Database!$A$1:$L$1,),)</f>
        <v>914.774</v>
      </c>
      <c r="C191" s="37">
        <f t="shared" si="7"/>
        <v>2.0660368621946666E-2</v>
      </c>
      <c r="D191" s="36">
        <f t="shared" si="8"/>
        <v>8.4553213738222582E-2</v>
      </c>
      <c r="E191" s="36">
        <f t="shared" si="6"/>
        <v>8.52380372610968E-2</v>
      </c>
    </row>
    <row r="192" spans="1:5" x14ac:dyDescent="0.35">
      <c r="A192" s="35">
        <v>34151</v>
      </c>
      <c r="B192" s="63">
        <f>VLOOKUP(A192,Database!A:L,MATCH($A$1,Database!$A$1:$L$1,),)</f>
        <v>926.82100000000003</v>
      </c>
      <c r="C192" s="37">
        <f t="shared" si="7"/>
        <v>1.3169372981741966E-2</v>
      </c>
      <c r="D192" s="36">
        <f t="shared" si="8"/>
        <v>8.1783197724431642E-2</v>
      </c>
      <c r="E192" s="36">
        <f t="shared" si="6"/>
        <v>5.3727252297199657E-2</v>
      </c>
    </row>
    <row r="193" spans="1:5" x14ac:dyDescent="0.35">
      <c r="A193" s="35">
        <v>34243</v>
      </c>
      <c r="B193" s="63">
        <f>VLOOKUP(A193,Database!A:L,MATCH($A$1,Database!$A$1:$L$1,),)</f>
        <v>964.05499999999995</v>
      </c>
      <c r="C193" s="37">
        <f t="shared" si="7"/>
        <v>4.0173884709129297E-2</v>
      </c>
      <c r="D193" s="36">
        <f t="shared" si="8"/>
        <v>9.8934983009656072E-2</v>
      </c>
      <c r="E193" s="36">
        <f t="shared" si="6"/>
        <v>0.1706411428385175</v>
      </c>
    </row>
    <row r="194" spans="1:5" x14ac:dyDescent="0.35">
      <c r="A194" s="35">
        <v>34335</v>
      </c>
      <c r="B194" s="63">
        <f>VLOOKUP(A194,Database!A:L,MATCH($A$1,Database!$A$1:$L$1,),)</f>
        <v>986.51400000000001</v>
      </c>
      <c r="C194" s="37">
        <f t="shared" si="7"/>
        <v>2.3296388691516626E-2</v>
      </c>
      <c r="D194" s="36">
        <f t="shared" si="8"/>
        <v>0.10070437385705223</v>
      </c>
      <c r="E194" s="36">
        <f t="shared" si="6"/>
        <v>9.6492753494463512E-2</v>
      </c>
    </row>
    <row r="195" spans="1:5" x14ac:dyDescent="0.35">
      <c r="A195" s="35">
        <v>34425</v>
      </c>
      <c r="B195" s="63">
        <f>VLOOKUP(A195,Database!A:L,MATCH($A$1,Database!$A$1:$L$1,),)</f>
        <v>1023.272</v>
      </c>
      <c r="C195" s="37">
        <f t="shared" si="7"/>
        <v>3.7260495036056294E-2</v>
      </c>
      <c r="D195" s="36">
        <f t="shared" si="8"/>
        <v>0.11860634429924774</v>
      </c>
      <c r="E195" s="36">
        <f t="shared" si="6"/>
        <v>0.15758089619860205</v>
      </c>
    </row>
    <row r="196" spans="1:5" x14ac:dyDescent="0.35">
      <c r="A196" s="35">
        <v>34516</v>
      </c>
      <c r="B196" s="63">
        <f>VLOOKUP(A196,Database!A:L,MATCH($A$1,Database!$A$1:$L$1,),)</f>
        <v>1052.047</v>
      </c>
      <c r="C196" s="37">
        <f t="shared" si="7"/>
        <v>2.8120577910858476E-2</v>
      </c>
      <c r="D196" s="36">
        <f t="shared" si="8"/>
        <v>0.13511346851225856</v>
      </c>
      <c r="E196" s="36">
        <f t="shared" si="6"/>
        <v>0.11731648565708364</v>
      </c>
    </row>
    <row r="197" spans="1:5" x14ac:dyDescent="0.35">
      <c r="A197" s="35">
        <v>34608</v>
      </c>
      <c r="B197" s="63">
        <f>VLOOKUP(A197,Database!A:L,MATCH($A$1,Database!$A$1:$L$1,),)</f>
        <v>1081.6469999999999</v>
      </c>
      <c r="C197" s="37">
        <f t="shared" si="7"/>
        <v>2.8135625119409976E-2</v>
      </c>
      <c r="D197" s="36">
        <f t="shared" si="8"/>
        <v>0.12197644325271897</v>
      </c>
      <c r="E197" s="36">
        <f t="shared" si="6"/>
        <v>0.11738189768612051</v>
      </c>
    </row>
    <row r="198" spans="1:5" x14ac:dyDescent="0.35">
      <c r="A198" s="35">
        <v>34700</v>
      </c>
      <c r="B198" s="63">
        <f>VLOOKUP(A198,Database!A:L,MATCH($A$1,Database!$A$1:$L$1,),)</f>
        <v>1105.3800000000001</v>
      </c>
      <c r="C198" s="37">
        <f t="shared" si="7"/>
        <v>2.1941539152792153E-2</v>
      </c>
      <c r="D198" s="36">
        <f t="shared" si="8"/>
        <v>0.1204909408280066</v>
      </c>
      <c r="E198" s="36">
        <f t="shared" ref="E198:E261" si="9">((1+C198)^4)-1</f>
        <v>9.0697228590338019E-2</v>
      </c>
    </row>
    <row r="199" spans="1:5" x14ac:dyDescent="0.35">
      <c r="A199" s="35">
        <v>34790</v>
      </c>
      <c r="B199" s="63">
        <f>VLOOKUP(A199,Database!A:L,MATCH($A$1,Database!$A$1:$L$1,),)</f>
        <v>1115.8779999999999</v>
      </c>
      <c r="C199" s="37">
        <f t="shared" ref="C199:C262" si="10">(B199-B198)/B198</f>
        <v>9.497186487904449E-3</v>
      </c>
      <c r="D199" s="36">
        <f t="shared" si="8"/>
        <v>9.0499886638156696E-2</v>
      </c>
      <c r="E199" s="36">
        <f t="shared" si="9"/>
        <v>3.8533359848021087E-2</v>
      </c>
    </row>
    <row r="200" spans="1:5" x14ac:dyDescent="0.35">
      <c r="A200" s="35">
        <v>34881</v>
      </c>
      <c r="B200" s="63">
        <f>VLOOKUP(A200,Database!A:L,MATCH($A$1,Database!$A$1:$L$1,),)</f>
        <v>1119.712</v>
      </c>
      <c r="C200" s="37">
        <f t="shared" si="10"/>
        <v>3.4358594756775025E-3</v>
      </c>
      <c r="D200" s="36">
        <f t="shared" si="8"/>
        <v>6.4317468706245981E-2</v>
      </c>
      <c r="E200" s="36">
        <f t="shared" si="9"/>
        <v>1.3814431067166844E-2</v>
      </c>
    </row>
    <row r="201" spans="1:5" x14ac:dyDescent="0.35">
      <c r="A201" s="35">
        <v>34973</v>
      </c>
      <c r="B201" s="63">
        <f>VLOOKUP(A201,Database!A:L,MATCH($A$1,Database!$A$1:$L$1,),)</f>
        <v>1134.0239999999999</v>
      </c>
      <c r="C201" s="37">
        <f t="shared" si="10"/>
        <v>1.2781858192106451E-2</v>
      </c>
      <c r="D201" s="36">
        <f t="shared" si="8"/>
        <v>4.8423376572948436E-2</v>
      </c>
      <c r="E201" s="36">
        <f t="shared" si="9"/>
        <v>5.2116067843452685E-2</v>
      </c>
    </row>
    <row r="202" spans="1:5" x14ac:dyDescent="0.35">
      <c r="A202" s="35">
        <v>35065</v>
      </c>
      <c r="B202" s="63">
        <f>VLOOKUP(A202,Database!A:L,MATCH($A$1,Database!$A$1:$L$1,),)</f>
        <v>1170.8879999999999</v>
      </c>
      <c r="C202" s="37">
        <f t="shared" si="10"/>
        <v>3.25072485238408E-2</v>
      </c>
      <c r="D202" s="36">
        <f t="shared" ref="D202:D265" si="11">(B202-B198)/B198</f>
        <v>5.9262877924333539E-2</v>
      </c>
      <c r="E202" s="36">
        <f t="shared" si="9"/>
        <v>0.13650784239014913</v>
      </c>
    </row>
    <row r="203" spans="1:5" x14ac:dyDescent="0.35">
      <c r="A203" s="35">
        <v>35156</v>
      </c>
      <c r="B203" s="63">
        <f>VLOOKUP(A203,Database!A:L,MATCH($A$1,Database!$A$1:$L$1,),)</f>
        <v>1197.0920000000001</v>
      </c>
      <c r="C203" s="37">
        <f t="shared" si="10"/>
        <v>2.2379595657313237E-2</v>
      </c>
      <c r="D203" s="36">
        <f t="shared" si="11"/>
        <v>7.2780357709355481E-2</v>
      </c>
      <c r="E203" s="36">
        <f t="shared" si="9"/>
        <v>9.2568546237861371E-2</v>
      </c>
    </row>
    <row r="204" spans="1:5" x14ac:dyDescent="0.35">
      <c r="A204" s="35">
        <v>35247</v>
      </c>
      <c r="B204" s="63">
        <f>VLOOKUP(A204,Database!A:L,MATCH($A$1,Database!$A$1:$L$1,),)</f>
        <v>1235.904</v>
      </c>
      <c r="C204" s="37">
        <f t="shared" si="10"/>
        <v>3.2421902410173897E-2</v>
      </c>
      <c r="D204" s="36">
        <f t="shared" si="11"/>
        <v>0.10376954073904719</v>
      </c>
      <c r="E204" s="36">
        <f t="shared" si="9"/>
        <v>0.13613211814478854</v>
      </c>
    </row>
    <row r="205" spans="1:5" x14ac:dyDescent="0.35">
      <c r="A205" s="35">
        <v>35339</v>
      </c>
      <c r="B205" s="63">
        <f>VLOOKUP(A205,Database!A:L,MATCH($A$1,Database!$A$1:$L$1,),)</f>
        <v>1260.278</v>
      </c>
      <c r="C205" s="37">
        <f t="shared" si="10"/>
        <v>1.9721596499404505E-2</v>
      </c>
      <c r="D205" s="36">
        <f t="shared" si="11"/>
        <v>0.11133274075328224</v>
      </c>
      <c r="E205" s="36">
        <f t="shared" si="9"/>
        <v>8.1250867662842285E-2</v>
      </c>
    </row>
    <row r="206" spans="1:5" x14ac:dyDescent="0.35">
      <c r="A206" s="35">
        <v>35431</v>
      </c>
      <c r="B206" s="63">
        <f>VLOOKUP(A206,Database!A:L,MATCH($A$1,Database!$A$1:$L$1,),)</f>
        <v>1314.106</v>
      </c>
      <c r="C206" s="37">
        <f t="shared" si="10"/>
        <v>4.2711211335911582E-2</v>
      </c>
      <c r="D206" s="36">
        <f t="shared" si="11"/>
        <v>0.12231571251904545</v>
      </c>
      <c r="E206" s="36">
        <f t="shared" si="9"/>
        <v>0.18210532196015339</v>
      </c>
    </row>
    <row r="207" spans="1:5" x14ac:dyDescent="0.35">
      <c r="A207" s="35">
        <v>35521</v>
      </c>
      <c r="B207" s="63">
        <f>VLOOKUP(A207,Database!A:L,MATCH($A$1,Database!$A$1:$L$1,),)</f>
        <v>1358.212</v>
      </c>
      <c r="C207" s="37">
        <f t="shared" si="10"/>
        <v>3.3563502487622757E-2</v>
      </c>
      <c r="D207" s="36">
        <f t="shared" si="11"/>
        <v>0.13459282995793129</v>
      </c>
      <c r="E207" s="36">
        <f t="shared" si="9"/>
        <v>0.14116556947787751</v>
      </c>
    </row>
    <row r="208" spans="1:5" x14ac:dyDescent="0.35">
      <c r="A208" s="35">
        <v>35612</v>
      </c>
      <c r="B208" s="63">
        <f>VLOOKUP(A208,Database!A:L,MATCH($A$1,Database!$A$1:$L$1,),)</f>
        <v>1408.2639999999999</v>
      </c>
      <c r="C208" s="37">
        <f t="shared" si="10"/>
        <v>3.6851389915565393E-2</v>
      </c>
      <c r="D208" s="36">
        <f t="shared" si="11"/>
        <v>0.13946067008440777</v>
      </c>
      <c r="E208" s="36">
        <f t="shared" si="9"/>
        <v>0.15575573395237563</v>
      </c>
    </row>
    <row r="209" spans="1:5" x14ac:dyDescent="0.35">
      <c r="A209" s="35">
        <v>35704</v>
      </c>
      <c r="B209" s="63">
        <f>VLOOKUP(A209,Database!A:L,MATCH($A$1,Database!$A$1:$L$1,),)</f>
        <v>1438.655</v>
      </c>
      <c r="C209" s="37">
        <f t="shared" si="10"/>
        <v>2.1580470707197003E-2</v>
      </c>
      <c r="D209" s="36">
        <f t="shared" si="11"/>
        <v>0.14153781943349003</v>
      </c>
      <c r="E209" s="36">
        <f t="shared" si="9"/>
        <v>8.9156601560297366E-2</v>
      </c>
    </row>
    <row r="210" spans="1:5" x14ac:dyDescent="0.35">
      <c r="A210" s="35">
        <v>35796</v>
      </c>
      <c r="B210" s="63">
        <f>VLOOKUP(A210,Database!A:L,MATCH($A$1,Database!$A$1:$L$1,),)</f>
        <v>1492.6130000000001</v>
      </c>
      <c r="C210" s="37">
        <f t="shared" si="10"/>
        <v>3.7505864852935611E-2</v>
      </c>
      <c r="D210" s="36">
        <f t="shared" si="11"/>
        <v>0.13583911800113543</v>
      </c>
      <c r="E210" s="36">
        <f t="shared" si="9"/>
        <v>0.15867661406328515</v>
      </c>
    </row>
    <row r="211" spans="1:5" x14ac:dyDescent="0.35">
      <c r="A211" s="35">
        <v>35886</v>
      </c>
      <c r="B211" s="63">
        <f>VLOOKUP(A211,Database!A:L,MATCH($A$1,Database!$A$1:$L$1,),)</f>
        <v>1526.8219999999999</v>
      </c>
      <c r="C211" s="37">
        <f t="shared" si="10"/>
        <v>2.291886778421455E-2</v>
      </c>
      <c r="D211" s="36">
        <f t="shared" si="11"/>
        <v>0.12414115027698172</v>
      </c>
      <c r="E211" s="36">
        <f t="shared" si="9"/>
        <v>9.4875548840530843E-2</v>
      </c>
    </row>
    <row r="212" spans="1:5" x14ac:dyDescent="0.35">
      <c r="A212" s="35">
        <v>35977</v>
      </c>
      <c r="B212" s="63">
        <f>VLOOKUP(A212,Database!A:L,MATCH($A$1,Database!$A$1:$L$1,),)</f>
        <v>1547.423</v>
      </c>
      <c r="C212" s="37">
        <f t="shared" si="10"/>
        <v>1.3492731962206541E-2</v>
      </c>
      <c r="D212" s="36">
        <f t="shared" si="11"/>
        <v>9.8815989047508226E-2</v>
      </c>
      <c r="E212" s="36">
        <f t="shared" si="9"/>
        <v>5.5073109500598738E-2</v>
      </c>
    </row>
    <row r="213" spans="1:5" x14ac:dyDescent="0.35">
      <c r="A213" s="35">
        <v>36069</v>
      </c>
      <c r="B213" s="63">
        <f>VLOOKUP(A213,Database!A:L,MATCH($A$1,Database!$A$1:$L$1,),)</f>
        <v>1597.5070000000001</v>
      </c>
      <c r="C213" s="37">
        <f t="shared" si="10"/>
        <v>3.2366069264835831E-2</v>
      </c>
      <c r="D213" s="36">
        <f t="shared" si="11"/>
        <v>0.11041702145406654</v>
      </c>
      <c r="E213" s="36">
        <f t="shared" si="9"/>
        <v>0.13588637099826961</v>
      </c>
    </row>
    <row r="214" spans="1:5" x14ac:dyDescent="0.35">
      <c r="A214" s="35">
        <v>36161</v>
      </c>
      <c r="B214" s="63">
        <f>VLOOKUP(A214,Database!A:L,MATCH($A$1,Database!$A$1:$L$1,),)</f>
        <v>1642.6469999999999</v>
      </c>
      <c r="C214" s="37">
        <f t="shared" si="10"/>
        <v>2.8256527201445673E-2</v>
      </c>
      <c r="D214" s="36">
        <f t="shared" si="11"/>
        <v>0.10051768274830775</v>
      </c>
      <c r="E214" s="36">
        <f t="shared" si="9"/>
        <v>0.11790757786160722</v>
      </c>
    </row>
    <row r="215" spans="1:5" x14ac:dyDescent="0.35">
      <c r="A215" s="35">
        <v>36251</v>
      </c>
      <c r="B215" s="63">
        <f>VLOOKUP(A215,Database!A:L,MATCH($A$1,Database!$A$1:$L$1,),)</f>
        <v>1689.8230000000001</v>
      </c>
      <c r="C215" s="37">
        <f t="shared" si="10"/>
        <v>2.8719499685568573E-2</v>
      </c>
      <c r="D215" s="36">
        <f t="shared" si="11"/>
        <v>0.106758351661163</v>
      </c>
      <c r="E215" s="36">
        <f t="shared" si="9"/>
        <v>0.11992228950972539</v>
      </c>
    </row>
    <row r="216" spans="1:5" x14ac:dyDescent="0.35">
      <c r="A216" s="35">
        <v>36342</v>
      </c>
      <c r="B216" s="63">
        <f>VLOOKUP(A216,Database!A:L,MATCH($A$1,Database!$A$1:$L$1,),)</f>
        <v>1750.9110000000001</v>
      </c>
      <c r="C216" s="37">
        <f t="shared" si="10"/>
        <v>3.615053174208184E-2</v>
      </c>
      <c r="D216" s="36">
        <f t="shared" si="11"/>
        <v>0.13150121201507284</v>
      </c>
      <c r="E216" s="36">
        <f t="shared" si="9"/>
        <v>0.15263397539760204</v>
      </c>
    </row>
    <row r="217" spans="1:5" x14ac:dyDescent="0.35">
      <c r="A217" s="35">
        <v>36434</v>
      </c>
      <c r="B217" s="63">
        <f>VLOOKUP(A217,Database!A:L,MATCH($A$1,Database!$A$1:$L$1,),)</f>
        <v>1795.6969999999999</v>
      </c>
      <c r="C217" s="37">
        <f t="shared" si="10"/>
        <v>2.5578684467685582E-2</v>
      </c>
      <c r="D217" s="36">
        <f t="shared" si="11"/>
        <v>0.12406205418818185</v>
      </c>
      <c r="E217" s="36">
        <f t="shared" si="9"/>
        <v>0.10630772190475168</v>
      </c>
    </row>
    <row r="218" spans="1:5" x14ac:dyDescent="0.35">
      <c r="A218" s="35">
        <v>36526</v>
      </c>
      <c r="B218" s="63">
        <f>VLOOKUP(A218,Database!A:L,MATCH($A$1,Database!$A$1:$L$1,),)</f>
        <v>1863.4880000000001</v>
      </c>
      <c r="C218" s="37">
        <f t="shared" si="10"/>
        <v>3.7751914716124255E-2</v>
      </c>
      <c r="D218" s="36">
        <f t="shared" si="11"/>
        <v>0.13444215342675581</v>
      </c>
      <c r="E218" s="36">
        <f t="shared" si="9"/>
        <v>0.15977614965031828</v>
      </c>
    </row>
    <row r="219" spans="1:5" x14ac:dyDescent="0.35">
      <c r="A219" s="35">
        <v>36617</v>
      </c>
      <c r="B219" s="63">
        <f>VLOOKUP(A219,Database!A:L,MATCH($A$1,Database!$A$1:$L$1,),)</f>
        <v>1922.854</v>
      </c>
      <c r="C219" s="37">
        <f t="shared" si="10"/>
        <v>3.1857462994127131E-2</v>
      </c>
      <c r="D219" s="36">
        <f t="shared" si="11"/>
        <v>0.13790260873476093</v>
      </c>
      <c r="E219" s="36">
        <f t="shared" si="9"/>
        <v>0.13364959798022569</v>
      </c>
    </row>
    <row r="220" spans="1:5" x14ac:dyDescent="0.35">
      <c r="A220" s="35">
        <v>36708</v>
      </c>
      <c r="B220" s="63">
        <f>VLOOKUP(A220,Database!A:L,MATCH($A$1,Database!$A$1:$L$1,),)</f>
        <v>1992.04</v>
      </c>
      <c r="C220" s="37">
        <f t="shared" si="10"/>
        <v>3.598089090487365E-2</v>
      </c>
      <c r="D220" s="36">
        <f t="shared" si="11"/>
        <v>0.13771630882437766</v>
      </c>
      <c r="E220" s="36">
        <f t="shared" si="9"/>
        <v>0.15187931370704022</v>
      </c>
    </row>
    <row r="221" spans="1:5" x14ac:dyDescent="0.35">
      <c r="A221" s="35">
        <v>36800</v>
      </c>
      <c r="B221" s="63">
        <f>VLOOKUP(A221,Database!A:L,MATCH($A$1,Database!$A$1:$L$1,),)</f>
        <v>1994.953</v>
      </c>
      <c r="C221" s="37">
        <f t="shared" si="10"/>
        <v>1.4623200337342678E-3</v>
      </c>
      <c r="D221" s="36">
        <f t="shared" si="11"/>
        <v>0.11096304109212195</v>
      </c>
      <c r="E221" s="36">
        <f t="shared" si="9"/>
        <v>5.8621229267792341E-3</v>
      </c>
    </row>
    <row r="222" spans="1:5" x14ac:dyDescent="0.35">
      <c r="A222" s="35">
        <v>36892</v>
      </c>
      <c r="B222" s="63">
        <f>VLOOKUP(A222,Database!A:L,MATCH($A$1,Database!$A$1:$L$1,),)</f>
        <v>1969.2180000000001</v>
      </c>
      <c r="C222" s="37">
        <f t="shared" si="10"/>
        <v>-1.2900053284463293E-2</v>
      </c>
      <c r="D222" s="36">
        <f t="shared" si="11"/>
        <v>5.673768760517911E-2</v>
      </c>
      <c r="E222" s="36">
        <f t="shared" si="9"/>
        <v>-5.0610304059060973E-2</v>
      </c>
    </row>
    <row r="223" spans="1:5" x14ac:dyDescent="0.35">
      <c r="A223" s="35">
        <v>36982</v>
      </c>
      <c r="B223" s="63">
        <f>VLOOKUP(A223,Database!A:L,MATCH($A$1,Database!$A$1:$L$1,),)</f>
        <v>1906.1890000000001</v>
      </c>
      <c r="C223" s="37">
        <f t="shared" si="10"/>
        <v>-3.2007121608679176E-2</v>
      </c>
      <c r="D223" s="36">
        <f t="shared" si="11"/>
        <v>-8.6668046559957041E-3</v>
      </c>
      <c r="E223" s="36">
        <f t="shared" si="9"/>
        <v>-0.12201186145272913</v>
      </c>
    </row>
    <row r="224" spans="1:5" x14ac:dyDescent="0.35">
      <c r="A224" s="35">
        <v>37073</v>
      </c>
      <c r="B224" s="63">
        <f>VLOOKUP(A224,Database!A:L,MATCH($A$1,Database!$A$1:$L$1,),)</f>
        <v>1862.95</v>
      </c>
      <c r="C224" s="37">
        <f t="shared" si="10"/>
        <v>-2.2683479969719703E-2</v>
      </c>
      <c r="D224" s="36">
        <f t="shared" si="11"/>
        <v>-6.4802915604104297E-2</v>
      </c>
      <c r="E224" s="36">
        <f t="shared" si="9"/>
        <v>-8.7693099801022356E-2</v>
      </c>
    </row>
    <row r="225" spans="1:5" x14ac:dyDescent="0.35">
      <c r="A225" s="35">
        <v>37165</v>
      </c>
      <c r="B225" s="63">
        <f>VLOOKUP(A225,Database!A:L,MATCH($A$1,Database!$A$1:$L$1,),)</f>
        <v>1843.6559999999999</v>
      </c>
      <c r="C225" s="37">
        <f t="shared" si="10"/>
        <v>-1.0356692342789712E-2</v>
      </c>
      <c r="D225" s="36">
        <f t="shared" si="11"/>
        <v>-7.5839881942080856E-2</v>
      </c>
      <c r="E225" s="36">
        <f t="shared" si="9"/>
        <v>-4.0787634888390656E-2</v>
      </c>
    </row>
    <row r="226" spans="1:5" x14ac:dyDescent="0.35">
      <c r="A226" s="35">
        <v>37257</v>
      </c>
      <c r="B226" s="63">
        <f>VLOOKUP(A226,Database!A:L,MATCH($A$1,Database!$A$1:$L$1,),)</f>
        <v>1896.04</v>
      </c>
      <c r="C226" s="37">
        <f t="shared" si="10"/>
        <v>2.8413109603960835E-2</v>
      </c>
      <c r="D226" s="36">
        <f t="shared" si="11"/>
        <v>-3.7160944090496889E-2</v>
      </c>
      <c r="E226" s="36">
        <f t="shared" si="9"/>
        <v>0.11858867109984472</v>
      </c>
    </row>
    <row r="227" spans="1:5" x14ac:dyDescent="0.35">
      <c r="A227" s="35">
        <v>37347</v>
      </c>
      <c r="B227" s="63">
        <f>VLOOKUP(A227,Database!A:L,MATCH($A$1,Database!$A$1:$L$1,),)</f>
        <v>1959.578</v>
      </c>
      <c r="C227" s="37">
        <f t="shared" si="10"/>
        <v>3.3510896394590838E-2</v>
      </c>
      <c r="D227" s="36">
        <f t="shared" si="11"/>
        <v>2.8008240525991858E-2</v>
      </c>
      <c r="E227" s="36">
        <f t="shared" si="9"/>
        <v>0.14093325601533735</v>
      </c>
    </row>
    <row r="228" spans="1:5" x14ac:dyDescent="0.35">
      <c r="A228" s="35">
        <v>37438</v>
      </c>
      <c r="B228" s="63">
        <f>VLOOKUP(A228,Database!A:L,MATCH($A$1,Database!$A$1:$L$1,),)</f>
        <v>1984.492</v>
      </c>
      <c r="C228" s="37">
        <f t="shared" si="10"/>
        <v>1.271396188363004E-2</v>
      </c>
      <c r="D228" s="36">
        <f t="shared" si="11"/>
        <v>6.5241686572371727E-2</v>
      </c>
      <c r="E228" s="36">
        <f t="shared" si="9"/>
        <v>5.1833963208906209E-2</v>
      </c>
    </row>
    <row r="229" spans="1:5" x14ac:dyDescent="0.35">
      <c r="A229" s="35">
        <v>37530</v>
      </c>
      <c r="B229" s="63">
        <f>VLOOKUP(A229,Database!A:L,MATCH($A$1,Database!$A$1:$L$1,),)</f>
        <v>2020.124</v>
      </c>
      <c r="C229" s="37">
        <f t="shared" si="10"/>
        <v>1.7955224813201595E-2</v>
      </c>
      <c r="D229" s="36">
        <f t="shared" si="11"/>
        <v>9.571633753802232E-2</v>
      </c>
      <c r="E229" s="36">
        <f t="shared" si="9"/>
        <v>7.3778498123492575E-2</v>
      </c>
    </row>
    <row r="230" spans="1:5" x14ac:dyDescent="0.35">
      <c r="A230" s="35">
        <v>37622</v>
      </c>
      <c r="B230" s="63">
        <f>VLOOKUP(A230,Database!A:L,MATCH($A$1,Database!$A$1:$L$1,),)</f>
        <v>2011.3309999999999</v>
      </c>
      <c r="C230" s="37">
        <f t="shared" si="10"/>
        <v>-4.3527031013938355E-3</v>
      </c>
      <c r="D230" s="36">
        <f t="shared" si="11"/>
        <v>6.0806206620113469E-2</v>
      </c>
      <c r="E230" s="36">
        <f t="shared" si="9"/>
        <v>-1.7297465766564768E-2</v>
      </c>
    </row>
    <row r="231" spans="1:5" x14ac:dyDescent="0.35">
      <c r="A231" s="35">
        <v>37712</v>
      </c>
      <c r="B231" s="63">
        <f>VLOOKUP(A231,Database!A:L,MATCH($A$1,Database!$A$1:$L$1,),)</f>
        <v>2040.6510000000001</v>
      </c>
      <c r="C231" s="37">
        <f t="shared" si="10"/>
        <v>1.4577411674160129E-2</v>
      </c>
      <c r="D231" s="36">
        <f t="shared" si="11"/>
        <v>4.1372683302221241E-2</v>
      </c>
      <c r="E231" s="36">
        <f t="shared" si="9"/>
        <v>5.9597088294210288E-2</v>
      </c>
    </row>
    <row r="232" spans="1:5" x14ac:dyDescent="0.35">
      <c r="A232" s="35">
        <v>37803</v>
      </c>
      <c r="B232" s="63">
        <f>VLOOKUP(A232,Database!A:L,MATCH($A$1,Database!$A$1:$L$1,),)</f>
        <v>2072.6089999999999</v>
      </c>
      <c r="C232" s="37">
        <f t="shared" si="10"/>
        <v>1.5660688672389279E-2</v>
      </c>
      <c r="D232" s="36">
        <f t="shared" si="11"/>
        <v>4.4402799305817288E-2</v>
      </c>
      <c r="E232" s="36">
        <f t="shared" si="9"/>
        <v>6.4129721443514809E-2</v>
      </c>
    </row>
    <row r="233" spans="1:5" x14ac:dyDescent="0.35">
      <c r="A233" s="35">
        <v>37895</v>
      </c>
      <c r="B233" s="63">
        <f>VLOOKUP(A233,Database!A:L,MATCH($A$1,Database!$A$1:$L$1,),)</f>
        <v>2138.44</v>
      </c>
      <c r="C233" s="37">
        <f t="shared" si="10"/>
        <v>3.176238258156755E-2</v>
      </c>
      <c r="D233" s="36">
        <f t="shared" si="11"/>
        <v>5.8568681922495862E-2</v>
      </c>
      <c r="E233" s="36">
        <f t="shared" si="9"/>
        <v>0.13323181557093555</v>
      </c>
    </row>
    <row r="234" spans="1:5" x14ac:dyDescent="0.35">
      <c r="A234" s="35">
        <v>37987</v>
      </c>
      <c r="B234" s="63">
        <f>VLOOKUP(A234,Database!A:L,MATCH($A$1,Database!$A$1:$L$1,),)</f>
        <v>2198.3330000000001</v>
      </c>
      <c r="C234" s="37">
        <f t="shared" si="10"/>
        <v>2.8007800078561955E-2</v>
      </c>
      <c r="D234" s="36">
        <f t="shared" si="11"/>
        <v>9.2974254361912673E-2</v>
      </c>
      <c r="E234" s="36">
        <f t="shared" si="9"/>
        <v>0.11682631825047141</v>
      </c>
    </row>
    <row r="235" spans="1:5" x14ac:dyDescent="0.35">
      <c r="A235" s="35">
        <v>38078</v>
      </c>
      <c r="B235" s="63">
        <f>VLOOKUP(A235,Database!A:L,MATCH($A$1,Database!$A$1:$L$1,),)</f>
        <v>2284.933</v>
      </c>
      <c r="C235" s="37">
        <f t="shared" si="10"/>
        <v>3.9393485882257107E-2</v>
      </c>
      <c r="D235" s="36">
        <f t="shared" si="11"/>
        <v>0.11970787753515909</v>
      </c>
      <c r="E235" s="36">
        <f t="shared" si="9"/>
        <v>0.16713196274602682</v>
      </c>
    </row>
    <row r="236" spans="1:5" x14ac:dyDescent="0.35">
      <c r="A236" s="35">
        <v>38169</v>
      </c>
      <c r="B236" s="63">
        <f>VLOOKUP(A236,Database!A:L,MATCH($A$1,Database!$A$1:$L$1,),)</f>
        <v>2316.6039999999998</v>
      </c>
      <c r="C236" s="37">
        <f t="shared" si="10"/>
        <v>1.3860800294800689E-2</v>
      </c>
      <c r="D236" s="36">
        <f t="shared" si="11"/>
        <v>0.11772360343895057</v>
      </c>
      <c r="E236" s="36">
        <f t="shared" si="9"/>
        <v>5.6606620645623273E-2</v>
      </c>
    </row>
    <row r="237" spans="1:5" x14ac:dyDescent="0.35">
      <c r="A237" s="35">
        <v>38261</v>
      </c>
      <c r="B237" s="63">
        <f>VLOOKUP(A237,Database!A:L,MATCH($A$1,Database!$A$1:$L$1,),)</f>
        <v>2370.5630000000001</v>
      </c>
      <c r="C237" s="37">
        <f t="shared" si="10"/>
        <v>2.3292284740939882E-2</v>
      </c>
      <c r="D237" s="36">
        <f t="shared" si="11"/>
        <v>0.1085478199060998</v>
      </c>
      <c r="E237" s="36">
        <f t="shared" si="9"/>
        <v>9.6475163576049017E-2</v>
      </c>
    </row>
    <row r="238" spans="1:5" x14ac:dyDescent="0.35">
      <c r="A238" s="35">
        <v>38353</v>
      </c>
      <c r="B238" s="63">
        <f>VLOOKUP(A238,Database!A:L,MATCH($A$1,Database!$A$1:$L$1,),)</f>
        <v>2390.9850000000001</v>
      </c>
      <c r="C238" s="37">
        <f t="shared" si="10"/>
        <v>8.6148311603614948E-3</v>
      </c>
      <c r="D238" s="36">
        <f t="shared" si="11"/>
        <v>8.7635494713494286E-2</v>
      </c>
      <c r="E238" s="36">
        <f t="shared" si="9"/>
        <v>3.4907179454553017E-2</v>
      </c>
    </row>
    <row r="239" spans="1:5" x14ac:dyDescent="0.35">
      <c r="A239" s="35">
        <v>38443</v>
      </c>
      <c r="B239" s="63">
        <f>VLOOKUP(A239,Database!A:L,MATCH($A$1,Database!$A$1:$L$1,),)</f>
        <v>2422.9949999999999</v>
      </c>
      <c r="C239" s="37">
        <f t="shared" si="10"/>
        <v>1.3387787878217455E-2</v>
      </c>
      <c r="D239" s="36">
        <f t="shared" si="11"/>
        <v>6.0422778260894261E-2</v>
      </c>
      <c r="E239" s="36">
        <f t="shared" si="9"/>
        <v>5.4636178949192926E-2</v>
      </c>
    </row>
    <row r="240" spans="1:5" x14ac:dyDescent="0.35">
      <c r="A240" s="35">
        <v>38534</v>
      </c>
      <c r="B240" s="63">
        <f>VLOOKUP(A240,Database!A:L,MATCH($A$1,Database!$A$1:$L$1,),)</f>
        <v>2436.6010000000001</v>
      </c>
      <c r="C240" s="37">
        <f t="shared" si="10"/>
        <v>5.615364455972968E-3</v>
      </c>
      <c r="D240" s="36">
        <f t="shared" si="11"/>
        <v>5.1798667359635182E-2</v>
      </c>
      <c r="E240" s="36">
        <f t="shared" si="9"/>
        <v>2.2651360987849145E-2</v>
      </c>
    </row>
    <row r="241" spans="1:5" x14ac:dyDescent="0.35">
      <c r="A241" s="35">
        <v>38626</v>
      </c>
      <c r="B241" s="63">
        <f>VLOOKUP(A241,Database!A:L,MATCH($A$1,Database!$A$1:$L$1,),)</f>
        <v>2515.1320000000001</v>
      </c>
      <c r="C241" s="37">
        <f t="shared" si="10"/>
        <v>3.2229733140551095E-2</v>
      </c>
      <c r="D241" s="36">
        <f t="shared" si="11"/>
        <v>6.0985090883473654E-2</v>
      </c>
      <c r="E241" s="36">
        <f t="shared" si="9"/>
        <v>0.13528646104129072</v>
      </c>
    </row>
    <row r="242" spans="1:5" x14ac:dyDescent="0.35">
      <c r="A242" s="35">
        <v>38718</v>
      </c>
      <c r="B242" s="63">
        <f>VLOOKUP(A242,Database!A:L,MATCH($A$1,Database!$A$1:$L$1,),)</f>
        <v>2566.893</v>
      </c>
      <c r="C242" s="37">
        <f t="shared" si="10"/>
        <v>2.0579834378473959E-2</v>
      </c>
      <c r="D242" s="36">
        <f t="shared" si="11"/>
        <v>7.3571352392424003E-2</v>
      </c>
      <c r="E242" s="36">
        <f t="shared" si="9"/>
        <v>8.4895559064170234E-2</v>
      </c>
    </row>
    <row r="243" spans="1:5" x14ac:dyDescent="0.35">
      <c r="A243" s="35">
        <v>38808</v>
      </c>
      <c r="B243" s="63">
        <f>VLOOKUP(A243,Database!A:L,MATCH($A$1,Database!$A$1:$L$1,),)</f>
        <v>2592.4549999999999</v>
      </c>
      <c r="C243" s="37">
        <f t="shared" si="10"/>
        <v>9.9583426344611557E-3</v>
      </c>
      <c r="D243" s="36">
        <f t="shared" si="11"/>
        <v>6.9938237594382183E-2</v>
      </c>
      <c r="E243" s="36">
        <f t="shared" si="9"/>
        <v>4.0432342119518072E-2</v>
      </c>
    </row>
    <row r="244" spans="1:5" x14ac:dyDescent="0.35">
      <c r="A244" s="35">
        <v>38899</v>
      </c>
      <c r="B244" s="63">
        <f>VLOOKUP(A244,Database!A:L,MATCH($A$1,Database!$A$1:$L$1,),)</f>
        <v>2618.357</v>
      </c>
      <c r="C244" s="37">
        <f t="shared" si="10"/>
        <v>9.991301681224956E-3</v>
      </c>
      <c r="D244" s="36">
        <f t="shared" si="11"/>
        <v>7.4594075927901141E-2</v>
      </c>
      <c r="E244" s="36">
        <f t="shared" si="9"/>
        <v>4.056816291695764E-2</v>
      </c>
    </row>
    <row r="245" spans="1:5" x14ac:dyDescent="0.35">
      <c r="A245" s="35">
        <v>38991</v>
      </c>
      <c r="B245" s="63">
        <f>VLOOKUP(A245,Database!A:L,MATCH($A$1,Database!$A$1:$L$1,),)</f>
        <v>2614.9920000000002</v>
      </c>
      <c r="C245" s="37">
        <f t="shared" si="10"/>
        <v>-1.2851570660531706E-3</v>
      </c>
      <c r="D245" s="36">
        <f t="shared" si="11"/>
        <v>3.9703681556276224E-2</v>
      </c>
      <c r="E245" s="36">
        <f t="shared" si="9"/>
        <v>-5.1307269797873367E-3</v>
      </c>
    </row>
    <row r="246" spans="1:5" x14ac:dyDescent="0.35">
      <c r="A246" s="35">
        <v>39083</v>
      </c>
      <c r="B246" s="63">
        <f>VLOOKUP(A246,Database!A:L,MATCH($A$1,Database!$A$1:$L$1,),)</f>
        <v>2653.058</v>
      </c>
      <c r="C246" s="37">
        <f t="shared" si="10"/>
        <v>1.4556832296236394E-2</v>
      </c>
      <c r="D246" s="36">
        <f t="shared" si="11"/>
        <v>3.3567819149454212E-2</v>
      </c>
      <c r="E246" s="36">
        <f t="shared" si="9"/>
        <v>5.9511120736761125E-2</v>
      </c>
    </row>
    <row r="247" spans="1:5" x14ac:dyDescent="0.35">
      <c r="A247" s="35">
        <v>39173</v>
      </c>
      <c r="B247" s="63">
        <f>VLOOKUP(A247,Database!A:L,MATCH($A$1,Database!$A$1:$L$1,),)</f>
        <v>2667.163</v>
      </c>
      <c r="C247" s="37">
        <f t="shared" si="10"/>
        <v>5.3165064616001682E-3</v>
      </c>
      <c r="D247" s="36">
        <f t="shared" si="11"/>
        <v>2.8817472241562569E-2</v>
      </c>
      <c r="E247" s="36">
        <f t="shared" si="9"/>
        <v>2.143621918040628E-2</v>
      </c>
    </row>
    <row r="248" spans="1:5" x14ac:dyDescent="0.35">
      <c r="A248" s="35">
        <v>39264</v>
      </c>
      <c r="B248" s="63">
        <f>VLOOKUP(A248,Database!A:L,MATCH($A$1,Database!$A$1:$L$1,),)</f>
        <v>2682.0990000000002</v>
      </c>
      <c r="C248" s="37">
        <f t="shared" si="10"/>
        <v>5.599957707871678E-3</v>
      </c>
      <c r="D248" s="36">
        <f t="shared" si="11"/>
        <v>2.4344273909172886E-2</v>
      </c>
      <c r="E248" s="36">
        <f t="shared" si="9"/>
        <v>2.258869142097053E-2</v>
      </c>
    </row>
    <row r="249" spans="1:5" x14ac:dyDescent="0.35">
      <c r="A249" s="35">
        <v>39356</v>
      </c>
      <c r="B249" s="63">
        <f>VLOOKUP(A249,Database!A:L,MATCH($A$1,Database!$A$1:$L$1,),)</f>
        <v>2656.7669999999998</v>
      </c>
      <c r="C249" s="37">
        <f t="shared" si="10"/>
        <v>-9.4448415215099574E-3</v>
      </c>
      <c r="D249" s="36">
        <f t="shared" si="11"/>
        <v>1.5975192275922694E-2</v>
      </c>
      <c r="E249" s="36">
        <f t="shared" si="9"/>
        <v>-3.7247498049840178E-2</v>
      </c>
    </row>
    <row r="250" spans="1:5" x14ac:dyDescent="0.35">
      <c r="A250" s="35">
        <v>39448</v>
      </c>
      <c r="B250" s="63">
        <f>VLOOKUP(A250,Database!A:L,MATCH($A$1,Database!$A$1:$L$1,),)</f>
        <v>2666.73</v>
      </c>
      <c r="C250" s="37">
        <f t="shared" si="10"/>
        <v>3.7500465791694168E-3</v>
      </c>
      <c r="D250" s="36">
        <f t="shared" si="11"/>
        <v>5.153298570932119E-3</v>
      </c>
      <c r="E250" s="36">
        <f t="shared" si="9"/>
        <v>1.5084774555876868E-2</v>
      </c>
    </row>
    <row r="251" spans="1:5" x14ac:dyDescent="0.35">
      <c r="A251" s="35">
        <v>39539</v>
      </c>
      <c r="B251" s="63">
        <f>VLOOKUP(A251,Database!A:L,MATCH($A$1,Database!$A$1:$L$1,),)</f>
        <v>2641.498</v>
      </c>
      <c r="C251" s="37">
        <f t="shared" si="10"/>
        <v>-9.4617752828370216E-3</v>
      </c>
      <c r="D251" s="36">
        <f t="shared" si="11"/>
        <v>-9.6225839965536283E-3</v>
      </c>
      <c r="E251" s="36">
        <f t="shared" si="9"/>
        <v>-3.7313330236547038E-2</v>
      </c>
    </row>
    <row r="252" spans="1:5" x14ac:dyDescent="0.35">
      <c r="A252" s="35">
        <v>39630</v>
      </c>
      <c r="B252" s="63">
        <f>VLOOKUP(A252,Database!A:L,MATCH($A$1,Database!$A$1:$L$1,),)</f>
        <v>2608.1610000000001</v>
      </c>
      <c r="C252" s="37">
        <f t="shared" si="10"/>
        <v>-1.2620490342979624E-2</v>
      </c>
      <c r="D252" s="36">
        <f t="shared" si="11"/>
        <v>-2.7567215080427716E-2</v>
      </c>
      <c r="E252" s="36">
        <f t="shared" si="9"/>
        <v>-4.9534315947922014E-2</v>
      </c>
    </row>
    <row r="253" spans="1:5" x14ac:dyDescent="0.35">
      <c r="A253" s="35">
        <v>39722</v>
      </c>
      <c r="B253" s="63">
        <f>VLOOKUP(A253,Database!A:L,MATCH($A$1,Database!$A$1:$L$1,),)</f>
        <v>2513.8440000000001</v>
      </c>
      <c r="C253" s="37">
        <f t="shared" si="10"/>
        <v>-3.6162261455485303E-2</v>
      </c>
      <c r="D253" s="36">
        <f t="shared" si="11"/>
        <v>-5.3795835314124192E-2</v>
      </c>
      <c r="E253" s="36">
        <f t="shared" si="9"/>
        <v>-0.13699023967853874</v>
      </c>
    </row>
    <row r="254" spans="1:5" x14ac:dyDescent="0.35">
      <c r="A254" s="35">
        <v>39814</v>
      </c>
      <c r="B254" s="63">
        <f>VLOOKUP(A254,Database!A:L,MATCH($A$1,Database!$A$1:$L$1,),)</f>
        <v>2274.895</v>
      </c>
      <c r="C254" s="37">
        <f t="shared" si="10"/>
        <v>-9.505323321574452E-2</v>
      </c>
      <c r="D254" s="36">
        <f t="shared" si="11"/>
        <v>-0.14693463530241158</v>
      </c>
      <c r="E254" s="36">
        <f t="shared" si="9"/>
        <v>-0.32935586504093062</v>
      </c>
    </row>
    <row r="255" spans="1:5" x14ac:dyDescent="0.35">
      <c r="A255" s="35">
        <v>39904</v>
      </c>
      <c r="B255" s="63">
        <f>VLOOKUP(A255,Database!A:L,MATCH($A$1,Database!$A$1:$L$1,),)</f>
        <v>2182.5010000000002</v>
      </c>
      <c r="C255" s="37">
        <f t="shared" si="10"/>
        <v>-4.0614621773752101E-2</v>
      </c>
      <c r="D255" s="36">
        <f t="shared" si="11"/>
        <v>-0.17376390214946211</v>
      </c>
      <c r="E255" s="36">
        <f t="shared" si="9"/>
        <v>-0.15282646406863587</v>
      </c>
    </row>
    <row r="256" spans="1:5" x14ac:dyDescent="0.35">
      <c r="A256" s="35">
        <v>39995</v>
      </c>
      <c r="B256" s="63">
        <f>VLOOKUP(A256,Database!A:L,MATCH($A$1,Database!$A$1:$L$1,),)</f>
        <v>2272.5349999999999</v>
      </c>
      <c r="C256" s="37">
        <f t="shared" si="10"/>
        <v>4.1252672965556327E-2</v>
      </c>
      <c r="D256" s="36">
        <f t="shared" si="11"/>
        <v>-0.12868300691560075</v>
      </c>
      <c r="E256" s="36">
        <f t="shared" si="9"/>
        <v>0.17550509848316631</v>
      </c>
    </row>
    <row r="257" spans="1:5" x14ac:dyDescent="0.35">
      <c r="A257" s="35">
        <v>40087</v>
      </c>
      <c r="B257" s="63">
        <f>VLOOKUP(A257,Database!A:L,MATCH($A$1,Database!$A$1:$L$1,),)</f>
        <v>2385.0740000000001</v>
      </c>
      <c r="C257" s="37">
        <f t="shared" si="10"/>
        <v>4.9521349506168322E-2</v>
      </c>
      <c r="D257" s="36">
        <f t="shared" si="11"/>
        <v>-5.122434009429383E-2</v>
      </c>
      <c r="E257" s="36">
        <f t="shared" si="9"/>
        <v>0.21329137396592834</v>
      </c>
    </row>
    <row r="258" spans="1:5" x14ac:dyDescent="0.35">
      <c r="A258" s="35">
        <v>40179</v>
      </c>
      <c r="B258" s="63">
        <f>VLOOKUP(A258,Database!A:L,MATCH($A$1,Database!$A$1:$L$1,),)</f>
        <v>2448.0439999999999</v>
      </c>
      <c r="C258" s="37">
        <f t="shared" si="10"/>
        <v>2.6401696551134179E-2</v>
      </c>
      <c r="D258" s="36">
        <f t="shared" si="11"/>
        <v>7.6112963455456137E-2</v>
      </c>
      <c r="E258" s="36">
        <f t="shared" si="9"/>
        <v>0.10986318273337514</v>
      </c>
    </row>
    <row r="259" spans="1:5" x14ac:dyDescent="0.35">
      <c r="A259" s="35">
        <v>40269</v>
      </c>
      <c r="B259" s="63">
        <f>VLOOKUP(A259,Database!A:L,MATCH($A$1,Database!$A$1:$L$1,),)</f>
        <v>2559.69</v>
      </c>
      <c r="C259" s="37">
        <f t="shared" si="10"/>
        <v>4.5606206424394412E-2</v>
      </c>
      <c r="D259" s="36">
        <f t="shared" si="11"/>
        <v>0.17282420489154407</v>
      </c>
      <c r="E259" s="36">
        <f t="shared" si="9"/>
        <v>0.19528813832632475</v>
      </c>
    </row>
    <row r="260" spans="1:5" x14ac:dyDescent="0.35">
      <c r="A260" s="35">
        <v>40360</v>
      </c>
      <c r="B260" s="63">
        <f>VLOOKUP(A260,Database!A:L,MATCH($A$1,Database!$A$1:$L$1,),)</f>
        <v>2649.1480000000001</v>
      </c>
      <c r="C260" s="37">
        <f t="shared" si="10"/>
        <v>3.4948763326809136E-2</v>
      </c>
      <c r="D260" s="36">
        <f t="shared" si="11"/>
        <v>0.16572374022842346</v>
      </c>
      <c r="E260" s="36">
        <f t="shared" si="9"/>
        <v>0.14729578943581156</v>
      </c>
    </row>
    <row r="261" spans="1:5" x14ac:dyDescent="0.35">
      <c r="A261" s="35">
        <v>40452</v>
      </c>
      <c r="B261" s="63">
        <f>VLOOKUP(A261,Database!A:L,MATCH($A$1,Database!$A$1:$L$1,),)</f>
        <v>2658.8850000000002</v>
      </c>
      <c r="C261" s="37">
        <f t="shared" si="10"/>
        <v>3.6755213374262516E-3</v>
      </c>
      <c r="D261" s="36">
        <f t="shared" si="11"/>
        <v>0.1148018887464289</v>
      </c>
      <c r="E261" s="36">
        <f t="shared" si="9"/>
        <v>1.4783340892012831E-2</v>
      </c>
    </row>
    <row r="262" spans="1:5" x14ac:dyDescent="0.35">
      <c r="A262" s="35">
        <v>40544</v>
      </c>
      <c r="B262" s="63">
        <f>VLOOKUP(A262,Database!A:L,MATCH($A$1,Database!$A$1:$L$1,),)</f>
        <v>2671.8719999999998</v>
      </c>
      <c r="C262" s="37">
        <f t="shared" si="10"/>
        <v>4.8843782262112216E-3</v>
      </c>
      <c r="D262" s="36">
        <f t="shared" si="11"/>
        <v>9.1431363161773235E-2</v>
      </c>
      <c r="E262" s="36">
        <f t="shared" ref="E262:E309" si="12">((1+C262)^4)-1</f>
        <v>1.9681122487337221E-2</v>
      </c>
    </row>
    <row r="263" spans="1:5" x14ac:dyDescent="0.35">
      <c r="A263" s="35">
        <v>40634</v>
      </c>
      <c r="B263" s="63">
        <f>VLOOKUP(A263,Database!A:L,MATCH($A$1,Database!$A$1:$L$1,),)</f>
        <v>2681.8649999999998</v>
      </c>
      <c r="C263" s="37">
        <f t="shared" ref="C263:C326" si="13">(B263-B262)/B262</f>
        <v>3.7400743748203279E-3</v>
      </c>
      <c r="D263" s="36">
        <f t="shared" si="11"/>
        <v>4.7730389226820324E-2</v>
      </c>
      <c r="E263" s="36">
        <f t="shared" si="12"/>
        <v>1.504443589990534E-2</v>
      </c>
    </row>
    <row r="264" spans="1:5" x14ac:dyDescent="0.35">
      <c r="A264" s="35">
        <v>40725</v>
      </c>
      <c r="B264" s="63">
        <f>VLOOKUP(A264,Database!A:L,MATCH($A$1,Database!$A$1:$L$1,),)</f>
        <v>2711.6190000000001</v>
      </c>
      <c r="C264" s="37">
        <f t="shared" si="13"/>
        <v>1.109451818044546E-2</v>
      </c>
      <c r="D264" s="36">
        <f t="shared" si="11"/>
        <v>2.3581543952999228E-2</v>
      </c>
      <c r="E264" s="36">
        <f t="shared" si="12"/>
        <v>4.5122080297478995E-2</v>
      </c>
    </row>
    <row r="265" spans="1:5" x14ac:dyDescent="0.35">
      <c r="A265" s="35">
        <v>40817</v>
      </c>
      <c r="B265" s="63">
        <f>VLOOKUP(A265,Database!A:L,MATCH($A$1,Database!$A$1:$L$1,),)</f>
        <v>2747.221</v>
      </c>
      <c r="C265" s="37">
        <f t="shared" si="13"/>
        <v>1.312942563096064E-2</v>
      </c>
      <c r="D265" s="36">
        <f t="shared" si="11"/>
        <v>3.3222948717225372E-2</v>
      </c>
      <c r="E265" s="36">
        <f t="shared" si="12"/>
        <v>5.3561076240733696E-2</v>
      </c>
    </row>
    <row r="266" spans="1:5" x14ac:dyDescent="0.35">
      <c r="A266" s="35">
        <v>40909</v>
      </c>
      <c r="B266" s="63">
        <f>VLOOKUP(A266,Database!A:L,MATCH($A$1,Database!$A$1:$L$1,),)</f>
        <v>2760.748</v>
      </c>
      <c r="C266" s="37">
        <f t="shared" si="13"/>
        <v>4.9238849004139247E-3</v>
      </c>
      <c r="D266" s="36">
        <f t="shared" ref="D266:D329" si="14">(B266-B262)/B262</f>
        <v>3.3263569512312047E-2</v>
      </c>
      <c r="E266" s="36">
        <f t="shared" si="12"/>
        <v>1.9841485555849969E-2</v>
      </c>
    </row>
    <row r="267" spans="1:5" x14ac:dyDescent="0.35">
      <c r="A267" s="35">
        <v>41000</v>
      </c>
      <c r="B267" s="63">
        <f>VLOOKUP(A267,Database!A:L,MATCH($A$1,Database!$A$1:$L$1,),)</f>
        <v>2771.011</v>
      </c>
      <c r="C267" s="37">
        <f t="shared" si="13"/>
        <v>3.7174707724138239E-3</v>
      </c>
      <c r="D267" s="36">
        <f t="shared" si="14"/>
        <v>3.3240301059151073E-2</v>
      </c>
      <c r="E267" s="36">
        <f t="shared" si="12"/>
        <v>1.4953006309970984E-2</v>
      </c>
    </row>
    <row r="268" spans="1:5" x14ac:dyDescent="0.35">
      <c r="A268" s="35">
        <v>41091</v>
      </c>
      <c r="B268" s="63">
        <f>VLOOKUP(A268,Database!A:L,MATCH($A$1,Database!$A$1:$L$1,),)</f>
        <v>2785.8829999999998</v>
      </c>
      <c r="C268" s="37">
        <f t="shared" si="13"/>
        <v>5.3669942125815608E-3</v>
      </c>
      <c r="D268" s="36">
        <f t="shared" si="14"/>
        <v>2.7387328382047649E-2</v>
      </c>
      <c r="E268" s="36">
        <f t="shared" si="12"/>
        <v>2.1641423818363315E-2</v>
      </c>
    </row>
    <row r="269" spans="1:5" x14ac:dyDescent="0.35">
      <c r="A269" s="35">
        <v>41183</v>
      </c>
      <c r="B269" s="63">
        <f>VLOOKUP(A269,Database!A:L,MATCH($A$1,Database!$A$1:$L$1,),)</f>
        <v>2759.627</v>
      </c>
      <c r="C269" s="37">
        <f t="shared" si="13"/>
        <v>-9.4246599731574732E-3</v>
      </c>
      <c r="D269" s="36">
        <f t="shared" si="14"/>
        <v>4.5158361850029353E-3</v>
      </c>
      <c r="E269" s="36">
        <f t="shared" si="12"/>
        <v>-3.7169035261348737E-2</v>
      </c>
    </row>
    <row r="270" spans="1:5" x14ac:dyDescent="0.35">
      <c r="A270" s="35">
        <v>41275</v>
      </c>
      <c r="B270" s="63">
        <f>VLOOKUP(A270,Database!A:L,MATCH($A$1,Database!$A$1:$L$1,),)</f>
        <v>2757.2649999999999</v>
      </c>
      <c r="C270" s="37">
        <f t="shared" si="13"/>
        <v>-8.5591277371908599E-4</v>
      </c>
      <c r="D270" s="36">
        <f t="shared" si="14"/>
        <v>-1.2616146058967261E-3</v>
      </c>
      <c r="E270" s="36">
        <f t="shared" si="12"/>
        <v>-3.4192580824036201E-3</v>
      </c>
    </row>
    <row r="271" spans="1:5" x14ac:dyDescent="0.35">
      <c r="A271" s="35">
        <v>41365</v>
      </c>
      <c r="B271" s="63">
        <f>VLOOKUP(A271,Database!A:L,MATCH($A$1,Database!$A$1:$L$1,),)</f>
        <v>2797.3</v>
      </c>
      <c r="C271" s="37">
        <f t="shared" si="13"/>
        <v>1.4519823085557722E-2</v>
      </c>
      <c r="D271" s="36">
        <f t="shared" si="14"/>
        <v>9.487151079515822E-3</v>
      </c>
      <c r="E271" s="36">
        <f t="shared" si="12"/>
        <v>5.935653294618759E-2</v>
      </c>
    </row>
    <row r="272" spans="1:5" x14ac:dyDescent="0.35">
      <c r="A272" s="35">
        <v>41456</v>
      </c>
      <c r="B272" s="63">
        <f>VLOOKUP(A272,Database!A:L,MATCH($A$1,Database!$A$1:$L$1,),)</f>
        <v>2817.3989999999999</v>
      </c>
      <c r="C272" s="37">
        <f t="shared" si="13"/>
        <v>7.1851428162870278E-3</v>
      </c>
      <c r="D272" s="36">
        <f t="shared" si="14"/>
        <v>1.131275075083917E-2</v>
      </c>
      <c r="E272" s="36">
        <f t="shared" si="12"/>
        <v>2.9051815362864941E-2</v>
      </c>
    </row>
    <row r="273" spans="1:5" x14ac:dyDescent="0.35">
      <c r="A273" s="35">
        <v>41548</v>
      </c>
      <c r="B273" s="63">
        <f>VLOOKUP(A273,Database!A:L,MATCH($A$1,Database!$A$1:$L$1,),)</f>
        <v>2839.6709999999998</v>
      </c>
      <c r="C273" s="37">
        <f t="shared" si="13"/>
        <v>7.9051635923772009E-3</v>
      </c>
      <c r="D273" s="36">
        <f t="shared" si="14"/>
        <v>2.9005369203881491E-2</v>
      </c>
      <c r="E273" s="36">
        <f t="shared" si="12"/>
        <v>3.1997583968889742E-2</v>
      </c>
    </row>
    <row r="274" spans="1:5" x14ac:dyDescent="0.35">
      <c r="A274" s="35">
        <v>41640</v>
      </c>
      <c r="B274" s="63">
        <f>VLOOKUP(A274,Database!A:L,MATCH($A$1,Database!$A$1:$L$1,),)</f>
        <v>2876.337</v>
      </c>
      <c r="C274" s="37">
        <f t="shared" si="13"/>
        <v>1.2912059178686605E-2</v>
      </c>
      <c r="D274" s="36">
        <f t="shared" si="14"/>
        <v>4.3184822641276814E-2</v>
      </c>
      <c r="E274" s="36">
        <f t="shared" si="12"/>
        <v>5.2657203003866115E-2</v>
      </c>
    </row>
    <row r="275" spans="1:5" x14ac:dyDescent="0.35">
      <c r="A275" s="35">
        <v>41730</v>
      </c>
      <c r="B275" s="63">
        <f>VLOOKUP(A275,Database!A:L,MATCH($A$1,Database!$A$1:$L$1,),)</f>
        <v>2941.8389999999999</v>
      </c>
      <c r="C275" s="37">
        <f t="shared" si="13"/>
        <v>2.277271404567683E-2</v>
      </c>
      <c r="D275" s="36">
        <f t="shared" si="14"/>
        <v>5.1670896936331374E-2</v>
      </c>
      <c r="E275" s="36">
        <f t="shared" si="12"/>
        <v>9.4249943554733484E-2</v>
      </c>
    </row>
    <row r="276" spans="1:5" x14ac:dyDescent="0.35">
      <c r="A276" s="35">
        <v>41821</v>
      </c>
      <c r="B276" s="63">
        <f>VLOOKUP(A276,Database!A:L,MATCH($A$1,Database!$A$1:$L$1,),)</f>
        <v>2947.3519999999999</v>
      </c>
      <c r="C276" s="37">
        <f t="shared" si="13"/>
        <v>1.873997863241299E-3</v>
      </c>
      <c r="D276" s="36">
        <f t="shared" si="14"/>
        <v>4.6125167219836442E-2</v>
      </c>
      <c r="E276" s="36">
        <f t="shared" si="12"/>
        <v>7.5170889981799327E-3</v>
      </c>
    </row>
    <row r="277" spans="1:5" x14ac:dyDescent="0.35">
      <c r="A277" s="35">
        <v>41913</v>
      </c>
      <c r="B277" s="63">
        <f>VLOOKUP(A277,Database!A:L,MATCH($A$1,Database!$A$1:$L$1,),)</f>
        <v>3024.6819999999998</v>
      </c>
      <c r="C277" s="37">
        <f t="shared" si="13"/>
        <v>2.6237110463901134E-2</v>
      </c>
      <c r="D277" s="36">
        <f t="shared" si="14"/>
        <v>6.5152265878688054E-2</v>
      </c>
      <c r="E277" s="36">
        <f t="shared" si="12"/>
        <v>0.10915147655828594</v>
      </c>
    </row>
    <row r="278" spans="1:5" x14ac:dyDescent="0.35">
      <c r="A278" s="35">
        <v>42005</v>
      </c>
      <c r="B278" s="63">
        <f>VLOOKUP(A278,Database!A:L,MATCH($A$1,Database!$A$1:$L$1,),)</f>
        <v>3068.49</v>
      </c>
      <c r="C278" s="37">
        <f t="shared" si="13"/>
        <v>1.4483506034683975E-2</v>
      </c>
      <c r="D278" s="36">
        <f t="shared" si="14"/>
        <v>6.6804758969480904E-2</v>
      </c>
      <c r="E278" s="36">
        <f t="shared" si="12"/>
        <v>5.9204852758390158E-2</v>
      </c>
    </row>
    <row r="279" spans="1:5" x14ac:dyDescent="0.35">
      <c r="A279" s="35">
        <v>42095</v>
      </c>
      <c r="B279" s="63">
        <f>VLOOKUP(A279,Database!A:L,MATCH($A$1,Database!$A$1:$L$1,),)</f>
        <v>3091.0830000000001</v>
      </c>
      <c r="C279" s="37">
        <f t="shared" si="13"/>
        <v>7.3629048815542185E-3</v>
      </c>
      <c r="D279" s="36">
        <f t="shared" si="14"/>
        <v>5.0731532215053284E-2</v>
      </c>
      <c r="E279" s="36">
        <f t="shared" si="12"/>
        <v>2.9778493317011101E-2</v>
      </c>
    </row>
    <row r="280" spans="1:5" x14ac:dyDescent="0.35">
      <c r="A280" s="35">
        <v>42186</v>
      </c>
      <c r="B280" s="63">
        <f>VLOOKUP(A280,Database!A:L,MATCH($A$1,Database!$A$1:$L$1,),)</f>
        <v>3117.7620000000002</v>
      </c>
      <c r="C280" s="37">
        <f t="shared" si="13"/>
        <v>8.6309555582946458E-3</v>
      </c>
      <c r="D280" s="36">
        <f t="shared" si="14"/>
        <v>5.7818000700289723E-2</v>
      </c>
      <c r="E280" s="36">
        <f t="shared" si="12"/>
        <v>3.4973359942226612E-2</v>
      </c>
    </row>
    <row r="281" spans="1:5" x14ac:dyDescent="0.35">
      <c r="A281" s="35">
        <v>42278</v>
      </c>
      <c r="B281" s="63">
        <f>VLOOKUP(A281,Database!A:L,MATCH($A$1,Database!$A$1:$L$1,),)</f>
        <v>3124.3560000000002</v>
      </c>
      <c r="C281" s="37">
        <f t="shared" si="13"/>
        <v>2.1149786289011317E-3</v>
      </c>
      <c r="D281" s="36">
        <f t="shared" si="14"/>
        <v>3.2953546852198159E-2</v>
      </c>
      <c r="E281" s="36">
        <f t="shared" si="12"/>
        <v>8.4867911855543987E-3</v>
      </c>
    </row>
    <row r="282" spans="1:5" x14ac:dyDescent="0.35">
      <c r="A282" s="35">
        <v>42370</v>
      </c>
      <c r="B282" s="63">
        <f>VLOOKUP(A282,Database!A:L,MATCH($A$1,Database!$A$1:$L$1,),)</f>
        <v>3119.9780000000001</v>
      </c>
      <c r="C282" s="37">
        <f t="shared" si="13"/>
        <v>-1.4012487693464369E-3</v>
      </c>
      <c r="D282" s="36">
        <f t="shared" si="14"/>
        <v>1.6779588657613448E-2</v>
      </c>
      <c r="E282" s="36">
        <f t="shared" si="12"/>
        <v>-5.5932250902461789E-3</v>
      </c>
    </row>
    <row r="283" spans="1:5" x14ac:dyDescent="0.35">
      <c r="A283" s="35">
        <v>42461</v>
      </c>
      <c r="B283" s="63">
        <f>VLOOKUP(A283,Database!A:L,MATCH($A$1,Database!$A$1:$L$1,),)</f>
        <v>3123.2449999999999</v>
      </c>
      <c r="C283" s="37">
        <f t="shared" si="13"/>
        <v>1.0471227681733094E-3</v>
      </c>
      <c r="D283" s="36">
        <f t="shared" si="14"/>
        <v>1.0404767519992121E-2</v>
      </c>
      <c r="E283" s="36">
        <f t="shared" si="12"/>
        <v>4.1950744629832837E-3</v>
      </c>
    </row>
    <row r="284" spans="1:5" x14ac:dyDescent="0.35">
      <c r="A284" s="35">
        <v>42552</v>
      </c>
      <c r="B284" s="63">
        <f>VLOOKUP(A284,Database!A:L,MATCH($A$1,Database!$A$1:$L$1,),)</f>
        <v>3145.9769999999999</v>
      </c>
      <c r="C284" s="37">
        <f t="shared" si="13"/>
        <v>7.2783275087288934E-3</v>
      </c>
      <c r="D284" s="36">
        <f t="shared" si="14"/>
        <v>9.0497606937282871E-3</v>
      </c>
      <c r="E284" s="36">
        <f t="shared" si="12"/>
        <v>2.9432699399091877E-2</v>
      </c>
    </row>
    <row r="285" spans="1:5" x14ac:dyDescent="0.35">
      <c r="A285" s="35">
        <v>42644</v>
      </c>
      <c r="B285" s="63">
        <f>VLOOKUP(A285,Database!A:L,MATCH($A$1,Database!$A$1:$L$1,),)</f>
        <v>3192.5250000000001</v>
      </c>
      <c r="C285" s="37">
        <f t="shared" si="13"/>
        <v>1.4796039513321372E-2</v>
      </c>
      <c r="D285" s="36">
        <f t="shared" si="14"/>
        <v>2.1818576372218745E-2</v>
      </c>
      <c r="E285" s="36">
        <f t="shared" si="12"/>
        <v>6.0510699452875238E-2</v>
      </c>
    </row>
    <row r="286" spans="1:5" x14ac:dyDescent="0.35">
      <c r="A286" s="35">
        <v>42736</v>
      </c>
      <c r="B286" s="63">
        <f>VLOOKUP(A286,Database!A:L,MATCH($A$1,Database!$A$1:$L$1,),)</f>
        <v>3241.8359999999998</v>
      </c>
      <c r="C286" s="37">
        <f t="shared" si="13"/>
        <v>1.544576784833312E-2</v>
      </c>
      <c r="D286" s="36">
        <f t="shared" si="14"/>
        <v>3.9057326686277823E-2</v>
      </c>
      <c r="E286" s="36">
        <f t="shared" si="12"/>
        <v>6.3229298471475515E-2</v>
      </c>
    </row>
    <row r="287" spans="1:5" x14ac:dyDescent="0.35">
      <c r="A287" s="35">
        <v>42826</v>
      </c>
      <c r="B287" s="63">
        <f>VLOOKUP(A287,Database!A:L,MATCH($A$1,Database!$A$1:$L$1,),)</f>
        <v>3273.4029999999998</v>
      </c>
      <c r="C287" s="37">
        <f t="shared" si="13"/>
        <v>9.7373833839836475E-3</v>
      </c>
      <c r="D287" s="36">
        <f t="shared" si="14"/>
        <v>4.8077560357896967E-2</v>
      </c>
      <c r="E287" s="36">
        <f t="shared" si="12"/>
        <v>3.9522135400839709E-2</v>
      </c>
    </row>
    <row r="288" spans="1:5" x14ac:dyDescent="0.35">
      <c r="A288" s="35">
        <v>42917</v>
      </c>
      <c r="B288" s="63">
        <f>VLOOKUP(A288,Database!A:L,MATCH($A$1,Database!$A$1:$L$1,),)</f>
        <v>3270.7570000000001</v>
      </c>
      <c r="C288" s="37">
        <f t="shared" si="13"/>
        <v>-8.0833310166812059E-4</v>
      </c>
      <c r="D288" s="36">
        <f t="shared" si="14"/>
        <v>3.9663354182182579E-2</v>
      </c>
      <c r="E288" s="36">
        <f t="shared" si="12"/>
        <v>-3.2294141044932889E-3</v>
      </c>
    </row>
    <row r="289" spans="1:5" x14ac:dyDescent="0.35">
      <c r="A289" s="35">
        <v>43009</v>
      </c>
      <c r="B289" s="63">
        <f>VLOOKUP(A289,Database!A:L,MATCH($A$1,Database!$A$1:$L$1,),)</f>
        <v>3362.9569999999999</v>
      </c>
      <c r="C289" s="37">
        <f t="shared" si="13"/>
        <v>2.8189192899380728E-2</v>
      </c>
      <c r="D289" s="36">
        <f t="shared" si="14"/>
        <v>5.3384703330435872E-2</v>
      </c>
      <c r="E289" s="36">
        <f t="shared" si="12"/>
        <v>0.11761478659387192</v>
      </c>
    </row>
    <row r="290" spans="1:5" x14ac:dyDescent="0.35">
      <c r="A290" s="35">
        <v>43101</v>
      </c>
      <c r="B290" s="63">
        <f>VLOOKUP(A290,Database!A:L,MATCH($A$1,Database!$A$1:$L$1,),)</f>
        <v>3391.2579999999998</v>
      </c>
      <c r="C290" s="37">
        <f t="shared" si="13"/>
        <v>8.4155105164888909E-3</v>
      </c>
      <c r="D290" s="36">
        <f t="shared" si="14"/>
        <v>4.609178255778517E-2</v>
      </c>
      <c r="E290" s="36">
        <f t="shared" si="12"/>
        <v>3.4089355958392131E-2</v>
      </c>
    </row>
    <row r="291" spans="1:5" x14ac:dyDescent="0.35">
      <c r="A291" s="35">
        <v>43191</v>
      </c>
      <c r="B291" s="63">
        <f>VLOOKUP(A291,Database!A:L,MATCH($A$1,Database!$A$1:$L$1,),)</f>
        <v>3395.2829999999999</v>
      </c>
      <c r="C291" s="37">
        <f t="shared" si="13"/>
        <v>1.1868751949866661E-3</v>
      </c>
      <c r="D291" s="36">
        <f t="shared" si="14"/>
        <v>3.7233423443431841E-2</v>
      </c>
      <c r="E291" s="36">
        <f t="shared" si="12"/>
        <v>4.7559595059765147E-3</v>
      </c>
    </row>
    <row r="292" spans="1:5" x14ac:dyDescent="0.35">
      <c r="A292" s="35">
        <v>43282</v>
      </c>
      <c r="B292" s="63">
        <f>VLOOKUP(A292,Database!A:L,MATCH($A$1,Database!$A$1:$L$1,),)</f>
        <v>3441.0680000000002</v>
      </c>
      <c r="C292" s="37">
        <f t="shared" si="13"/>
        <v>1.3484884765128654E-2</v>
      </c>
      <c r="D292" s="36">
        <f t="shared" si="14"/>
        <v>5.2070820302456022E-2</v>
      </c>
      <c r="E292" s="36">
        <f t="shared" si="12"/>
        <v>5.5040433309822445E-2</v>
      </c>
    </row>
    <row r="293" spans="1:5" x14ac:dyDescent="0.35">
      <c r="A293" s="35">
        <v>43374</v>
      </c>
      <c r="B293" s="63">
        <f>VLOOKUP(A293,Database!A:L,MATCH($A$1,Database!$A$1:$L$1,),)</f>
        <v>3474.268</v>
      </c>
      <c r="C293" s="37">
        <f t="shared" si="13"/>
        <v>9.6481673712928134E-3</v>
      </c>
      <c r="D293" s="36">
        <f t="shared" si="14"/>
        <v>3.3099144592095633E-2</v>
      </c>
      <c r="E293" s="36">
        <f t="shared" si="12"/>
        <v>3.9154793433113344E-2</v>
      </c>
    </row>
    <row r="294" spans="1:5" x14ac:dyDescent="0.35">
      <c r="A294" s="35">
        <v>43466</v>
      </c>
      <c r="B294" s="63">
        <f>VLOOKUP(A294,Database!A:L,MATCH($A$1,Database!$A$1:$L$1,),)</f>
        <v>3485.931</v>
      </c>
      <c r="C294" s="37">
        <f t="shared" si="13"/>
        <v>3.3569661292680965E-3</v>
      </c>
      <c r="D294" s="36">
        <f t="shared" si="14"/>
        <v>2.791677896521003E-2</v>
      </c>
      <c r="E294" s="36">
        <f t="shared" si="12"/>
        <v>1.3495631295206589E-2</v>
      </c>
    </row>
    <row r="295" spans="1:5" x14ac:dyDescent="0.35">
      <c r="A295" s="35">
        <v>43556</v>
      </c>
      <c r="B295" s="63">
        <f>VLOOKUP(A295,Database!A:L,MATCH($A$1,Database!$A$1:$L$1,),)</f>
        <v>3491.7510000000002</v>
      </c>
      <c r="C295" s="37">
        <f t="shared" si="13"/>
        <v>1.6695683305263827E-3</v>
      </c>
      <c r="D295" s="36">
        <f t="shared" si="14"/>
        <v>2.8412359146498336E-2</v>
      </c>
      <c r="E295" s="36">
        <f t="shared" si="12"/>
        <v>6.6950166957462365E-3</v>
      </c>
    </row>
    <row r="296" spans="1:5" x14ac:dyDescent="0.35">
      <c r="A296" s="35">
        <v>43647</v>
      </c>
      <c r="B296" s="63">
        <f>VLOOKUP(A296,Database!A:L,MATCH($A$1,Database!$A$1:$L$1,),)</f>
        <v>3476.3820000000001</v>
      </c>
      <c r="C296" s="37">
        <f t="shared" si="13"/>
        <v>-4.4015166029880539E-3</v>
      </c>
      <c r="D296" s="36">
        <f t="shared" si="14"/>
        <v>1.0262511522585387E-2</v>
      </c>
      <c r="E296" s="36">
        <f t="shared" si="12"/>
        <v>-1.7490167034645898E-2</v>
      </c>
    </row>
    <row r="297" spans="1:5" x14ac:dyDescent="0.35">
      <c r="A297" s="35">
        <v>43739</v>
      </c>
      <c r="B297" s="63">
        <f>VLOOKUP(A297,Database!A:L,MATCH($A$1,Database!$A$1:$L$1,),)</f>
        <v>3404.66</v>
      </c>
      <c r="C297" s="37">
        <f t="shared" si="13"/>
        <v>-2.0631219468976714E-2</v>
      </c>
      <c r="D297" s="36">
        <f t="shared" si="14"/>
        <v>-2.0035299522086429E-2</v>
      </c>
      <c r="E297" s="36">
        <f t="shared" si="12"/>
        <v>-8.0005939884274069E-2</v>
      </c>
    </row>
    <row r="298" spans="1:5" x14ac:dyDescent="0.35">
      <c r="A298" s="35">
        <v>43831</v>
      </c>
      <c r="B298" s="63">
        <f>VLOOKUP(A298,Database!A:L,MATCH($A$1,Database!$A$1:$L$1,),)</f>
        <v>3295.4929999999999</v>
      </c>
      <c r="C298" s="37">
        <f t="shared" si="13"/>
        <v>-3.2063994642636831E-2</v>
      </c>
      <c r="D298" s="36">
        <f t="shared" si="14"/>
        <v>-5.4630455967143381E-2</v>
      </c>
      <c r="E298" s="36">
        <f t="shared" si="12"/>
        <v>-0.12221818300660603</v>
      </c>
    </row>
    <row r="299" spans="1:5" x14ac:dyDescent="0.35">
      <c r="A299" s="35">
        <v>43922</v>
      </c>
      <c r="B299" s="63">
        <f>VLOOKUP(A299,Database!A:L,MATCH($A$1,Database!$A$1:$L$1,),)</f>
        <v>2718.6190000000001</v>
      </c>
      <c r="C299" s="37">
        <f t="shared" si="13"/>
        <v>-0.17504937804449891</v>
      </c>
      <c r="D299" s="36">
        <f t="shared" si="14"/>
        <v>-0.22141670468484151</v>
      </c>
      <c r="E299" s="36">
        <f t="shared" si="12"/>
        <v>-0.53686050559250598</v>
      </c>
    </row>
    <row r="300" spans="1:5" x14ac:dyDescent="0.35">
      <c r="A300" s="35">
        <v>44013</v>
      </c>
      <c r="B300" s="63">
        <f>VLOOKUP(A300,Database!A:L,MATCH($A$1,Database!$A$1:$L$1,),)</f>
        <v>3184.18</v>
      </c>
      <c r="C300" s="37">
        <f t="shared" si="13"/>
        <v>0.171249079036084</v>
      </c>
      <c r="D300" s="36">
        <f t="shared" si="14"/>
        <v>-8.4053478587796229E-2</v>
      </c>
      <c r="E300" s="36">
        <f t="shared" si="12"/>
        <v>0.88190219854560215</v>
      </c>
    </row>
    <row r="301" spans="1:5" x14ac:dyDescent="0.35">
      <c r="A301" s="35">
        <v>44105</v>
      </c>
      <c r="B301" s="63">
        <f>VLOOKUP(A301,Database!A:L,MATCH($A$1,Database!$A$1:$L$1,),)</f>
        <v>3419.0010000000002</v>
      </c>
      <c r="C301" s="37">
        <f t="shared" si="13"/>
        <v>7.3746145004365452E-2</v>
      </c>
      <c r="D301" s="36">
        <f t="shared" si="14"/>
        <v>4.2121680285257118E-3</v>
      </c>
      <c r="E301" s="36">
        <f t="shared" si="12"/>
        <v>0.32924939249133001</v>
      </c>
    </row>
    <row r="302" spans="1:5" x14ac:dyDescent="0.35">
      <c r="A302" s="35">
        <v>44197</v>
      </c>
      <c r="B302" s="63">
        <f>VLOOKUP(A302,Database!A:L,MATCH($A$1,Database!$A$1:$L$1,),)</f>
        <v>3482.0349999999999</v>
      </c>
      <c r="C302" s="37">
        <f t="shared" si="13"/>
        <v>1.8436379515536745E-2</v>
      </c>
      <c r="D302" s="36">
        <f t="shared" si="14"/>
        <v>5.6605187751878068E-2</v>
      </c>
      <c r="E302" s="36">
        <f t="shared" si="12"/>
        <v>7.5810100240262912E-2</v>
      </c>
    </row>
    <row r="303" spans="1:5" x14ac:dyDescent="0.35">
      <c r="A303" s="35">
        <v>44287</v>
      </c>
      <c r="B303" s="63">
        <f>VLOOKUP(A303,Database!A:L,MATCH($A$1,Database!$A$1:$L$1,),)</f>
        <v>3549.002</v>
      </c>
      <c r="C303" s="37">
        <f t="shared" si="13"/>
        <v>1.9232144421293899E-2</v>
      </c>
      <c r="D303" s="36">
        <f t="shared" si="14"/>
        <v>0.30544294731994437</v>
      </c>
      <c r="E303" s="36">
        <f t="shared" si="12"/>
        <v>7.9176420754051291E-2</v>
      </c>
    </row>
    <row r="304" spans="1:5" x14ac:dyDescent="0.35">
      <c r="A304" s="53">
        <v>44378</v>
      </c>
      <c r="B304" s="64">
        <f>VLOOKUP(A304,Database!A:L,MATCH($A$1,Database!$A$1:$L$1,),)</f>
        <v>3606.2829999999999</v>
      </c>
      <c r="C304" s="54">
        <f t="shared" si="13"/>
        <v>1.6140030352194773E-2</v>
      </c>
      <c r="D304" s="55">
        <f t="shared" si="14"/>
        <v>0.13256254357479794</v>
      </c>
      <c r="E304" s="55">
        <f t="shared" si="12"/>
        <v>6.6140010697006923E-2</v>
      </c>
    </row>
    <row r="305" spans="1:5" x14ac:dyDescent="0.35">
      <c r="A305" s="35">
        <v>44470</v>
      </c>
      <c r="B305" s="63">
        <f>VLOOKUP(A305,Database!A:L,MATCH($A$1,Database!$A$1:$L$1,),)</f>
        <v>3763.3159999999998</v>
      </c>
      <c r="C305" s="37">
        <f t="shared" si="13"/>
        <v>4.354428091195281E-2</v>
      </c>
      <c r="D305" s="36">
        <f t="shared" si="14"/>
        <v>0.10070631743014979</v>
      </c>
      <c r="E305" s="36">
        <f t="shared" si="12"/>
        <v>0.1858876032710941</v>
      </c>
    </row>
    <row r="306" spans="1:5" x14ac:dyDescent="0.35">
      <c r="A306" s="35">
        <v>44562</v>
      </c>
      <c r="B306" s="63">
        <f>VLOOKUP(A306,Database!A:L,MATCH($A$1,Database!$A$1:$L$1,),)</f>
        <v>3925.6329999999998</v>
      </c>
      <c r="C306" s="37">
        <f t="shared" si="13"/>
        <v>4.3131376690131791E-2</v>
      </c>
      <c r="D306" s="36">
        <f t="shared" si="14"/>
        <v>0.12739619216923437</v>
      </c>
      <c r="E306" s="36">
        <f t="shared" si="12"/>
        <v>0.18401181336712558</v>
      </c>
    </row>
    <row r="307" spans="1:5" x14ac:dyDescent="0.35">
      <c r="A307" s="35">
        <v>44652</v>
      </c>
      <c r="B307" s="63">
        <f>VLOOKUP(A307,Database!A:L,MATCH($A$1,Database!$A$1:$L$1,),)</f>
        <v>3947.4720000000002</v>
      </c>
      <c r="C307" s="37">
        <f t="shared" si="13"/>
        <v>5.5631792375905736E-3</v>
      </c>
      <c r="D307" s="36">
        <f t="shared" si="14"/>
        <v>0.11227663438904803</v>
      </c>
      <c r="E307" s="36">
        <f t="shared" si="12"/>
        <v>2.2439100386096422E-2</v>
      </c>
    </row>
    <row r="308" spans="1:5" x14ac:dyDescent="0.35">
      <c r="A308" s="35">
        <v>44743</v>
      </c>
      <c r="B308" s="63">
        <f>VLOOKUP(A308,Database!A:L,MATCH($A$1,Database!$A$1:$L$1,),)</f>
        <v>3872.9079999999999</v>
      </c>
      <c r="C308" s="37">
        <f t="shared" si="13"/>
        <v>-1.888905101796803E-2</v>
      </c>
      <c r="D308" s="36">
        <f t="shared" si="14"/>
        <v>7.3933465565514417E-2</v>
      </c>
      <c r="E308" s="36">
        <f t="shared" si="12"/>
        <v>-7.3442257448305903E-2</v>
      </c>
    </row>
    <row r="309" spans="1:5" x14ac:dyDescent="0.35">
      <c r="A309" s="35">
        <v>44835</v>
      </c>
      <c r="B309" s="63">
        <f>VLOOKUP(A309,Database!A:L,MATCH($A$1,Database!$A$1:$L$1,),)</f>
        <v>3827.8690000000001</v>
      </c>
      <c r="C309" s="37">
        <f t="shared" si="13"/>
        <v>-1.1629246034246039E-2</v>
      </c>
      <c r="D309" s="36">
        <f t="shared" si="14"/>
        <v>1.7153223380656939E-2</v>
      </c>
      <c r="E309" s="36">
        <f t="shared" si="12"/>
        <v>-4.5711820594667274E-2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9"/>
  <sheetViews>
    <sheetView zoomScale="120" zoomScaleNormal="120" workbookViewId="0">
      <pane ySplit="5" topLeftCell="A277" activePane="bottomLeft" state="frozen"/>
      <selection pane="bottomLeft" activeCell="AD280" sqref="AD280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16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65</v>
      </c>
      <c r="M1" s="76"/>
      <c r="N1" s="76"/>
      <c r="O1" s="76"/>
    </row>
    <row r="2" spans="1:15" x14ac:dyDescent="0.35">
      <c r="A2" s="48" t="s">
        <v>66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>
        <f>VLOOKUP(A6,Database!A:I,MATCH($A$1,Database!$A$1:$G$1,),)</f>
        <v>524.02599999999995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523.58299999999997</v>
      </c>
      <c r="C7" s="37">
        <f t="shared" ref="C7:C70" si="1">(B7-B6)/B6</f>
        <v>-8.4537790109647936E-4</v>
      </c>
      <c r="D7" s="36"/>
      <c r="E7" s="36">
        <f t="shared" si="0"/>
        <v>-3.3772260377451513E-3</v>
      </c>
    </row>
    <row r="8" spans="1:15" x14ac:dyDescent="0.35">
      <c r="A8" s="35">
        <v>17349</v>
      </c>
      <c r="B8" s="63">
        <f>VLOOKUP(A8,Database!A:L,MATCH($A$1,Database!$A$1:$L$1,),)</f>
        <v>523.47699999999998</v>
      </c>
      <c r="C8" s="37">
        <f t="shared" si="1"/>
        <v>-2.0245118729980642E-4</v>
      </c>
      <c r="D8" s="36"/>
      <c r="E8" s="36">
        <f t="shared" si="0"/>
        <v>-8.0955886348910155E-4</v>
      </c>
    </row>
    <row r="9" spans="1:15" x14ac:dyDescent="0.35">
      <c r="A9" s="35">
        <v>17441</v>
      </c>
      <c r="B9" s="63">
        <f>VLOOKUP(A9,Database!A:L,MATCH($A$1,Database!$A$1:$L$1,),)</f>
        <v>519.23599999999999</v>
      </c>
      <c r="C9" s="37">
        <f t="shared" si="1"/>
        <v>-8.1015975869044594E-3</v>
      </c>
      <c r="D9" s="36"/>
      <c r="E9" s="36">
        <f t="shared" si="0"/>
        <v>-3.2014697760847977E-2</v>
      </c>
    </row>
    <row r="10" spans="1:15" x14ac:dyDescent="0.35">
      <c r="A10" s="35">
        <v>17533</v>
      </c>
      <c r="B10" s="63">
        <f>VLOOKUP(A10,Database!A:L,MATCH($A$1,Database!$A$1:$L$1,),)</f>
        <v>526.97</v>
      </c>
      <c r="C10" s="37">
        <f t="shared" si="1"/>
        <v>1.4894961058170153E-2</v>
      </c>
      <c r="D10" s="36">
        <f t="shared" ref="D10:D73" si="2">(B10-B6)/B6</f>
        <v>5.618041852885303E-3</v>
      </c>
      <c r="E10" s="36">
        <f t="shared" si="0"/>
        <v>6.0924271020220244E-2</v>
      </c>
    </row>
    <row r="11" spans="1:15" x14ac:dyDescent="0.35">
      <c r="A11" s="35">
        <v>17624</v>
      </c>
      <c r="B11" s="63">
        <f>VLOOKUP(A11,Database!A:L,MATCH($A$1,Database!$A$1:$L$1,),)</f>
        <v>545.55700000000002</v>
      </c>
      <c r="C11" s="37">
        <f t="shared" si="1"/>
        <v>3.5271457578230241E-2</v>
      </c>
      <c r="D11" s="36">
        <f t="shared" si="2"/>
        <v>4.1968513110624384E-2</v>
      </c>
      <c r="E11" s="36">
        <f t="shared" si="0"/>
        <v>0.14872735381135982</v>
      </c>
    </row>
    <row r="12" spans="1:15" x14ac:dyDescent="0.35">
      <c r="A12" s="35">
        <v>17715</v>
      </c>
      <c r="B12" s="63">
        <f>VLOOKUP(A12,Database!A:L,MATCH($A$1,Database!$A$1:$L$1,),)</f>
        <v>556.94000000000005</v>
      </c>
      <c r="C12" s="37">
        <f t="shared" si="1"/>
        <v>2.0864914206948196E-2</v>
      </c>
      <c r="D12" s="36">
        <f t="shared" si="2"/>
        <v>6.3924489519119429E-2</v>
      </c>
      <c r="E12" s="36">
        <f t="shared" si="0"/>
        <v>8.6108247936594218E-2</v>
      </c>
    </row>
    <row r="13" spans="1:15" x14ac:dyDescent="0.35">
      <c r="A13" s="35">
        <v>17807</v>
      </c>
      <c r="B13" s="63">
        <f>VLOOKUP(A13,Database!A:L,MATCH($A$1,Database!$A$1:$L$1,),)</f>
        <v>577.45299999999997</v>
      </c>
      <c r="C13" s="37">
        <f t="shared" si="1"/>
        <v>3.6831615613890041E-2</v>
      </c>
      <c r="D13" s="36">
        <f t="shared" si="2"/>
        <v>0.11212050011940618</v>
      </c>
      <c r="E13" s="36">
        <f t="shared" si="0"/>
        <v>0.15566756853550134</v>
      </c>
    </row>
    <row r="14" spans="1:15" x14ac:dyDescent="0.35">
      <c r="A14" s="35">
        <v>17899</v>
      </c>
      <c r="B14" s="63">
        <f>VLOOKUP(A14,Database!A:L,MATCH($A$1,Database!$A$1:$L$1,),)</f>
        <v>592.76900000000001</v>
      </c>
      <c r="C14" s="37">
        <f t="shared" si="1"/>
        <v>2.6523370733202583E-2</v>
      </c>
      <c r="D14" s="36">
        <f t="shared" si="2"/>
        <v>0.12486289542099166</v>
      </c>
      <c r="E14" s="36">
        <f t="shared" si="0"/>
        <v>0.11038954861907202</v>
      </c>
    </row>
    <row r="15" spans="1:15" x14ac:dyDescent="0.35">
      <c r="A15" s="35">
        <v>17989</v>
      </c>
      <c r="B15" s="63">
        <f>VLOOKUP(A15,Database!A:L,MATCH($A$1,Database!$A$1:$L$1,),)</f>
        <v>618.52700000000004</v>
      </c>
      <c r="C15" s="37">
        <f t="shared" si="1"/>
        <v>4.34536893798428E-2</v>
      </c>
      <c r="D15" s="36">
        <f t="shared" si="2"/>
        <v>0.1337532100220509</v>
      </c>
      <c r="E15" s="36">
        <f t="shared" si="0"/>
        <v>0.18547586267411398</v>
      </c>
    </row>
    <row r="16" spans="1:15" x14ac:dyDescent="0.35">
      <c r="A16" s="35">
        <v>18080</v>
      </c>
      <c r="B16" s="63">
        <f>VLOOKUP(A16,Database!A:L,MATCH($A$1,Database!$A$1:$L$1,),)</f>
        <v>621.78899999999999</v>
      </c>
      <c r="C16" s="37">
        <f t="shared" si="1"/>
        <v>5.2738198979186733E-3</v>
      </c>
      <c r="D16" s="36">
        <f t="shared" si="2"/>
        <v>0.11643803641325803</v>
      </c>
      <c r="E16" s="36">
        <f t="shared" si="0"/>
        <v>2.1262746149872447E-2</v>
      </c>
    </row>
    <row r="17" spans="1:5" x14ac:dyDescent="0.35">
      <c r="A17" s="35">
        <v>18172</v>
      </c>
      <c r="B17" s="63">
        <f>VLOOKUP(A17,Database!A:L,MATCH($A$1,Database!$A$1:$L$1,),)</f>
        <v>610.904</v>
      </c>
      <c r="C17" s="37">
        <f t="shared" si="1"/>
        <v>-1.7505938509687357E-2</v>
      </c>
      <c r="D17" s="36">
        <f t="shared" si="2"/>
        <v>5.7928524053039852E-2</v>
      </c>
      <c r="E17" s="36">
        <f t="shared" si="0"/>
        <v>-6.8206372155115602E-2</v>
      </c>
    </row>
    <row r="18" spans="1:5" x14ac:dyDescent="0.35">
      <c r="A18" s="35">
        <v>18264</v>
      </c>
      <c r="B18" s="63">
        <f>VLOOKUP(A18,Database!A:L,MATCH($A$1,Database!$A$1:$L$1,),)</f>
        <v>599.56899999999996</v>
      </c>
      <c r="C18" s="37">
        <f t="shared" si="1"/>
        <v>-1.8554470096774675E-2</v>
      </c>
      <c r="D18" s="36">
        <f t="shared" si="2"/>
        <v>1.14715850525246E-2</v>
      </c>
      <c r="E18" s="36">
        <f t="shared" si="0"/>
        <v>-7.2177702570968005E-2</v>
      </c>
    </row>
    <row r="19" spans="1:5" x14ac:dyDescent="0.35">
      <c r="A19" s="35">
        <v>18354</v>
      </c>
      <c r="B19" s="63">
        <f>VLOOKUP(A19,Database!A:L,MATCH($A$1,Database!$A$1:$L$1,),)</f>
        <v>610.51900000000001</v>
      </c>
      <c r="C19" s="37">
        <f t="shared" si="1"/>
        <v>1.826311900715355E-2</v>
      </c>
      <c r="D19" s="36">
        <f t="shared" si="2"/>
        <v>-1.2946888333088187E-2</v>
      </c>
      <c r="E19" s="36">
        <f t="shared" si="0"/>
        <v>7.5078202407366401E-2</v>
      </c>
    </row>
    <row r="20" spans="1:5" x14ac:dyDescent="0.35">
      <c r="A20" s="35">
        <v>18445</v>
      </c>
      <c r="B20" s="63">
        <f>VLOOKUP(A20,Database!A:L,MATCH($A$1,Database!$A$1:$L$1,),)</f>
        <v>600.66300000000001</v>
      </c>
      <c r="C20" s="37">
        <f t="shared" si="1"/>
        <v>-1.6143641721224063E-2</v>
      </c>
      <c r="D20" s="36">
        <f t="shared" si="2"/>
        <v>-3.3976155898544323E-2</v>
      </c>
      <c r="E20" s="36">
        <f t="shared" si="0"/>
        <v>-6.3027625196196313E-2</v>
      </c>
    </row>
    <row r="21" spans="1:5" x14ac:dyDescent="0.35">
      <c r="A21" s="35">
        <v>18537</v>
      </c>
      <c r="B21" s="63">
        <f>VLOOKUP(A21,Database!A:L,MATCH($A$1,Database!$A$1:$L$1,),)</f>
        <v>643.1</v>
      </c>
      <c r="C21" s="37">
        <f t="shared" si="1"/>
        <v>7.0650264790739589E-2</v>
      </c>
      <c r="D21" s="36">
        <f t="shared" si="2"/>
        <v>5.2702224899493257E-2</v>
      </c>
      <c r="E21" s="36">
        <f t="shared" si="0"/>
        <v>0.31398532518380029</v>
      </c>
    </row>
    <row r="22" spans="1:5" x14ac:dyDescent="0.35">
      <c r="A22" s="35">
        <v>18629</v>
      </c>
      <c r="B22" s="63">
        <f>VLOOKUP(A22,Database!A:L,MATCH($A$1,Database!$A$1:$L$1,),)</f>
        <v>711.53700000000003</v>
      </c>
      <c r="C22" s="37">
        <f t="shared" si="1"/>
        <v>0.1064173534442544</v>
      </c>
      <c r="D22" s="36">
        <f t="shared" si="2"/>
        <v>0.18674748027332982</v>
      </c>
      <c r="E22" s="36">
        <f t="shared" si="0"/>
        <v>0.49856613868194577</v>
      </c>
    </row>
    <row r="23" spans="1:5" x14ac:dyDescent="0.35">
      <c r="A23" s="35">
        <v>18719</v>
      </c>
      <c r="B23" s="63">
        <f>VLOOKUP(A23,Database!A:L,MATCH($A$1,Database!$A$1:$L$1,),)</f>
        <v>806.37599999999998</v>
      </c>
      <c r="C23" s="37">
        <f t="shared" si="1"/>
        <v>0.13328751702300784</v>
      </c>
      <c r="D23" s="36">
        <f t="shared" si="2"/>
        <v>0.32080410273881727</v>
      </c>
      <c r="E23" s="36">
        <f t="shared" si="0"/>
        <v>0.64953076715056657</v>
      </c>
    </row>
    <row r="24" spans="1:5" x14ac:dyDescent="0.35">
      <c r="A24" s="35">
        <v>18810</v>
      </c>
      <c r="B24" s="63">
        <f>VLOOKUP(A24,Database!A:L,MATCH($A$1,Database!$A$1:$L$1,),)</f>
        <v>895.01499999999999</v>
      </c>
      <c r="C24" s="37">
        <f t="shared" si="1"/>
        <v>0.10992266634919691</v>
      </c>
      <c r="D24" s="36">
        <f t="shared" si="2"/>
        <v>0.49004516675739968</v>
      </c>
      <c r="E24" s="36">
        <f t="shared" si="0"/>
        <v>0.5176473986166179</v>
      </c>
    </row>
    <row r="25" spans="1:5" x14ac:dyDescent="0.35">
      <c r="A25" s="35">
        <v>18902</v>
      </c>
      <c r="B25" s="63">
        <f>VLOOKUP(A25,Database!A:L,MATCH($A$1,Database!$A$1:$L$1,),)</f>
        <v>942.35</v>
      </c>
      <c r="C25" s="37">
        <f t="shared" si="1"/>
        <v>5.2887381775724468E-2</v>
      </c>
      <c r="D25" s="36">
        <f t="shared" si="2"/>
        <v>0.46532421085367748</v>
      </c>
      <c r="E25" s="36">
        <f t="shared" si="0"/>
        <v>0.22893152156433105</v>
      </c>
    </row>
    <row r="26" spans="1:5" x14ac:dyDescent="0.35">
      <c r="A26" s="35">
        <v>18994</v>
      </c>
      <c r="B26" s="63">
        <f>VLOOKUP(A26,Database!A:L,MATCH($A$1,Database!$A$1:$L$1,),)</f>
        <v>970.39400000000001</v>
      </c>
      <c r="C26" s="37">
        <f t="shared" si="1"/>
        <v>2.9759643444580021E-2</v>
      </c>
      <c r="D26" s="36">
        <f t="shared" si="2"/>
        <v>0.36379977429142824</v>
      </c>
      <c r="E26" s="36">
        <f t="shared" si="0"/>
        <v>0.12445860128912223</v>
      </c>
    </row>
    <row r="27" spans="1:5" x14ac:dyDescent="0.35">
      <c r="A27" s="35">
        <v>19085</v>
      </c>
      <c r="B27" s="63">
        <f>VLOOKUP(A27,Database!A:L,MATCH($A$1,Database!$A$1:$L$1,),)</f>
        <v>1003.463</v>
      </c>
      <c r="C27" s="37">
        <f t="shared" si="1"/>
        <v>3.4077910621871071E-2</v>
      </c>
      <c r="D27" s="36">
        <f t="shared" si="2"/>
        <v>0.24441079595622886</v>
      </c>
      <c r="E27" s="36">
        <f t="shared" si="0"/>
        <v>0.14343911432318524</v>
      </c>
    </row>
    <row r="28" spans="1:5" x14ac:dyDescent="0.35">
      <c r="A28" s="35">
        <v>19176</v>
      </c>
      <c r="B28" s="63">
        <f>VLOOKUP(A28,Database!A:L,MATCH($A$1,Database!$A$1:$L$1,),)</f>
        <v>1013.614</v>
      </c>
      <c r="C28" s="37">
        <f t="shared" si="1"/>
        <v>1.011596840142593E-2</v>
      </c>
      <c r="D28" s="36">
        <f t="shared" si="2"/>
        <v>0.132510628313492</v>
      </c>
      <c r="E28" s="36">
        <f t="shared" si="0"/>
        <v>4.1082021760062037E-2</v>
      </c>
    </row>
    <row r="29" spans="1:5" x14ac:dyDescent="0.35">
      <c r="A29" s="35">
        <v>19268</v>
      </c>
      <c r="B29" s="63">
        <f>VLOOKUP(A29,Database!A:L,MATCH($A$1,Database!$A$1:$L$1,),)</f>
        <v>1030.52</v>
      </c>
      <c r="C29" s="37">
        <f t="shared" si="1"/>
        <v>1.667893300605551E-2</v>
      </c>
      <c r="D29" s="36">
        <f t="shared" si="2"/>
        <v>9.3563962434339634E-2</v>
      </c>
      <c r="E29" s="36">
        <f t="shared" si="0"/>
        <v>6.8403489685860519E-2</v>
      </c>
    </row>
    <row r="30" spans="1:5" x14ac:dyDescent="0.35">
      <c r="A30" s="35">
        <v>19360</v>
      </c>
      <c r="B30" s="63">
        <f>VLOOKUP(A30,Database!A:L,MATCH($A$1,Database!$A$1:$L$1,),)</f>
        <v>1063.1659999999999</v>
      </c>
      <c r="C30" s="37">
        <f t="shared" si="1"/>
        <v>3.1679152272639018E-2</v>
      </c>
      <c r="D30" s="36">
        <f t="shared" si="2"/>
        <v>9.5602404796402224E-2</v>
      </c>
      <c r="E30" s="36">
        <f t="shared" si="0"/>
        <v>0.13286619719417025</v>
      </c>
    </row>
    <row r="31" spans="1:5" x14ac:dyDescent="0.35">
      <c r="A31" s="35">
        <v>19450</v>
      </c>
      <c r="B31" s="63">
        <f>VLOOKUP(A31,Database!A:L,MATCH($A$1,Database!$A$1:$L$1,),)</f>
        <v>1084.9659999999999</v>
      </c>
      <c r="C31" s="37">
        <f t="shared" si="1"/>
        <v>2.0504794171371125E-2</v>
      </c>
      <c r="D31" s="36">
        <f t="shared" si="2"/>
        <v>8.1221729151946739E-2</v>
      </c>
      <c r="E31" s="36">
        <f t="shared" si="0"/>
        <v>8.4576517647537264E-2</v>
      </c>
    </row>
    <row r="32" spans="1:5" x14ac:dyDescent="0.35">
      <c r="A32" s="35">
        <v>19541</v>
      </c>
      <c r="B32" s="63">
        <f>VLOOKUP(A32,Database!A:L,MATCH($A$1,Database!$A$1:$L$1,),)</f>
        <v>1073.4480000000001</v>
      </c>
      <c r="C32" s="37">
        <f t="shared" si="1"/>
        <v>-1.0616000870073167E-2</v>
      </c>
      <c r="D32" s="36">
        <f t="shared" si="2"/>
        <v>5.9030360669840846E-2</v>
      </c>
      <c r="E32" s="36">
        <f t="shared" si="0"/>
        <v>-4.1792579603157187E-2</v>
      </c>
    </row>
    <row r="33" spans="1:5" x14ac:dyDescent="0.35">
      <c r="A33" s="35">
        <v>19633</v>
      </c>
      <c r="B33" s="63">
        <f>VLOOKUP(A33,Database!A:L,MATCH($A$1,Database!$A$1:$L$1,),)</f>
        <v>1070.7739999999999</v>
      </c>
      <c r="C33" s="37">
        <f t="shared" si="1"/>
        <v>-2.4910382244880099E-3</v>
      </c>
      <c r="D33" s="36">
        <f t="shared" si="2"/>
        <v>3.9061832861079754E-2</v>
      </c>
      <c r="E33" s="36">
        <f t="shared" si="0"/>
        <v>-9.9269830611048437E-3</v>
      </c>
    </row>
    <row r="34" spans="1:5" x14ac:dyDescent="0.35">
      <c r="A34" s="35">
        <v>19725</v>
      </c>
      <c r="B34" s="63">
        <f>VLOOKUP(A34,Database!A:L,MATCH($A$1,Database!$A$1:$L$1,),)</f>
        <v>1042.9390000000001</v>
      </c>
      <c r="C34" s="37">
        <f t="shared" si="1"/>
        <v>-2.5995214676486179E-2</v>
      </c>
      <c r="D34" s="36">
        <f t="shared" si="2"/>
        <v>-1.9025250995611094E-2</v>
      </c>
      <c r="E34" s="36">
        <f t="shared" si="0"/>
        <v>-9.9996160138419388E-2</v>
      </c>
    </row>
    <row r="35" spans="1:5" x14ac:dyDescent="0.35">
      <c r="A35" s="35">
        <v>19815</v>
      </c>
      <c r="B35" s="63">
        <f>VLOOKUP(A35,Database!A:L,MATCH($A$1,Database!$A$1:$L$1,),)</f>
        <v>1007.623</v>
      </c>
      <c r="C35" s="37">
        <f t="shared" si="1"/>
        <v>-3.3861999599209568E-2</v>
      </c>
      <c r="D35" s="36">
        <f t="shared" si="2"/>
        <v>-7.1286104818031035E-2</v>
      </c>
      <c r="E35" s="36">
        <f t="shared" si="0"/>
        <v>-0.12872218294176008</v>
      </c>
    </row>
    <row r="36" spans="1:5" x14ac:dyDescent="0.35">
      <c r="A36" s="35">
        <v>19906</v>
      </c>
      <c r="B36" s="63">
        <f>VLOOKUP(A36,Database!A:L,MATCH($A$1,Database!$A$1:$L$1,),)</f>
        <v>985.83199999999999</v>
      </c>
      <c r="C36" s="37">
        <f t="shared" si="1"/>
        <v>-2.1626143905012146E-2</v>
      </c>
      <c r="D36" s="36">
        <f t="shared" si="2"/>
        <v>-8.1621093895559063E-2</v>
      </c>
      <c r="E36" s="36">
        <f t="shared" si="0"/>
        <v>-8.3738673618456549E-2</v>
      </c>
    </row>
    <row r="37" spans="1:5" x14ac:dyDescent="0.35">
      <c r="A37" s="35">
        <v>19998</v>
      </c>
      <c r="B37" s="63">
        <f>VLOOKUP(A37,Database!A:L,MATCH($A$1,Database!$A$1:$L$1,),)</f>
        <v>979.89700000000005</v>
      </c>
      <c r="C37" s="37">
        <f t="shared" si="1"/>
        <v>-6.0202955473142947E-3</v>
      </c>
      <c r="D37" s="36">
        <f t="shared" si="2"/>
        <v>-8.4870383479613676E-2</v>
      </c>
      <c r="E37" s="36">
        <f t="shared" si="0"/>
        <v>-2.3864589922138024E-2</v>
      </c>
    </row>
    <row r="38" spans="1:5" x14ac:dyDescent="0.35">
      <c r="A38" s="35">
        <v>20090</v>
      </c>
      <c r="B38" s="63">
        <f>VLOOKUP(A38,Database!A:L,MATCH($A$1,Database!$A$1:$L$1,),)</f>
        <v>980.47199999999998</v>
      </c>
      <c r="C38" s="37">
        <f t="shared" si="1"/>
        <v>5.8679636737323589E-4</v>
      </c>
      <c r="D38" s="36">
        <f t="shared" si="2"/>
        <v>-5.989516165374973E-2</v>
      </c>
      <c r="E38" s="36">
        <f t="shared" si="0"/>
        <v>2.3492522576780139E-3</v>
      </c>
    </row>
    <row r="39" spans="1:5" x14ac:dyDescent="0.35">
      <c r="A39" s="35">
        <v>20180</v>
      </c>
      <c r="B39" s="63">
        <f>VLOOKUP(A39,Database!A:L,MATCH($A$1,Database!$A$1:$L$1,),)</f>
        <v>970.85199999999998</v>
      </c>
      <c r="C39" s="37">
        <f t="shared" si="1"/>
        <v>-9.8116009432191887E-3</v>
      </c>
      <c r="D39" s="36">
        <f t="shared" si="2"/>
        <v>-3.6492815269202936E-2</v>
      </c>
      <c r="E39" s="36">
        <f t="shared" si="0"/>
        <v>-3.867256758071691E-2</v>
      </c>
    </row>
    <row r="40" spans="1:5" x14ac:dyDescent="0.35">
      <c r="A40" s="35">
        <v>20271</v>
      </c>
      <c r="B40" s="63">
        <f>VLOOKUP(A40,Database!A:L,MATCH($A$1,Database!$A$1:$L$1,),)</f>
        <v>977.06299999999999</v>
      </c>
      <c r="C40" s="37">
        <f t="shared" si="1"/>
        <v>6.3974735593066842E-3</v>
      </c>
      <c r="D40" s="36">
        <f t="shared" si="2"/>
        <v>-8.8950247100925972E-3</v>
      </c>
      <c r="E40" s="36">
        <f t="shared" si="0"/>
        <v>2.5836509254646867E-2</v>
      </c>
    </row>
    <row r="41" spans="1:5" x14ac:dyDescent="0.35">
      <c r="A41" s="35">
        <v>20363</v>
      </c>
      <c r="B41" s="63">
        <f>VLOOKUP(A41,Database!A:L,MATCH($A$1,Database!$A$1:$L$1,),)</f>
        <v>957.67700000000002</v>
      </c>
      <c r="C41" s="37">
        <f t="shared" si="1"/>
        <v>-1.9841095200616509E-2</v>
      </c>
      <c r="D41" s="36">
        <f t="shared" si="2"/>
        <v>-2.2675852666147592E-2</v>
      </c>
      <c r="E41" s="36">
        <f t="shared" si="0"/>
        <v>-7.7033454775668142E-2</v>
      </c>
    </row>
    <row r="42" spans="1:5" x14ac:dyDescent="0.35">
      <c r="A42" s="35">
        <v>20455</v>
      </c>
      <c r="B42" s="63">
        <f>VLOOKUP(A42,Database!A:L,MATCH($A$1,Database!$A$1:$L$1,),)</f>
        <v>957.42899999999997</v>
      </c>
      <c r="C42" s="37">
        <f t="shared" si="1"/>
        <v>-2.5895996249262256E-4</v>
      </c>
      <c r="D42" s="36">
        <f t="shared" si="2"/>
        <v>-2.3501946001517643E-2</v>
      </c>
      <c r="E42" s="36">
        <f t="shared" si="0"/>
        <v>-1.0354375578566222E-3</v>
      </c>
    </row>
    <row r="43" spans="1:5" x14ac:dyDescent="0.35">
      <c r="A43" s="35">
        <v>20546</v>
      </c>
      <c r="B43" s="63">
        <f>VLOOKUP(A43,Database!A:L,MATCH($A$1,Database!$A$1:$L$1,),)</f>
        <v>976.76099999999997</v>
      </c>
      <c r="C43" s="37">
        <f t="shared" si="1"/>
        <v>2.0191575563305472E-2</v>
      </c>
      <c r="D43" s="36">
        <f t="shared" si="2"/>
        <v>6.0864065789636235E-3</v>
      </c>
      <c r="E43" s="36">
        <f t="shared" si="0"/>
        <v>8.3245595213774282E-2</v>
      </c>
    </row>
    <row r="44" spans="1:5" x14ac:dyDescent="0.35">
      <c r="A44" s="35">
        <v>20637</v>
      </c>
      <c r="B44" s="63">
        <f>VLOOKUP(A44,Database!A:L,MATCH($A$1,Database!$A$1:$L$1,),)</f>
        <v>968.17899999999997</v>
      </c>
      <c r="C44" s="37">
        <f t="shared" si="1"/>
        <v>-8.7861820854845691E-3</v>
      </c>
      <c r="D44" s="36">
        <f t="shared" si="2"/>
        <v>-9.0925559559619125E-3</v>
      </c>
      <c r="E44" s="36">
        <f t="shared" si="0"/>
        <v>-3.4684253476166993E-2</v>
      </c>
    </row>
    <row r="45" spans="1:5" x14ac:dyDescent="0.35">
      <c r="A45" s="35">
        <v>20729</v>
      </c>
      <c r="B45" s="63">
        <f>VLOOKUP(A45,Database!A:L,MATCH($A$1,Database!$A$1:$L$1,),)</f>
        <v>992.81100000000004</v>
      </c>
      <c r="C45" s="37">
        <f t="shared" si="1"/>
        <v>2.5441576402710719E-2</v>
      </c>
      <c r="D45" s="36">
        <f t="shared" si="2"/>
        <v>3.6686690815379314E-2</v>
      </c>
      <c r="E45" s="36">
        <f t="shared" si="0"/>
        <v>0.10571623809770547</v>
      </c>
    </row>
    <row r="46" spans="1:5" x14ac:dyDescent="0.35">
      <c r="A46" s="35">
        <v>20821</v>
      </c>
      <c r="B46" s="63">
        <f>VLOOKUP(A46,Database!A:L,MATCH($A$1,Database!$A$1:$L$1,),)</f>
        <v>1014.096</v>
      </c>
      <c r="C46" s="37">
        <f t="shared" si="1"/>
        <v>2.143912587592197E-2</v>
      </c>
      <c r="D46" s="36">
        <f t="shared" si="2"/>
        <v>5.9186634204729575E-2</v>
      </c>
      <c r="E46" s="36">
        <f t="shared" si="0"/>
        <v>8.8553948265381877E-2</v>
      </c>
    </row>
    <row r="47" spans="1:5" x14ac:dyDescent="0.35">
      <c r="A47" s="35">
        <v>20911</v>
      </c>
      <c r="B47" s="63">
        <f>VLOOKUP(A47,Database!A:L,MATCH($A$1,Database!$A$1:$L$1,),)</f>
        <v>1008.852</v>
      </c>
      <c r="C47" s="37">
        <f t="shared" si="1"/>
        <v>-5.1711080607753394E-3</v>
      </c>
      <c r="D47" s="36">
        <f t="shared" si="2"/>
        <v>3.2854505861720534E-2</v>
      </c>
      <c r="E47" s="36">
        <f t="shared" si="0"/>
        <v>-2.0524542485732544E-2</v>
      </c>
    </row>
    <row r="48" spans="1:5" x14ac:dyDescent="0.35">
      <c r="A48" s="35">
        <v>21002</v>
      </c>
      <c r="B48" s="63">
        <f>VLOOKUP(A48,Database!A:L,MATCH($A$1,Database!$A$1:$L$1,),)</f>
        <v>1017.442</v>
      </c>
      <c r="C48" s="37">
        <f t="shared" si="1"/>
        <v>8.5146285084432925E-3</v>
      </c>
      <c r="D48" s="36">
        <f t="shared" si="2"/>
        <v>5.0882119938565118E-2</v>
      </c>
      <c r="E48" s="36">
        <f t="shared" si="0"/>
        <v>3.4495981886440319E-2</v>
      </c>
    </row>
    <row r="49" spans="1:5" x14ac:dyDescent="0.35">
      <c r="A49" s="35">
        <v>21094</v>
      </c>
      <c r="B49" s="63">
        <f>VLOOKUP(A49,Database!A:L,MATCH($A$1,Database!$A$1:$L$1,),)</f>
        <v>1034.18</v>
      </c>
      <c r="C49" s="37">
        <f t="shared" si="1"/>
        <v>1.645106060099746E-2</v>
      </c>
      <c r="D49" s="36">
        <f t="shared" si="2"/>
        <v>4.1668555243646599E-2</v>
      </c>
      <c r="E49" s="36">
        <f t="shared" si="0"/>
        <v>6.7445949106713421E-2</v>
      </c>
    </row>
    <row r="50" spans="1:5" x14ac:dyDescent="0.35">
      <c r="A50" s="35">
        <v>21186</v>
      </c>
      <c r="B50" s="63">
        <f>VLOOKUP(A50,Database!A:L,MATCH($A$1,Database!$A$1:$L$1,),)</f>
        <v>1025.248</v>
      </c>
      <c r="C50" s="37">
        <f t="shared" si="1"/>
        <v>-8.6367943684851917E-3</v>
      </c>
      <c r="D50" s="36">
        <f t="shared" si="2"/>
        <v>1.0996986478597729E-2</v>
      </c>
      <c r="E50" s="36">
        <f t="shared" si="0"/>
        <v>-3.4102183627514493E-2</v>
      </c>
    </row>
    <row r="51" spans="1:5" x14ac:dyDescent="0.35">
      <c r="A51" s="35">
        <v>21276</v>
      </c>
      <c r="B51" s="63">
        <f>VLOOKUP(A51,Database!A:L,MATCH($A$1,Database!$A$1:$L$1,),)</f>
        <v>1050.8230000000001</v>
      </c>
      <c r="C51" s="37">
        <f t="shared" si="1"/>
        <v>2.4945183994506737E-2</v>
      </c>
      <c r="D51" s="36">
        <f t="shared" si="2"/>
        <v>4.1602732610928179E-2</v>
      </c>
      <c r="E51" s="36">
        <f t="shared" si="0"/>
        <v>0.1035767861961352</v>
      </c>
    </row>
    <row r="52" spans="1:5" x14ac:dyDescent="0.35">
      <c r="A52" s="35">
        <v>21367</v>
      </c>
      <c r="B52" s="63">
        <f>VLOOKUP(A52,Database!A:L,MATCH($A$1,Database!$A$1:$L$1,),)</f>
        <v>1056.856</v>
      </c>
      <c r="C52" s="37">
        <f t="shared" si="1"/>
        <v>5.7412142672932558E-3</v>
      </c>
      <c r="D52" s="36">
        <f t="shared" si="2"/>
        <v>3.8738326115886693E-2</v>
      </c>
      <c r="E52" s="36">
        <f t="shared" si="0"/>
        <v>2.3163384360297634E-2</v>
      </c>
    </row>
    <row r="53" spans="1:5" x14ac:dyDescent="0.35">
      <c r="A53" s="35">
        <v>21459</v>
      </c>
      <c r="B53" s="63">
        <f>VLOOKUP(A53,Database!A:L,MATCH($A$1,Database!$A$1:$L$1,),)</f>
        <v>1078.163</v>
      </c>
      <c r="C53" s="37">
        <f t="shared" si="1"/>
        <v>2.0160740914561697E-2</v>
      </c>
      <c r="D53" s="36">
        <f t="shared" si="2"/>
        <v>4.2529346922199174E-2</v>
      </c>
      <c r="E53" s="36">
        <f t="shared" si="0"/>
        <v>8.3114639483680142E-2</v>
      </c>
    </row>
    <row r="54" spans="1:5" x14ac:dyDescent="0.35">
      <c r="A54" s="35">
        <v>21551</v>
      </c>
      <c r="B54" s="63">
        <f>VLOOKUP(A54,Database!A:L,MATCH($A$1,Database!$A$1:$L$1,),)</f>
        <v>1067.1969999999999</v>
      </c>
      <c r="C54" s="37">
        <f t="shared" si="1"/>
        <v>-1.0171003827807225E-2</v>
      </c>
      <c r="D54" s="36">
        <f t="shared" si="2"/>
        <v>4.0915953993570182E-2</v>
      </c>
      <c r="E54" s="36">
        <f t="shared" si="0"/>
        <v>-4.0067517429948296E-2</v>
      </c>
    </row>
    <row r="55" spans="1:5" x14ac:dyDescent="0.35">
      <c r="A55" s="35">
        <v>21641</v>
      </c>
      <c r="B55" s="63">
        <f>VLOOKUP(A55,Database!A:L,MATCH($A$1,Database!$A$1:$L$1,),)</f>
        <v>1080.4159999999999</v>
      </c>
      <c r="C55" s="37">
        <f t="shared" si="1"/>
        <v>1.2386654010459224E-2</v>
      </c>
      <c r="D55" s="36">
        <f t="shared" si="2"/>
        <v>2.8161736086857486E-2</v>
      </c>
      <c r="E55" s="36">
        <f t="shared" si="0"/>
        <v>5.0474816665346145E-2</v>
      </c>
    </row>
    <row r="56" spans="1:5" x14ac:dyDescent="0.35">
      <c r="A56" s="35">
        <v>21732</v>
      </c>
      <c r="B56" s="63">
        <f>VLOOKUP(A56,Database!A:L,MATCH($A$1,Database!$A$1:$L$1,),)</f>
        <v>1089.655</v>
      </c>
      <c r="C56" s="37">
        <f t="shared" si="1"/>
        <v>8.5513357817729781E-3</v>
      </c>
      <c r="D56" s="36">
        <f t="shared" si="2"/>
        <v>3.1034502335228243E-2</v>
      </c>
      <c r="E56" s="36">
        <f t="shared" si="0"/>
        <v>3.4646601813794531E-2</v>
      </c>
    </row>
    <row r="57" spans="1:5" x14ac:dyDescent="0.35">
      <c r="A57" s="35">
        <v>21824</v>
      </c>
      <c r="B57" s="63">
        <f>VLOOKUP(A57,Database!A:L,MATCH($A$1,Database!$A$1:$L$1,),)</f>
        <v>1080.7439999999999</v>
      </c>
      <c r="C57" s="37">
        <f t="shared" si="1"/>
        <v>-8.1778177496547606E-3</v>
      </c>
      <c r="D57" s="36">
        <f t="shared" si="2"/>
        <v>2.3938866386621536E-3</v>
      </c>
      <c r="E57" s="36">
        <f t="shared" si="0"/>
        <v>-3.2312193929206368E-2</v>
      </c>
    </row>
    <row r="58" spans="1:5" x14ac:dyDescent="0.35">
      <c r="A58" s="35">
        <v>21916</v>
      </c>
      <c r="B58" s="63">
        <f>VLOOKUP(A58,Database!A:L,MATCH($A$1,Database!$A$1:$L$1,),)</f>
        <v>1062.3119999999999</v>
      </c>
      <c r="C58" s="37">
        <f t="shared" si="1"/>
        <v>-1.7054917723346157E-2</v>
      </c>
      <c r="D58" s="36">
        <f t="shared" si="2"/>
        <v>-4.5774116681362408E-3</v>
      </c>
      <c r="E58" s="36">
        <f t="shared" si="0"/>
        <v>-6.6494208047181869E-2</v>
      </c>
    </row>
    <row r="59" spans="1:5" x14ac:dyDescent="0.35">
      <c r="A59" s="35">
        <v>22007</v>
      </c>
      <c r="B59" s="63">
        <f>VLOOKUP(A59,Database!A:L,MATCH($A$1,Database!$A$1:$L$1,),)</f>
        <v>1074.24</v>
      </c>
      <c r="C59" s="37">
        <f t="shared" si="1"/>
        <v>1.1228339696812341E-2</v>
      </c>
      <c r="D59" s="36">
        <f t="shared" si="2"/>
        <v>-5.7163166780202545E-3</v>
      </c>
      <c r="E59" s="36">
        <f t="shared" si="0"/>
        <v>4.5675490835602961E-2</v>
      </c>
    </row>
    <row r="60" spans="1:5" x14ac:dyDescent="0.35">
      <c r="A60" s="35">
        <v>22098</v>
      </c>
      <c r="B60" s="63">
        <f>VLOOKUP(A60,Database!A:L,MATCH($A$1,Database!$A$1:$L$1,),)</f>
        <v>1100.511</v>
      </c>
      <c r="C60" s="37">
        <f t="shared" si="1"/>
        <v>2.4455428954423552E-2</v>
      </c>
      <c r="D60" s="36">
        <f t="shared" si="2"/>
        <v>9.9627863865168285E-3</v>
      </c>
      <c r="E60" s="36">
        <f t="shared" si="0"/>
        <v>0.1014689855735611</v>
      </c>
    </row>
    <row r="61" spans="1:5" x14ac:dyDescent="0.35">
      <c r="A61" s="35">
        <v>22190</v>
      </c>
      <c r="B61" s="63">
        <f>VLOOKUP(A61,Database!A:L,MATCH($A$1,Database!$A$1:$L$1,),)</f>
        <v>1108.1420000000001</v>
      </c>
      <c r="C61" s="37">
        <f t="shared" si="1"/>
        <v>6.9340515451459242E-3</v>
      </c>
      <c r="D61" s="36">
        <f t="shared" si="2"/>
        <v>2.5351054458780376E-2</v>
      </c>
      <c r="E61" s="36">
        <f t="shared" si="0"/>
        <v>2.8026028503851608E-2</v>
      </c>
    </row>
    <row r="62" spans="1:5" x14ac:dyDescent="0.35">
      <c r="A62" s="35">
        <v>22282</v>
      </c>
      <c r="B62" s="63">
        <f>VLOOKUP(A62,Database!A:L,MATCH($A$1,Database!$A$1:$L$1,),)</f>
        <v>1124.596</v>
      </c>
      <c r="C62" s="37">
        <f t="shared" si="1"/>
        <v>1.4848277567315335E-2</v>
      </c>
      <c r="D62" s="36">
        <f t="shared" si="2"/>
        <v>5.8630609463133344E-2</v>
      </c>
      <c r="E62" s="36">
        <f t="shared" si="0"/>
        <v>6.0729081436178944E-2</v>
      </c>
    </row>
    <row r="63" spans="1:5" x14ac:dyDescent="0.35">
      <c r="A63" s="35">
        <v>22372</v>
      </c>
      <c r="B63" s="63">
        <f>VLOOKUP(A63,Database!A:L,MATCH($A$1,Database!$A$1:$L$1,),)</f>
        <v>1127.4110000000001</v>
      </c>
      <c r="C63" s="37">
        <f t="shared" si="1"/>
        <v>2.5031211208292174E-3</v>
      </c>
      <c r="D63" s="36">
        <f t="shared" si="2"/>
        <v>4.9496388144176395E-2</v>
      </c>
      <c r="E63" s="36">
        <f t="shared" si="0"/>
        <v>1.0050140949024566E-2</v>
      </c>
    </row>
    <row r="64" spans="1:5" x14ac:dyDescent="0.35">
      <c r="A64" s="35">
        <v>22463</v>
      </c>
      <c r="B64" s="63">
        <f>VLOOKUP(A64,Database!A:L,MATCH($A$1,Database!$A$1:$L$1,),)</f>
        <v>1151.491</v>
      </c>
      <c r="C64" s="37">
        <f t="shared" si="1"/>
        <v>2.1358670440504771E-2</v>
      </c>
      <c r="D64" s="36">
        <f t="shared" si="2"/>
        <v>4.6323934972026651E-2</v>
      </c>
      <c r="E64" s="36">
        <f t="shared" si="0"/>
        <v>8.8211021378754806E-2</v>
      </c>
    </row>
    <row r="65" spans="1:5" x14ac:dyDescent="0.35">
      <c r="A65" s="35">
        <v>22555</v>
      </c>
      <c r="B65" s="63">
        <f>VLOOKUP(A65,Database!A:L,MATCH($A$1,Database!$A$1:$L$1,),)</f>
        <v>1176.7370000000001</v>
      </c>
      <c r="C65" s="37">
        <f t="shared" si="1"/>
        <v>2.192461773474573E-2</v>
      </c>
      <c r="D65" s="36">
        <f t="shared" si="2"/>
        <v>6.1900911616020349E-2</v>
      </c>
      <c r="E65" s="36">
        <f t="shared" si="0"/>
        <v>9.062499085592024E-2</v>
      </c>
    </row>
    <row r="66" spans="1:5" x14ac:dyDescent="0.35">
      <c r="A66" s="35">
        <v>22647</v>
      </c>
      <c r="B66" s="63">
        <f>VLOOKUP(A66,Database!A:L,MATCH($A$1,Database!$A$1:$L$1,),)</f>
        <v>1199.4449999999999</v>
      </c>
      <c r="C66" s="37">
        <f t="shared" si="1"/>
        <v>1.9297430096954421E-2</v>
      </c>
      <c r="D66" s="36">
        <f t="shared" si="2"/>
        <v>6.6556345567652678E-2</v>
      </c>
      <c r="E66" s="36">
        <f t="shared" si="0"/>
        <v>7.9452948655184041E-2</v>
      </c>
    </row>
    <row r="67" spans="1:5" x14ac:dyDescent="0.35">
      <c r="A67" s="35">
        <v>22737</v>
      </c>
      <c r="B67" s="63">
        <f>VLOOKUP(A67,Database!A:L,MATCH($A$1,Database!$A$1:$L$1,),)</f>
        <v>1205.5039999999999</v>
      </c>
      <c r="C67" s="37">
        <f t="shared" si="1"/>
        <v>5.051502986798035E-3</v>
      </c>
      <c r="D67" s="36">
        <f t="shared" si="2"/>
        <v>6.9267551939798208E-2</v>
      </c>
      <c r="E67" s="36">
        <f t="shared" si="0"/>
        <v>2.035963430349419E-2</v>
      </c>
    </row>
    <row r="68" spans="1:5" x14ac:dyDescent="0.35">
      <c r="A68" s="35">
        <v>22828</v>
      </c>
      <c r="B68" s="63">
        <f>VLOOKUP(A68,Database!A:L,MATCH($A$1,Database!$A$1:$L$1,),)</f>
        <v>1233.3320000000001</v>
      </c>
      <c r="C68" s="37">
        <f t="shared" si="1"/>
        <v>2.3084120832448672E-2</v>
      </c>
      <c r="D68" s="36">
        <f t="shared" si="2"/>
        <v>7.1073938050753432E-2</v>
      </c>
      <c r="E68" s="36">
        <f t="shared" si="0"/>
        <v>9.5583231049432893E-2</v>
      </c>
    </row>
    <row r="69" spans="1:5" x14ac:dyDescent="0.35">
      <c r="A69" s="35">
        <v>22920</v>
      </c>
      <c r="B69" s="63">
        <f>VLOOKUP(A69,Database!A:L,MATCH($A$1,Database!$A$1:$L$1,),)</f>
        <v>1241.8510000000001</v>
      </c>
      <c r="C69" s="37">
        <f t="shared" si="1"/>
        <v>6.9073047646538033E-3</v>
      </c>
      <c r="D69" s="36">
        <f t="shared" si="2"/>
        <v>5.5334369532019499E-2</v>
      </c>
      <c r="E69" s="36">
        <f t="shared" si="0"/>
        <v>2.7916804703389531E-2</v>
      </c>
    </row>
    <row r="70" spans="1:5" x14ac:dyDescent="0.35">
      <c r="A70" s="35">
        <v>23012</v>
      </c>
      <c r="B70" s="63">
        <f>VLOOKUP(A70,Database!A:L,MATCH($A$1,Database!$A$1:$L$1,),)</f>
        <v>1225.0050000000001</v>
      </c>
      <c r="C70" s="37">
        <f t="shared" si="1"/>
        <v>-1.3565234476599852E-2</v>
      </c>
      <c r="D70" s="36">
        <f t="shared" si="2"/>
        <v>2.130985580831149E-2</v>
      </c>
      <c r="E70" s="36">
        <f t="shared" ref="E70:E133" si="3">((1+C70)^4)-1</f>
        <v>-5.3166795384540277E-2</v>
      </c>
    </row>
    <row r="71" spans="1:5" x14ac:dyDescent="0.35">
      <c r="A71" s="35">
        <v>23102</v>
      </c>
      <c r="B71" s="63">
        <f>VLOOKUP(A71,Database!A:L,MATCH($A$1,Database!$A$1:$L$1,),)</f>
        <v>1225.904</v>
      </c>
      <c r="C71" s="37">
        <f t="shared" ref="C71:C134" si="4">(B71-B70)/B70</f>
        <v>7.3387455561396654E-4</v>
      </c>
      <c r="D71" s="36">
        <f t="shared" si="2"/>
        <v>1.6922382671480222E-2</v>
      </c>
      <c r="E71" s="36">
        <f t="shared" si="3"/>
        <v>2.9387312349029582E-3</v>
      </c>
    </row>
    <row r="72" spans="1:5" x14ac:dyDescent="0.35">
      <c r="A72" s="35">
        <v>23193</v>
      </c>
      <c r="B72" s="63">
        <f>VLOOKUP(A72,Database!A:L,MATCH($A$1,Database!$A$1:$L$1,),)</f>
        <v>1280.2950000000001</v>
      </c>
      <c r="C72" s="37">
        <f t="shared" si="4"/>
        <v>4.4368074498492602E-2</v>
      </c>
      <c r="D72" s="36">
        <f t="shared" si="2"/>
        <v>3.8078149273674859E-2</v>
      </c>
      <c r="E72" s="36">
        <f t="shared" si="3"/>
        <v>0.18963668813598256</v>
      </c>
    </row>
    <row r="73" spans="1:5" x14ac:dyDescent="0.35">
      <c r="A73" s="35">
        <v>23285</v>
      </c>
      <c r="B73" s="63">
        <f>VLOOKUP(A73,Database!A:L,MATCH($A$1,Database!$A$1:$L$1,),)</f>
        <v>1267.0450000000001</v>
      </c>
      <c r="C73" s="37">
        <f t="shared" si="4"/>
        <v>-1.0349177338035373E-2</v>
      </c>
      <c r="D73" s="36">
        <f t="shared" si="2"/>
        <v>2.0287457996168587E-2</v>
      </c>
      <c r="E73" s="36">
        <f t="shared" si="3"/>
        <v>-4.0758498865191783E-2</v>
      </c>
    </row>
    <row r="74" spans="1:5" x14ac:dyDescent="0.35">
      <c r="A74" s="35">
        <v>23377</v>
      </c>
      <c r="B74" s="63">
        <f>VLOOKUP(A74,Database!A:L,MATCH($A$1,Database!$A$1:$L$1,),)</f>
        <v>1270.9970000000001</v>
      </c>
      <c r="C74" s="37">
        <f t="shared" si="4"/>
        <v>3.1190683835222886E-3</v>
      </c>
      <c r="D74" s="36">
        <f t="shared" ref="D74:D137" si="5">(B74-B70)/B70</f>
        <v>3.7544336553728318E-2</v>
      </c>
      <c r="E74" s="36">
        <f t="shared" si="3"/>
        <v>1.2534766530740704E-2</v>
      </c>
    </row>
    <row r="75" spans="1:5" x14ac:dyDescent="0.35">
      <c r="A75" s="35">
        <v>23468</v>
      </c>
      <c r="B75" s="63">
        <f>VLOOKUP(A75,Database!A:L,MATCH($A$1,Database!$A$1:$L$1,),)</f>
        <v>1282.412</v>
      </c>
      <c r="C75" s="37">
        <f t="shared" si="4"/>
        <v>8.9811384291229347E-3</v>
      </c>
      <c r="D75" s="36">
        <f t="shared" si="5"/>
        <v>4.6094963390281816E-2</v>
      </c>
      <c r="E75" s="36">
        <f t="shared" si="3"/>
        <v>3.6411423012510769E-2</v>
      </c>
    </row>
    <row r="76" spans="1:5" x14ac:dyDescent="0.35">
      <c r="A76" s="35">
        <v>23559</v>
      </c>
      <c r="B76" s="63">
        <f>VLOOKUP(A76,Database!A:L,MATCH($A$1,Database!$A$1:$L$1,),)</f>
        <v>1283.9290000000001</v>
      </c>
      <c r="C76" s="37">
        <f t="shared" si="4"/>
        <v>1.1829271716110366E-3</v>
      </c>
      <c r="D76" s="36">
        <f t="shared" si="5"/>
        <v>2.8384083355789207E-3</v>
      </c>
      <c r="E76" s="36">
        <f t="shared" si="3"/>
        <v>4.7401112097213982E-3</v>
      </c>
    </row>
    <row r="77" spans="1:5" x14ac:dyDescent="0.35">
      <c r="A77" s="35">
        <v>23651</v>
      </c>
      <c r="B77" s="63">
        <f>VLOOKUP(A77,Database!A:L,MATCH($A$1,Database!$A$1:$L$1,),)</f>
        <v>1283.386</v>
      </c>
      <c r="C77" s="37">
        <f t="shared" si="4"/>
        <v>-4.2292058205720102E-4</v>
      </c>
      <c r="D77" s="36">
        <f t="shared" si="5"/>
        <v>1.2896937362129912E-2</v>
      </c>
      <c r="E77" s="36">
        <f t="shared" si="3"/>
        <v>-1.6906094598617694E-3</v>
      </c>
    </row>
    <row r="78" spans="1:5" x14ac:dyDescent="0.35">
      <c r="A78" s="35">
        <v>23743</v>
      </c>
      <c r="B78" s="63">
        <f>VLOOKUP(A78,Database!A:L,MATCH($A$1,Database!$A$1:$L$1,),)</f>
        <v>1281.9100000000001</v>
      </c>
      <c r="C78" s="37">
        <f t="shared" si="4"/>
        <v>-1.1500826719318159E-3</v>
      </c>
      <c r="D78" s="36">
        <f t="shared" si="5"/>
        <v>8.58617290206036E-3</v>
      </c>
      <c r="E78" s="36">
        <f t="shared" si="3"/>
        <v>-4.5924006298762032E-3</v>
      </c>
    </row>
    <row r="79" spans="1:5" x14ac:dyDescent="0.35">
      <c r="A79" s="35">
        <v>23833</v>
      </c>
      <c r="B79" s="63">
        <f>VLOOKUP(A79,Database!A:L,MATCH($A$1,Database!$A$1:$L$1,),)</f>
        <v>1297.0740000000001</v>
      </c>
      <c r="C79" s="37">
        <f t="shared" si="4"/>
        <v>1.1829223580438553E-2</v>
      </c>
      <c r="D79" s="36">
        <f t="shared" si="5"/>
        <v>1.1433143170837479E-2</v>
      </c>
      <c r="E79" s="36">
        <f t="shared" si="3"/>
        <v>4.8163118163528251E-2</v>
      </c>
    </row>
    <row r="80" spans="1:5" x14ac:dyDescent="0.35">
      <c r="A80" s="35">
        <v>23924</v>
      </c>
      <c r="B80" s="63">
        <f>VLOOKUP(A80,Database!A:L,MATCH($A$1,Database!$A$1:$L$1,),)</f>
        <v>1340.1089999999999</v>
      </c>
      <c r="C80" s="37">
        <f t="shared" si="4"/>
        <v>3.317852335333208E-2</v>
      </c>
      <c r="D80" s="36">
        <f t="shared" si="5"/>
        <v>4.3756313627934126E-2</v>
      </c>
      <c r="E80" s="36">
        <f t="shared" si="3"/>
        <v>0.1394662852638362</v>
      </c>
    </row>
    <row r="81" spans="1:5" x14ac:dyDescent="0.35">
      <c r="A81" s="35">
        <v>24016</v>
      </c>
      <c r="B81" s="63">
        <f>VLOOKUP(A81,Database!A:L,MATCH($A$1,Database!$A$1:$L$1,),)</f>
        <v>1365.498</v>
      </c>
      <c r="C81" s="37">
        <f t="shared" si="4"/>
        <v>1.8945473838322201E-2</v>
      </c>
      <c r="D81" s="36">
        <f t="shared" si="5"/>
        <v>6.3980750919832449E-2</v>
      </c>
      <c r="E81" s="36">
        <f t="shared" si="3"/>
        <v>7.7962810528373838E-2</v>
      </c>
    </row>
    <row r="82" spans="1:5" x14ac:dyDescent="0.35">
      <c r="A82" s="35">
        <v>24108</v>
      </c>
      <c r="B82" s="63">
        <f>VLOOKUP(A82,Database!A:L,MATCH($A$1,Database!$A$1:$L$1,),)</f>
        <v>1390.9469999999999</v>
      </c>
      <c r="C82" s="37">
        <f t="shared" si="4"/>
        <v>1.8637156553872537E-2</v>
      </c>
      <c r="D82" s="36">
        <f t="shared" si="5"/>
        <v>8.5058233417322437E-2</v>
      </c>
      <c r="E82" s="36">
        <f t="shared" si="3"/>
        <v>7.6658702478084706E-2</v>
      </c>
    </row>
    <row r="83" spans="1:5" x14ac:dyDescent="0.35">
      <c r="A83" s="35">
        <v>24198</v>
      </c>
      <c r="B83" s="63">
        <f>VLOOKUP(A83,Database!A:L,MATCH($A$1,Database!$A$1:$L$1,),)</f>
        <v>1417.2260000000001</v>
      </c>
      <c r="C83" s="37">
        <f t="shared" si="4"/>
        <v>1.8892883769115736E-2</v>
      </c>
      <c r="D83" s="36">
        <f t="shared" si="5"/>
        <v>9.263311114092182E-2</v>
      </c>
      <c r="E83" s="36">
        <f t="shared" si="3"/>
        <v>7.7740283409679423E-2</v>
      </c>
    </row>
    <row r="84" spans="1:5" x14ac:dyDescent="0.35">
      <c r="A84" s="35">
        <v>24289</v>
      </c>
      <c r="B84" s="63">
        <f>VLOOKUP(A84,Database!A:L,MATCH($A$1,Database!$A$1:$L$1,),)</f>
        <v>1455.85</v>
      </c>
      <c r="C84" s="37">
        <f t="shared" si="4"/>
        <v>2.7253239779682133E-2</v>
      </c>
      <c r="D84" s="36">
        <f t="shared" si="5"/>
        <v>8.6366855233417569E-2</v>
      </c>
      <c r="E84" s="36">
        <f t="shared" si="3"/>
        <v>0.11355091343579926</v>
      </c>
    </row>
    <row r="85" spans="1:5" x14ac:dyDescent="0.35">
      <c r="A85" s="35">
        <v>24381</v>
      </c>
      <c r="B85" s="63">
        <f>VLOOKUP(A85,Database!A:L,MATCH($A$1,Database!$A$1:$L$1,),)</f>
        <v>1480.9849999999999</v>
      </c>
      <c r="C85" s="37">
        <f t="shared" si="4"/>
        <v>1.7264828107291269E-2</v>
      </c>
      <c r="D85" s="36">
        <f t="shared" si="5"/>
        <v>8.4575004870018011E-2</v>
      </c>
      <c r="E85" s="36">
        <f t="shared" si="3"/>
        <v>7.0868431820384492E-2</v>
      </c>
    </row>
    <row r="86" spans="1:5" x14ac:dyDescent="0.35">
      <c r="A86" s="35">
        <v>24473</v>
      </c>
      <c r="B86" s="63">
        <f>VLOOKUP(A86,Database!A:L,MATCH($A$1,Database!$A$1:$L$1,),)</f>
        <v>1543.56</v>
      </c>
      <c r="C86" s="37">
        <f t="shared" si="4"/>
        <v>4.225228479694261E-2</v>
      </c>
      <c r="D86" s="36">
        <f t="shared" si="5"/>
        <v>0.10971877433144474</v>
      </c>
      <c r="E86" s="36">
        <f t="shared" si="3"/>
        <v>0.18002558425580539</v>
      </c>
    </row>
    <row r="87" spans="1:5" x14ac:dyDescent="0.35">
      <c r="A87" s="35">
        <v>24563</v>
      </c>
      <c r="B87" s="63">
        <f>VLOOKUP(A87,Database!A:L,MATCH($A$1,Database!$A$1:$L$1,),)</f>
        <v>1537.155</v>
      </c>
      <c r="C87" s="37">
        <f t="shared" si="4"/>
        <v>-4.1494985617662886E-3</v>
      </c>
      <c r="D87" s="36">
        <f t="shared" si="5"/>
        <v>8.462235380948406E-2</v>
      </c>
      <c r="E87" s="36">
        <f t="shared" si="3"/>
        <v>-1.6494969710589502E-2</v>
      </c>
    </row>
    <row r="88" spans="1:5" x14ac:dyDescent="0.35">
      <c r="A88" s="35">
        <v>24654</v>
      </c>
      <c r="B88" s="63">
        <f>VLOOKUP(A88,Database!A:L,MATCH($A$1,Database!$A$1:$L$1,),)</f>
        <v>1554.2370000000001</v>
      </c>
      <c r="C88" s="37">
        <f t="shared" si="4"/>
        <v>1.1112737492315419E-2</v>
      </c>
      <c r="D88" s="36">
        <f t="shared" si="5"/>
        <v>6.7580451282755902E-2</v>
      </c>
      <c r="E88" s="36">
        <f t="shared" si="3"/>
        <v>4.5197412205461474E-2</v>
      </c>
    </row>
    <row r="89" spans="1:5" x14ac:dyDescent="0.35">
      <c r="A89" s="35">
        <v>24746</v>
      </c>
      <c r="B89" s="63">
        <f>VLOOKUP(A89,Database!A:L,MATCH($A$1,Database!$A$1:$L$1,),)</f>
        <v>1566.046</v>
      </c>
      <c r="C89" s="37">
        <f t="shared" si="4"/>
        <v>7.5979403398580576E-3</v>
      </c>
      <c r="D89" s="36">
        <f t="shared" si="5"/>
        <v>5.7435423046148446E-2</v>
      </c>
      <c r="E89" s="36">
        <f t="shared" si="3"/>
        <v>3.0739891353277926E-2</v>
      </c>
    </row>
    <row r="90" spans="1:5" x14ac:dyDescent="0.35">
      <c r="A90" s="35">
        <v>24838</v>
      </c>
      <c r="B90" s="63">
        <f>VLOOKUP(A90,Database!A:L,MATCH($A$1,Database!$A$1:$L$1,),)</f>
        <v>1594.047</v>
      </c>
      <c r="C90" s="37">
        <f t="shared" si="4"/>
        <v>1.7880062271478599E-2</v>
      </c>
      <c r="D90" s="36">
        <f t="shared" si="5"/>
        <v>3.2708155173754229E-2</v>
      </c>
      <c r="E90" s="36">
        <f t="shared" si="3"/>
        <v>7.3461395835221932E-2</v>
      </c>
    </row>
    <row r="91" spans="1:5" x14ac:dyDescent="0.35">
      <c r="A91" s="35">
        <v>24929</v>
      </c>
      <c r="B91" s="63">
        <f>VLOOKUP(A91,Database!A:L,MATCH($A$1,Database!$A$1:$L$1,),)</f>
        <v>1602.3150000000001</v>
      </c>
      <c r="C91" s="37">
        <f t="shared" si="4"/>
        <v>5.1867981307954086E-3</v>
      </c>
      <c r="D91" s="36">
        <f t="shared" si="5"/>
        <v>4.2389999707251436E-2</v>
      </c>
      <c r="E91" s="36">
        <f t="shared" si="3"/>
        <v>2.0909168655167898E-2</v>
      </c>
    </row>
    <row r="92" spans="1:5" x14ac:dyDescent="0.35">
      <c r="A92" s="35">
        <v>25020</v>
      </c>
      <c r="B92" s="63">
        <f>VLOOKUP(A92,Database!A:L,MATCH($A$1,Database!$A$1:$L$1,),)</f>
        <v>1607.115</v>
      </c>
      <c r="C92" s="37">
        <f t="shared" si="4"/>
        <v>2.9956656462680276E-3</v>
      </c>
      <c r="D92" s="36">
        <f t="shared" si="5"/>
        <v>3.4021838368279697E-2</v>
      </c>
      <c r="E92" s="36">
        <f t="shared" si="3"/>
        <v>1.2036614274156143E-2</v>
      </c>
    </row>
    <row r="93" spans="1:5" x14ac:dyDescent="0.35">
      <c r="A93" s="35">
        <v>25112</v>
      </c>
      <c r="B93" s="63">
        <f>VLOOKUP(A93,Database!A:L,MATCH($A$1,Database!$A$1:$L$1,),)</f>
        <v>1608.5730000000001</v>
      </c>
      <c r="C93" s="37">
        <f t="shared" si="4"/>
        <v>9.0721572507261995E-4</v>
      </c>
      <c r="D93" s="36">
        <f t="shared" si="5"/>
        <v>2.7155651877403372E-2</v>
      </c>
      <c r="E93" s="36">
        <f t="shared" si="3"/>
        <v>3.6338041298997759E-3</v>
      </c>
    </row>
    <row r="94" spans="1:5" x14ac:dyDescent="0.35">
      <c r="A94" s="35">
        <v>25204</v>
      </c>
      <c r="B94" s="63">
        <f>VLOOKUP(A94,Database!A:L,MATCH($A$1,Database!$A$1:$L$1,),)</f>
        <v>1612.2190000000001</v>
      </c>
      <c r="C94" s="37">
        <f t="shared" si="4"/>
        <v>2.2666052457674959E-3</v>
      </c>
      <c r="D94" s="36">
        <f t="shared" si="5"/>
        <v>1.1399914808032652E-2</v>
      </c>
      <c r="E94" s="36">
        <f t="shared" si="3"/>
        <v>9.0972925842369712E-3</v>
      </c>
    </row>
    <row r="95" spans="1:5" x14ac:dyDescent="0.35">
      <c r="A95" s="35">
        <v>25294</v>
      </c>
      <c r="B95" s="63">
        <f>VLOOKUP(A95,Database!A:L,MATCH($A$1,Database!$A$1:$L$1,),)</f>
        <v>1607.192</v>
      </c>
      <c r="C95" s="37">
        <f t="shared" si="4"/>
        <v>-3.1180627445775316E-3</v>
      </c>
      <c r="D95" s="36">
        <f t="shared" si="5"/>
        <v>3.0437211160102432E-3</v>
      </c>
      <c r="E95" s="36">
        <f t="shared" si="3"/>
        <v>-1.2414038251268189E-2</v>
      </c>
    </row>
    <row r="96" spans="1:5" x14ac:dyDescent="0.35">
      <c r="A96" s="35">
        <v>25385</v>
      </c>
      <c r="B96" s="63">
        <f>VLOOKUP(A96,Database!A:L,MATCH($A$1,Database!$A$1:$L$1,),)</f>
        <v>1610.451</v>
      </c>
      <c r="C96" s="37">
        <f t="shared" si="4"/>
        <v>2.0277602178209041E-3</v>
      </c>
      <c r="D96" s="36">
        <f t="shared" si="5"/>
        <v>2.0757693133347725E-3</v>
      </c>
      <c r="E96" s="36">
        <f t="shared" si="3"/>
        <v>8.1357451082677557E-3</v>
      </c>
    </row>
    <row r="97" spans="1:5" x14ac:dyDescent="0.35">
      <c r="A97" s="35">
        <v>25477</v>
      </c>
      <c r="B97" s="63">
        <f>VLOOKUP(A97,Database!A:L,MATCH($A$1,Database!$A$1:$L$1,),)</f>
        <v>1588.788</v>
      </c>
      <c r="C97" s="37">
        <f t="shared" si="4"/>
        <v>-1.3451511408915894E-2</v>
      </c>
      <c r="D97" s="36">
        <f t="shared" si="5"/>
        <v>-1.2299721554446134E-2</v>
      </c>
      <c r="E97" s="36">
        <f t="shared" si="3"/>
        <v>-5.2730089776012123E-2</v>
      </c>
    </row>
    <row r="98" spans="1:5" x14ac:dyDescent="0.35">
      <c r="A98" s="35">
        <v>25569</v>
      </c>
      <c r="B98" s="63">
        <f>VLOOKUP(A98,Database!A:L,MATCH($A$1,Database!$A$1:$L$1,),)</f>
        <v>1581.1469999999999</v>
      </c>
      <c r="C98" s="37">
        <f t="shared" si="4"/>
        <v>-4.8093263544287069E-3</v>
      </c>
      <c r="D98" s="36">
        <f t="shared" si="5"/>
        <v>-1.9272815913967095E-2</v>
      </c>
      <c r="E98" s="36">
        <f t="shared" si="3"/>
        <v>-1.9098972114398705E-2</v>
      </c>
    </row>
    <row r="99" spans="1:5" x14ac:dyDescent="0.35">
      <c r="A99" s="35">
        <v>25659</v>
      </c>
      <c r="B99" s="63">
        <f>VLOOKUP(A99,Database!A:L,MATCH($A$1,Database!$A$1:$L$1,),)</f>
        <v>1562.7639999999999</v>
      </c>
      <c r="C99" s="37">
        <f t="shared" si="4"/>
        <v>-1.1626369970660563E-2</v>
      </c>
      <c r="D99" s="36">
        <f t="shared" si="5"/>
        <v>-2.7643243619928492E-2</v>
      </c>
      <c r="E99" s="36">
        <f t="shared" si="3"/>
        <v>-4.5700712999863891E-2</v>
      </c>
    </row>
    <row r="100" spans="1:5" x14ac:dyDescent="0.35">
      <c r="A100" s="35">
        <v>25750</v>
      </c>
      <c r="B100" s="63">
        <f>VLOOKUP(A100,Database!A:L,MATCH($A$1,Database!$A$1:$L$1,),)</f>
        <v>1569.37</v>
      </c>
      <c r="C100" s="37">
        <f t="shared" si="4"/>
        <v>4.2271257848273923E-3</v>
      </c>
      <c r="D100" s="36">
        <f t="shared" si="5"/>
        <v>-2.5509003378556772E-2</v>
      </c>
      <c r="E100" s="36">
        <f t="shared" si="3"/>
        <v>1.7016017144151574E-2</v>
      </c>
    </row>
    <row r="101" spans="1:5" x14ac:dyDescent="0.35">
      <c r="A101" s="35">
        <v>25842</v>
      </c>
      <c r="B101" s="63">
        <f>VLOOKUP(A101,Database!A:L,MATCH($A$1,Database!$A$1:$L$1,),)</f>
        <v>1570.1010000000001</v>
      </c>
      <c r="C101" s="37">
        <f t="shared" si="4"/>
        <v>4.6579200570943881E-4</v>
      </c>
      <c r="D101" s="36">
        <f t="shared" si="5"/>
        <v>-1.1761795783956008E-2</v>
      </c>
      <c r="E101" s="36">
        <f t="shared" si="3"/>
        <v>1.8644702002772462E-3</v>
      </c>
    </row>
    <row r="102" spans="1:5" x14ac:dyDescent="0.35">
      <c r="A102" s="35">
        <v>25934</v>
      </c>
      <c r="B102" s="63">
        <f>VLOOKUP(A102,Database!A:L,MATCH($A$1,Database!$A$1:$L$1,),)</f>
        <v>1547.1389999999999</v>
      </c>
      <c r="C102" s="37">
        <f t="shared" si="4"/>
        <v>-1.4624536892849704E-2</v>
      </c>
      <c r="D102" s="36">
        <f t="shared" si="5"/>
        <v>-2.1508436596976776E-2</v>
      </c>
      <c r="E102" s="36">
        <f t="shared" si="3"/>
        <v>-5.7227350764960661E-2</v>
      </c>
    </row>
    <row r="103" spans="1:5" x14ac:dyDescent="0.35">
      <c r="A103" s="35">
        <v>26024</v>
      </c>
      <c r="B103" s="63">
        <f>VLOOKUP(A103,Database!A:L,MATCH($A$1,Database!$A$1:$L$1,),)</f>
        <v>1543.5840000000001</v>
      </c>
      <c r="C103" s="37">
        <f t="shared" si="4"/>
        <v>-2.2977896620793841E-3</v>
      </c>
      <c r="D103" s="36">
        <f t="shared" si="5"/>
        <v>-1.2273126332574744E-2</v>
      </c>
      <c r="E103" s="36">
        <f t="shared" si="3"/>
        <v>-9.1595281242765614E-3</v>
      </c>
    </row>
    <row r="104" spans="1:5" x14ac:dyDescent="0.35">
      <c r="A104" s="35">
        <v>26115</v>
      </c>
      <c r="B104" s="63">
        <f>VLOOKUP(A104,Database!A:L,MATCH($A$1,Database!$A$1:$L$1,),)</f>
        <v>1542.778</v>
      </c>
      <c r="C104" s="37">
        <f t="shared" si="4"/>
        <v>-5.2216141136474591E-4</v>
      </c>
      <c r="D104" s="36">
        <f t="shared" si="5"/>
        <v>-1.6944378954612278E-2</v>
      </c>
      <c r="E104" s="36">
        <f t="shared" si="3"/>
        <v>-2.0870102996219941E-3</v>
      </c>
    </row>
    <row r="105" spans="1:5" x14ac:dyDescent="0.35">
      <c r="A105" s="35">
        <v>26207</v>
      </c>
      <c r="B105" s="63">
        <f>VLOOKUP(A105,Database!A:L,MATCH($A$1,Database!$A$1:$L$1,),)</f>
        <v>1531.9359999999999</v>
      </c>
      <c r="C105" s="37">
        <f t="shared" si="4"/>
        <v>-7.0275827111872854E-3</v>
      </c>
      <c r="D105" s="36">
        <f t="shared" si="5"/>
        <v>-2.4307353475986698E-2</v>
      </c>
      <c r="E105" s="36">
        <f t="shared" si="3"/>
        <v>-2.7815395175731839E-2</v>
      </c>
    </row>
    <row r="106" spans="1:5" x14ac:dyDescent="0.35">
      <c r="A106" s="35">
        <v>26299</v>
      </c>
      <c r="B106" s="63">
        <f>VLOOKUP(A106,Database!A:L,MATCH($A$1,Database!$A$1:$L$1,),)</f>
        <v>1540.394</v>
      </c>
      <c r="C106" s="37">
        <f t="shared" si="4"/>
        <v>5.5211183757024338E-3</v>
      </c>
      <c r="D106" s="36">
        <f t="shared" si="5"/>
        <v>-4.3596599917653757E-3</v>
      </c>
      <c r="E106" s="36">
        <f t="shared" si="3"/>
        <v>2.2268044116162011E-2</v>
      </c>
    </row>
    <row r="107" spans="1:5" x14ac:dyDescent="0.35">
      <c r="A107" s="35">
        <v>26390</v>
      </c>
      <c r="B107" s="63">
        <f>VLOOKUP(A107,Database!A:L,MATCH($A$1,Database!$A$1:$L$1,),)</f>
        <v>1546.5930000000001</v>
      </c>
      <c r="C107" s="37">
        <f t="shared" si="4"/>
        <v>4.0242950829463562E-3</v>
      </c>
      <c r="D107" s="36">
        <f t="shared" si="5"/>
        <v>1.9493594128988214E-3</v>
      </c>
      <c r="E107" s="36">
        <f t="shared" si="3"/>
        <v>1.619461099259456E-2</v>
      </c>
    </row>
    <row r="108" spans="1:5" x14ac:dyDescent="0.35">
      <c r="A108" s="35">
        <v>26481</v>
      </c>
      <c r="B108" s="63">
        <f>VLOOKUP(A108,Database!A:L,MATCH($A$1,Database!$A$1:$L$1,),)</f>
        <v>1517.1389999999999</v>
      </c>
      <c r="C108" s="37">
        <f t="shared" si="4"/>
        <v>-1.9044441556375968E-2</v>
      </c>
      <c r="D108" s="36">
        <f t="shared" si="5"/>
        <v>-1.6618722849301795E-2</v>
      </c>
      <c r="E108" s="36">
        <f t="shared" si="3"/>
        <v>-7.4029119127240417E-2</v>
      </c>
    </row>
    <row r="109" spans="1:5" x14ac:dyDescent="0.35">
      <c r="A109" s="35">
        <v>26573</v>
      </c>
      <c r="B109" s="63">
        <f>VLOOKUP(A109,Database!A:L,MATCH($A$1,Database!$A$1:$L$1,),)</f>
        <v>1529.691</v>
      </c>
      <c r="C109" s="37">
        <f t="shared" si="4"/>
        <v>8.2734673619227605E-3</v>
      </c>
      <c r="D109" s="36">
        <f t="shared" si="5"/>
        <v>-1.4654659202472499E-3</v>
      </c>
      <c r="E109" s="36">
        <f t="shared" si="3"/>
        <v>3.3506840990302544E-2</v>
      </c>
    </row>
    <row r="110" spans="1:5" x14ac:dyDescent="0.35">
      <c r="A110" s="35">
        <v>26665</v>
      </c>
      <c r="B110" s="63">
        <f>VLOOKUP(A110,Database!A:L,MATCH($A$1,Database!$A$1:$L$1,),)</f>
        <v>1542.8610000000001</v>
      </c>
      <c r="C110" s="37">
        <f t="shared" si="4"/>
        <v>8.6095819351751906E-3</v>
      </c>
      <c r="D110" s="36">
        <f t="shared" si="5"/>
        <v>1.6015383077317221E-3</v>
      </c>
      <c r="E110" s="36">
        <f t="shared" si="3"/>
        <v>3.4885635379430679E-2</v>
      </c>
    </row>
    <row r="111" spans="1:5" x14ac:dyDescent="0.35">
      <c r="A111" s="35">
        <v>26755</v>
      </c>
      <c r="B111" s="63">
        <f>VLOOKUP(A111,Database!A:L,MATCH($A$1,Database!$A$1:$L$1,),)</f>
        <v>1531.9880000000001</v>
      </c>
      <c r="C111" s="37">
        <f t="shared" si="4"/>
        <v>-7.0472971965718535E-3</v>
      </c>
      <c r="D111" s="36">
        <f t="shared" si="5"/>
        <v>-9.4433377106970078E-3</v>
      </c>
      <c r="E111" s="36">
        <f t="shared" si="3"/>
        <v>-2.7892599932158979E-2</v>
      </c>
    </row>
    <row r="112" spans="1:5" x14ac:dyDescent="0.35">
      <c r="A112" s="35">
        <v>26846</v>
      </c>
      <c r="B112" s="63">
        <f>VLOOKUP(A112,Database!A:L,MATCH($A$1,Database!$A$1:$L$1,),)</f>
        <v>1513.9649999999999</v>
      </c>
      <c r="C112" s="37">
        <f t="shared" si="4"/>
        <v>-1.1764452463074213E-2</v>
      </c>
      <c r="D112" s="36">
        <f t="shared" si="5"/>
        <v>-2.092095714367621E-3</v>
      </c>
      <c r="E112" s="36">
        <f t="shared" si="3"/>
        <v>-4.6233889557634633E-2</v>
      </c>
    </row>
    <row r="113" spans="1:5" x14ac:dyDescent="0.35">
      <c r="A113" s="35">
        <v>26938</v>
      </c>
      <c r="B113" s="63">
        <f>VLOOKUP(A113,Database!A:L,MATCH($A$1,Database!$A$1:$L$1,),)</f>
        <v>1525.325</v>
      </c>
      <c r="C113" s="37">
        <f t="shared" si="4"/>
        <v>7.5034759720337841E-3</v>
      </c>
      <c r="D113" s="36">
        <f t="shared" si="5"/>
        <v>-2.8541712018963212E-3</v>
      </c>
      <c r="E113" s="36">
        <f t="shared" si="3"/>
        <v>3.0353409815413457E-2</v>
      </c>
    </row>
    <row r="114" spans="1:5" x14ac:dyDescent="0.35">
      <c r="A114" s="35">
        <v>27030</v>
      </c>
      <c r="B114" s="63">
        <f>VLOOKUP(A114,Database!A:L,MATCH($A$1,Database!$A$1:$L$1,),)</f>
        <v>1552.8779999999999</v>
      </c>
      <c r="C114" s="37">
        <f t="shared" si="4"/>
        <v>1.8063691344467496E-2</v>
      </c>
      <c r="D114" s="36">
        <f t="shared" si="5"/>
        <v>6.4924837687904647E-3</v>
      </c>
      <c r="E114" s="36">
        <f t="shared" si="3"/>
        <v>7.4236230026698768E-2</v>
      </c>
    </row>
    <row r="115" spans="1:5" x14ac:dyDescent="0.35">
      <c r="A115" s="35">
        <v>27120</v>
      </c>
      <c r="B115" s="63">
        <f>VLOOKUP(A115,Database!A:L,MATCH($A$1,Database!$A$1:$L$1,),)</f>
        <v>1560.6569999999999</v>
      </c>
      <c r="C115" s="37">
        <f t="shared" si="4"/>
        <v>5.0094083372937198E-3</v>
      </c>
      <c r="D115" s="36">
        <f t="shared" si="5"/>
        <v>1.871359305686459E-2</v>
      </c>
      <c r="E115" s="36">
        <f t="shared" si="3"/>
        <v>2.0188701838046663E-2</v>
      </c>
    </row>
    <row r="116" spans="1:5" x14ac:dyDescent="0.35">
      <c r="A116" s="35">
        <v>27211</v>
      </c>
      <c r="B116" s="63">
        <f>VLOOKUP(A116,Database!A:L,MATCH($A$1,Database!$A$1:$L$1,),)</f>
        <v>1563.7660000000001</v>
      </c>
      <c r="C116" s="37">
        <f t="shared" si="4"/>
        <v>1.9921097332726866E-3</v>
      </c>
      <c r="D116" s="36">
        <f t="shared" si="5"/>
        <v>3.2894419620004535E-2</v>
      </c>
      <c r="E116" s="36">
        <f t="shared" si="3"/>
        <v>7.9922815787356605E-3</v>
      </c>
    </row>
    <row r="117" spans="1:5" x14ac:dyDescent="0.35">
      <c r="A117" s="35">
        <v>27303</v>
      </c>
      <c r="B117" s="63">
        <f>VLOOKUP(A117,Database!A:L,MATCH($A$1,Database!$A$1:$L$1,),)</f>
        <v>1571.26</v>
      </c>
      <c r="C117" s="37">
        <f t="shared" si="4"/>
        <v>4.7922771053980672E-3</v>
      </c>
      <c r="D117" s="36">
        <f t="shared" si="5"/>
        <v>3.0114893547276773E-2</v>
      </c>
      <c r="E117" s="36">
        <f t="shared" si="3"/>
        <v>1.9307344704363238E-2</v>
      </c>
    </row>
    <row r="118" spans="1:5" x14ac:dyDescent="0.35">
      <c r="A118" s="35">
        <v>27395</v>
      </c>
      <c r="B118" s="63">
        <f>VLOOKUP(A118,Database!A:L,MATCH($A$1,Database!$A$1:$L$1,),)</f>
        <v>1588.3720000000001</v>
      </c>
      <c r="C118" s="37">
        <f t="shared" si="4"/>
        <v>1.0890622812265367E-2</v>
      </c>
      <c r="D118" s="36">
        <f t="shared" si="5"/>
        <v>2.2856914709333345E-2</v>
      </c>
      <c r="E118" s="36">
        <f t="shared" si="3"/>
        <v>4.4279306066053792E-2</v>
      </c>
    </row>
    <row r="119" spans="1:5" x14ac:dyDescent="0.35">
      <c r="A119" s="35">
        <v>27485</v>
      </c>
      <c r="B119" s="63">
        <f>VLOOKUP(A119,Database!A:L,MATCH($A$1,Database!$A$1:$L$1,),)</f>
        <v>1574.9480000000001</v>
      </c>
      <c r="C119" s="37">
        <f t="shared" si="4"/>
        <v>-8.4514206999367764E-3</v>
      </c>
      <c r="D119" s="36">
        <f t="shared" si="5"/>
        <v>9.157040912897688E-3</v>
      </c>
      <c r="E119" s="36">
        <f t="shared" si="3"/>
        <v>-3.3379533248919513E-2</v>
      </c>
    </row>
    <row r="120" spans="1:5" x14ac:dyDescent="0.35">
      <c r="A120" s="35">
        <v>27576</v>
      </c>
      <c r="B120" s="63">
        <f>VLOOKUP(A120,Database!A:L,MATCH($A$1,Database!$A$1:$L$1,),)</f>
        <v>1604.3689999999999</v>
      </c>
      <c r="C120" s="37">
        <f t="shared" si="4"/>
        <v>1.8680616756870588E-2</v>
      </c>
      <c r="D120" s="36">
        <f t="shared" si="5"/>
        <v>2.5964882213834958E-2</v>
      </c>
      <c r="E120" s="36">
        <f t="shared" si="3"/>
        <v>7.6842457017629373E-2</v>
      </c>
    </row>
    <row r="121" spans="1:5" x14ac:dyDescent="0.35">
      <c r="A121" s="35">
        <v>27668</v>
      </c>
      <c r="B121" s="63">
        <f>VLOOKUP(A121,Database!A:L,MATCH($A$1,Database!$A$1:$L$1,),)</f>
        <v>1618.424</v>
      </c>
      <c r="C121" s="37">
        <f t="shared" si="4"/>
        <v>8.7604534866979264E-3</v>
      </c>
      <c r="D121" s="36">
        <f t="shared" si="5"/>
        <v>3.0016674515993526E-2</v>
      </c>
      <c r="E121" s="36">
        <f t="shared" si="3"/>
        <v>3.5504982411544983E-2</v>
      </c>
    </row>
    <row r="122" spans="1:5" x14ac:dyDescent="0.35">
      <c r="A122" s="35">
        <v>27760</v>
      </c>
      <c r="B122" s="63">
        <f>VLOOKUP(A122,Database!A:L,MATCH($A$1,Database!$A$1:$L$1,),)</f>
        <v>1620.97</v>
      </c>
      <c r="C122" s="37">
        <f t="shared" si="4"/>
        <v>1.5731353464852531E-3</v>
      </c>
      <c r="D122" s="36">
        <f t="shared" si="5"/>
        <v>2.0522900177036583E-2</v>
      </c>
      <c r="E122" s="36">
        <f t="shared" si="3"/>
        <v>6.3074054934724177E-3</v>
      </c>
    </row>
    <row r="123" spans="1:5" x14ac:dyDescent="0.35">
      <c r="A123" s="35">
        <v>27851</v>
      </c>
      <c r="B123" s="63">
        <f>VLOOKUP(A123,Database!A:L,MATCH($A$1,Database!$A$1:$L$1,),)</f>
        <v>1602.934</v>
      </c>
      <c r="C123" s="37">
        <f t="shared" si="4"/>
        <v>-1.1126671067323922E-2</v>
      </c>
      <c r="D123" s="36">
        <f t="shared" si="5"/>
        <v>1.7769475563637577E-2</v>
      </c>
      <c r="E123" s="36">
        <f t="shared" si="3"/>
        <v>-4.3769362140451129E-2</v>
      </c>
    </row>
    <row r="124" spans="1:5" x14ac:dyDescent="0.35">
      <c r="A124" s="35">
        <v>27942</v>
      </c>
      <c r="B124" s="63">
        <f>VLOOKUP(A124,Database!A:L,MATCH($A$1,Database!$A$1:$L$1,),)</f>
        <v>1598.2429999999999</v>
      </c>
      <c r="C124" s="37">
        <f t="shared" si="4"/>
        <v>-2.9265085150106188E-3</v>
      </c>
      <c r="D124" s="36">
        <f t="shared" si="5"/>
        <v>-3.8183235901466414E-3</v>
      </c>
      <c r="E124" s="36">
        <f t="shared" si="3"/>
        <v>-1.165474752993001E-2</v>
      </c>
    </row>
    <row r="125" spans="1:5" x14ac:dyDescent="0.35">
      <c r="A125" s="35">
        <v>28034</v>
      </c>
      <c r="B125" s="63">
        <f>VLOOKUP(A125,Database!A:L,MATCH($A$1,Database!$A$1:$L$1,),)</f>
        <v>1597.2639999999999</v>
      </c>
      <c r="C125" s="37">
        <f t="shared" si="4"/>
        <v>-6.1254765389245685E-4</v>
      </c>
      <c r="D125" s="36">
        <f t="shared" si="5"/>
        <v>-1.3074447734339136E-2</v>
      </c>
      <c r="E125" s="36">
        <f t="shared" si="3"/>
        <v>-2.4479402470065637E-3</v>
      </c>
    </row>
    <row r="126" spans="1:5" x14ac:dyDescent="0.35">
      <c r="A126" s="35">
        <v>28126</v>
      </c>
      <c r="B126" s="63">
        <f>VLOOKUP(A126,Database!A:L,MATCH($A$1,Database!$A$1:$L$1,),)</f>
        <v>1610.8420000000001</v>
      </c>
      <c r="C126" s="37">
        <f t="shared" si="4"/>
        <v>8.5007863446494771E-3</v>
      </c>
      <c r="D126" s="36">
        <f t="shared" si="5"/>
        <v>-6.248110699149231E-3</v>
      </c>
      <c r="E126" s="36">
        <f t="shared" si="3"/>
        <v>3.4439187993280829E-2</v>
      </c>
    </row>
    <row r="127" spans="1:5" x14ac:dyDescent="0.35">
      <c r="A127" s="35">
        <v>28216</v>
      </c>
      <c r="B127" s="63">
        <f>VLOOKUP(A127,Database!A:L,MATCH($A$1,Database!$A$1:$L$1,),)</f>
        <v>1625.58</v>
      </c>
      <c r="C127" s="37">
        <f t="shared" si="4"/>
        <v>9.1492523785696098E-3</v>
      </c>
      <c r="D127" s="36">
        <f t="shared" si="5"/>
        <v>1.4127843067774443E-2</v>
      </c>
      <c r="E127" s="36">
        <f t="shared" si="3"/>
        <v>3.7102332928414361E-2</v>
      </c>
    </row>
    <row r="128" spans="1:5" x14ac:dyDescent="0.35">
      <c r="A128" s="35">
        <v>28307</v>
      </c>
      <c r="B128" s="63">
        <f>VLOOKUP(A128,Database!A:L,MATCH($A$1,Database!$A$1:$L$1,),)</f>
        <v>1632.1079999999999</v>
      </c>
      <c r="C128" s="37">
        <f t="shared" si="4"/>
        <v>4.0157974384527496E-3</v>
      </c>
      <c r="D128" s="36">
        <f t="shared" si="5"/>
        <v>2.1188893053184034E-2</v>
      </c>
      <c r="E128" s="36">
        <f t="shared" si="3"/>
        <v>1.6160208833381651E-2</v>
      </c>
    </row>
    <row r="129" spans="1:5" x14ac:dyDescent="0.35">
      <c r="A129" s="35">
        <v>28399</v>
      </c>
      <c r="B129" s="63">
        <f>VLOOKUP(A129,Database!A:L,MATCH($A$1,Database!$A$1:$L$1,),)</f>
        <v>1628.2159999999999</v>
      </c>
      <c r="C129" s="37">
        <f t="shared" si="4"/>
        <v>-2.3846461141052264E-3</v>
      </c>
      <c r="D129" s="36">
        <f t="shared" si="5"/>
        <v>1.9378136613609272E-2</v>
      </c>
      <c r="E129" s="36">
        <f t="shared" si="3"/>
        <v>-9.504519443061521E-3</v>
      </c>
    </row>
    <row r="130" spans="1:5" x14ac:dyDescent="0.35">
      <c r="A130" s="35">
        <v>28491</v>
      </c>
      <c r="B130" s="63">
        <f>VLOOKUP(A130,Database!A:L,MATCH($A$1,Database!$A$1:$L$1,),)</f>
        <v>1628.6310000000001</v>
      </c>
      <c r="C130" s="37">
        <f t="shared" si="4"/>
        <v>2.5488018788673679E-4</v>
      </c>
      <c r="D130" s="36">
        <f t="shared" si="5"/>
        <v>1.1043292886577322E-2</v>
      </c>
      <c r="E130" s="36">
        <f t="shared" si="3"/>
        <v>1.0199106012445114E-3</v>
      </c>
    </row>
    <row r="131" spans="1:5" x14ac:dyDescent="0.35">
      <c r="A131" s="35">
        <v>28581</v>
      </c>
      <c r="B131" s="63">
        <f>VLOOKUP(A131,Database!A:L,MATCH($A$1,Database!$A$1:$L$1,),)</f>
        <v>1669.4770000000001</v>
      </c>
      <c r="C131" s="37">
        <f t="shared" si="4"/>
        <v>2.5079959794453134E-2</v>
      </c>
      <c r="D131" s="36">
        <f t="shared" si="5"/>
        <v>2.7003900146409382E-2</v>
      </c>
      <c r="E131" s="36">
        <f t="shared" si="3"/>
        <v>0.10415736274264864</v>
      </c>
    </row>
    <row r="132" spans="1:5" x14ac:dyDescent="0.35">
      <c r="A132" s="35">
        <v>28672</v>
      </c>
      <c r="B132" s="63">
        <f>VLOOKUP(A132,Database!A:L,MATCH($A$1,Database!$A$1:$L$1,),)</f>
        <v>1684.9</v>
      </c>
      <c r="C132" s="37">
        <f t="shared" si="4"/>
        <v>9.2382225092049793E-3</v>
      </c>
      <c r="D132" s="36">
        <f t="shared" si="5"/>
        <v>3.2345898678273831E-2</v>
      </c>
      <c r="E132" s="36">
        <f t="shared" si="3"/>
        <v>3.7468119586676174E-2</v>
      </c>
    </row>
    <row r="133" spans="1:5" x14ac:dyDescent="0.35">
      <c r="A133" s="35">
        <v>28764</v>
      </c>
      <c r="B133" s="63">
        <f>VLOOKUP(A133,Database!A:L,MATCH($A$1,Database!$A$1:$L$1,),)</f>
        <v>1700.067</v>
      </c>
      <c r="C133" s="37">
        <f t="shared" si="4"/>
        <v>9.0017211703958197E-3</v>
      </c>
      <c r="D133" s="36">
        <f t="shared" si="5"/>
        <v>4.4128665975521744E-2</v>
      </c>
      <c r="E133" s="36">
        <f t="shared" si="3"/>
        <v>3.6495994825078926E-2</v>
      </c>
    </row>
    <row r="134" spans="1:5" x14ac:dyDescent="0.35">
      <c r="A134" s="35">
        <v>28856</v>
      </c>
      <c r="B134" s="63">
        <f>VLOOKUP(A134,Database!A:L,MATCH($A$1,Database!$A$1:$L$1,),)</f>
        <v>1683.258</v>
      </c>
      <c r="C134" s="37">
        <f t="shared" si="4"/>
        <v>-9.8872573845618841E-3</v>
      </c>
      <c r="D134" s="36">
        <f t="shared" si="5"/>
        <v>3.354166781794031E-2</v>
      </c>
      <c r="E134" s="36">
        <f t="shared" ref="E134:E197" si="6">((1+C134)^4)-1</f>
        <v>-3.8966339058554067E-2</v>
      </c>
    </row>
    <row r="135" spans="1:5" x14ac:dyDescent="0.35">
      <c r="A135" s="35">
        <v>28946</v>
      </c>
      <c r="B135" s="63">
        <f>VLOOKUP(A135,Database!A:L,MATCH($A$1,Database!$A$1:$L$1,),)</f>
        <v>1699.6590000000001</v>
      </c>
      <c r="C135" s="37">
        <f t="shared" ref="C135:C198" si="7">(B135-B134)/B134</f>
        <v>9.7436043672449891E-3</v>
      </c>
      <c r="D135" s="36">
        <f t="shared" si="5"/>
        <v>1.8078715669637865E-2</v>
      </c>
      <c r="E135" s="36">
        <f t="shared" si="6"/>
        <v>3.9547753585029488E-2</v>
      </c>
    </row>
    <row r="136" spans="1:5" x14ac:dyDescent="0.35">
      <c r="A136" s="35">
        <v>29037</v>
      </c>
      <c r="B136" s="63">
        <f>VLOOKUP(A136,Database!A:L,MATCH($A$1,Database!$A$1:$L$1,),)</f>
        <v>1704.624</v>
      </c>
      <c r="C136" s="37">
        <f t="shared" si="7"/>
        <v>2.9211741884695211E-3</v>
      </c>
      <c r="D136" s="36">
        <f t="shared" si="5"/>
        <v>1.1706332720042692E-2</v>
      </c>
      <c r="E136" s="36">
        <f t="shared" si="6"/>
        <v>1.1735996087070877E-2</v>
      </c>
    </row>
    <row r="137" spans="1:5" x14ac:dyDescent="0.35">
      <c r="A137" s="35">
        <v>29129</v>
      </c>
      <c r="B137" s="63">
        <f>VLOOKUP(A137,Database!A:L,MATCH($A$1,Database!$A$1:$L$1,),)</f>
        <v>1715.85</v>
      </c>
      <c r="C137" s="37">
        <f t="shared" si="7"/>
        <v>6.5856165347900099E-3</v>
      </c>
      <c r="D137" s="36">
        <f t="shared" si="5"/>
        <v>9.2837517580188905E-3</v>
      </c>
      <c r="E137" s="36">
        <f t="shared" si="6"/>
        <v>2.6603832572854591E-2</v>
      </c>
    </row>
    <row r="138" spans="1:5" x14ac:dyDescent="0.35">
      <c r="A138" s="35">
        <v>29221</v>
      </c>
      <c r="B138" s="63">
        <f>VLOOKUP(A138,Database!A:L,MATCH($A$1,Database!$A$1:$L$1,),)</f>
        <v>1741.0340000000001</v>
      </c>
      <c r="C138" s="37">
        <f t="shared" si="7"/>
        <v>1.467727365445709E-2</v>
      </c>
      <c r="D138" s="36">
        <f t="shared" ref="D138:D201" si="8">(B138-B134)/B134</f>
        <v>3.4323912317660195E-2</v>
      </c>
      <c r="E138" s="36">
        <f t="shared" si="6"/>
        <v>6.001432244801852E-2</v>
      </c>
    </row>
    <row r="139" spans="1:5" x14ac:dyDescent="0.35">
      <c r="A139" s="35">
        <v>29312</v>
      </c>
      <c r="B139" s="63">
        <f>VLOOKUP(A139,Database!A:L,MATCH($A$1,Database!$A$1:$L$1,),)</f>
        <v>1744.4559999999999</v>
      </c>
      <c r="C139" s="37">
        <f t="shared" si="7"/>
        <v>1.9654986634378181E-3</v>
      </c>
      <c r="D139" s="36">
        <f t="shared" si="8"/>
        <v>2.6356463267043446E-2</v>
      </c>
      <c r="E139" s="36">
        <f t="shared" si="6"/>
        <v>7.885204150991143E-3</v>
      </c>
    </row>
    <row r="140" spans="1:5" x14ac:dyDescent="0.35">
      <c r="A140" s="35">
        <v>29403</v>
      </c>
      <c r="B140" s="63">
        <f>VLOOKUP(A140,Database!A:L,MATCH($A$1,Database!$A$1:$L$1,),)</f>
        <v>1720.713</v>
      </c>
      <c r="C140" s="37">
        <f t="shared" si="7"/>
        <v>-1.3610546783639106E-2</v>
      </c>
      <c r="D140" s="36">
        <f t="shared" si="8"/>
        <v>9.4384450764508424E-3</v>
      </c>
      <c r="E140" s="36">
        <f t="shared" si="6"/>
        <v>-5.3340756166569192E-2</v>
      </c>
    </row>
    <row r="141" spans="1:5" x14ac:dyDescent="0.35">
      <c r="A141" s="35">
        <v>29495</v>
      </c>
      <c r="B141" s="63">
        <f>VLOOKUP(A141,Database!A:L,MATCH($A$1,Database!$A$1:$L$1,),)</f>
        <v>1720.3340000000001</v>
      </c>
      <c r="C141" s="37">
        <f t="shared" si="7"/>
        <v>-2.2025753277850834E-4</v>
      </c>
      <c r="D141" s="36">
        <f t="shared" si="8"/>
        <v>2.6132820467990509E-3</v>
      </c>
      <c r="E141" s="36">
        <f t="shared" si="6"/>
        <v>-8.8073909356911617E-4</v>
      </c>
    </row>
    <row r="142" spans="1:5" x14ac:dyDescent="0.35">
      <c r="A142" s="35">
        <v>29587</v>
      </c>
      <c r="B142" s="63">
        <f>VLOOKUP(A142,Database!A:L,MATCH($A$1,Database!$A$1:$L$1,),)</f>
        <v>1743.3430000000001</v>
      </c>
      <c r="C142" s="37">
        <f t="shared" si="7"/>
        <v>1.3374728395765017E-2</v>
      </c>
      <c r="D142" s="36">
        <f t="shared" si="8"/>
        <v>1.3262233821969985E-3</v>
      </c>
      <c r="E142" s="36">
        <f t="shared" si="6"/>
        <v>5.4581815805679446E-2</v>
      </c>
    </row>
    <row r="143" spans="1:5" x14ac:dyDescent="0.35">
      <c r="A143" s="35">
        <v>29677</v>
      </c>
      <c r="B143" s="63">
        <f>VLOOKUP(A143,Database!A:L,MATCH($A$1,Database!$A$1:$L$1,),)</f>
        <v>1746.6949999999999</v>
      </c>
      <c r="C143" s="37">
        <f t="shared" si="7"/>
        <v>1.9227426846007134E-3</v>
      </c>
      <c r="D143" s="36">
        <f t="shared" si="8"/>
        <v>1.2834946825830132E-3</v>
      </c>
      <c r="E143" s="36">
        <f t="shared" si="6"/>
        <v>7.7131808217103526E-3</v>
      </c>
    </row>
    <row r="144" spans="1:5" x14ac:dyDescent="0.35">
      <c r="A144" s="35">
        <v>29768</v>
      </c>
      <c r="B144" s="63">
        <f>VLOOKUP(A144,Database!A:L,MATCH($A$1,Database!$A$1:$L$1,),)</f>
        <v>1740.68</v>
      </c>
      <c r="C144" s="37">
        <f t="shared" si="7"/>
        <v>-3.4436464293994503E-3</v>
      </c>
      <c r="D144" s="36">
        <f t="shared" si="8"/>
        <v>1.1603910704458036E-2</v>
      </c>
      <c r="E144" s="36">
        <f t="shared" si="6"/>
        <v>-1.3703596721274303E-2</v>
      </c>
    </row>
    <row r="145" spans="1:5" x14ac:dyDescent="0.35">
      <c r="A145" s="35">
        <v>29860</v>
      </c>
      <c r="B145" s="63">
        <f>VLOOKUP(A145,Database!A:L,MATCH($A$1,Database!$A$1:$L$1,),)</f>
        <v>1762.8040000000001</v>
      </c>
      <c r="C145" s="37">
        <f t="shared" si="7"/>
        <v>1.2709975411908003E-2</v>
      </c>
      <c r="D145" s="36">
        <f t="shared" si="8"/>
        <v>2.4687066581256911E-2</v>
      </c>
      <c r="E145" s="36">
        <f t="shared" si="6"/>
        <v>5.1817401448133404E-2</v>
      </c>
    </row>
    <row r="146" spans="1:5" x14ac:dyDescent="0.35">
      <c r="A146" s="35">
        <v>29952</v>
      </c>
      <c r="B146" s="63">
        <f>VLOOKUP(A146,Database!A:L,MATCH($A$1,Database!$A$1:$L$1,),)</f>
        <v>1760.84</v>
      </c>
      <c r="C146" s="37">
        <f t="shared" si="7"/>
        <v>-1.1141340727614465E-3</v>
      </c>
      <c r="D146" s="36">
        <f t="shared" si="8"/>
        <v>1.0036464424958166E-2</v>
      </c>
      <c r="E146" s="36">
        <f t="shared" si="6"/>
        <v>-4.4490940529872125E-3</v>
      </c>
    </row>
    <row r="147" spans="1:5" x14ac:dyDescent="0.35">
      <c r="A147" s="35">
        <v>30042</v>
      </c>
      <c r="B147" s="63">
        <f>VLOOKUP(A147,Database!A:L,MATCH($A$1,Database!$A$1:$L$1,),)</f>
        <v>1767.5319999999999</v>
      </c>
      <c r="C147" s="37">
        <f t="shared" si="7"/>
        <v>3.800458871902051E-3</v>
      </c>
      <c r="D147" s="36">
        <f t="shared" si="8"/>
        <v>1.1929386641628899E-2</v>
      </c>
      <c r="E147" s="36">
        <f t="shared" si="6"/>
        <v>1.5288716189567619E-2</v>
      </c>
    </row>
    <row r="148" spans="1:5" x14ac:dyDescent="0.35">
      <c r="A148" s="35">
        <v>30133</v>
      </c>
      <c r="B148" s="63">
        <f>VLOOKUP(A148,Database!A:L,MATCH($A$1,Database!$A$1:$L$1,),)</f>
        <v>1781.703</v>
      </c>
      <c r="C148" s="37">
        <f t="shared" si="7"/>
        <v>8.017393744498006E-3</v>
      </c>
      <c r="D148" s="36">
        <f t="shared" si="8"/>
        <v>2.3567226601098369E-2</v>
      </c>
      <c r="E148" s="36">
        <f t="shared" si="6"/>
        <v>3.2457312111917602E-2</v>
      </c>
    </row>
    <row r="149" spans="1:5" x14ac:dyDescent="0.35">
      <c r="A149" s="35">
        <v>30225</v>
      </c>
      <c r="B149" s="63">
        <f>VLOOKUP(A149,Database!A:L,MATCH($A$1,Database!$A$1:$L$1,),)</f>
        <v>1809.171</v>
      </c>
      <c r="C149" s="37">
        <f t="shared" si="7"/>
        <v>1.5416710865952449E-2</v>
      </c>
      <c r="D149" s="36">
        <f t="shared" si="8"/>
        <v>2.630298093265046E-2</v>
      </c>
      <c r="E149" s="36">
        <f t="shared" si="6"/>
        <v>6.3107606462161403E-2</v>
      </c>
    </row>
    <row r="150" spans="1:5" x14ac:dyDescent="0.35">
      <c r="A150" s="35">
        <v>30317</v>
      </c>
      <c r="B150" s="63">
        <f>VLOOKUP(A150,Database!A:L,MATCH($A$1,Database!$A$1:$L$1,),)</f>
        <v>1826.558</v>
      </c>
      <c r="C150" s="37">
        <f t="shared" si="7"/>
        <v>9.6104790536659847E-3</v>
      </c>
      <c r="D150" s="36">
        <f t="shared" si="8"/>
        <v>3.7321959973648983E-2</v>
      </c>
      <c r="E150" s="36">
        <f t="shared" si="6"/>
        <v>3.8999643136770512E-2</v>
      </c>
    </row>
    <row r="151" spans="1:5" x14ac:dyDescent="0.35">
      <c r="A151" s="35">
        <v>30407</v>
      </c>
      <c r="B151" s="63">
        <f>VLOOKUP(A151,Database!A:L,MATCH($A$1,Database!$A$1:$L$1,),)</f>
        <v>1841.6079999999999</v>
      </c>
      <c r="C151" s="37">
        <f t="shared" si="7"/>
        <v>8.2395412573813449E-3</v>
      </c>
      <c r="D151" s="36">
        <f t="shared" si="8"/>
        <v>4.1909283679163953E-2</v>
      </c>
      <c r="E151" s="36">
        <f t="shared" si="6"/>
        <v>3.336774741052162E-2</v>
      </c>
    </row>
    <row r="152" spans="1:5" x14ac:dyDescent="0.35">
      <c r="A152" s="35">
        <v>30498</v>
      </c>
      <c r="B152" s="63">
        <f>VLOOKUP(A152,Database!A:L,MATCH($A$1,Database!$A$1:$L$1,),)</f>
        <v>1873.396</v>
      </c>
      <c r="C152" s="37">
        <f t="shared" si="7"/>
        <v>1.7261002341432061E-2</v>
      </c>
      <c r="D152" s="36">
        <f t="shared" si="8"/>
        <v>5.1463683902423681E-2</v>
      </c>
      <c r="E152" s="36">
        <f t="shared" si="6"/>
        <v>7.0852322470443596E-2</v>
      </c>
    </row>
    <row r="153" spans="1:5" x14ac:dyDescent="0.35">
      <c r="A153" s="35">
        <v>30590</v>
      </c>
      <c r="B153" s="63">
        <f>VLOOKUP(A153,Database!A:L,MATCH($A$1,Database!$A$1:$L$1,),)</f>
        <v>1843.4169999999999</v>
      </c>
      <c r="C153" s="37">
        <f t="shared" si="7"/>
        <v>-1.6002489596433453E-2</v>
      </c>
      <c r="D153" s="36">
        <f t="shared" si="8"/>
        <v>1.8929111731284587E-2</v>
      </c>
      <c r="E153" s="36">
        <f t="shared" si="6"/>
        <v>-6.2489806418461247E-2</v>
      </c>
    </row>
    <row r="154" spans="1:5" x14ac:dyDescent="0.35">
      <c r="A154" s="35">
        <v>30682</v>
      </c>
      <c r="B154" s="63">
        <f>VLOOKUP(A154,Database!A:L,MATCH($A$1,Database!$A$1:$L$1,),)</f>
        <v>1862.9549999999999</v>
      </c>
      <c r="C154" s="37">
        <f t="shared" si="7"/>
        <v>1.0598795606203052E-2</v>
      </c>
      <c r="D154" s="36">
        <f t="shared" si="8"/>
        <v>1.9926550375077023E-2</v>
      </c>
      <c r="E154" s="36">
        <f t="shared" si="6"/>
        <v>4.3073964293933509E-2</v>
      </c>
    </row>
    <row r="155" spans="1:5" x14ac:dyDescent="0.35">
      <c r="A155" s="35">
        <v>30773</v>
      </c>
      <c r="B155" s="63">
        <f>VLOOKUP(A155,Database!A:L,MATCH($A$1,Database!$A$1:$L$1,),)</f>
        <v>1903.424</v>
      </c>
      <c r="C155" s="37">
        <f t="shared" si="7"/>
        <v>2.1723015317063509E-2</v>
      </c>
      <c r="D155" s="36">
        <f t="shared" si="8"/>
        <v>3.356631813067712E-2</v>
      </c>
      <c r="E155" s="36">
        <f t="shared" si="6"/>
        <v>8.9764623756822592E-2</v>
      </c>
    </row>
    <row r="156" spans="1:5" x14ac:dyDescent="0.35">
      <c r="A156" s="35">
        <v>30864</v>
      </c>
      <c r="B156" s="63">
        <f>VLOOKUP(A156,Database!A:L,MATCH($A$1,Database!$A$1:$L$1,),)</f>
        <v>1918.8330000000001</v>
      </c>
      <c r="C156" s="37">
        <f t="shared" si="7"/>
        <v>8.0954112168387625E-3</v>
      </c>
      <c r="D156" s="36">
        <f t="shared" si="8"/>
        <v>2.4253814996936112E-2</v>
      </c>
      <c r="E156" s="36">
        <f t="shared" si="6"/>
        <v>3.2776985412104498E-2</v>
      </c>
    </row>
    <row r="157" spans="1:5" x14ac:dyDescent="0.35">
      <c r="A157" s="35">
        <v>30956</v>
      </c>
      <c r="B157" s="63">
        <f>VLOOKUP(A157,Database!A:L,MATCH($A$1,Database!$A$1:$L$1,),)</f>
        <v>1959.1210000000001</v>
      </c>
      <c r="C157" s="37">
        <f t="shared" si="7"/>
        <v>2.0996095022339102E-2</v>
      </c>
      <c r="D157" s="36">
        <f t="shared" si="8"/>
        <v>6.276604805098368E-2</v>
      </c>
      <c r="E157" s="36">
        <f t="shared" si="6"/>
        <v>8.6666613801564152E-2</v>
      </c>
    </row>
    <row r="158" spans="1:5" x14ac:dyDescent="0.35">
      <c r="A158" s="35">
        <v>31048</v>
      </c>
      <c r="B158" s="63">
        <f>VLOOKUP(A158,Database!A:L,MATCH($A$1,Database!$A$1:$L$1,),)</f>
        <v>1980.4580000000001</v>
      </c>
      <c r="C158" s="37">
        <f t="shared" si="7"/>
        <v>1.0891108818699809E-2</v>
      </c>
      <c r="D158" s="36">
        <f t="shared" si="8"/>
        <v>6.3073450512760726E-2</v>
      </c>
      <c r="E158" s="36">
        <f t="shared" si="6"/>
        <v>4.4281314302421215E-2</v>
      </c>
    </row>
    <row r="159" spans="1:5" x14ac:dyDescent="0.35">
      <c r="A159" s="35">
        <v>31138</v>
      </c>
      <c r="B159" s="63">
        <f>VLOOKUP(A159,Database!A:L,MATCH($A$1,Database!$A$1:$L$1,),)</f>
        <v>2024.41</v>
      </c>
      <c r="C159" s="37">
        <f t="shared" si="7"/>
        <v>2.2192846301209112E-2</v>
      </c>
      <c r="D159" s="36">
        <f t="shared" si="8"/>
        <v>6.3562296156820602E-2</v>
      </c>
      <c r="E159" s="36">
        <f t="shared" si="6"/>
        <v>9.1770484242956973E-2</v>
      </c>
    </row>
    <row r="160" spans="1:5" x14ac:dyDescent="0.35">
      <c r="A160" s="35">
        <v>31229</v>
      </c>
      <c r="B160" s="63">
        <f>VLOOKUP(A160,Database!A:L,MATCH($A$1,Database!$A$1:$L$1,),)</f>
        <v>2070.5500000000002</v>
      </c>
      <c r="C160" s="37">
        <f t="shared" si="7"/>
        <v>2.2791825766519676E-2</v>
      </c>
      <c r="D160" s="36">
        <f t="shared" si="8"/>
        <v>7.9067328944207288E-2</v>
      </c>
      <c r="E160" s="36">
        <f t="shared" si="6"/>
        <v>9.4331735277762174E-2</v>
      </c>
    </row>
    <row r="161" spans="1:5" x14ac:dyDescent="0.35">
      <c r="A161" s="35">
        <v>31321</v>
      </c>
      <c r="B161" s="63">
        <f>VLOOKUP(A161,Database!A:L,MATCH($A$1,Database!$A$1:$L$1,),)</f>
        <v>2079.0859999999998</v>
      </c>
      <c r="C161" s="37">
        <f t="shared" si="7"/>
        <v>4.122576127115792E-3</v>
      </c>
      <c r="D161" s="36">
        <f t="shared" si="8"/>
        <v>6.1234094269827989E-2</v>
      </c>
      <c r="E161" s="36">
        <f t="shared" si="6"/>
        <v>1.6592558864036322E-2</v>
      </c>
    </row>
    <row r="162" spans="1:5" x14ac:dyDescent="0.35">
      <c r="A162" s="35">
        <v>31413</v>
      </c>
      <c r="B162" s="63">
        <f>VLOOKUP(A162,Database!A:L,MATCH($A$1,Database!$A$1:$L$1,),)</f>
        <v>2095.5120000000002</v>
      </c>
      <c r="C162" s="37">
        <f t="shared" si="7"/>
        <v>7.9005870849019177E-3</v>
      </c>
      <c r="D162" s="36">
        <f t="shared" si="8"/>
        <v>5.8094642754352825E-2</v>
      </c>
      <c r="E162" s="36">
        <f t="shared" si="6"/>
        <v>3.1978840489202298E-2</v>
      </c>
    </row>
    <row r="163" spans="1:5" x14ac:dyDescent="0.35">
      <c r="A163" s="35">
        <v>31503</v>
      </c>
      <c r="B163" s="63">
        <f>VLOOKUP(A163,Database!A:L,MATCH($A$1,Database!$A$1:$L$1,),)</f>
        <v>2139.194</v>
      </c>
      <c r="C163" s="37">
        <f t="shared" si="7"/>
        <v>2.0845502197076315E-2</v>
      </c>
      <c r="D163" s="36">
        <f t="shared" si="8"/>
        <v>5.6699976783359037E-2</v>
      </c>
      <c r="E163" s="36">
        <f t="shared" si="6"/>
        <v>8.6025639778036345E-2</v>
      </c>
    </row>
    <row r="164" spans="1:5" x14ac:dyDescent="0.35">
      <c r="A164" s="35">
        <v>31594</v>
      </c>
      <c r="B164" s="63">
        <f>VLOOKUP(A164,Database!A:L,MATCH($A$1,Database!$A$1:$L$1,),)</f>
        <v>2185.7890000000002</v>
      </c>
      <c r="C164" s="37">
        <f t="shared" si="7"/>
        <v>2.1781568198115858E-2</v>
      </c>
      <c r="D164" s="36">
        <f t="shared" si="8"/>
        <v>5.5656226606457235E-2</v>
      </c>
      <c r="E164" s="36">
        <f t="shared" si="6"/>
        <v>9.0014454064168081E-2</v>
      </c>
    </row>
    <row r="165" spans="1:5" x14ac:dyDescent="0.35">
      <c r="A165" s="35">
        <v>31686</v>
      </c>
      <c r="B165" s="63">
        <f>VLOOKUP(A165,Database!A:L,MATCH($A$1,Database!$A$1:$L$1,),)</f>
        <v>2176.7570000000001</v>
      </c>
      <c r="C165" s="37">
        <f t="shared" si="7"/>
        <v>-4.132146332514324E-3</v>
      </c>
      <c r="D165" s="36">
        <f t="shared" si="8"/>
        <v>4.6977854691917641E-2</v>
      </c>
      <c r="E165" s="36">
        <f t="shared" si="6"/>
        <v>-1.6426419458168029E-2</v>
      </c>
    </row>
    <row r="166" spans="1:5" x14ac:dyDescent="0.35">
      <c r="A166" s="35">
        <v>31778</v>
      </c>
      <c r="B166" s="63">
        <f>VLOOKUP(A166,Database!A:L,MATCH($A$1,Database!$A$1:$L$1,),)</f>
        <v>2189.5230000000001</v>
      </c>
      <c r="C166" s="37">
        <f t="shared" si="7"/>
        <v>5.8646876982594177E-3</v>
      </c>
      <c r="D166" s="36">
        <f t="shared" si="8"/>
        <v>4.4863021543183702E-2</v>
      </c>
      <c r="E166" s="36">
        <f t="shared" si="6"/>
        <v>2.3665926200265863E-2</v>
      </c>
    </row>
    <row r="167" spans="1:5" x14ac:dyDescent="0.35">
      <c r="A167" s="35">
        <v>31868</v>
      </c>
      <c r="B167" s="63">
        <f>VLOOKUP(A167,Database!A:L,MATCH($A$1,Database!$A$1:$L$1,),)</f>
        <v>2206.5</v>
      </c>
      <c r="C167" s="37">
        <f t="shared" si="7"/>
        <v>7.7537436236111068E-3</v>
      </c>
      <c r="D167" s="36">
        <f t="shared" si="8"/>
        <v>3.1463252047266417E-2</v>
      </c>
      <c r="E167" s="36">
        <f t="shared" si="6"/>
        <v>3.13775659870279E-2</v>
      </c>
    </row>
    <row r="168" spans="1:5" x14ac:dyDescent="0.35">
      <c r="A168" s="35">
        <v>31959</v>
      </c>
      <c r="B168" s="63">
        <f>VLOOKUP(A168,Database!A:L,MATCH($A$1,Database!$A$1:$L$1,),)</f>
        <v>2208.8180000000002</v>
      </c>
      <c r="C168" s="37">
        <f t="shared" si="7"/>
        <v>1.050532517561845E-3</v>
      </c>
      <c r="D168" s="36">
        <f t="shared" si="8"/>
        <v>1.0535783646088434E-2</v>
      </c>
      <c r="E168" s="36">
        <f t="shared" si="6"/>
        <v>4.2087564204369432E-3</v>
      </c>
    </row>
    <row r="169" spans="1:5" x14ac:dyDescent="0.35">
      <c r="A169" s="35">
        <v>32051</v>
      </c>
      <c r="B169" s="63">
        <f>VLOOKUP(A169,Database!A:L,MATCH($A$1,Database!$A$1:$L$1,),)</f>
        <v>2241.9340000000002</v>
      </c>
      <c r="C169" s="37">
        <f t="shared" si="7"/>
        <v>1.4992634069443468E-2</v>
      </c>
      <c r="D169" s="36">
        <f t="shared" si="8"/>
        <v>2.9942248951077284E-2</v>
      </c>
      <c r="E169" s="36">
        <f t="shared" si="6"/>
        <v>6.1332741383200995E-2</v>
      </c>
    </row>
    <row r="170" spans="1:5" x14ac:dyDescent="0.35">
      <c r="A170" s="35">
        <v>32143</v>
      </c>
      <c r="B170" s="63">
        <f>VLOOKUP(A170,Database!A:L,MATCH($A$1,Database!$A$1:$L$1,),)</f>
        <v>2223.2289999999998</v>
      </c>
      <c r="C170" s="37">
        <f t="shared" si="7"/>
        <v>-8.3432429322185132E-3</v>
      </c>
      <c r="D170" s="36">
        <f t="shared" si="8"/>
        <v>1.5394220567676007E-2</v>
      </c>
      <c r="E170" s="36">
        <f t="shared" si="6"/>
        <v>-3.2957631750245131E-2</v>
      </c>
    </row>
    <row r="171" spans="1:5" x14ac:dyDescent="0.35">
      <c r="A171" s="35">
        <v>32234</v>
      </c>
      <c r="B171" s="63">
        <f>VLOOKUP(A171,Database!A:L,MATCH($A$1,Database!$A$1:$L$1,),)</f>
        <v>2229.8679999999999</v>
      </c>
      <c r="C171" s="37">
        <f t="shared" si="7"/>
        <v>2.9861971034023595E-3</v>
      </c>
      <c r="D171" s="36">
        <f t="shared" si="8"/>
        <v>1.0590527985497367E-2</v>
      </c>
      <c r="E171" s="36">
        <f t="shared" si="6"/>
        <v>1.199839924810675E-2</v>
      </c>
    </row>
    <row r="172" spans="1:5" x14ac:dyDescent="0.35">
      <c r="A172" s="35">
        <v>32325</v>
      </c>
      <c r="B172" s="63">
        <f>VLOOKUP(A172,Database!A:L,MATCH($A$1,Database!$A$1:$L$1,),)</f>
        <v>2230.13</v>
      </c>
      <c r="C172" s="37">
        <f t="shared" si="7"/>
        <v>1.174957441427793E-4</v>
      </c>
      <c r="D172" s="36">
        <f t="shared" si="8"/>
        <v>9.6485993866402293E-3</v>
      </c>
      <c r="E172" s="36">
        <f t="shared" si="6"/>
        <v>4.7006581455866225E-4</v>
      </c>
    </row>
    <row r="173" spans="1:5" x14ac:dyDescent="0.35">
      <c r="A173" s="35">
        <v>32417</v>
      </c>
      <c r="B173" s="63">
        <f>VLOOKUP(A173,Database!A:L,MATCH($A$1,Database!$A$1:$L$1,),)</f>
        <v>2273.404</v>
      </c>
      <c r="C173" s="37">
        <f t="shared" si="7"/>
        <v>1.9404249976458721E-2</v>
      </c>
      <c r="D173" s="36">
        <f t="shared" si="8"/>
        <v>1.4036987707934219E-2</v>
      </c>
      <c r="E173" s="36">
        <f t="shared" si="6"/>
        <v>7.9905515914199698E-2</v>
      </c>
    </row>
    <row r="174" spans="1:5" x14ac:dyDescent="0.35">
      <c r="A174" s="35">
        <v>32509</v>
      </c>
      <c r="B174" s="63">
        <f>VLOOKUP(A174,Database!A:L,MATCH($A$1,Database!$A$1:$L$1,),)</f>
        <v>2263.4110000000001</v>
      </c>
      <c r="C174" s="37">
        <f t="shared" si="7"/>
        <v>-4.3956111628201313E-3</v>
      </c>
      <c r="D174" s="36">
        <f t="shared" si="8"/>
        <v>1.8073711704912201E-2</v>
      </c>
      <c r="E174" s="36">
        <f t="shared" si="6"/>
        <v>-1.7466855610398069E-2</v>
      </c>
    </row>
    <row r="175" spans="1:5" x14ac:dyDescent="0.35">
      <c r="A175" s="35">
        <v>32599</v>
      </c>
      <c r="B175" s="63">
        <f>VLOOKUP(A175,Database!A:L,MATCH($A$1,Database!$A$1:$L$1,),)</f>
        <v>2298.2249999999999</v>
      </c>
      <c r="C175" s="37">
        <f t="shared" si="7"/>
        <v>1.53812100409514E-2</v>
      </c>
      <c r="D175" s="36">
        <f t="shared" si="8"/>
        <v>3.0655177795277554E-2</v>
      </c>
      <c r="E175" s="36">
        <f t="shared" si="6"/>
        <v>6.2958941515111722E-2</v>
      </c>
    </row>
    <row r="176" spans="1:5" x14ac:dyDescent="0.35">
      <c r="A176" s="35">
        <v>32690</v>
      </c>
      <c r="B176" s="63">
        <f>VLOOKUP(A176,Database!A:L,MATCH($A$1,Database!$A$1:$L$1,),)</f>
        <v>2318.902</v>
      </c>
      <c r="C176" s="37">
        <f t="shared" si="7"/>
        <v>8.9969432931937196E-3</v>
      </c>
      <c r="D176" s="36">
        <f t="shared" si="8"/>
        <v>3.9805751234232953E-2</v>
      </c>
      <c r="E176" s="36">
        <f t="shared" si="6"/>
        <v>3.6476362686482133E-2</v>
      </c>
    </row>
    <row r="177" spans="1:5" x14ac:dyDescent="0.35">
      <c r="A177" s="35">
        <v>32782</v>
      </c>
      <c r="B177" s="63">
        <f>VLOOKUP(A177,Database!A:L,MATCH($A$1,Database!$A$1:$L$1,),)</f>
        <v>2330.5340000000001</v>
      </c>
      <c r="C177" s="37">
        <f t="shared" si="7"/>
        <v>5.0161671342730573E-3</v>
      </c>
      <c r="D177" s="36">
        <f t="shared" si="8"/>
        <v>2.5129717375354362E-2</v>
      </c>
      <c r="E177" s="36">
        <f t="shared" si="6"/>
        <v>2.0216145632368399E-2</v>
      </c>
    </row>
    <row r="178" spans="1:5" x14ac:dyDescent="0.35">
      <c r="A178" s="35">
        <v>32874</v>
      </c>
      <c r="B178" s="63">
        <f>VLOOKUP(A178,Database!A:L,MATCH($A$1,Database!$A$1:$L$1,),)</f>
        <v>2367.8000000000002</v>
      </c>
      <c r="C178" s="37">
        <f t="shared" si="7"/>
        <v>1.5990326680494715E-2</v>
      </c>
      <c r="D178" s="36">
        <f t="shared" si="8"/>
        <v>4.6120214136981801E-2</v>
      </c>
      <c r="E178" s="36">
        <f t="shared" si="6"/>
        <v>6.5511869685253021E-2</v>
      </c>
    </row>
    <row r="179" spans="1:5" x14ac:dyDescent="0.35">
      <c r="A179" s="35">
        <v>32964</v>
      </c>
      <c r="B179" s="63">
        <f>VLOOKUP(A179,Database!A:L,MATCH($A$1,Database!$A$1:$L$1,),)</f>
        <v>2371.5329999999999</v>
      </c>
      <c r="C179" s="37">
        <f t="shared" si="7"/>
        <v>1.5765689669734436E-3</v>
      </c>
      <c r="D179" s="36">
        <f t="shared" si="8"/>
        <v>3.1897660150768524E-2</v>
      </c>
      <c r="E179" s="36">
        <f t="shared" si="6"/>
        <v>6.3212049670053894E-3</v>
      </c>
    </row>
    <row r="180" spans="1:5" x14ac:dyDescent="0.35">
      <c r="A180" s="35">
        <v>33055</v>
      </c>
      <c r="B180" s="63">
        <f>VLOOKUP(A180,Database!A:L,MATCH($A$1,Database!$A$1:$L$1,),)</f>
        <v>2375.306</v>
      </c>
      <c r="C180" s="37">
        <f t="shared" si="7"/>
        <v>1.590954036903614E-3</v>
      </c>
      <c r="D180" s="36">
        <f t="shared" si="8"/>
        <v>2.4323580729155435E-2</v>
      </c>
      <c r="E180" s="36">
        <f t="shared" si="6"/>
        <v>6.3790190701829008E-3</v>
      </c>
    </row>
    <row r="181" spans="1:5" x14ac:dyDescent="0.35">
      <c r="A181" s="35">
        <v>33147</v>
      </c>
      <c r="B181" s="63">
        <f>VLOOKUP(A181,Database!A:L,MATCH($A$1,Database!$A$1:$L$1,),)</f>
        <v>2391.1880000000001</v>
      </c>
      <c r="C181" s="37">
        <f t="shared" si="7"/>
        <v>6.6862964182299294E-3</v>
      </c>
      <c r="D181" s="36">
        <f t="shared" si="8"/>
        <v>2.6025794946565893E-2</v>
      </c>
      <c r="E181" s="36">
        <f t="shared" si="6"/>
        <v>2.7014622715593184E-2</v>
      </c>
    </row>
    <row r="182" spans="1:5" x14ac:dyDescent="0.35">
      <c r="A182" s="35">
        <v>33239</v>
      </c>
      <c r="B182" s="63">
        <f>VLOOKUP(A182,Database!A:L,MATCH($A$1,Database!$A$1:$L$1,),)</f>
        <v>2405.4470000000001</v>
      </c>
      <c r="C182" s="37">
        <f t="shared" si="7"/>
        <v>5.9631446795484142E-3</v>
      </c>
      <c r="D182" s="36">
        <f t="shared" si="8"/>
        <v>1.5899569220373312E-2</v>
      </c>
      <c r="E182" s="36">
        <f t="shared" si="6"/>
        <v>2.4066782725558511E-2</v>
      </c>
    </row>
    <row r="183" spans="1:5" x14ac:dyDescent="0.35">
      <c r="A183" s="35">
        <v>33329</v>
      </c>
      <c r="B183" s="63">
        <f>VLOOKUP(A183,Database!A:L,MATCH($A$1,Database!$A$1:$L$1,),)</f>
        <v>2415.232</v>
      </c>
      <c r="C183" s="37">
        <f t="shared" si="7"/>
        <v>4.0678510064864675E-3</v>
      </c>
      <c r="D183" s="36">
        <f t="shared" si="8"/>
        <v>1.8426477725589342E-2</v>
      </c>
      <c r="E183" s="36">
        <f t="shared" si="6"/>
        <v>1.6370958020251569E-2</v>
      </c>
    </row>
    <row r="184" spans="1:5" x14ac:dyDescent="0.35">
      <c r="A184" s="35">
        <v>33420</v>
      </c>
      <c r="B184" s="63">
        <f>VLOOKUP(A184,Database!A:L,MATCH($A$1,Database!$A$1:$L$1,),)</f>
        <v>2408.4670000000001</v>
      </c>
      <c r="C184" s="37">
        <f t="shared" si="7"/>
        <v>-2.8009731570299966E-3</v>
      </c>
      <c r="D184" s="36">
        <f t="shared" si="8"/>
        <v>1.3960727586256279E-2</v>
      </c>
      <c r="E184" s="36">
        <f t="shared" si="6"/>
        <v>-1.1156907762396973E-2</v>
      </c>
    </row>
    <row r="185" spans="1:5" x14ac:dyDescent="0.35">
      <c r="A185" s="35">
        <v>33512</v>
      </c>
      <c r="B185" s="63">
        <f>VLOOKUP(A185,Database!A:L,MATCH($A$1,Database!$A$1:$L$1,),)</f>
        <v>2390.8440000000001</v>
      </c>
      <c r="C185" s="37">
        <f t="shared" si="7"/>
        <v>-7.3171025386688073E-3</v>
      </c>
      <c r="D185" s="36">
        <f t="shared" si="8"/>
        <v>-1.4386154497264577E-4</v>
      </c>
      <c r="E185" s="36">
        <f t="shared" si="6"/>
        <v>-2.8948734381150532E-2</v>
      </c>
    </row>
    <row r="186" spans="1:5" x14ac:dyDescent="0.35">
      <c r="A186" s="35">
        <v>33604</v>
      </c>
      <c r="B186" s="63">
        <f>VLOOKUP(A186,Database!A:L,MATCH($A$1,Database!$A$1:$L$1,),)</f>
        <v>2412.0329999999999</v>
      </c>
      <c r="C186" s="37">
        <f t="shared" si="7"/>
        <v>8.8625606689519895E-3</v>
      </c>
      <c r="D186" s="36">
        <f t="shared" si="8"/>
        <v>2.7379526549534392E-3</v>
      </c>
      <c r="E186" s="36">
        <f t="shared" si="6"/>
        <v>3.5924303173446415E-2</v>
      </c>
    </row>
    <row r="187" spans="1:5" x14ac:dyDescent="0.35">
      <c r="A187" s="35">
        <v>33695</v>
      </c>
      <c r="B187" s="63">
        <f>VLOOKUP(A187,Database!A:L,MATCH($A$1,Database!$A$1:$L$1,),)</f>
        <v>2407.3690000000001</v>
      </c>
      <c r="C187" s="37">
        <f t="shared" si="7"/>
        <v>-1.9336385530379393E-3</v>
      </c>
      <c r="D187" s="36">
        <f t="shared" si="8"/>
        <v>-3.2555878689913965E-3</v>
      </c>
      <c r="E187" s="36">
        <f t="shared" si="6"/>
        <v>-7.7121493690229803E-3</v>
      </c>
    </row>
    <row r="188" spans="1:5" x14ac:dyDescent="0.35">
      <c r="A188" s="35">
        <v>33786</v>
      </c>
      <c r="B188" s="63">
        <f>VLOOKUP(A188,Database!A:L,MATCH($A$1,Database!$A$1:$L$1,),)</f>
        <v>2422.703</v>
      </c>
      <c r="C188" s="37">
        <f t="shared" si="7"/>
        <v>6.3696093120746474E-3</v>
      </c>
      <c r="D188" s="36">
        <f t="shared" si="8"/>
        <v>5.9108138081193874E-3</v>
      </c>
      <c r="E188" s="36">
        <f t="shared" si="6"/>
        <v>2.5722904140299097E-2</v>
      </c>
    </row>
    <row r="189" spans="1:5" x14ac:dyDescent="0.35">
      <c r="A189" s="35">
        <v>33878</v>
      </c>
      <c r="B189" s="63">
        <f>VLOOKUP(A189,Database!A:L,MATCH($A$1,Database!$A$1:$L$1,),)</f>
        <v>2422.424</v>
      </c>
      <c r="C189" s="37">
        <f t="shared" si="7"/>
        <v>-1.1516062843856485E-4</v>
      </c>
      <c r="D189" s="36">
        <f t="shared" si="8"/>
        <v>1.3208724617750019E-2</v>
      </c>
      <c r="E189" s="36">
        <f t="shared" si="6"/>
        <v>-4.6056294804097675E-4</v>
      </c>
    </row>
    <row r="190" spans="1:5" x14ac:dyDescent="0.35">
      <c r="A190" s="35">
        <v>33970</v>
      </c>
      <c r="B190" s="63">
        <f>VLOOKUP(A190,Database!A:L,MATCH($A$1,Database!$A$1:$L$1,),)</f>
        <v>2392.3710000000001</v>
      </c>
      <c r="C190" s="37">
        <f t="shared" si="7"/>
        <v>-1.2406168366891958E-2</v>
      </c>
      <c r="D190" s="36">
        <f t="shared" si="8"/>
        <v>-8.1516297662593377E-3</v>
      </c>
      <c r="E190" s="36">
        <f t="shared" si="6"/>
        <v>-4.8708809580105927E-2</v>
      </c>
    </row>
    <row r="191" spans="1:5" x14ac:dyDescent="0.35">
      <c r="A191" s="35">
        <v>34060</v>
      </c>
      <c r="B191" s="63">
        <f>VLOOKUP(A191,Database!A:L,MATCH($A$1,Database!$A$1:$L$1,),)</f>
        <v>2392.585</v>
      </c>
      <c r="C191" s="37">
        <f t="shared" si="7"/>
        <v>8.9451009061697283E-5</v>
      </c>
      <c r="D191" s="36">
        <f t="shared" si="8"/>
        <v>-6.1411441287148351E-3</v>
      </c>
      <c r="E191" s="36">
        <f t="shared" si="6"/>
        <v>3.578520480078673E-4</v>
      </c>
    </row>
    <row r="192" spans="1:5" x14ac:dyDescent="0.35">
      <c r="A192" s="35">
        <v>34151</v>
      </c>
      <c r="B192" s="63">
        <f>VLOOKUP(A192,Database!A:L,MATCH($A$1,Database!$A$1:$L$1,),)</f>
        <v>2395.9870000000001</v>
      </c>
      <c r="C192" s="37">
        <f t="shared" si="7"/>
        <v>1.4218930570909889E-3</v>
      </c>
      <c r="D192" s="36">
        <f t="shared" si="8"/>
        <v>-1.1027352506683607E-2</v>
      </c>
      <c r="E192" s="36">
        <f t="shared" si="6"/>
        <v>5.699714410665635E-3</v>
      </c>
    </row>
    <row r="193" spans="1:5" x14ac:dyDescent="0.35">
      <c r="A193" s="35">
        <v>34243</v>
      </c>
      <c r="B193" s="63">
        <f>VLOOKUP(A193,Database!A:L,MATCH($A$1,Database!$A$1:$L$1,),)</f>
        <v>2404.4470000000001</v>
      </c>
      <c r="C193" s="37">
        <f t="shared" si="7"/>
        <v>3.5309039656726167E-3</v>
      </c>
      <c r="D193" s="36">
        <f t="shared" si="8"/>
        <v>-7.4210790513963955E-3</v>
      </c>
      <c r="E193" s="36">
        <f t="shared" si="6"/>
        <v>1.4198595798125435E-2</v>
      </c>
    </row>
    <row r="194" spans="1:5" x14ac:dyDescent="0.35">
      <c r="A194" s="35">
        <v>34335</v>
      </c>
      <c r="B194" s="63">
        <f>VLOOKUP(A194,Database!A:L,MATCH($A$1,Database!$A$1:$L$1,),)</f>
        <v>2374.6979999999999</v>
      </c>
      <c r="C194" s="37">
        <f t="shared" si="7"/>
        <v>-1.2372491471011941E-2</v>
      </c>
      <c r="D194" s="36">
        <f t="shared" si="8"/>
        <v>-7.3872321642421803E-3</v>
      </c>
      <c r="E194" s="36">
        <f t="shared" si="6"/>
        <v>-4.8579047031784617E-2</v>
      </c>
    </row>
    <row r="195" spans="1:5" x14ac:dyDescent="0.35">
      <c r="A195" s="35">
        <v>34425</v>
      </c>
      <c r="B195" s="63">
        <f>VLOOKUP(A195,Database!A:L,MATCH($A$1,Database!$A$1:$L$1,),)</f>
        <v>2386.451</v>
      </c>
      <c r="C195" s="37">
        <f t="shared" si="7"/>
        <v>4.949260916546086E-3</v>
      </c>
      <c r="D195" s="36">
        <f t="shared" si="8"/>
        <v>-2.5637542657836669E-3</v>
      </c>
      <c r="E195" s="36">
        <f t="shared" si="6"/>
        <v>1.994450030013839E-2</v>
      </c>
    </row>
    <row r="196" spans="1:5" x14ac:dyDescent="0.35">
      <c r="A196" s="35">
        <v>34516</v>
      </c>
      <c r="B196" s="63">
        <f>VLOOKUP(A196,Database!A:L,MATCH($A$1,Database!$A$1:$L$1,),)</f>
        <v>2426.6790000000001</v>
      </c>
      <c r="C196" s="37">
        <f t="shared" si="7"/>
        <v>1.6856830498510156E-2</v>
      </c>
      <c r="D196" s="36">
        <f t="shared" si="8"/>
        <v>1.2809752306669446E-2</v>
      </c>
      <c r="E196" s="36">
        <f t="shared" si="6"/>
        <v>6.9151478801471766E-2</v>
      </c>
    </row>
    <row r="197" spans="1:5" x14ac:dyDescent="0.35">
      <c r="A197" s="35">
        <v>34608</v>
      </c>
      <c r="B197" s="63">
        <f>VLOOKUP(A197,Database!A:L,MATCH($A$1,Database!$A$1:$L$1,),)</f>
        <v>2405.5650000000001</v>
      </c>
      <c r="C197" s="37">
        <f t="shared" si="7"/>
        <v>-8.7007799548271657E-3</v>
      </c>
      <c r="D197" s="36">
        <f t="shared" si="8"/>
        <v>4.6497177937377624E-4</v>
      </c>
      <c r="E197" s="36">
        <f t="shared" si="6"/>
        <v>-3.4351527377825097E-2</v>
      </c>
    </row>
    <row r="198" spans="1:5" x14ac:dyDescent="0.35">
      <c r="A198" s="35">
        <v>34700</v>
      </c>
      <c r="B198" s="63">
        <f>VLOOKUP(A198,Database!A:L,MATCH($A$1,Database!$A$1:$L$1,),)</f>
        <v>2413.98</v>
      </c>
      <c r="C198" s="37">
        <f t="shared" si="7"/>
        <v>3.4981386909104361E-3</v>
      </c>
      <c r="D198" s="36">
        <f t="shared" si="8"/>
        <v>1.6541892905961159E-2</v>
      </c>
      <c r="E198" s="36">
        <f t="shared" ref="E198:E261" si="9">((1+C198)^4)-1</f>
        <v>1.4066147985723587E-2</v>
      </c>
    </row>
    <row r="199" spans="1:5" x14ac:dyDescent="0.35">
      <c r="A199" s="35">
        <v>34790</v>
      </c>
      <c r="B199" s="63">
        <f>VLOOKUP(A199,Database!A:L,MATCH($A$1,Database!$A$1:$L$1,),)</f>
        <v>2422.0909999999999</v>
      </c>
      <c r="C199" s="37">
        <f t="shared" ref="C199:C262" si="10">(B199-B198)/B198</f>
        <v>3.3600112676989355E-3</v>
      </c>
      <c r="D199" s="36">
        <f t="shared" si="8"/>
        <v>1.4934310404864743E-2</v>
      </c>
      <c r="E199" s="36">
        <f t="shared" si="9"/>
        <v>1.3507934986318082E-2</v>
      </c>
    </row>
    <row r="200" spans="1:5" x14ac:dyDescent="0.35">
      <c r="A200" s="35">
        <v>34881</v>
      </c>
      <c r="B200" s="63">
        <f>VLOOKUP(A200,Database!A:L,MATCH($A$1,Database!$A$1:$L$1,),)</f>
        <v>2415.7359999999999</v>
      </c>
      <c r="C200" s="37">
        <f t="shared" si="10"/>
        <v>-2.6237659939283941E-3</v>
      </c>
      <c r="D200" s="36">
        <f t="shared" si="8"/>
        <v>-4.5094551030442059E-3</v>
      </c>
      <c r="E200" s="36">
        <f t="shared" si="9"/>
        <v>-1.0453831289950477E-2</v>
      </c>
    </row>
    <row r="201" spans="1:5" x14ac:dyDescent="0.35">
      <c r="A201" s="35">
        <v>34973</v>
      </c>
      <c r="B201" s="63">
        <f>VLOOKUP(A201,Database!A:L,MATCH($A$1,Database!$A$1:$L$1,),)</f>
        <v>2390.46</v>
      </c>
      <c r="C201" s="37">
        <f t="shared" si="10"/>
        <v>-1.0463063844724689E-2</v>
      </c>
      <c r="D201" s="36">
        <f t="shared" si="8"/>
        <v>-6.2791901278909604E-3</v>
      </c>
      <c r="E201" s="36">
        <f t="shared" si="9"/>
        <v>-4.1199970969020505E-2</v>
      </c>
    </row>
    <row r="202" spans="1:5" x14ac:dyDescent="0.35">
      <c r="A202" s="35">
        <v>35065</v>
      </c>
      <c r="B202" s="63">
        <f>VLOOKUP(A202,Database!A:L,MATCH($A$1,Database!$A$1:$L$1,),)</f>
        <v>2406.2280000000001</v>
      </c>
      <c r="C202" s="37">
        <f t="shared" si="10"/>
        <v>6.5962199743982448E-3</v>
      </c>
      <c r="D202" s="36">
        <f t="shared" ref="D202:D265" si="11">(B202-B198)/B198</f>
        <v>-3.2112942112196259E-3</v>
      </c>
      <c r="E202" s="36">
        <f t="shared" si="9"/>
        <v>2.6647090507663673E-2</v>
      </c>
    </row>
    <row r="203" spans="1:5" x14ac:dyDescent="0.35">
      <c r="A203" s="35">
        <v>35156</v>
      </c>
      <c r="B203" s="63">
        <f>VLOOKUP(A203,Database!A:L,MATCH($A$1,Database!$A$1:$L$1,),)</f>
        <v>2436.1979999999999</v>
      </c>
      <c r="C203" s="37">
        <f t="shared" si="10"/>
        <v>1.245517881098541E-2</v>
      </c>
      <c r="D203" s="36">
        <f t="shared" si="11"/>
        <v>5.8243063534772106E-3</v>
      </c>
      <c r="E203" s="36">
        <f t="shared" si="9"/>
        <v>5.0759256946250719E-2</v>
      </c>
    </row>
    <row r="204" spans="1:5" x14ac:dyDescent="0.35">
      <c r="A204" s="35">
        <v>35247</v>
      </c>
      <c r="B204" s="63">
        <f>VLOOKUP(A204,Database!A:L,MATCH($A$1,Database!$A$1:$L$1,),)</f>
        <v>2436.1819999999998</v>
      </c>
      <c r="C204" s="37">
        <f t="shared" si="10"/>
        <v>-6.5676106786379424E-6</v>
      </c>
      <c r="D204" s="36">
        <f t="shared" si="11"/>
        <v>8.4636731828312012E-3</v>
      </c>
      <c r="E204" s="36">
        <f t="shared" si="9"/>
        <v>-2.6270183914656187E-5</v>
      </c>
    </row>
    <row r="205" spans="1:5" x14ac:dyDescent="0.35">
      <c r="A205" s="35">
        <v>35339</v>
      </c>
      <c r="B205" s="63">
        <f>VLOOKUP(A205,Database!A:L,MATCH($A$1,Database!$A$1:$L$1,),)</f>
        <v>2452.9940000000001</v>
      </c>
      <c r="C205" s="37">
        <f t="shared" si="10"/>
        <v>6.900962243379335E-3</v>
      </c>
      <c r="D205" s="36">
        <f t="shared" si="11"/>
        <v>2.6159818612317337E-2</v>
      </c>
      <c r="E205" s="36">
        <f t="shared" si="9"/>
        <v>2.7890905506626762E-2</v>
      </c>
    </row>
    <row r="206" spans="1:5" x14ac:dyDescent="0.35">
      <c r="A206" s="35">
        <v>35431</v>
      </c>
      <c r="B206" s="63">
        <f>VLOOKUP(A206,Database!A:L,MATCH($A$1,Database!$A$1:$L$1,),)</f>
        <v>2440.2449999999999</v>
      </c>
      <c r="C206" s="37">
        <f t="shared" si="10"/>
        <v>-5.1973221296098765E-3</v>
      </c>
      <c r="D206" s="36">
        <f t="shared" si="11"/>
        <v>1.4137064318094472E-2</v>
      </c>
      <c r="E206" s="36">
        <f t="shared" si="9"/>
        <v>-2.0627776408401299E-2</v>
      </c>
    </row>
    <row r="207" spans="1:5" x14ac:dyDescent="0.35">
      <c r="A207" s="35">
        <v>35521</v>
      </c>
      <c r="B207" s="63">
        <f>VLOOKUP(A207,Database!A:L,MATCH($A$1,Database!$A$1:$L$1,),)</f>
        <v>2471.8670000000002</v>
      </c>
      <c r="C207" s="37">
        <f t="shared" si="10"/>
        <v>1.2958534901208813E-2</v>
      </c>
      <c r="D207" s="36">
        <f t="shared" si="11"/>
        <v>1.4641256580951272E-2</v>
      </c>
      <c r="E207" s="36">
        <f t="shared" si="9"/>
        <v>5.2850413740608726E-2</v>
      </c>
    </row>
    <row r="208" spans="1:5" x14ac:dyDescent="0.35">
      <c r="A208" s="35">
        <v>35612</v>
      </c>
      <c r="B208" s="63">
        <f>VLOOKUP(A208,Database!A:L,MATCH($A$1,Database!$A$1:$L$1,),)</f>
        <v>2483.31</v>
      </c>
      <c r="C208" s="37">
        <f t="shared" si="10"/>
        <v>4.6292943754658953E-3</v>
      </c>
      <c r="D208" s="36">
        <f t="shared" si="11"/>
        <v>1.9345024304423957E-2</v>
      </c>
      <c r="E208" s="36">
        <f t="shared" si="9"/>
        <v>1.8646156989511775E-2</v>
      </c>
    </row>
    <row r="209" spans="1:5" x14ac:dyDescent="0.35">
      <c r="A209" s="35">
        <v>35704</v>
      </c>
      <c r="B209" s="63">
        <f>VLOOKUP(A209,Database!A:L,MATCH($A$1,Database!$A$1:$L$1,),)</f>
        <v>2495.7719999999999</v>
      </c>
      <c r="C209" s="37">
        <f t="shared" si="10"/>
        <v>5.0183021853896573E-3</v>
      </c>
      <c r="D209" s="36">
        <f t="shared" si="11"/>
        <v>1.7439096875083996E-2</v>
      </c>
      <c r="E209" s="36">
        <f t="shared" si="9"/>
        <v>2.0224815027481302E-2</v>
      </c>
    </row>
    <row r="210" spans="1:5" x14ac:dyDescent="0.35">
      <c r="A210" s="35">
        <v>35796</v>
      </c>
      <c r="B210" s="63">
        <f>VLOOKUP(A210,Database!A:L,MATCH($A$1,Database!$A$1:$L$1,),)</f>
        <v>2486.8409999999999</v>
      </c>
      <c r="C210" s="37">
        <f t="shared" si="10"/>
        <v>-3.5784518778157783E-3</v>
      </c>
      <c r="D210" s="36">
        <f t="shared" si="11"/>
        <v>1.9094804005335531E-2</v>
      </c>
      <c r="E210" s="36">
        <f t="shared" si="9"/>
        <v>-1.4237158733090616E-2</v>
      </c>
    </row>
    <row r="211" spans="1:5" x14ac:dyDescent="0.35">
      <c r="A211" s="35">
        <v>35886</v>
      </c>
      <c r="B211" s="63">
        <f>VLOOKUP(A211,Database!A:L,MATCH($A$1,Database!$A$1:$L$1,),)</f>
        <v>2530.3649999999998</v>
      </c>
      <c r="C211" s="37">
        <f t="shared" si="10"/>
        <v>1.7501722064257381E-2</v>
      </c>
      <c r="D211" s="36">
        <f t="shared" si="11"/>
        <v>2.3665512748056262E-2</v>
      </c>
      <c r="E211" s="36">
        <f t="shared" si="9"/>
        <v>7.1866287563510767E-2</v>
      </c>
    </row>
    <row r="212" spans="1:5" x14ac:dyDescent="0.35">
      <c r="A212" s="35">
        <v>35977</v>
      </c>
      <c r="B212" s="63">
        <f>VLOOKUP(A212,Database!A:L,MATCH($A$1,Database!$A$1:$L$1,),)</f>
        <v>2549.4259999999999</v>
      </c>
      <c r="C212" s="37">
        <f t="shared" si="10"/>
        <v>7.5329053318395371E-3</v>
      </c>
      <c r="D212" s="36">
        <f t="shared" si="11"/>
        <v>2.6624142777180452E-2</v>
      </c>
      <c r="E212" s="36">
        <f t="shared" si="9"/>
        <v>3.0473802332435795E-2</v>
      </c>
    </row>
    <row r="213" spans="1:5" x14ac:dyDescent="0.35">
      <c r="A213" s="35">
        <v>36069</v>
      </c>
      <c r="B213" s="63">
        <f>VLOOKUP(A213,Database!A:L,MATCH($A$1,Database!$A$1:$L$1,),)</f>
        <v>2564.473</v>
      </c>
      <c r="C213" s="37">
        <f t="shared" si="10"/>
        <v>5.902112867759263E-3</v>
      </c>
      <c r="D213" s="36">
        <f t="shared" si="11"/>
        <v>2.7526953583901104E-2</v>
      </c>
      <c r="E213" s="36">
        <f t="shared" si="9"/>
        <v>2.381828470123537E-2</v>
      </c>
    </row>
    <row r="214" spans="1:5" x14ac:dyDescent="0.35">
      <c r="A214" s="35">
        <v>36161</v>
      </c>
      <c r="B214" s="63">
        <f>VLOOKUP(A214,Database!A:L,MATCH($A$1,Database!$A$1:$L$1,),)</f>
        <v>2582.8870000000002</v>
      </c>
      <c r="C214" s="37">
        <f t="shared" si="10"/>
        <v>7.180422644340656E-3</v>
      </c>
      <c r="D214" s="36">
        <f t="shared" si="11"/>
        <v>3.8621689122867238E-2</v>
      </c>
      <c r="E214" s="36">
        <f t="shared" si="9"/>
        <v>2.9032524898149781E-2</v>
      </c>
    </row>
    <row r="215" spans="1:5" x14ac:dyDescent="0.35">
      <c r="A215" s="35">
        <v>36251</v>
      </c>
      <c r="B215" s="63">
        <f>VLOOKUP(A215,Database!A:L,MATCH($A$1,Database!$A$1:$L$1,),)</f>
        <v>2592.2179999999998</v>
      </c>
      <c r="C215" s="37">
        <f t="shared" si="10"/>
        <v>3.6126241682271332E-3</v>
      </c>
      <c r="D215" s="36">
        <f t="shared" si="11"/>
        <v>2.4444299537813744E-2</v>
      </c>
      <c r="E215" s="36">
        <f t="shared" si="9"/>
        <v>1.4528991757726928E-2</v>
      </c>
    </row>
    <row r="216" spans="1:5" x14ac:dyDescent="0.35">
      <c r="A216" s="35">
        <v>36342</v>
      </c>
      <c r="B216" s="63">
        <f>VLOOKUP(A216,Database!A:L,MATCH($A$1,Database!$A$1:$L$1,),)</f>
        <v>2623.4229999999998</v>
      </c>
      <c r="C216" s="37">
        <f t="shared" si="10"/>
        <v>1.2037953598038409E-2</v>
      </c>
      <c r="D216" s="36">
        <f t="shared" si="11"/>
        <v>2.9024964835221673E-2</v>
      </c>
      <c r="E216" s="36">
        <f t="shared" si="9"/>
        <v>4.9028287144171623E-2</v>
      </c>
    </row>
    <row r="217" spans="1:5" x14ac:dyDescent="0.35">
      <c r="A217" s="35">
        <v>36434</v>
      </c>
      <c r="B217" s="63">
        <f>VLOOKUP(A217,Database!A:L,MATCH($A$1,Database!$A$1:$L$1,),)</f>
        <v>2664.2359999999999</v>
      </c>
      <c r="C217" s="37">
        <f t="shared" si="10"/>
        <v>1.5557155670282721E-2</v>
      </c>
      <c r="D217" s="36">
        <f t="shared" si="11"/>
        <v>3.8901949835307266E-2</v>
      </c>
      <c r="E217" s="36">
        <f t="shared" si="9"/>
        <v>6.3695892700736501E-2</v>
      </c>
    </row>
    <row r="218" spans="1:5" x14ac:dyDescent="0.35">
      <c r="A218" s="35">
        <v>36526</v>
      </c>
      <c r="B218" s="63">
        <f>VLOOKUP(A218,Database!A:L,MATCH($A$1,Database!$A$1:$L$1,),)</f>
        <v>2645.3229999999999</v>
      </c>
      <c r="C218" s="37">
        <f t="shared" si="10"/>
        <v>-7.0988455977623651E-3</v>
      </c>
      <c r="D218" s="36">
        <f t="shared" si="11"/>
        <v>2.4172950655603473E-2</v>
      </c>
      <c r="E218" s="36">
        <f t="shared" si="9"/>
        <v>-2.8094449144401179E-2</v>
      </c>
    </row>
    <row r="219" spans="1:5" x14ac:dyDescent="0.35">
      <c r="A219" s="35">
        <v>36617</v>
      </c>
      <c r="B219" s="63">
        <f>VLOOKUP(A219,Database!A:L,MATCH($A$1,Database!$A$1:$L$1,),)</f>
        <v>2671.3980000000001</v>
      </c>
      <c r="C219" s="37">
        <f t="shared" si="10"/>
        <v>9.8570193507561358E-3</v>
      </c>
      <c r="D219" s="36">
        <f t="shared" si="11"/>
        <v>3.0545270498083223E-2</v>
      </c>
      <c r="E219" s="36">
        <f t="shared" si="9"/>
        <v>4.0014882690883269E-2</v>
      </c>
    </row>
    <row r="220" spans="1:5" x14ac:dyDescent="0.35">
      <c r="A220" s="35">
        <v>36708</v>
      </c>
      <c r="B220" s="63">
        <f>VLOOKUP(A220,Database!A:L,MATCH($A$1,Database!$A$1:$L$1,),)</f>
        <v>2660.1390000000001</v>
      </c>
      <c r="C220" s="37">
        <f t="shared" si="10"/>
        <v>-4.2146471622723433E-3</v>
      </c>
      <c r="D220" s="36">
        <f t="shared" si="11"/>
        <v>1.3995455555585337E-2</v>
      </c>
      <c r="E220" s="36">
        <f t="shared" si="9"/>
        <v>-1.6752308292678375E-2</v>
      </c>
    </row>
    <row r="221" spans="1:5" x14ac:dyDescent="0.35">
      <c r="A221" s="35">
        <v>36800</v>
      </c>
      <c r="B221" s="63">
        <f>VLOOKUP(A221,Database!A:L,MATCH($A$1,Database!$A$1:$L$1,),)</f>
        <v>2676.4459999999999</v>
      </c>
      <c r="C221" s="37">
        <f t="shared" si="10"/>
        <v>6.1301307939170806E-3</v>
      </c>
      <c r="D221" s="36">
        <f t="shared" si="11"/>
        <v>4.5829273382688458E-3</v>
      </c>
      <c r="E221" s="36">
        <f t="shared" si="9"/>
        <v>2.474691705368226E-2</v>
      </c>
    </row>
    <row r="222" spans="1:5" x14ac:dyDescent="0.35">
      <c r="A222" s="35">
        <v>36892</v>
      </c>
      <c r="B222" s="63">
        <f>VLOOKUP(A222,Database!A:L,MATCH($A$1,Database!$A$1:$L$1,),)</f>
        <v>2718.2910000000002</v>
      </c>
      <c r="C222" s="37">
        <f t="shared" si="10"/>
        <v>1.5634539235986924E-2</v>
      </c>
      <c r="D222" s="36">
        <f t="shared" si="11"/>
        <v>2.7583777103968136E-2</v>
      </c>
      <c r="E222" s="36">
        <f t="shared" si="9"/>
        <v>6.4020136350120938E-2</v>
      </c>
    </row>
    <row r="223" spans="1:5" x14ac:dyDescent="0.35">
      <c r="A223" s="35">
        <v>36982</v>
      </c>
      <c r="B223" s="63">
        <f>VLOOKUP(A223,Database!A:L,MATCH($A$1,Database!$A$1:$L$1,),)</f>
        <v>2765.415</v>
      </c>
      <c r="C223" s="37">
        <f t="shared" si="10"/>
        <v>1.7335892294092058E-2</v>
      </c>
      <c r="D223" s="36">
        <f t="shared" si="11"/>
        <v>3.5193932165854667E-2</v>
      </c>
      <c r="E223" s="36">
        <f t="shared" si="9"/>
        <v>7.116769850842708E-2</v>
      </c>
    </row>
    <row r="224" spans="1:5" x14ac:dyDescent="0.35">
      <c r="A224" s="35">
        <v>37073</v>
      </c>
      <c r="B224" s="63">
        <f>VLOOKUP(A224,Database!A:L,MATCH($A$1,Database!$A$1:$L$1,),)</f>
        <v>2762.681</v>
      </c>
      <c r="C224" s="37">
        <f t="shared" si="10"/>
        <v>-9.8864004136808522E-4</v>
      </c>
      <c r="D224" s="36">
        <f t="shared" si="11"/>
        <v>3.85476097301682E-2</v>
      </c>
      <c r="E224" s="36">
        <f t="shared" si="9"/>
        <v>-3.9486995749519194E-3</v>
      </c>
    </row>
    <row r="225" spans="1:5" x14ac:dyDescent="0.35">
      <c r="A225" s="35">
        <v>37165</v>
      </c>
      <c r="B225" s="63">
        <f>VLOOKUP(A225,Database!A:L,MATCH($A$1,Database!$A$1:$L$1,),)</f>
        <v>2808.498</v>
      </c>
      <c r="C225" s="37">
        <f t="shared" si="10"/>
        <v>1.6584252760271638E-2</v>
      </c>
      <c r="D225" s="36">
        <f t="shared" si="11"/>
        <v>4.9338563154272548E-2</v>
      </c>
      <c r="E225" s="36">
        <f t="shared" si="9"/>
        <v>6.8005556486047336E-2</v>
      </c>
    </row>
    <row r="226" spans="1:5" x14ac:dyDescent="0.35">
      <c r="A226" s="35">
        <v>37257</v>
      </c>
      <c r="B226" s="63">
        <f>VLOOKUP(A226,Database!A:L,MATCH($A$1,Database!$A$1:$L$1,),)</f>
        <v>2857.3359999999998</v>
      </c>
      <c r="C226" s="37">
        <f t="shared" si="10"/>
        <v>1.7389366130935374E-2</v>
      </c>
      <c r="D226" s="36">
        <f t="shared" si="11"/>
        <v>5.1151624311009974E-2</v>
      </c>
      <c r="E226" s="36">
        <f t="shared" si="9"/>
        <v>7.1392929775584868E-2</v>
      </c>
    </row>
    <row r="227" spans="1:5" x14ac:dyDescent="0.35">
      <c r="A227" s="35">
        <v>37347</v>
      </c>
      <c r="B227" s="63">
        <f>VLOOKUP(A227,Database!A:L,MATCH($A$1,Database!$A$1:$L$1,),)</f>
        <v>2879.2820000000002</v>
      </c>
      <c r="C227" s="37">
        <f t="shared" si="10"/>
        <v>7.68058079273854E-3</v>
      </c>
      <c r="D227" s="36">
        <f t="shared" si="11"/>
        <v>4.1175375124529297E-2</v>
      </c>
      <c r="E227" s="36">
        <f t="shared" si="9"/>
        <v>3.1078086929250404E-2</v>
      </c>
    </row>
    <row r="228" spans="1:5" x14ac:dyDescent="0.35">
      <c r="A228" s="35">
        <v>37438</v>
      </c>
      <c r="B228" s="63">
        <f>VLOOKUP(A228,Database!A:L,MATCH($A$1,Database!$A$1:$L$1,),)</f>
        <v>2894.18</v>
      </c>
      <c r="C228" s="37">
        <f t="shared" si="10"/>
        <v>5.1742066251237919E-3</v>
      </c>
      <c r="D228" s="36">
        <f t="shared" si="11"/>
        <v>4.7598329304034667E-2</v>
      </c>
      <c r="E228" s="36">
        <f t="shared" si="9"/>
        <v>2.0858015806465735E-2</v>
      </c>
    </row>
    <row r="229" spans="1:5" x14ac:dyDescent="0.35">
      <c r="A229" s="35">
        <v>37530</v>
      </c>
      <c r="B229" s="63">
        <f>VLOOKUP(A229,Database!A:L,MATCH($A$1,Database!$A$1:$L$1,),)</f>
        <v>2915.62</v>
      </c>
      <c r="C229" s="37">
        <f t="shared" si="10"/>
        <v>7.4079704786848277E-3</v>
      </c>
      <c r="D229" s="36">
        <f t="shared" si="11"/>
        <v>3.8142095881855652E-2</v>
      </c>
      <c r="E229" s="36">
        <f t="shared" si="9"/>
        <v>2.9962779225219949E-2</v>
      </c>
    </row>
    <row r="230" spans="1:5" x14ac:dyDescent="0.35">
      <c r="A230" s="35">
        <v>37622</v>
      </c>
      <c r="B230" s="63">
        <f>VLOOKUP(A230,Database!A:L,MATCH($A$1,Database!$A$1:$L$1,),)</f>
        <v>2917.8670000000002</v>
      </c>
      <c r="C230" s="37">
        <f t="shared" si="10"/>
        <v>7.7067656278949196E-4</v>
      </c>
      <c r="D230" s="36">
        <f t="shared" si="11"/>
        <v>2.1184417933347847E-2</v>
      </c>
      <c r="E230" s="36">
        <f t="shared" si="9"/>
        <v>3.086271736647106E-3</v>
      </c>
    </row>
    <row r="231" spans="1:5" x14ac:dyDescent="0.35">
      <c r="A231" s="35">
        <v>37712</v>
      </c>
      <c r="B231" s="63">
        <f>VLOOKUP(A231,Database!A:L,MATCH($A$1,Database!$A$1:$L$1,),)</f>
        <v>2944.7190000000001</v>
      </c>
      <c r="C231" s="37">
        <f t="shared" si="10"/>
        <v>9.202612730463678E-3</v>
      </c>
      <c r="D231" s="36">
        <f t="shared" si="11"/>
        <v>2.2726846484644399E-2</v>
      </c>
      <c r="E231" s="36">
        <f t="shared" si="9"/>
        <v>3.7321703986779031E-2</v>
      </c>
    </row>
    <row r="232" spans="1:5" x14ac:dyDescent="0.35">
      <c r="A232" s="35">
        <v>37803</v>
      </c>
      <c r="B232" s="63">
        <f>VLOOKUP(A232,Database!A:L,MATCH($A$1,Database!$A$1:$L$1,),)</f>
        <v>2951.221</v>
      </c>
      <c r="C232" s="37">
        <f t="shared" si="10"/>
        <v>2.2080205275953166E-3</v>
      </c>
      <c r="D232" s="36">
        <f t="shared" si="11"/>
        <v>1.9708863996019656E-2</v>
      </c>
      <c r="E232" s="36">
        <f t="shared" si="9"/>
        <v>8.8613773215848735E-3</v>
      </c>
    </row>
    <row r="233" spans="1:5" x14ac:dyDescent="0.35">
      <c r="A233" s="35">
        <v>37895</v>
      </c>
      <c r="B233" s="63">
        <f>VLOOKUP(A233,Database!A:L,MATCH($A$1,Database!$A$1:$L$1,),)</f>
        <v>2969.1379999999999</v>
      </c>
      <c r="C233" s="37">
        <f t="shared" si="10"/>
        <v>6.0710465261665991E-3</v>
      </c>
      <c r="D233" s="36">
        <f t="shared" si="11"/>
        <v>1.8355615615203637E-2</v>
      </c>
      <c r="E233" s="36">
        <f t="shared" si="9"/>
        <v>2.4506228155648513E-2</v>
      </c>
    </row>
    <row r="234" spans="1:5" x14ac:dyDescent="0.35">
      <c r="A234" s="35">
        <v>37987</v>
      </c>
      <c r="B234" s="63">
        <f>VLOOKUP(A234,Database!A:L,MATCH($A$1,Database!$A$1:$L$1,),)</f>
        <v>2982.7350000000001</v>
      </c>
      <c r="C234" s="37">
        <f t="shared" si="10"/>
        <v>4.5794435960875542E-3</v>
      </c>
      <c r="D234" s="36">
        <f t="shared" si="11"/>
        <v>2.2231308006841963E-2</v>
      </c>
      <c r="E234" s="36">
        <f t="shared" si="9"/>
        <v>1.8443986793652778E-2</v>
      </c>
    </row>
    <row r="235" spans="1:5" x14ac:dyDescent="0.35">
      <c r="A235" s="35">
        <v>38078</v>
      </c>
      <c r="B235" s="63">
        <f>VLOOKUP(A235,Database!A:L,MATCH($A$1,Database!$A$1:$L$1,),)</f>
        <v>2990.8240000000001</v>
      </c>
      <c r="C235" s="37">
        <f t="shared" si="10"/>
        <v>2.7119405512055013E-3</v>
      </c>
      <c r="D235" s="36">
        <f t="shared" si="11"/>
        <v>1.5656841960132704E-2</v>
      </c>
      <c r="E235" s="36">
        <f t="shared" si="9"/>
        <v>1.0891969769417864E-2</v>
      </c>
    </row>
    <row r="236" spans="1:5" x14ac:dyDescent="0.35">
      <c r="A236" s="35">
        <v>38169</v>
      </c>
      <c r="B236" s="63">
        <f>VLOOKUP(A236,Database!A:L,MATCH($A$1,Database!$A$1:$L$1,),)</f>
        <v>2996.3339999999998</v>
      </c>
      <c r="C236" s="37">
        <f t="shared" si="10"/>
        <v>1.8423016533235534E-3</v>
      </c>
      <c r="D236" s="36">
        <f t="shared" si="11"/>
        <v>1.5286215434221912E-2</v>
      </c>
      <c r="E236" s="36">
        <f t="shared" si="9"/>
        <v>7.3895960887477852E-3</v>
      </c>
    </row>
    <row r="237" spans="1:5" x14ac:dyDescent="0.35">
      <c r="A237" s="35">
        <v>38261</v>
      </c>
      <c r="B237" s="63">
        <f>VLOOKUP(A237,Database!A:L,MATCH($A$1,Database!$A$1:$L$1,),)</f>
        <v>2994.627</v>
      </c>
      <c r="C237" s="37">
        <f t="shared" si="10"/>
        <v>-5.6969616871813361E-4</v>
      </c>
      <c r="D237" s="36">
        <f t="shared" si="11"/>
        <v>8.5846464529435937E-3</v>
      </c>
      <c r="E237" s="36">
        <f t="shared" si="9"/>
        <v>-2.2768380920074049E-3</v>
      </c>
    </row>
    <row r="238" spans="1:5" x14ac:dyDescent="0.35">
      <c r="A238" s="35">
        <v>38353</v>
      </c>
      <c r="B238" s="63">
        <f>VLOOKUP(A238,Database!A:L,MATCH($A$1,Database!$A$1:$L$1,),)</f>
        <v>3009.569</v>
      </c>
      <c r="C238" s="37">
        <f t="shared" si="10"/>
        <v>4.9896030457215563E-3</v>
      </c>
      <c r="D238" s="36">
        <f t="shared" si="11"/>
        <v>8.9964411856902574E-3</v>
      </c>
      <c r="E238" s="36">
        <f t="shared" si="9"/>
        <v>2.0108286521421936E-2</v>
      </c>
    </row>
    <row r="239" spans="1:5" x14ac:dyDescent="0.35">
      <c r="A239" s="35">
        <v>38443</v>
      </c>
      <c r="B239" s="63">
        <f>VLOOKUP(A239,Database!A:L,MATCH($A$1,Database!$A$1:$L$1,),)</f>
        <v>3007.8310000000001</v>
      </c>
      <c r="C239" s="37">
        <f t="shared" si="10"/>
        <v>-5.7749132849249478E-4</v>
      </c>
      <c r="D239" s="36">
        <f t="shared" si="11"/>
        <v>5.6863927800499328E-3</v>
      </c>
      <c r="E239" s="36">
        <f t="shared" si="9"/>
        <v>-2.307965106816523E-3</v>
      </c>
    </row>
    <row r="240" spans="1:5" x14ac:dyDescent="0.35">
      <c r="A240" s="35">
        <v>38534</v>
      </c>
      <c r="B240" s="63">
        <f>VLOOKUP(A240,Database!A:L,MATCH($A$1,Database!$A$1:$L$1,),)</f>
        <v>3017.7730000000001</v>
      </c>
      <c r="C240" s="37">
        <f t="shared" si="10"/>
        <v>3.3053718776088173E-3</v>
      </c>
      <c r="D240" s="36">
        <f t="shared" si="11"/>
        <v>7.1550768372285285E-3</v>
      </c>
      <c r="E240" s="36">
        <f t="shared" si="9"/>
        <v>1.3287184980437461E-2</v>
      </c>
    </row>
    <row r="241" spans="1:5" x14ac:dyDescent="0.35">
      <c r="A241" s="35">
        <v>38626</v>
      </c>
      <c r="B241" s="63">
        <f>VLOOKUP(A241,Database!A:L,MATCH($A$1,Database!$A$1:$L$1,),)</f>
        <v>3020.1329999999998</v>
      </c>
      <c r="C241" s="37">
        <f t="shared" si="10"/>
        <v>7.8203363871294247E-4</v>
      </c>
      <c r="D241" s="36">
        <f t="shared" si="11"/>
        <v>8.517254402635073E-3</v>
      </c>
      <c r="E241" s="36">
        <f t="shared" si="9"/>
        <v>3.1318059279923371E-3</v>
      </c>
    </row>
    <row r="242" spans="1:5" x14ac:dyDescent="0.35">
      <c r="A242" s="35">
        <v>38718</v>
      </c>
      <c r="B242" s="63">
        <f>VLOOKUP(A242,Database!A:L,MATCH($A$1,Database!$A$1:$L$1,),)</f>
        <v>3058.4830000000002</v>
      </c>
      <c r="C242" s="37">
        <f t="shared" si="10"/>
        <v>1.2698116275011851E-2</v>
      </c>
      <c r="D242" s="36">
        <f t="shared" si="11"/>
        <v>1.6252825570704715E-2</v>
      </c>
      <c r="E242" s="36">
        <f t="shared" si="9"/>
        <v>5.1768133927311943E-2</v>
      </c>
    </row>
    <row r="243" spans="1:5" x14ac:dyDescent="0.35">
      <c r="A243" s="35">
        <v>38808</v>
      </c>
      <c r="B243" s="63">
        <f>VLOOKUP(A243,Database!A:L,MATCH($A$1,Database!$A$1:$L$1,),)</f>
        <v>3057.5509999999999</v>
      </c>
      <c r="C243" s="37">
        <f t="shared" si="10"/>
        <v>-3.0472623192616855E-4</v>
      </c>
      <c r="D243" s="36">
        <f t="shared" si="11"/>
        <v>1.6530184042919897E-2</v>
      </c>
      <c r="E243" s="36">
        <f t="shared" si="9"/>
        <v>-1.2183478924224778E-3</v>
      </c>
    </row>
    <row r="244" spans="1:5" x14ac:dyDescent="0.35">
      <c r="A244" s="35">
        <v>38899</v>
      </c>
      <c r="B244" s="63">
        <f>VLOOKUP(A244,Database!A:L,MATCH($A$1,Database!$A$1:$L$1,),)</f>
        <v>3053.11</v>
      </c>
      <c r="C244" s="37">
        <f t="shared" si="10"/>
        <v>-1.4524696399176346E-3</v>
      </c>
      <c r="D244" s="36">
        <f t="shared" si="11"/>
        <v>1.1709628258984353E-2</v>
      </c>
      <c r="E244" s="36">
        <f t="shared" si="9"/>
        <v>-5.7972328038056187E-3</v>
      </c>
    </row>
    <row r="245" spans="1:5" x14ac:dyDescent="0.35">
      <c r="A245" s="35">
        <v>38991</v>
      </c>
      <c r="B245" s="63">
        <f>VLOOKUP(A245,Database!A:L,MATCH($A$1,Database!$A$1:$L$1,),)</f>
        <v>3078.2150000000001</v>
      </c>
      <c r="C245" s="37">
        <f t="shared" si="10"/>
        <v>8.2227630186924201E-3</v>
      </c>
      <c r="D245" s="36">
        <f t="shared" si="11"/>
        <v>1.9231603376407707E-2</v>
      </c>
      <c r="E245" s="36">
        <f t="shared" si="9"/>
        <v>3.3298963526427361E-2</v>
      </c>
    </row>
    <row r="246" spans="1:5" x14ac:dyDescent="0.35">
      <c r="A246" s="35">
        <v>39083</v>
      </c>
      <c r="B246" s="63">
        <f>VLOOKUP(A246,Database!A:L,MATCH($A$1,Database!$A$1:$L$1,),)</f>
        <v>3082.482</v>
      </c>
      <c r="C246" s="37">
        <f t="shared" si="10"/>
        <v>1.3861929722257299E-3</v>
      </c>
      <c r="D246" s="36">
        <f t="shared" si="11"/>
        <v>7.8467004720967209E-3</v>
      </c>
      <c r="E246" s="36">
        <f t="shared" si="9"/>
        <v>5.556311732783259E-3</v>
      </c>
    </row>
    <row r="247" spans="1:5" x14ac:dyDescent="0.35">
      <c r="A247" s="35">
        <v>39173</v>
      </c>
      <c r="B247" s="63">
        <f>VLOOKUP(A247,Database!A:L,MATCH($A$1,Database!$A$1:$L$1,),)</f>
        <v>3110.6610000000001</v>
      </c>
      <c r="C247" s="37">
        <f t="shared" si="10"/>
        <v>9.1416592213677452E-3</v>
      </c>
      <c r="D247" s="36">
        <f t="shared" si="11"/>
        <v>1.7370110915566127E-2</v>
      </c>
      <c r="E247" s="36">
        <f t="shared" si="9"/>
        <v>3.7071119340728931E-2</v>
      </c>
    </row>
    <row r="248" spans="1:5" x14ac:dyDescent="0.35">
      <c r="A248" s="35">
        <v>39264</v>
      </c>
      <c r="B248" s="63">
        <f>VLOOKUP(A248,Database!A:L,MATCH($A$1,Database!$A$1:$L$1,),)</f>
        <v>3124.8829999999998</v>
      </c>
      <c r="C248" s="37">
        <f t="shared" si="10"/>
        <v>4.5720186159789681E-3</v>
      </c>
      <c r="D248" s="36">
        <f t="shared" si="11"/>
        <v>2.3508160531392475E-2</v>
      </c>
      <c r="E248" s="36">
        <f t="shared" si="9"/>
        <v>1.8413877308314008E-2</v>
      </c>
    </row>
    <row r="249" spans="1:5" x14ac:dyDescent="0.35">
      <c r="A249" s="35">
        <v>39356</v>
      </c>
      <c r="B249" s="63">
        <f>VLOOKUP(A249,Database!A:L,MATCH($A$1,Database!$A$1:$L$1,),)</f>
        <v>3149.5419999999999</v>
      </c>
      <c r="C249" s="37">
        <f t="shared" si="10"/>
        <v>7.8911754456087186E-3</v>
      </c>
      <c r="D249" s="36">
        <f t="shared" si="11"/>
        <v>2.3171545847187336E-2</v>
      </c>
      <c r="E249" s="36">
        <f t="shared" si="9"/>
        <v>3.1940295114043726E-2</v>
      </c>
    </row>
    <row r="250" spans="1:5" x14ac:dyDescent="0.35">
      <c r="A250" s="35">
        <v>39448</v>
      </c>
      <c r="B250" s="63">
        <f>VLOOKUP(A250,Database!A:L,MATCH($A$1,Database!$A$1:$L$1,),)</f>
        <v>3156.9279999999999</v>
      </c>
      <c r="C250" s="37">
        <f t="shared" si="10"/>
        <v>2.3451028752751882E-3</v>
      </c>
      <c r="D250" s="36">
        <f t="shared" si="11"/>
        <v>2.4151317023100187E-2</v>
      </c>
      <c r="E250" s="36">
        <f t="shared" si="9"/>
        <v>9.4134601639626059E-3</v>
      </c>
    </row>
    <row r="251" spans="1:5" x14ac:dyDescent="0.35">
      <c r="A251" s="35">
        <v>39539</v>
      </c>
      <c r="B251" s="63">
        <f>VLOOKUP(A251,Database!A:L,MATCH($A$1,Database!$A$1:$L$1,),)</f>
        <v>3184.2579999999998</v>
      </c>
      <c r="C251" s="37">
        <f t="shared" si="10"/>
        <v>8.6571502422608075E-3</v>
      </c>
      <c r="D251" s="36">
        <f t="shared" si="11"/>
        <v>2.3659601608789819E-2</v>
      </c>
      <c r="E251" s="36">
        <f t="shared" si="9"/>
        <v>3.5080879371682361E-2</v>
      </c>
    </row>
    <row r="252" spans="1:5" x14ac:dyDescent="0.35">
      <c r="A252" s="35">
        <v>39630</v>
      </c>
      <c r="B252" s="63">
        <f>VLOOKUP(A252,Database!A:L,MATCH($A$1,Database!$A$1:$L$1,),)</f>
        <v>3210.02</v>
      </c>
      <c r="C252" s="37">
        <f t="shared" si="10"/>
        <v>8.0904248336661697E-3</v>
      </c>
      <c r="D252" s="36">
        <f t="shared" si="11"/>
        <v>2.7244860047560236E-2</v>
      </c>
      <c r="E252" s="36">
        <f t="shared" si="9"/>
        <v>3.2756551697141534E-2</v>
      </c>
    </row>
    <row r="253" spans="1:5" x14ac:dyDescent="0.35">
      <c r="A253" s="35">
        <v>39722</v>
      </c>
      <c r="B253" s="63">
        <f>VLOOKUP(A253,Database!A:L,MATCH($A$1,Database!$A$1:$L$1,),)</f>
        <v>3231.944</v>
      </c>
      <c r="C253" s="37">
        <f t="shared" si="10"/>
        <v>6.8298639883863583E-3</v>
      </c>
      <c r="D253" s="36">
        <f t="shared" si="11"/>
        <v>2.6163169121097622E-2</v>
      </c>
      <c r="E253" s="36">
        <f t="shared" si="9"/>
        <v>2.7600614753903185E-2</v>
      </c>
    </row>
    <row r="254" spans="1:5" x14ac:dyDescent="0.35">
      <c r="A254" s="35">
        <v>39814</v>
      </c>
      <c r="B254" s="63">
        <f>VLOOKUP(A254,Database!A:L,MATCH($A$1,Database!$A$1:$L$1,),)</f>
        <v>3268.8180000000002</v>
      </c>
      <c r="C254" s="37">
        <f t="shared" si="10"/>
        <v>1.1409232338184156E-2</v>
      </c>
      <c r="D254" s="36">
        <f t="shared" si="11"/>
        <v>3.5442683520181748E-2</v>
      </c>
      <c r="E254" s="36">
        <f t="shared" si="9"/>
        <v>4.6423910378077249E-2</v>
      </c>
    </row>
    <row r="255" spans="1:5" x14ac:dyDescent="0.35">
      <c r="A255" s="35">
        <v>39904</v>
      </c>
      <c r="B255" s="63">
        <f>VLOOKUP(A255,Database!A:L,MATCH($A$1,Database!$A$1:$L$1,),)</f>
        <v>3316.62</v>
      </c>
      <c r="C255" s="37">
        <f t="shared" si="10"/>
        <v>1.4623634598194111E-2</v>
      </c>
      <c r="D255" s="36">
        <f t="shared" si="11"/>
        <v>4.1567611669657452E-2</v>
      </c>
      <c r="E255" s="36">
        <f t="shared" si="9"/>
        <v>5.9790197355392483E-2</v>
      </c>
    </row>
    <row r="256" spans="1:5" x14ac:dyDescent="0.35">
      <c r="A256" s="35">
        <v>39995</v>
      </c>
      <c r="B256" s="63">
        <f>VLOOKUP(A256,Database!A:L,MATCH($A$1,Database!$A$1:$L$1,),)</f>
        <v>3325.6819999999998</v>
      </c>
      <c r="C256" s="37">
        <f t="shared" si="10"/>
        <v>2.7322997509512392E-3</v>
      </c>
      <c r="D256" s="36">
        <f t="shared" si="11"/>
        <v>3.6031551205288379E-2</v>
      </c>
      <c r="E256" s="36">
        <f t="shared" si="9"/>
        <v>1.0974073422631125E-2</v>
      </c>
    </row>
    <row r="257" spans="1:5" x14ac:dyDescent="0.35">
      <c r="A257" s="35">
        <v>40087</v>
      </c>
      <c r="B257" s="63">
        <f>VLOOKUP(A257,Database!A:L,MATCH($A$1,Database!$A$1:$L$1,),)</f>
        <v>3331.645</v>
      </c>
      <c r="C257" s="37">
        <f t="shared" si="10"/>
        <v>1.793015688210777E-3</v>
      </c>
      <c r="D257" s="36">
        <f t="shared" si="11"/>
        <v>3.0848616188894368E-2</v>
      </c>
      <c r="E257" s="36">
        <f t="shared" si="9"/>
        <v>7.1913752522305696E-3</v>
      </c>
    </row>
    <row r="258" spans="1:5" x14ac:dyDescent="0.35">
      <c r="A258" s="35">
        <v>40179</v>
      </c>
      <c r="B258" s="63">
        <f>VLOOKUP(A258,Database!A:L,MATCH($A$1,Database!$A$1:$L$1,),)</f>
        <v>3317.3470000000002</v>
      </c>
      <c r="C258" s="37">
        <f t="shared" si="10"/>
        <v>-4.2915736820699005E-3</v>
      </c>
      <c r="D258" s="36">
        <f t="shared" si="11"/>
        <v>1.4846039149319416E-2</v>
      </c>
      <c r="E258" s="36">
        <f t="shared" si="9"/>
        <v>-1.7056104923089621E-2</v>
      </c>
    </row>
    <row r="259" spans="1:5" x14ac:dyDescent="0.35">
      <c r="A259" s="35">
        <v>40269</v>
      </c>
      <c r="B259" s="63">
        <f>VLOOKUP(A259,Database!A:L,MATCH($A$1,Database!$A$1:$L$1,),)</f>
        <v>3327.5639999999999</v>
      </c>
      <c r="C259" s="37">
        <f t="shared" si="10"/>
        <v>3.0798707521400813E-3</v>
      </c>
      <c r="D259" s="36">
        <f t="shared" si="11"/>
        <v>3.2997449210340527E-3</v>
      </c>
      <c r="E259" s="36">
        <f t="shared" si="9"/>
        <v>1.237651357937164E-2</v>
      </c>
    </row>
    <row r="260" spans="1:5" x14ac:dyDescent="0.35">
      <c r="A260" s="35">
        <v>40360</v>
      </c>
      <c r="B260" s="63">
        <f>VLOOKUP(A260,Database!A:L,MATCH($A$1,Database!$A$1:$L$1,),)</f>
        <v>3304.078</v>
      </c>
      <c r="C260" s="37">
        <f t="shared" si="10"/>
        <v>-7.0580160141171973E-3</v>
      </c>
      <c r="D260" s="36">
        <f t="shared" si="11"/>
        <v>-6.4961111735877984E-3</v>
      </c>
      <c r="E260" s="36">
        <f t="shared" si="9"/>
        <v>-2.7934574431471737E-2</v>
      </c>
    </row>
    <row r="261" spans="1:5" x14ac:dyDescent="0.35">
      <c r="A261" s="35">
        <v>40452</v>
      </c>
      <c r="B261" s="63">
        <f>VLOOKUP(A261,Database!A:L,MATCH($A$1,Database!$A$1:$L$1,),)</f>
        <v>3283.0459999999998</v>
      </c>
      <c r="C261" s="37">
        <f t="shared" si="10"/>
        <v>-6.365467159068325E-3</v>
      </c>
      <c r="D261" s="36">
        <f t="shared" si="11"/>
        <v>-1.4587088360254517E-2</v>
      </c>
      <c r="E261" s="36">
        <f t="shared" si="9"/>
        <v>-2.5219783655389238E-2</v>
      </c>
    </row>
    <row r="262" spans="1:5" x14ac:dyDescent="0.35">
      <c r="A262" s="35">
        <v>40544</v>
      </c>
      <c r="B262" s="63">
        <f>VLOOKUP(A262,Database!A:L,MATCH($A$1,Database!$A$1:$L$1,),)</f>
        <v>3242.78</v>
      </c>
      <c r="C262" s="37">
        <f t="shared" si="10"/>
        <v>-1.2264829673419022E-2</v>
      </c>
      <c r="D262" s="36">
        <f t="shared" si="11"/>
        <v>-2.2477901769094401E-2</v>
      </c>
      <c r="E262" s="36">
        <f t="shared" ref="E262:E309" si="12">((1+C262)^4)-1</f>
        <v>-4.816411958354827E-2</v>
      </c>
    </row>
    <row r="263" spans="1:5" x14ac:dyDescent="0.35">
      <c r="A263" s="35">
        <v>40634</v>
      </c>
      <c r="B263" s="63">
        <f>VLOOKUP(A263,Database!A:L,MATCH($A$1,Database!$A$1:$L$1,),)</f>
        <v>3220.8159999999998</v>
      </c>
      <c r="C263" s="37">
        <f t="shared" ref="C263:C326" si="13">(B263-B262)/B262</f>
        <v>-6.773200772177081E-3</v>
      </c>
      <c r="D263" s="36">
        <f t="shared" si="11"/>
        <v>-3.2079923932342116E-2</v>
      </c>
      <c r="E263" s="36">
        <f t="shared" si="12"/>
        <v>-2.6818786408049466E-2</v>
      </c>
    </row>
    <row r="264" spans="1:5" x14ac:dyDescent="0.35">
      <c r="A264" s="35">
        <v>40725</v>
      </c>
      <c r="B264" s="63">
        <f>VLOOKUP(A264,Database!A:L,MATCH($A$1,Database!$A$1:$L$1,),)</f>
        <v>3174.8009999999999</v>
      </c>
      <c r="C264" s="37">
        <f t="shared" si="13"/>
        <v>-1.4286752177088004E-2</v>
      </c>
      <c r="D264" s="36">
        <f t="shared" si="11"/>
        <v>-3.9126497619002956E-2</v>
      </c>
      <c r="E264" s="36">
        <f t="shared" si="12"/>
        <v>-5.5933963669856479E-2</v>
      </c>
    </row>
    <row r="265" spans="1:5" x14ac:dyDescent="0.35">
      <c r="A265" s="35">
        <v>40817</v>
      </c>
      <c r="B265" s="63">
        <f>VLOOKUP(A265,Database!A:L,MATCH($A$1,Database!$A$1:$L$1,),)</f>
        <v>3172.5349999999999</v>
      </c>
      <c r="C265" s="37">
        <f t="shared" si="13"/>
        <v>-7.137455229477616E-4</v>
      </c>
      <c r="D265" s="36">
        <f t="shared" si="11"/>
        <v>-3.3661118363860869E-2</v>
      </c>
      <c r="E265" s="36">
        <f t="shared" si="12"/>
        <v>-2.8519269499236444E-3</v>
      </c>
    </row>
    <row r="266" spans="1:5" x14ac:dyDescent="0.35">
      <c r="A266" s="35">
        <v>40909</v>
      </c>
      <c r="B266" s="63">
        <f>VLOOKUP(A266,Database!A:L,MATCH($A$1,Database!$A$1:$L$1,),)</f>
        <v>3158.9389999999999</v>
      </c>
      <c r="C266" s="37">
        <f t="shared" si="13"/>
        <v>-4.2855319169055675E-3</v>
      </c>
      <c r="D266" s="36">
        <f t="shared" ref="D266:D329" si="14">(B266-B262)/B262</f>
        <v>-2.585466790839969E-2</v>
      </c>
      <c r="E266" s="36">
        <f t="shared" si="12"/>
        <v>-1.7032247456066241E-2</v>
      </c>
    </row>
    <row r="267" spans="1:5" x14ac:dyDescent="0.35">
      <c r="A267" s="35">
        <v>41000</v>
      </c>
      <c r="B267" s="63">
        <f>VLOOKUP(A267,Database!A:L,MATCH($A$1,Database!$A$1:$L$1,),)</f>
        <v>3142.4180000000001</v>
      </c>
      <c r="C267" s="37">
        <f t="shared" si="13"/>
        <v>-5.2299205524385661E-3</v>
      </c>
      <c r="D267" s="36">
        <f t="shared" si="14"/>
        <v>-2.4341036557195345E-2</v>
      </c>
      <c r="E267" s="36">
        <f t="shared" si="12"/>
        <v>-2.0756141244300474E-2</v>
      </c>
    </row>
    <row r="268" spans="1:5" x14ac:dyDescent="0.35">
      <c r="A268" s="35">
        <v>41091</v>
      </c>
      <c r="B268" s="63">
        <f>VLOOKUP(A268,Database!A:L,MATCH($A$1,Database!$A$1:$L$1,),)</f>
        <v>3137.6640000000002</v>
      </c>
      <c r="C268" s="37">
        <f t="shared" si="13"/>
        <v>-1.5128477497264544E-3</v>
      </c>
      <c r="D268" s="36">
        <f t="shared" si="14"/>
        <v>-1.1697426074894053E-2</v>
      </c>
      <c r="E268" s="36">
        <f t="shared" si="12"/>
        <v>-6.0376725936535092E-3</v>
      </c>
    </row>
    <row r="269" spans="1:5" x14ac:dyDescent="0.35">
      <c r="A269" s="35">
        <v>41183</v>
      </c>
      <c r="B269" s="63">
        <f>VLOOKUP(A269,Database!A:L,MATCH($A$1,Database!$A$1:$L$1,),)</f>
        <v>3106.86</v>
      </c>
      <c r="C269" s="37">
        <f t="shared" si="13"/>
        <v>-9.8174947986782793E-3</v>
      </c>
      <c r="D269" s="36">
        <f t="shared" si="14"/>
        <v>-2.0701111256455716E-2</v>
      </c>
      <c r="E269" s="36">
        <f t="shared" si="12"/>
        <v>-3.8695455646679422E-2</v>
      </c>
    </row>
    <row r="270" spans="1:5" x14ac:dyDescent="0.35">
      <c r="A270" s="35">
        <v>41275</v>
      </c>
      <c r="B270" s="63">
        <f>VLOOKUP(A270,Database!A:L,MATCH($A$1,Database!$A$1:$L$1,),)</f>
        <v>3078.855</v>
      </c>
      <c r="C270" s="37">
        <f t="shared" si="13"/>
        <v>-9.0139240261872464E-3</v>
      </c>
      <c r="D270" s="36">
        <f t="shared" si="14"/>
        <v>-2.5351549998274686E-2</v>
      </c>
      <c r="E270" s="36">
        <f t="shared" si="12"/>
        <v>-3.55711141000562E-2</v>
      </c>
    </row>
    <row r="271" spans="1:5" x14ac:dyDescent="0.35">
      <c r="A271" s="35">
        <v>41365</v>
      </c>
      <c r="B271" s="63">
        <f>VLOOKUP(A271,Database!A:L,MATCH($A$1,Database!$A$1:$L$1,),)</f>
        <v>3073.6770000000001</v>
      </c>
      <c r="C271" s="37">
        <f t="shared" si="13"/>
        <v>-1.6817940435648589E-3</v>
      </c>
      <c r="D271" s="36">
        <f t="shared" si="14"/>
        <v>-2.1875192924684109E-2</v>
      </c>
      <c r="E271" s="36">
        <f t="shared" si="12"/>
        <v>-6.7102246063845961E-3</v>
      </c>
    </row>
    <row r="272" spans="1:5" x14ac:dyDescent="0.35">
      <c r="A272" s="35">
        <v>41456</v>
      </c>
      <c r="B272" s="63">
        <f>VLOOKUP(A272,Database!A:L,MATCH($A$1,Database!$A$1:$L$1,),)</f>
        <v>3057.212</v>
      </c>
      <c r="C272" s="37">
        <f t="shared" si="13"/>
        <v>-5.3567762650402577E-3</v>
      </c>
      <c r="D272" s="36">
        <f t="shared" si="14"/>
        <v>-2.564073144861917E-2</v>
      </c>
      <c r="E272" s="36">
        <f t="shared" si="12"/>
        <v>-2.1255548776925814E-2</v>
      </c>
    </row>
    <row r="273" spans="1:5" x14ac:dyDescent="0.35">
      <c r="A273" s="35">
        <v>41548</v>
      </c>
      <c r="B273" s="63">
        <f>VLOOKUP(A273,Database!A:L,MATCH($A$1,Database!$A$1:$L$1,),)</f>
        <v>3033.1179999999999</v>
      </c>
      <c r="C273" s="37">
        <f t="shared" si="13"/>
        <v>-7.8810367092632273E-3</v>
      </c>
      <c r="D273" s="36">
        <f t="shared" si="14"/>
        <v>-2.3735218194575934E-2</v>
      </c>
      <c r="E273" s="36">
        <f t="shared" si="12"/>
        <v>-3.1153436529708145E-2</v>
      </c>
    </row>
    <row r="274" spans="1:5" x14ac:dyDescent="0.35">
      <c r="A274" s="35">
        <v>41640</v>
      </c>
      <c r="B274" s="63">
        <f>VLOOKUP(A274,Database!A:L,MATCH($A$1,Database!$A$1:$L$1,),)</f>
        <v>3020.58</v>
      </c>
      <c r="C274" s="37">
        <f t="shared" si="13"/>
        <v>-4.1337000406842109E-3</v>
      </c>
      <c r="D274" s="36">
        <f t="shared" si="14"/>
        <v>-1.8927490901650156E-2</v>
      </c>
      <c r="E274" s="36">
        <f t="shared" si="12"/>
        <v>-1.6432557552598426E-2</v>
      </c>
    </row>
    <row r="275" spans="1:5" x14ac:dyDescent="0.35">
      <c r="A275" s="35">
        <v>41730</v>
      </c>
      <c r="B275" s="63">
        <f>VLOOKUP(A275,Database!A:L,MATCH($A$1,Database!$A$1:$L$1,),)</f>
        <v>3024.424</v>
      </c>
      <c r="C275" s="37">
        <f t="shared" si="13"/>
        <v>1.2726032748677574E-3</v>
      </c>
      <c r="D275" s="36">
        <f t="shared" si="14"/>
        <v>-1.6024130056606519E-2</v>
      </c>
      <c r="E275" s="36">
        <f t="shared" si="12"/>
        <v>5.1001384606865763E-3</v>
      </c>
    </row>
    <row r="276" spans="1:5" x14ac:dyDescent="0.35">
      <c r="A276" s="35">
        <v>41821</v>
      </c>
      <c r="B276" s="63">
        <f>VLOOKUP(A276,Database!A:L,MATCH($A$1,Database!$A$1:$L$1,),)</f>
        <v>3044.694</v>
      </c>
      <c r="C276" s="37">
        <f t="shared" si="13"/>
        <v>6.7021026152417722E-3</v>
      </c>
      <c r="D276" s="36">
        <f t="shared" si="14"/>
        <v>-4.094580290800909E-3</v>
      </c>
      <c r="E276" s="36">
        <f t="shared" si="12"/>
        <v>2.707912574039395E-2</v>
      </c>
    </row>
    <row r="277" spans="1:5" x14ac:dyDescent="0.35">
      <c r="A277" s="35">
        <v>41913</v>
      </c>
      <c r="B277" s="63">
        <f>VLOOKUP(A277,Database!A:L,MATCH($A$1,Database!$A$1:$L$1,),)</f>
        <v>3043.2150000000001</v>
      </c>
      <c r="C277" s="37">
        <f t="shared" si="13"/>
        <v>-4.8576310131652456E-4</v>
      </c>
      <c r="D277" s="36">
        <f t="shared" si="14"/>
        <v>3.3289176352519776E-3</v>
      </c>
      <c r="E277" s="36">
        <f t="shared" si="12"/>
        <v>-1.9416370689607776E-3</v>
      </c>
    </row>
    <row r="278" spans="1:5" x14ac:dyDescent="0.35">
      <c r="A278" s="35">
        <v>42005</v>
      </c>
      <c r="B278" s="63">
        <f>VLOOKUP(A278,Database!A:L,MATCH($A$1,Database!$A$1:$L$1,),)</f>
        <v>3058.973</v>
      </c>
      <c r="C278" s="37">
        <f t="shared" si="13"/>
        <v>5.1780764750436001E-3</v>
      </c>
      <c r="D278" s="36">
        <f t="shared" si="14"/>
        <v>1.271047282310021E-2</v>
      </c>
      <c r="E278" s="36">
        <f t="shared" si="12"/>
        <v>2.0873736823175948E-2</v>
      </c>
    </row>
    <row r="279" spans="1:5" x14ac:dyDescent="0.35">
      <c r="A279" s="35">
        <v>42095</v>
      </c>
      <c r="B279" s="63">
        <f>VLOOKUP(A279,Database!A:L,MATCH($A$1,Database!$A$1:$L$1,),)</f>
        <v>3085.0889999999999</v>
      </c>
      <c r="C279" s="37">
        <f t="shared" si="13"/>
        <v>8.5375058884141781E-3</v>
      </c>
      <c r="D279" s="36">
        <f t="shared" si="14"/>
        <v>2.0058364832444116E-2</v>
      </c>
      <c r="E279" s="36">
        <f t="shared" si="12"/>
        <v>3.458985206853149E-2</v>
      </c>
    </row>
    <row r="280" spans="1:5" x14ac:dyDescent="0.35">
      <c r="A280" s="35">
        <v>42186</v>
      </c>
      <c r="B280" s="63">
        <f>VLOOKUP(A280,Database!A:L,MATCH($A$1,Database!$A$1:$L$1,),)</f>
        <v>3099.0819999999999</v>
      </c>
      <c r="C280" s="37">
        <f t="shared" si="13"/>
        <v>4.5356876252192202E-3</v>
      </c>
      <c r="D280" s="36">
        <f t="shared" si="14"/>
        <v>1.786320727140393E-2</v>
      </c>
      <c r="E280" s="36">
        <f t="shared" si="12"/>
        <v>1.8266558938553779E-2</v>
      </c>
    </row>
    <row r="281" spans="1:5" x14ac:dyDescent="0.35">
      <c r="A281" s="35">
        <v>42278</v>
      </c>
      <c r="B281" s="63">
        <f>VLOOKUP(A281,Database!A:L,MATCH($A$1,Database!$A$1:$L$1,),)</f>
        <v>3110.2570000000001</v>
      </c>
      <c r="C281" s="37">
        <f t="shared" si="13"/>
        <v>3.6059065232866322E-3</v>
      </c>
      <c r="D281" s="36">
        <f t="shared" si="14"/>
        <v>2.2029991308533874E-2</v>
      </c>
      <c r="E281" s="36">
        <f t="shared" si="12"/>
        <v>1.4501829177432368E-2</v>
      </c>
    </row>
    <row r="282" spans="1:5" x14ac:dyDescent="0.35">
      <c r="A282" s="35">
        <v>42370</v>
      </c>
      <c r="B282" s="63">
        <f>VLOOKUP(A282,Database!A:L,MATCH($A$1,Database!$A$1:$L$1,),)</f>
        <v>3142.8409999999999</v>
      </c>
      <c r="C282" s="37">
        <f t="shared" si="13"/>
        <v>1.0476304691219997E-2</v>
      </c>
      <c r="D282" s="36">
        <f t="shared" si="14"/>
        <v>2.7417044870941959E-2</v>
      </c>
      <c r="E282" s="36">
        <f t="shared" si="12"/>
        <v>4.2568347792289796E-2</v>
      </c>
    </row>
    <row r="283" spans="1:5" x14ac:dyDescent="0.35">
      <c r="A283" s="35">
        <v>42461</v>
      </c>
      <c r="B283" s="63">
        <f>VLOOKUP(A283,Database!A:L,MATCH($A$1,Database!$A$1:$L$1,),)</f>
        <v>3137.91</v>
      </c>
      <c r="C283" s="37">
        <f t="shared" si="13"/>
        <v>-1.5689626042170253E-3</v>
      </c>
      <c r="D283" s="36">
        <f t="shared" si="14"/>
        <v>1.7121386125327313E-2</v>
      </c>
      <c r="E283" s="36">
        <f t="shared" si="12"/>
        <v>-6.2610959977950076E-3</v>
      </c>
    </row>
    <row r="284" spans="1:5" x14ac:dyDescent="0.35">
      <c r="A284" s="35">
        <v>42552</v>
      </c>
      <c r="B284" s="63">
        <f>VLOOKUP(A284,Database!A:L,MATCH($A$1,Database!$A$1:$L$1,),)</f>
        <v>3153.8939999999998</v>
      </c>
      <c r="C284" s="37">
        <f t="shared" si="13"/>
        <v>5.0938363432985407E-3</v>
      </c>
      <c r="D284" s="36">
        <f t="shared" si="14"/>
        <v>1.7686527816947052E-2</v>
      </c>
      <c r="E284" s="36">
        <f t="shared" si="12"/>
        <v>2.0531557741127582E-2</v>
      </c>
    </row>
    <row r="285" spans="1:5" x14ac:dyDescent="0.35">
      <c r="A285" s="35">
        <v>42644</v>
      </c>
      <c r="B285" s="63">
        <f>VLOOKUP(A285,Database!A:L,MATCH($A$1,Database!$A$1:$L$1,),)</f>
        <v>3160.471</v>
      </c>
      <c r="C285" s="37">
        <f t="shared" si="13"/>
        <v>2.0853586074865631E-3</v>
      </c>
      <c r="D285" s="36">
        <f t="shared" si="14"/>
        <v>1.6144646567791646E-2</v>
      </c>
      <c r="E285" s="36">
        <f t="shared" si="12"/>
        <v>8.367563046555393E-3</v>
      </c>
    </row>
    <row r="286" spans="1:5" x14ac:dyDescent="0.35">
      <c r="A286" s="35">
        <v>42736</v>
      </c>
      <c r="B286" s="63">
        <f>VLOOKUP(A286,Database!A:L,MATCH($A$1,Database!$A$1:$L$1,),)</f>
        <v>3152.232</v>
      </c>
      <c r="C286" s="37">
        <f t="shared" si="13"/>
        <v>-2.6068899224198014E-3</v>
      </c>
      <c r="D286" s="36">
        <f t="shared" si="14"/>
        <v>2.9880608023123271E-3</v>
      </c>
      <c r="E286" s="36">
        <f t="shared" si="12"/>
        <v>-1.0386855257482397E-2</v>
      </c>
    </row>
    <row r="287" spans="1:5" x14ac:dyDescent="0.35">
      <c r="A287" s="35">
        <v>42826</v>
      </c>
      <c r="B287" s="63">
        <f>VLOOKUP(A287,Database!A:L,MATCH($A$1,Database!$A$1:$L$1,),)</f>
        <v>3157.8739999999998</v>
      </c>
      <c r="C287" s="37">
        <f t="shared" si="13"/>
        <v>1.7898428795849498E-3</v>
      </c>
      <c r="D287" s="36">
        <f t="shared" si="14"/>
        <v>6.3621964938446107E-3</v>
      </c>
      <c r="E287" s="36">
        <f t="shared" si="12"/>
        <v>7.1786156891200381E-3</v>
      </c>
    </row>
    <row r="288" spans="1:5" x14ac:dyDescent="0.35">
      <c r="A288" s="35">
        <v>42917</v>
      </c>
      <c r="B288" s="63">
        <f>VLOOKUP(A288,Database!A:L,MATCH($A$1,Database!$A$1:$L$1,),)</f>
        <v>3157.0859999999998</v>
      </c>
      <c r="C288" s="37">
        <f t="shared" si="13"/>
        <v>-2.4953497194631926E-4</v>
      </c>
      <c r="D288" s="36">
        <f t="shared" si="14"/>
        <v>1.0120822069479849E-3</v>
      </c>
      <c r="E288" s="36">
        <f t="shared" si="12"/>
        <v>-9.9776634372006345E-4</v>
      </c>
    </row>
    <row r="289" spans="1:5" x14ac:dyDescent="0.35">
      <c r="A289" s="35">
        <v>43009</v>
      </c>
      <c r="B289" s="63">
        <f>VLOOKUP(A289,Database!A:L,MATCH($A$1,Database!$A$1:$L$1,),)</f>
        <v>3181.9989999999998</v>
      </c>
      <c r="C289" s="37">
        <f t="shared" si="13"/>
        <v>7.8911375870027028E-3</v>
      </c>
      <c r="D289" s="36">
        <f t="shared" si="14"/>
        <v>6.8116429481554462E-3</v>
      </c>
      <c r="E289" s="36">
        <f t="shared" si="12"/>
        <v>3.1940140066277545E-2</v>
      </c>
    </row>
    <row r="290" spans="1:5" x14ac:dyDescent="0.35">
      <c r="A290" s="35">
        <v>43101</v>
      </c>
      <c r="B290" s="63">
        <f>VLOOKUP(A290,Database!A:L,MATCH($A$1,Database!$A$1:$L$1,),)</f>
        <v>3187.7139999999999</v>
      </c>
      <c r="C290" s="37">
        <f t="shared" si="13"/>
        <v>1.7960407907105394E-3</v>
      </c>
      <c r="D290" s="36">
        <f t="shared" si="14"/>
        <v>1.1256151196993105E-2</v>
      </c>
      <c r="E290" s="36">
        <f t="shared" si="12"/>
        <v>7.2035409227833025E-3</v>
      </c>
    </row>
    <row r="291" spans="1:5" x14ac:dyDescent="0.35">
      <c r="A291" s="35">
        <v>43191</v>
      </c>
      <c r="B291" s="63">
        <f>VLOOKUP(A291,Database!A:L,MATCH($A$1,Database!$A$1:$L$1,),)</f>
        <v>3210.0369999999998</v>
      </c>
      <c r="C291" s="37">
        <f t="shared" si="13"/>
        <v>7.0028239672692925E-3</v>
      </c>
      <c r="D291" s="36">
        <f t="shared" si="14"/>
        <v>1.6518391804106185E-2</v>
      </c>
      <c r="E291" s="36">
        <f t="shared" si="12"/>
        <v>2.8306909196216035E-2</v>
      </c>
    </row>
    <row r="292" spans="1:5" x14ac:dyDescent="0.35">
      <c r="A292" s="35">
        <v>43282</v>
      </c>
      <c r="B292" s="63">
        <f>VLOOKUP(A292,Database!A:L,MATCH($A$1,Database!$A$1:$L$1,),)</f>
        <v>3231.3359999999998</v>
      </c>
      <c r="C292" s="37">
        <f t="shared" si="13"/>
        <v>6.635126012566204E-3</v>
      </c>
      <c r="D292" s="36">
        <f t="shared" si="14"/>
        <v>2.3518523093764315E-2</v>
      </c>
      <c r="E292" s="36">
        <f t="shared" si="12"/>
        <v>2.6805823814634477E-2</v>
      </c>
    </row>
    <row r="293" spans="1:5" x14ac:dyDescent="0.35">
      <c r="A293" s="35">
        <v>43374</v>
      </c>
      <c r="B293" s="63">
        <f>VLOOKUP(A293,Database!A:L,MATCH($A$1,Database!$A$1:$L$1,),)</f>
        <v>3232.3029999999999</v>
      </c>
      <c r="C293" s="37">
        <f t="shared" si="13"/>
        <v>2.992570255770673E-4</v>
      </c>
      <c r="D293" s="36">
        <f t="shared" si="14"/>
        <v>1.5808930172511081E-2</v>
      </c>
      <c r="E293" s="36">
        <f t="shared" si="12"/>
        <v>1.1975655381202266E-3</v>
      </c>
    </row>
    <row r="294" spans="1:5" x14ac:dyDescent="0.35">
      <c r="A294" s="35">
        <v>43466</v>
      </c>
      <c r="B294" s="63">
        <f>VLOOKUP(A294,Database!A:L,MATCH($A$1,Database!$A$1:$L$1,),)</f>
        <v>3270.9659999999999</v>
      </c>
      <c r="C294" s="37">
        <f t="shared" si="13"/>
        <v>1.1961440496141609E-2</v>
      </c>
      <c r="D294" s="36">
        <f t="shared" si="14"/>
        <v>2.6116521118268437E-2</v>
      </c>
      <c r="E294" s="36">
        <f t="shared" si="12"/>
        <v>4.8711084390833825E-2</v>
      </c>
    </row>
    <row r="295" spans="1:5" x14ac:dyDescent="0.35">
      <c r="A295" s="35">
        <v>43556</v>
      </c>
      <c r="B295" s="63">
        <f>VLOOKUP(A295,Database!A:L,MATCH($A$1,Database!$A$1:$L$1,),)</f>
        <v>3313.8</v>
      </c>
      <c r="C295" s="37">
        <f t="shared" si="13"/>
        <v>1.3095214074374447E-2</v>
      </c>
      <c r="D295" s="36">
        <f t="shared" si="14"/>
        <v>3.2324549530114571E-2</v>
      </c>
      <c r="E295" s="36">
        <f t="shared" si="12"/>
        <v>5.3418776006247004E-2</v>
      </c>
    </row>
    <row r="296" spans="1:5" x14ac:dyDescent="0.35">
      <c r="A296" s="35">
        <v>43647</v>
      </c>
      <c r="B296" s="63">
        <f>VLOOKUP(A296,Database!A:L,MATCH($A$1,Database!$A$1:$L$1,),)</f>
        <v>3341.2289999999998</v>
      </c>
      <c r="C296" s="37">
        <f t="shared" si="13"/>
        <v>8.2772044178887165E-3</v>
      </c>
      <c r="D296" s="36">
        <f t="shared" si="14"/>
        <v>3.4008533931476036E-2</v>
      </c>
      <c r="E296" s="36">
        <f t="shared" si="12"/>
        <v>3.3522163398374438E-2</v>
      </c>
    </row>
    <row r="297" spans="1:5" x14ac:dyDescent="0.35">
      <c r="A297" s="35">
        <v>43739</v>
      </c>
      <c r="B297" s="63">
        <f>VLOOKUP(A297,Database!A:L,MATCH($A$1,Database!$A$1:$L$1,),)</f>
        <v>3360.85</v>
      </c>
      <c r="C297" s="37">
        <f t="shared" si="13"/>
        <v>5.8723900696420672E-3</v>
      </c>
      <c r="D297" s="36">
        <f t="shared" si="14"/>
        <v>3.9769477057070464E-2</v>
      </c>
      <c r="E297" s="36">
        <f t="shared" si="12"/>
        <v>2.3697281295228079E-2</v>
      </c>
    </row>
    <row r="298" spans="1:5" x14ac:dyDescent="0.35">
      <c r="A298" s="35">
        <v>43831</v>
      </c>
      <c r="B298" s="63">
        <f>VLOOKUP(A298,Database!A:L,MATCH($A$1,Database!$A$1:$L$1,),)</f>
        <v>3387.944</v>
      </c>
      <c r="C298" s="37">
        <f t="shared" si="13"/>
        <v>8.0616510704137508E-3</v>
      </c>
      <c r="D298" s="36">
        <f t="shared" si="14"/>
        <v>3.5762523976097603E-2</v>
      </c>
      <c r="E298" s="36">
        <f t="shared" si="12"/>
        <v>3.2638645527111043E-2</v>
      </c>
    </row>
    <row r="299" spans="1:5" x14ac:dyDescent="0.35">
      <c r="A299" s="35">
        <v>43922</v>
      </c>
      <c r="B299" s="63">
        <f>VLOOKUP(A299,Database!A:L,MATCH($A$1,Database!$A$1:$L$1,),)</f>
        <v>3448.0430000000001</v>
      </c>
      <c r="C299" s="37">
        <f t="shared" si="13"/>
        <v>1.7739077151216243E-2</v>
      </c>
      <c r="D299" s="36">
        <f t="shared" si="14"/>
        <v>4.0510290301164806E-2</v>
      </c>
      <c r="E299" s="36">
        <f t="shared" si="12"/>
        <v>7.2866784940539331E-2</v>
      </c>
    </row>
    <row r="300" spans="1:5" x14ac:dyDescent="0.35">
      <c r="A300" s="35">
        <v>44013</v>
      </c>
      <c r="B300" s="63">
        <f>VLOOKUP(A300,Database!A:L,MATCH($A$1,Database!$A$1:$L$1,),)</f>
        <v>3395.877</v>
      </c>
      <c r="C300" s="37">
        <f t="shared" si="13"/>
        <v>-1.5129161672287778E-2</v>
      </c>
      <c r="D300" s="36">
        <f t="shared" si="14"/>
        <v>1.6355658352061514E-2</v>
      </c>
      <c r="E300" s="36">
        <f t="shared" si="12"/>
        <v>-5.9157096848406865E-2</v>
      </c>
    </row>
    <row r="301" spans="1:5" x14ac:dyDescent="0.35">
      <c r="A301" s="35">
        <v>44105</v>
      </c>
      <c r="B301" s="63">
        <f>VLOOKUP(A301,Database!A:L,MATCH($A$1,Database!$A$1:$L$1,),)</f>
        <v>3394.7950000000001</v>
      </c>
      <c r="C301" s="37">
        <f t="shared" si="13"/>
        <v>-3.1862166974830949E-4</v>
      </c>
      <c r="D301" s="36">
        <f t="shared" si="14"/>
        <v>1.0100123480667142E-2</v>
      </c>
      <c r="E301" s="36">
        <f t="shared" si="12"/>
        <v>-1.2738776897577297E-3</v>
      </c>
    </row>
    <row r="302" spans="1:5" x14ac:dyDescent="0.35">
      <c r="A302" s="35">
        <v>44197</v>
      </c>
      <c r="B302" s="63">
        <f>VLOOKUP(A302,Database!A:L,MATCH($A$1,Database!$A$1:$L$1,),)</f>
        <v>3448.7429999999999</v>
      </c>
      <c r="C302" s="37">
        <f t="shared" si="13"/>
        <v>1.5891386666941558E-2</v>
      </c>
      <c r="D302" s="36">
        <f t="shared" si="14"/>
        <v>1.7945692136587848E-2</v>
      </c>
      <c r="E302" s="36">
        <f t="shared" si="12"/>
        <v>6.509688006318437E-2</v>
      </c>
    </row>
    <row r="303" spans="1:5" x14ac:dyDescent="0.35">
      <c r="A303" s="35">
        <v>44287</v>
      </c>
      <c r="B303" s="63">
        <f>VLOOKUP(A303,Database!A:L,MATCH($A$1,Database!$A$1:$L$1,),)</f>
        <v>3422.3629999999998</v>
      </c>
      <c r="C303" s="37">
        <f t="shared" si="13"/>
        <v>-7.6491637677844103E-3</v>
      </c>
      <c r="D303" s="36">
        <f t="shared" si="14"/>
        <v>-7.4477029433798504E-3</v>
      </c>
      <c r="E303" s="36">
        <f t="shared" si="12"/>
        <v>-3.024738361097723E-2</v>
      </c>
    </row>
    <row r="304" spans="1:5" x14ac:dyDescent="0.35">
      <c r="A304" s="53">
        <v>44378</v>
      </c>
      <c r="B304" s="64">
        <f>VLOOKUP(A304,Database!A:L,MATCH($A$1,Database!$A$1:$L$1,),)</f>
        <v>3421.0459999999998</v>
      </c>
      <c r="C304" s="54">
        <f t="shared" si="13"/>
        <v>-3.8482183216684128E-4</v>
      </c>
      <c r="D304" s="55">
        <f t="shared" si="14"/>
        <v>7.4116347559113208E-3</v>
      </c>
      <c r="E304" s="55">
        <f t="shared" si="12"/>
        <v>-1.5383990295398942E-3</v>
      </c>
    </row>
    <row r="305" spans="1:5" x14ac:dyDescent="0.35">
      <c r="A305" s="35">
        <v>44470</v>
      </c>
      <c r="B305" s="63">
        <f>VLOOKUP(A305,Database!A:L,MATCH($A$1,Database!$A$1:$L$1,),)</f>
        <v>3412.8580000000002</v>
      </c>
      <c r="C305" s="37">
        <f t="shared" si="13"/>
        <v>-2.393420024167944E-3</v>
      </c>
      <c r="D305" s="36">
        <f t="shared" si="14"/>
        <v>5.3207925662669183E-3</v>
      </c>
      <c r="E305" s="36">
        <f t="shared" si="12"/>
        <v>-9.5393641498220383E-3</v>
      </c>
    </row>
    <row r="306" spans="1:5" x14ac:dyDescent="0.35">
      <c r="A306" s="35">
        <v>44562</v>
      </c>
      <c r="B306" s="63">
        <f>VLOOKUP(A306,Database!A:L,MATCH($A$1,Database!$A$1:$L$1,),)</f>
        <v>3393.3890000000001</v>
      </c>
      <c r="C306" s="37">
        <f t="shared" si="13"/>
        <v>-5.7046030042855727E-3</v>
      </c>
      <c r="D306" s="36">
        <f t="shared" si="14"/>
        <v>-1.60504856407102E-2</v>
      </c>
      <c r="E306" s="36">
        <f t="shared" si="12"/>
        <v>-2.2623898553578159E-2</v>
      </c>
    </row>
    <row r="307" spans="1:5" x14ac:dyDescent="0.35">
      <c r="A307" s="35">
        <v>44652</v>
      </c>
      <c r="B307" s="63">
        <f>VLOOKUP(A307,Database!A:L,MATCH($A$1,Database!$A$1:$L$1,),)</f>
        <v>3379.4989999999998</v>
      </c>
      <c r="C307" s="37">
        <f t="shared" si="13"/>
        <v>-4.093253087105642E-3</v>
      </c>
      <c r="D307" s="36">
        <f t="shared" si="14"/>
        <v>-1.252467958542096E-2</v>
      </c>
      <c r="E307" s="36">
        <f t="shared" si="12"/>
        <v>-1.6272758067942372E-2</v>
      </c>
    </row>
    <row r="308" spans="1:5" x14ac:dyDescent="0.35">
      <c r="A308" s="35">
        <v>44743</v>
      </c>
      <c r="B308" s="63">
        <f>VLOOKUP(A308,Database!A:L,MATCH($A$1,Database!$A$1:$L$1,),)</f>
        <v>3410.625</v>
      </c>
      <c r="C308" s="37">
        <f t="shared" si="13"/>
        <v>9.2102409262438626E-3</v>
      </c>
      <c r="D308" s="36">
        <f t="shared" si="14"/>
        <v>-3.0461443663721043E-3</v>
      </c>
      <c r="E308" s="36">
        <f t="shared" si="12"/>
        <v>3.7353067293459219E-2</v>
      </c>
    </row>
    <row r="309" spans="1:5" x14ac:dyDescent="0.35">
      <c r="A309" s="35">
        <v>44835</v>
      </c>
      <c r="B309" s="63">
        <f>VLOOKUP(A309,Database!A:L,MATCH($A$1,Database!$A$1:$L$1,),)</f>
        <v>3441.9079999999999</v>
      </c>
      <c r="C309" s="37">
        <f t="shared" si="13"/>
        <v>9.1722191680410192E-3</v>
      </c>
      <c r="D309" s="36">
        <f t="shared" si="14"/>
        <v>8.5119275399092864E-3</v>
      </c>
      <c r="E309" s="36">
        <f t="shared" si="12"/>
        <v>3.7196747997436885E-2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9"/>
  <sheetViews>
    <sheetView zoomScaleNormal="100" workbookViewId="0">
      <pane ySplit="5" topLeftCell="A270" activePane="bottomLeft" state="frozen"/>
      <selection pane="bottomLeft" activeCell="L314" sqref="L314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19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67</v>
      </c>
      <c r="M1" s="76"/>
      <c r="N1" s="76"/>
      <c r="O1" s="76"/>
    </row>
    <row r="2" spans="1:15" x14ac:dyDescent="0.35">
      <c r="A2" s="48" t="s">
        <v>68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>
        <f>VLOOKUP(A6,Database!A:I,MATCH($A$1,Database!$A$1:$G$1,),)</f>
        <v>11.961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12.124000000000001</v>
      </c>
      <c r="C7" s="37">
        <f t="shared" ref="C7:C70" si="1">(B7-B6)/B6</f>
        <v>1.3627623108435771E-2</v>
      </c>
      <c r="D7" s="36"/>
      <c r="E7" s="36">
        <f t="shared" si="0"/>
        <v>5.5634922850898549E-2</v>
      </c>
    </row>
    <row r="8" spans="1:15" x14ac:dyDescent="0.35">
      <c r="A8" s="35">
        <v>17349</v>
      </c>
      <c r="B8" s="63">
        <f>VLOOKUP(A8,Database!A:L,MATCH($A$1,Database!$A$1:$L$1,),)</f>
        <v>12.315</v>
      </c>
      <c r="C8" s="37">
        <f t="shared" si="1"/>
        <v>1.5753876608379985E-2</v>
      </c>
      <c r="D8" s="36"/>
      <c r="E8" s="36">
        <f t="shared" si="0"/>
        <v>6.4520315278316698E-2</v>
      </c>
    </row>
    <row r="9" spans="1:15" x14ac:dyDescent="0.35">
      <c r="A9" s="35">
        <v>17441</v>
      </c>
      <c r="B9" s="63">
        <f>VLOOKUP(A9,Database!A:L,MATCH($A$1,Database!$A$1:$L$1,),)</f>
        <v>12.569000000000001</v>
      </c>
      <c r="C9" s="37">
        <f t="shared" si="1"/>
        <v>2.0625253755582731E-2</v>
      </c>
      <c r="D9" s="36"/>
      <c r="E9" s="36">
        <f t="shared" si="0"/>
        <v>8.50886985652346E-2</v>
      </c>
    </row>
    <row r="10" spans="1:15" x14ac:dyDescent="0.35">
      <c r="A10" s="35">
        <v>17533</v>
      </c>
      <c r="B10" s="63">
        <f>VLOOKUP(A10,Database!A:L,MATCH($A$1,Database!$A$1:$L$1,),)</f>
        <v>12.712999999999999</v>
      </c>
      <c r="C10" s="37">
        <f t="shared" si="1"/>
        <v>1.1456758692019918E-2</v>
      </c>
      <c r="D10" s="36">
        <f t="shared" ref="D10:D73" si="2">(B10-B6)/B6</f>
        <v>6.2870997408243368E-2</v>
      </c>
      <c r="E10" s="36">
        <f t="shared" si="0"/>
        <v>4.6620611048681759E-2</v>
      </c>
    </row>
    <row r="11" spans="1:15" x14ac:dyDescent="0.35">
      <c r="A11" s="35">
        <v>17624</v>
      </c>
      <c r="B11" s="63">
        <f>VLOOKUP(A11,Database!A:L,MATCH($A$1,Database!$A$1:$L$1,),)</f>
        <v>12.864000000000001</v>
      </c>
      <c r="C11" s="37">
        <f t="shared" si="1"/>
        <v>1.1877605600566474E-2</v>
      </c>
      <c r="D11" s="36">
        <f t="shared" si="2"/>
        <v>6.1035961728802393E-2</v>
      </c>
      <c r="E11" s="36">
        <f t="shared" si="0"/>
        <v>4.8363610046266325E-2</v>
      </c>
    </row>
    <row r="12" spans="1:15" x14ac:dyDescent="0.35">
      <c r="A12" s="35">
        <v>17715</v>
      </c>
      <c r="B12" s="63">
        <f>VLOOKUP(A12,Database!A:L,MATCH($A$1,Database!$A$1:$L$1,),)</f>
        <v>13.087999999999999</v>
      </c>
      <c r="C12" s="37">
        <f t="shared" si="1"/>
        <v>1.741293532338296E-2</v>
      </c>
      <c r="D12" s="36">
        <f t="shared" si="2"/>
        <v>6.2768980917580167E-2</v>
      </c>
      <c r="E12" s="36">
        <f t="shared" si="0"/>
        <v>7.1492214256013487E-2</v>
      </c>
    </row>
    <row r="13" spans="1:15" x14ac:dyDescent="0.35">
      <c r="A13" s="35">
        <v>17807</v>
      </c>
      <c r="B13" s="63">
        <f>VLOOKUP(A13,Database!A:L,MATCH($A$1,Database!$A$1:$L$1,),)</f>
        <v>13.083</v>
      </c>
      <c r="C13" s="37">
        <f t="shared" si="1"/>
        <v>-3.8202933985322476E-4</v>
      </c>
      <c r="D13" s="36">
        <f t="shared" si="2"/>
        <v>4.0894263664571509E-2</v>
      </c>
      <c r="E13" s="36">
        <f t="shared" si="0"/>
        <v>-1.5272419039157326E-3</v>
      </c>
    </row>
    <row r="14" spans="1:15" x14ac:dyDescent="0.35">
      <c r="A14" s="35">
        <v>17899</v>
      </c>
      <c r="B14" s="63">
        <f>VLOOKUP(A14,Database!A:L,MATCH($A$1,Database!$A$1:$L$1,),)</f>
        <v>13.041</v>
      </c>
      <c r="C14" s="37">
        <f t="shared" si="1"/>
        <v>-3.2102728731942072E-3</v>
      </c>
      <c r="D14" s="36">
        <f t="shared" si="2"/>
        <v>2.5800361834342894E-2</v>
      </c>
      <c r="E14" s="36">
        <f t="shared" si="0"/>
        <v>-1.2779388613431308E-2</v>
      </c>
    </row>
    <row r="15" spans="1:15" x14ac:dyDescent="0.35">
      <c r="A15" s="35">
        <v>17989</v>
      </c>
      <c r="B15" s="63">
        <f>VLOOKUP(A15,Database!A:L,MATCH($A$1,Database!$A$1:$L$1,),)</f>
        <v>12.96</v>
      </c>
      <c r="C15" s="37">
        <f t="shared" si="1"/>
        <v>-6.2111801242235656E-3</v>
      </c>
      <c r="D15" s="36">
        <f t="shared" si="2"/>
        <v>7.462686567164185E-3</v>
      </c>
      <c r="E15" s="36">
        <f t="shared" si="0"/>
        <v>-2.461420493583355E-2</v>
      </c>
    </row>
    <row r="16" spans="1:15" x14ac:dyDescent="0.35">
      <c r="A16" s="35">
        <v>18080</v>
      </c>
      <c r="B16" s="63">
        <f>VLOOKUP(A16,Database!A:L,MATCH($A$1,Database!$A$1:$L$1,),)</f>
        <v>12.867000000000001</v>
      </c>
      <c r="C16" s="37">
        <f t="shared" si="1"/>
        <v>-7.1759259259259233E-3</v>
      </c>
      <c r="D16" s="36">
        <f t="shared" si="2"/>
        <v>-1.6885696821515764E-2</v>
      </c>
      <c r="E16" s="36">
        <f t="shared" si="0"/>
        <v>-2.8396215640732803E-2</v>
      </c>
    </row>
    <row r="17" spans="1:5" x14ac:dyDescent="0.35">
      <c r="A17" s="35">
        <v>18172</v>
      </c>
      <c r="B17" s="63">
        <f>VLOOKUP(A17,Database!A:L,MATCH($A$1,Database!$A$1:$L$1,),)</f>
        <v>12.864000000000001</v>
      </c>
      <c r="C17" s="37">
        <f t="shared" si="1"/>
        <v>-2.3315458148753505E-4</v>
      </c>
      <c r="D17" s="36">
        <f t="shared" si="2"/>
        <v>-1.6739279981655537E-2</v>
      </c>
      <c r="E17" s="36">
        <f t="shared" si="0"/>
        <v>-9.3229221029211828E-4</v>
      </c>
    </row>
    <row r="18" spans="1:5" x14ac:dyDescent="0.35">
      <c r="A18" s="35">
        <v>18264</v>
      </c>
      <c r="B18" s="63">
        <f>VLOOKUP(A18,Database!A:L,MATCH($A$1,Database!$A$1:$L$1,),)</f>
        <v>12.827999999999999</v>
      </c>
      <c r="C18" s="37">
        <f t="shared" si="1"/>
        <v>-2.7985074626866733E-3</v>
      </c>
      <c r="D18" s="36">
        <f t="shared" si="2"/>
        <v>-1.6333103289625103E-2</v>
      </c>
      <c r="E18" s="36">
        <f t="shared" si="0"/>
        <v>-1.1147127592956885E-2</v>
      </c>
    </row>
    <row r="19" spans="1:5" x14ac:dyDescent="0.35">
      <c r="A19" s="35">
        <v>18354</v>
      </c>
      <c r="B19" s="63">
        <f>VLOOKUP(A19,Database!A:L,MATCH($A$1,Database!$A$1:$L$1,),)</f>
        <v>12.882</v>
      </c>
      <c r="C19" s="37">
        <f t="shared" si="1"/>
        <v>4.2095416276894506E-3</v>
      </c>
      <c r="D19" s="36">
        <f t="shared" si="2"/>
        <v>-6.0185185185186087E-3</v>
      </c>
      <c r="E19" s="36">
        <f t="shared" si="0"/>
        <v>1.6944786645420207E-2</v>
      </c>
    </row>
    <row r="20" spans="1:5" x14ac:dyDescent="0.35">
      <c r="A20" s="35">
        <v>18445</v>
      </c>
      <c r="B20" s="63">
        <f>VLOOKUP(A20,Database!A:L,MATCH($A$1,Database!$A$1:$L$1,),)</f>
        <v>13.15</v>
      </c>
      <c r="C20" s="37">
        <f t="shared" si="1"/>
        <v>2.0804222946747452E-2</v>
      </c>
      <c r="D20" s="36">
        <f t="shared" si="2"/>
        <v>2.1994248853656598E-2</v>
      </c>
      <c r="E20" s="36">
        <f t="shared" si="0"/>
        <v>8.5849990847561397E-2</v>
      </c>
    </row>
    <row r="21" spans="1:5" x14ac:dyDescent="0.35">
      <c r="A21" s="35">
        <v>18537</v>
      </c>
      <c r="B21" s="63">
        <f>VLOOKUP(A21,Database!A:L,MATCH($A$1,Database!$A$1:$L$1,),)</f>
        <v>13.36</v>
      </c>
      <c r="C21" s="37">
        <f t="shared" si="1"/>
        <v>1.5969581749049357E-2</v>
      </c>
      <c r="D21" s="36">
        <f t="shared" si="2"/>
        <v>3.8557213930348153E-2</v>
      </c>
      <c r="E21" s="36">
        <f t="shared" si="0"/>
        <v>6.5424848015353865E-2</v>
      </c>
    </row>
    <row r="22" spans="1:5" x14ac:dyDescent="0.35">
      <c r="A22" s="35">
        <v>18629</v>
      </c>
      <c r="B22" s="63">
        <f>VLOOKUP(A22,Database!A:L,MATCH($A$1,Database!$A$1:$L$1,),)</f>
        <v>13.811999999999999</v>
      </c>
      <c r="C22" s="37">
        <f t="shared" si="1"/>
        <v>3.3832335329341316E-2</v>
      </c>
      <c r="D22" s="36">
        <f t="shared" si="2"/>
        <v>7.6707202993451823E-2</v>
      </c>
      <c r="E22" s="36">
        <f t="shared" si="0"/>
        <v>0.14235331457746292</v>
      </c>
    </row>
    <row r="23" spans="1:5" x14ac:dyDescent="0.35">
      <c r="A23" s="35">
        <v>18719</v>
      </c>
      <c r="B23" s="63">
        <f>VLOOKUP(A23,Database!A:L,MATCH($A$1,Database!$A$1:$L$1,),)</f>
        <v>13.891999999999999</v>
      </c>
      <c r="C23" s="37">
        <f t="shared" si="1"/>
        <v>5.7920648711265619E-3</v>
      </c>
      <c r="D23" s="36">
        <f t="shared" si="2"/>
        <v>7.8403974538115179E-2</v>
      </c>
      <c r="E23" s="36">
        <f t="shared" si="0"/>
        <v>2.3370325951931115E-2</v>
      </c>
    </row>
    <row r="24" spans="1:5" x14ac:dyDescent="0.35">
      <c r="A24" s="35">
        <v>18810</v>
      </c>
      <c r="B24" s="63">
        <f>VLOOKUP(A24,Database!A:L,MATCH($A$1,Database!$A$1:$L$1,),)</f>
        <v>13.936999999999999</v>
      </c>
      <c r="C24" s="37">
        <f t="shared" si="1"/>
        <v>3.2392744025338273E-3</v>
      </c>
      <c r="D24" s="36">
        <f t="shared" si="2"/>
        <v>5.9847908745247071E-2</v>
      </c>
      <c r="E24" s="36">
        <f t="shared" si="0"/>
        <v>1.3020191069677445E-2</v>
      </c>
    </row>
    <row r="25" spans="1:5" x14ac:dyDescent="0.35">
      <c r="A25" s="35">
        <v>18902</v>
      </c>
      <c r="B25" s="63">
        <f>VLOOKUP(A25,Database!A:L,MATCH($A$1,Database!$A$1:$L$1,),)</f>
        <v>14.12</v>
      </c>
      <c r="C25" s="37">
        <f t="shared" si="1"/>
        <v>1.3130515892946821E-2</v>
      </c>
      <c r="D25" s="36">
        <f t="shared" si="2"/>
        <v>5.6886227544910163E-2</v>
      </c>
      <c r="E25" s="36">
        <f t="shared" si="0"/>
        <v>5.3565611335329555E-2</v>
      </c>
    </row>
    <row r="26" spans="1:5" x14ac:dyDescent="0.35">
      <c r="A26" s="35">
        <v>18994</v>
      </c>
      <c r="B26" s="63">
        <f>VLOOKUP(A26,Database!A:L,MATCH($A$1,Database!$A$1:$L$1,),)</f>
        <v>14.137</v>
      </c>
      <c r="C26" s="37">
        <f t="shared" si="1"/>
        <v>1.2039660056658099E-3</v>
      </c>
      <c r="D26" s="36">
        <f t="shared" si="2"/>
        <v>2.3530263538951716E-2</v>
      </c>
      <c r="E26" s="36">
        <f t="shared" si="0"/>
        <v>4.8245682103800203E-3</v>
      </c>
    </row>
    <row r="27" spans="1:5" x14ac:dyDescent="0.35">
      <c r="A27" s="35">
        <v>19085</v>
      </c>
      <c r="B27" s="63">
        <f>VLOOKUP(A27,Database!A:L,MATCH($A$1,Database!$A$1:$L$1,),)</f>
        <v>14.192</v>
      </c>
      <c r="C27" s="37">
        <f t="shared" si="1"/>
        <v>3.8905001061045282E-3</v>
      </c>
      <c r="D27" s="36">
        <f t="shared" si="2"/>
        <v>2.1595162683558936E-2</v>
      </c>
      <c r="E27" s="36">
        <f t="shared" si="0"/>
        <v>1.565305214626922E-2</v>
      </c>
    </row>
    <row r="28" spans="1:5" x14ac:dyDescent="0.35">
      <c r="A28" s="35">
        <v>19176</v>
      </c>
      <c r="B28" s="63">
        <f>VLOOKUP(A28,Database!A:L,MATCH($A$1,Database!$A$1:$L$1,),)</f>
        <v>14.298999999999999</v>
      </c>
      <c r="C28" s="37">
        <f t="shared" si="1"/>
        <v>7.539458850056322E-3</v>
      </c>
      <c r="D28" s="36">
        <f t="shared" si="2"/>
        <v>2.5974025974025983E-2</v>
      </c>
      <c r="E28" s="36">
        <f t="shared" si="0"/>
        <v>3.0500613545011657E-2</v>
      </c>
    </row>
    <row r="29" spans="1:5" x14ac:dyDescent="0.35">
      <c r="A29" s="35">
        <v>19268</v>
      </c>
      <c r="B29" s="63">
        <f>VLOOKUP(A29,Database!A:L,MATCH($A$1,Database!$A$1:$L$1,),)</f>
        <v>14.349</v>
      </c>
      <c r="C29" s="37">
        <f t="shared" si="1"/>
        <v>3.4967480243374162E-3</v>
      </c>
      <c r="D29" s="36">
        <f t="shared" si="2"/>
        <v>1.6218130311614801E-2</v>
      </c>
      <c r="E29" s="36">
        <f t="shared" si="0"/>
        <v>1.4060526749733571E-2</v>
      </c>
    </row>
    <row r="30" spans="1:5" x14ac:dyDescent="0.35">
      <c r="A30" s="35">
        <v>19360</v>
      </c>
      <c r="B30" s="63">
        <f>VLOOKUP(A30,Database!A:L,MATCH($A$1,Database!$A$1:$L$1,),)</f>
        <v>14.363</v>
      </c>
      <c r="C30" s="37">
        <f t="shared" si="1"/>
        <v>9.7567774757818283E-4</v>
      </c>
      <c r="D30" s="36">
        <f t="shared" si="2"/>
        <v>1.5986418617811353E-2</v>
      </c>
      <c r="E30" s="36">
        <f t="shared" si="0"/>
        <v>3.9084263887962933E-3</v>
      </c>
    </row>
    <row r="31" spans="1:5" x14ac:dyDescent="0.35">
      <c r="A31" s="35">
        <v>19450</v>
      </c>
      <c r="B31" s="63">
        <f>VLOOKUP(A31,Database!A:L,MATCH($A$1,Database!$A$1:$L$1,),)</f>
        <v>14.397</v>
      </c>
      <c r="C31" s="37">
        <f t="shared" si="1"/>
        <v>2.3671934832556357E-3</v>
      </c>
      <c r="D31" s="36">
        <f t="shared" si="2"/>
        <v>1.4444757609921087E-2</v>
      </c>
      <c r="E31" s="36">
        <f t="shared" si="0"/>
        <v>9.5024486536148256E-3</v>
      </c>
    </row>
    <row r="32" spans="1:5" x14ac:dyDescent="0.35">
      <c r="A32" s="35">
        <v>19541</v>
      </c>
      <c r="B32" s="63">
        <f>VLOOKUP(A32,Database!A:L,MATCH($A$1,Database!$A$1:$L$1,),)</f>
        <v>14.451000000000001</v>
      </c>
      <c r="C32" s="37">
        <f t="shared" si="1"/>
        <v>3.7507814127943507E-3</v>
      </c>
      <c r="D32" s="36">
        <f t="shared" si="2"/>
        <v>1.0630113993985665E-2</v>
      </c>
      <c r="E32" s="36">
        <f t="shared" si="0"/>
        <v>1.508774708572691E-2</v>
      </c>
    </row>
    <row r="33" spans="1:5" x14ac:dyDescent="0.35">
      <c r="A33" s="35">
        <v>19633</v>
      </c>
      <c r="B33" s="63">
        <f>VLOOKUP(A33,Database!A:L,MATCH($A$1,Database!$A$1:$L$1,),)</f>
        <v>14.494</v>
      </c>
      <c r="C33" s="37">
        <f t="shared" si="1"/>
        <v>2.9755726247318011E-3</v>
      </c>
      <c r="D33" s="36">
        <f t="shared" si="2"/>
        <v>1.010523381420305E-2</v>
      </c>
      <c r="E33" s="36">
        <f t="shared" si="0"/>
        <v>1.1955520155257471E-2</v>
      </c>
    </row>
    <row r="34" spans="1:5" x14ac:dyDescent="0.35">
      <c r="A34" s="35">
        <v>19725</v>
      </c>
      <c r="B34" s="63">
        <f>VLOOKUP(A34,Database!A:L,MATCH($A$1,Database!$A$1:$L$1,),)</f>
        <v>14.555</v>
      </c>
      <c r="C34" s="37">
        <f t="shared" si="1"/>
        <v>4.2086380571270832E-3</v>
      </c>
      <c r="D34" s="36">
        <f t="shared" si="2"/>
        <v>1.3367680846619798E-2</v>
      </c>
      <c r="E34" s="36">
        <f t="shared" si="0"/>
        <v>1.694112653228852E-2</v>
      </c>
    </row>
    <row r="35" spans="1:5" x14ac:dyDescent="0.35">
      <c r="A35" s="35">
        <v>19815</v>
      </c>
      <c r="B35" s="63">
        <f>VLOOKUP(A35,Database!A:L,MATCH($A$1,Database!$A$1:$L$1,),)</f>
        <v>14.582000000000001</v>
      </c>
      <c r="C35" s="37">
        <f t="shared" si="1"/>
        <v>1.8550326348334609E-3</v>
      </c>
      <c r="D35" s="36">
        <f t="shared" si="2"/>
        <v>1.2849899284573208E-2</v>
      </c>
      <c r="E35" s="36">
        <f t="shared" si="0"/>
        <v>7.4408029613861615E-3</v>
      </c>
    </row>
    <row r="36" spans="1:5" x14ac:dyDescent="0.35">
      <c r="A36" s="35">
        <v>19906</v>
      </c>
      <c r="B36" s="63">
        <f>VLOOKUP(A36,Database!A:L,MATCH($A$1,Database!$A$1:$L$1,),)</f>
        <v>14.569000000000001</v>
      </c>
      <c r="C36" s="37">
        <f t="shared" si="1"/>
        <v>-8.9151008092167743E-4</v>
      </c>
      <c r="D36" s="36">
        <f t="shared" si="2"/>
        <v>8.1655248771711521E-3</v>
      </c>
      <c r="E36" s="36">
        <f t="shared" si="0"/>
        <v>-3.5612744159627674E-3</v>
      </c>
    </row>
    <row r="37" spans="1:5" x14ac:dyDescent="0.35">
      <c r="A37" s="35">
        <v>19998</v>
      </c>
      <c r="B37" s="63">
        <f>VLOOKUP(A37,Database!A:L,MATCH($A$1,Database!$A$1:$L$1,),)</f>
        <v>14.587999999999999</v>
      </c>
      <c r="C37" s="37">
        <f t="shared" si="1"/>
        <v>1.3041389251148569E-3</v>
      </c>
      <c r="D37" s="36">
        <f t="shared" si="2"/>
        <v>6.4854422519662908E-3</v>
      </c>
      <c r="E37" s="36">
        <f t="shared" si="0"/>
        <v>5.2267692455731929E-3</v>
      </c>
    </row>
    <row r="38" spans="1:5" x14ac:dyDescent="0.35">
      <c r="A38" s="35">
        <v>20090</v>
      </c>
      <c r="B38" s="63">
        <f>VLOOKUP(A38,Database!A:L,MATCH($A$1,Database!$A$1:$L$1,),)</f>
        <v>14.643000000000001</v>
      </c>
      <c r="C38" s="37">
        <f t="shared" si="1"/>
        <v>3.77022210035656E-3</v>
      </c>
      <c r="D38" s="36">
        <f t="shared" si="2"/>
        <v>6.0460322913088952E-3</v>
      </c>
      <c r="E38" s="36">
        <f t="shared" si="0"/>
        <v>1.5166390420011E-2</v>
      </c>
    </row>
    <row r="39" spans="1:5" x14ac:dyDescent="0.35">
      <c r="A39" s="35">
        <v>20180</v>
      </c>
      <c r="B39" s="63">
        <f>VLOOKUP(A39,Database!A:L,MATCH($A$1,Database!$A$1:$L$1,),)</f>
        <v>14.725</v>
      </c>
      <c r="C39" s="37">
        <f t="shared" si="1"/>
        <v>5.5999453663865984E-3</v>
      </c>
      <c r="D39" s="36">
        <f t="shared" si="2"/>
        <v>9.8066108901384511E-3</v>
      </c>
      <c r="E39" s="36">
        <f t="shared" si="0"/>
        <v>2.2588641221037209E-2</v>
      </c>
    </row>
    <row r="40" spans="1:5" x14ac:dyDescent="0.35">
      <c r="A40" s="35">
        <v>20271</v>
      </c>
      <c r="B40" s="63">
        <f>VLOOKUP(A40,Database!A:L,MATCH($A$1,Database!$A$1:$L$1,),)</f>
        <v>14.826000000000001</v>
      </c>
      <c r="C40" s="37">
        <f t="shared" si="1"/>
        <v>6.8590831918506536E-3</v>
      </c>
      <c r="D40" s="36">
        <f t="shared" si="2"/>
        <v>1.7640194934449835E-2</v>
      </c>
      <c r="E40" s="36">
        <f t="shared" si="0"/>
        <v>2.771990791197898E-2</v>
      </c>
    </row>
    <row r="41" spans="1:5" x14ac:dyDescent="0.35">
      <c r="A41" s="35">
        <v>20363</v>
      </c>
      <c r="B41" s="63">
        <f>VLOOKUP(A41,Database!A:L,MATCH($A$1,Database!$A$1:$L$1,),)</f>
        <v>14.923999999999999</v>
      </c>
      <c r="C41" s="37">
        <f t="shared" si="1"/>
        <v>6.6100094428705632E-3</v>
      </c>
      <c r="D41" s="36">
        <f t="shared" si="2"/>
        <v>2.3032629558541289E-2</v>
      </c>
      <c r="E41" s="36">
        <f t="shared" si="0"/>
        <v>2.6703348253576342E-2</v>
      </c>
    </row>
    <row r="42" spans="1:5" x14ac:dyDescent="0.35">
      <c r="A42" s="35">
        <v>20455</v>
      </c>
      <c r="B42" s="63">
        <f>VLOOKUP(A42,Database!A:L,MATCH($A$1,Database!$A$1:$L$1,),)</f>
        <v>15.071</v>
      </c>
      <c r="C42" s="37">
        <f t="shared" si="1"/>
        <v>9.8499061913696218E-3</v>
      </c>
      <c r="D42" s="36">
        <f t="shared" si="2"/>
        <v>2.9228983131871819E-2</v>
      </c>
      <c r="E42" s="36">
        <f t="shared" si="0"/>
        <v>3.9985580667641019E-2</v>
      </c>
    </row>
    <row r="43" spans="1:5" x14ac:dyDescent="0.35">
      <c r="A43" s="35">
        <v>20546</v>
      </c>
      <c r="B43" s="63">
        <f>VLOOKUP(A43,Database!A:L,MATCH($A$1,Database!$A$1:$L$1,),)</f>
        <v>15.214</v>
      </c>
      <c r="C43" s="37">
        <f t="shared" si="1"/>
        <v>9.4884214717006633E-3</v>
      </c>
      <c r="D43" s="36">
        <f t="shared" si="2"/>
        <v>3.3208828522920258E-2</v>
      </c>
      <c r="E43" s="36">
        <f t="shared" si="0"/>
        <v>3.8497291820107193E-2</v>
      </c>
    </row>
    <row r="44" spans="1:5" x14ac:dyDescent="0.35">
      <c r="A44" s="35">
        <v>20637</v>
      </c>
      <c r="B44" s="63">
        <f>VLOOKUP(A44,Database!A:L,MATCH($A$1,Database!$A$1:$L$1,),)</f>
        <v>15.381</v>
      </c>
      <c r="C44" s="37">
        <f t="shared" si="1"/>
        <v>1.0976731957407639E-2</v>
      </c>
      <c r="D44" s="36">
        <f t="shared" si="2"/>
        <v>3.7434237150951011E-2</v>
      </c>
      <c r="E44" s="36">
        <f t="shared" si="0"/>
        <v>4.4635164500149704E-2</v>
      </c>
    </row>
    <row r="45" spans="1:5" x14ac:dyDescent="0.35">
      <c r="A45" s="35">
        <v>20729</v>
      </c>
      <c r="B45" s="63">
        <f>VLOOKUP(A45,Database!A:L,MATCH($A$1,Database!$A$1:$L$1,),)</f>
        <v>15.476000000000001</v>
      </c>
      <c r="C45" s="37">
        <f t="shared" si="1"/>
        <v>6.1764514660945739E-3</v>
      </c>
      <c r="D45" s="36">
        <f t="shared" si="2"/>
        <v>3.6987402841061473E-2</v>
      </c>
      <c r="E45" s="36">
        <f t="shared" si="0"/>
        <v>2.4935641126705432E-2</v>
      </c>
    </row>
    <row r="46" spans="1:5" x14ac:dyDescent="0.35">
      <c r="A46" s="35">
        <v>20821</v>
      </c>
      <c r="B46" s="63">
        <f>VLOOKUP(A46,Database!A:L,MATCH($A$1,Database!$A$1:$L$1,),)</f>
        <v>15.653</v>
      </c>
      <c r="C46" s="37">
        <f t="shared" si="1"/>
        <v>1.1437063840785706E-2</v>
      </c>
      <c r="D46" s="36">
        <f t="shared" si="2"/>
        <v>3.8617211863844522E-2</v>
      </c>
      <c r="E46" s="36">
        <f t="shared" si="0"/>
        <v>4.6539095215184512E-2</v>
      </c>
    </row>
    <row r="47" spans="1:5" x14ac:dyDescent="0.35">
      <c r="A47" s="35">
        <v>20911</v>
      </c>
      <c r="B47" s="63">
        <f>VLOOKUP(A47,Database!A:L,MATCH($A$1,Database!$A$1:$L$1,),)</f>
        <v>15.763999999999999</v>
      </c>
      <c r="C47" s="37">
        <f t="shared" si="1"/>
        <v>7.0912924040119384E-3</v>
      </c>
      <c r="D47" s="36">
        <f t="shared" si="2"/>
        <v>3.6150913632180814E-2</v>
      </c>
      <c r="E47" s="36">
        <f t="shared" si="0"/>
        <v>2.8668317095585927E-2</v>
      </c>
    </row>
    <row r="48" spans="1:5" x14ac:dyDescent="0.35">
      <c r="A48" s="35">
        <v>21002</v>
      </c>
      <c r="B48" s="63">
        <f>VLOOKUP(A48,Database!A:L,MATCH($A$1,Database!$A$1:$L$1,),)</f>
        <v>15.885</v>
      </c>
      <c r="C48" s="37">
        <f t="shared" si="1"/>
        <v>7.6757168231413632E-3</v>
      </c>
      <c r="D48" s="36">
        <f t="shared" si="2"/>
        <v>3.2767700409596229E-2</v>
      </c>
      <c r="E48" s="36">
        <f t="shared" si="0"/>
        <v>3.1058179445662804E-2</v>
      </c>
    </row>
    <row r="49" spans="1:5" x14ac:dyDescent="0.35">
      <c r="A49" s="35">
        <v>21094</v>
      </c>
      <c r="B49" s="63">
        <f>VLOOKUP(A49,Database!A:L,MATCH($A$1,Database!$A$1:$L$1,),)</f>
        <v>15.978</v>
      </c>
      <c r="C49" s="37">
        <f t="shared" si="1"/>
        <v>5.8545797922568447E-3</v>
      </c>
      <c r="D49" s="36">
        <f t="shared" si="2"/>
        <v>3.2437322305505223E-2</v>
      </c>
      <c r="E49" s="36">
        <f t="shared" si="0"/>
        <v>2.3624779659898509E-2</v>
      </c>
    </row>
    <row r="50" spans="1:5" x14ac:dyDescent="0.35">
      <c r="A50" s="35">
        <v>21186</v>
      </c>
      <c r="B50" s="63">
        <f>VLOOKUP(A50,Database!A:L,MATCH($A$1,Database!$A$1:$L$1,),)</f>
        <v>16.111999999999998</v>
      </c>
      <c r="C50" s="37">
        <f t="shared" si="1"/>
        <v>8.3865314807859918E-3</v>
      </c>
      <c r="D50" s="36">
        <f t="shared" si="2"/>
        <v>2.9323452373346826E-2</v>
      </c>
      <c r="E50" s="36">
        <f t="shared" si="0"/>
        <v>3.3970493761882992E-2</v>
      </c>
    </row>
    <row r="51" spans="1:5" x14ac:dyDescent="0.35">
      <c r="A51" s="35">
        <v>21276</v>
      </c>
      <c r="B51" s="63">
        <f>VLOOKUP(A51,Database!A:L,MATCH($A$1,Database!$A$1:$L$1,),)</f>
        <v>16.181000000000001</v>
      </c>
      <c r="C51" s="37">
        <f t="shared" si="1"/>
        <v>4.2825223435949992E-3</v>
      </c>
      <c r="D51" s="36">
        <f t="shared" si="2"/>
        <v>2.6452676985536768E-2</v>
      </c>
      <c r="E51" s="36">
        <f t="shared" si="0"/>
        <v>1.7240443862274191E-2</v>
      </c>
    </row>
    <row r="52" spans="1:5" x14ac:dyDescent="0.35">
      <c r="A52" s="35">
        <v>21367</v>
      </c>
      <c r="B52" s="63">
        <f>VLOOKUP(A52,Database!A:L,MATCH($A$1,Database!$A$1:$L$1,),)</f>
        <v>16.22</v>
      </c>
      <c r="C52" s="37">
        <f t="shared" si="1"/>
        <v>2.4102342253258711E-3</v>
      </c>
      <c r="D52" s="36">
        <f t="shared" si="2"/>
        <v>2.1089077746301484E-2</v>
      </c>
      <c r="E52" s="36">
        <f t="shared" si="0"/>
        <v>9.6758483155865438E-3</v>
      </c>
    </row>
    <row r="53" spans="1:5" x14ac:dyDescent="0.35">
      <c r="A53" s="35">
        <v>21459</v>
      </c>
      <c r="B53" s="63">
        <f>VLOOKUP(A53,Database!A:L,MATCH($A$1,Database!$A$1:$L$1,),)</f>
        <v>16.239999999999998</v>
      </c>
      <c r="C53" s="37">
        <f t="shared" si="1"/>
        <v>1.2330456226880132E-3</v>
      </c>
      <c r="D53" s="36">
        <f t="shared" si="2"/>
        <v>1.6397546626611508E-2</v>
      </c>
      <c r="E53" s="36">
        <f t="shared" si="0"/>
        <v>4.9413124010073695E-3</v>
      </c>
    </row>
    <row r="54" spans="1:5" x14ac:dyDescent="0.35">
      <c r="A54" s="35">
        <v>21551</v>
      </c>
      <c r="B54" s="63">
        <f>VLOOKUP(A54,Database!A:L,MATCH($A$1,Database!$A$1:$L$1,),)</f>
        <v>16.315999999999999</v>
      </c>
      <c r="C54" s="37">
        <f t="shared" si="1"/>
        <v>4.6798029556650569E-3</v>
      </c>
      <c r="D54" s="36">
        <f t="shared" si="2"/>
        <v>1.2661370407149991E-2</v>
      </c>
      <c r="E54" s="36">
        <f t="shared" si="0"/>
        <v>1.8851025597658388E-2</v>
      </c>
    </row>
    <row r="55" spans="1:5" x14ac:dyDescent="0.35">
      <c r="A55" s="35">
        <v>21641</v>
      </c>
      <c r="B55" s="63">
        <f>VLOOKUP(A55,Database!A:L,MATCH($A$1,Database!$A$1:$L$1,),)</f>
        <v>16.363</v>
      </c>
      <c r="C55" s="37">
        <f t="shared" si="1"/>
        <v>2.8806079921549765E-3</v>
      </c>
      <c r="D55" s="36">
        <f t="shared" si="2"/>
        <v>1.1247759718187911E-2</v>
      </c>
      <c r="E55" s="36">
        <f t="shared" si="0"/>
        <v>1.1572315063918204E-2</v>
      </c>
    </row>
    <row r="56" spans="1:5" x14ac:dyDescent="0.35">
      <c r="A56" s="35">
        <v>21732</v>
      </c>
      <c r="B56" s="63">
        <f>VLOOKUP(A56,Database!A:L,MATCH($A$1,Database!$A$1:$L$1,),)</f>
        <v>16.431999999999999</v>
      </c>
      <c r="C56" s="37">
        <f t="shared" si="1"/>
        <v>4.216830654525397E-3</v>
      </c>
      <c r="D56" s="36">
        <f t="shared" si="2"/>
        <v>1.3070283600493204E-2</v>
      </c>
      <c r="E56" s="36">
        <f t="shared" si="0"/>
        <v>1.697431282791162E-2</v>
      </c>
    </row>
    <row r="57" spans="1:5" x14ac:dyDescent="0.35">
      <c r="A57" s="35">
        <v>21824</v>
      </c>
      <c r="B57" s="63">
        <f>VLOOKUP(A57,Database!A:L,MATCH($A$1,Database!$A$1:$L$1,),)</f>
        <v>16.495999999999999</v>
      </c>
      <c r="C57" s="37">
        <f t="shared" si="1"/>
        <v>3.8948393378773162E-3</v>
      </c>
      <c r="D57" s="36">
        <f t="shared" si="2"/>
        <v>1.5763546798029573E-2</v>
      </c>
      <c r="E57" s="36">
        <f t="shared" si="0"/>
        <v>1.5670612557760144E-2</v>
      </c>
    </row>
    <row r="58" spans="1:5" x14ac:dyDescent="0.35">
      <c r="A58" s="35">
        <v>21916</v>
      </c>
      <c r="B58" s="63">
        <f>VLOOKUP(A58,Database!A:L,MATCH($A$1,Database!$A$1:$L$1,),)</f>
        <v>16.527000000000001</v>
      </c>
      <c r="C58" s="37">
        <f t="shared" si="1"/>
        <v>1.879243452958436E-3</v>
      </c>
      <c r="D58" s="36">
        <f t="shared" si="2"/>
        <v>1.2932091198823369E-2</v>
      </c>
      <c r="E58" s="36">
        <f t="shared" si="0"/>
        <v>7.5381897066519876E-3</v>
      </c>
    </row>
    <row r="59" spans="1:5" x14ac:dyDescent="0.35">
      <c r="A59" s="35">
        <v>22007</v>
      </c>
      <c r="B59" s="63">
        <f>VLOOKUP(A59,Database!A:L,MATCH($A$1,Database!$A$1:$L$1,),)</f>
        <v>16.585999999999999</v>
      </c>
      <c r="C59" s="37">
        <f t="shared" si="1"/>
        <v>3.5699158952016393E-3</v>
      </c>
      <c r="D59" s="36">
        <f t="shared" si="2"/>
        <v>1.3628307767524231E-2</v>
      </c>
      <c r="E59" s="36">
        <f t="shared" si="0"/>
        <v>1.4356311524525989E-2</v>
      </c>
    </row>
    <row r="60" spans="1:5" x14ac:dyDescent="0.35">
      <c r="A60" s="35">
        <v>22098</v>
      </c>
      <c r="B60" s="63">
        <f>VLOOKUP(A60,Database!A:L,MATCH($A$1,Database!$A$1:$L$1,),)</f>
        <v>16.658000000000001</v>
      </c>
      <c r="C60" s="37">
        <f t="shared" si="1"/>
        <v>4.3410104907755176E-3</v>
      </c>
      <c r="D60" s="36">
        <f t="shared" si="2"/>
        <v>1.3753651411879422E-2</v>
      </c>
      <c r="E60" s="36">
        <f t="shared" si="0"/>
        <v>1.7477435765166138E-2</v>
      </c>
    </row>
    <row r="61" spans="1:5" x14ac:dyDescent="0.35">
      <c r="A61" s="35">
        <v>22190</v>
      </c>
      <c r="B61" s="63">
        <f>VLOOKUP(A61,Database!A:L,MATCH($A$1,Database!$A$1:$L$1,),)</f>
        <v>16.731000000000002</v>
      </c>
      <c r="C61" s="37">
        <f t="shared" si="1"/>
        <v>4.3822787849682066E-3</v>
      </c>
      <c r="D61" s="36">
        <f t="shared" si="2"/>
        <v>1.4245877788554984E-2</v>
      </c>
      <c r="E61" s="36">
        <f t="shared" si="0"/>
        <v>1.7644678348341936E-2</v>
      </c>
    </row>
    <row r="62" spans="1:5" x14ac:dyDescent="0.35">
      <c r="A62" s="35">
        <v>22282</v>
      </c>
      <c r="B62" s="63">
        <f>VLOOKUP(A62,Database!A:L,MATCH($A$1,Database!$A$1:$L$1,),)</f>
        <v>16.751000000000001</v>
      </c>
      <c r="C62" s="37">
        <f t="shared" si="1"/>
        <v>1.1953858107704005E-3</v>
      </c>
      <c r="D62" s="36">
        <f t="shared" si="2"/>
        <v>1.3553578991952574E-2</v>
      </c>
      <c r="E62" s="36">
        <f t="shared" si="0"/>
        <v>4.7901237611163161E-3</v>
      </c>
    </row>
    <row r="63" spans="1:5" x14ac:dyDescent="0.35">
      <c r="A63" s="35">
        <v>22372</v>
      </c>
      <c r="B63" s="63">
        <f>VLOOKUP(A63,Database!A:L,MATCH($A$1,Database!$A$1:$L$1,),)</f>
        <v>16.783999999999999</v>
      </c>
      <c r="C63" s="37">
        <f t="shared" si="1"/>
        <v>1.9700316399019579E-3</v>
      </c>
      <c r="D63" s="36">
        <f t="shared" si="2"/>
        <v>1.1937778849632244E-2</v>
      </c>
      <c r="E63" s="36">
        <f t="shared" si="0"/>
        <v>7.9034433056095477E-3</v>
      </c>
    </row>
    <row r="64" spans="1:5" x14ac:dyDescent="0.35">
      <c r="A64" s="35">
        <v>22463</v>
      </c>
      <c r="B64" s="63">
        <f>VLOOKUP(A64,Database!A:L,MATCH($A$1,Database!$A$1:$L$1,),)</f>
        <v>16.818999999999999</v>
      </c>
      <c r="C64" s="37">
        <f t="shared" si="1"/>
        <v>2.0853193517635931E-3</v>
      </c>
      <c r="D64" s="36">
        <f t="shared" si="2"/>
        <v>9.6650258134228471E-3</v>
      </c>
      <c r="E64" s="36">
        <f t="shared" si="0"/>
        <v>8.3674050392759103E-3</v>
      </c>
    </row>
    <row r="65" spans="1:5" x14ac:dyDescent="0.35">
      <c r="A65" s="35">
        <v>22555</v>
      </c>
      <c r="B65" s="63">
        <f>VLOOKUP(A65,Database!A:L,MATCH($A$1,Database!$A$1:$L$1,),)</f>
        <v>16.858000000000001</v>
      </c>
      <c r="C65" s="37">
        <f t="shared" si="1"/>
        <v>2.3188061121351732E-3</v>
      </c>
      <c r="D65" s="36">
        <f t="shared" si="2"/>
        <v>7.5906998983921387E-3</v>
      </c>
      <c r="E65" s="36">
        <f t="shared" si="0"/>
        <v>9.3075355197647092E-3</v>
      </c>
    </row>
    <row r="66" spans="1:5" x14ac:dyDescent="0.35">
      <c r="A66" s="35">
        <v>22647</v>
      </c>
      <c r="B66" s="63">
        <f>VLOOKUP(A66,Database!A:L,MATCH($A$1,Database!$A$1:$L$1,),)</f>
        <v>16.942</v>
      </c>
      <c r="C66" s="37">
        <f t="shared" si="1"/>
        <v>4.9827974848736288E-3</v>
      </c>
      <c r="D66" s="36">
        <f t="shared" si="2"/>
        <v>1.1402304340039337E-2</v>
      </c>
      <c r="E66" s="36">
        <f t="shared" si="0"/>
        <v>2.0080655037570283E-2</v>
      </c>
    </row>
    <row r="67" spans="1:5" x14ac:dyDescent="0.35">
      <c r="A67" s="35">
        <v>22737</v>
      </c>
      <c r="B67" s="63">
        <f>VLOOKUP(A67,Database!A:L,MATCH($A$1,Database!$A$1:$L$1,),)</f>
        <v>16.989000000000001</v>
      </c>
      <c r="C67" s="37">
        <f t="shared" si="1"/>
        <v>2.77417070003545E-3</v>
      </c>
      <c r="D67" s="36">
        <f t="shared" si="2"/>
        <v>1.2214013346043962E-2</v>
      </c>
      <c r="E67" s="36">
        <f t="shared" si="0"/>
        <v>1.1142944398135457E-2</v>
      </c>
    </row>
    <row r="68" spans="1:5" x14ac:dyDescent="0.35">
      <c r="A68" s="35">
        <v>22828</v>
      </c>
      <c r="B68" s="63">
        <f>VLOOKUP(A68,Database!A:L,MATCH($A$1,Database!$A$1:$L$1,),)</f>
        <v>17.029</v>
      </c>
      <c r="C68" s="37">
        <f t="shared" si="1"/>
        <v>2.3544646535993375E-3</v>
      </c>
      <c r="D68" s="36">
        <f t="shared" si="2"/>
        <v>1.2485879065342818E-2</v>
      </c>
      <c r="E68" s="36">
        <f t="shared" si="0"/>
        <v>9.4511718758931718E-3</v>
      </c>
    </row>
    <row r="69" spans="1:5" x14ac:dyDescent="0.35">
      <c r="A69" s="35">
        <v>22920</v>
      </c>
      <c r="B69" s="63">
        <f>VLOOKUP(A69,Database!A:L,MATCH($A$1,Database!$A$1:$L$1,),)</f>
        <v>17.07</v>
      </c>
      <c r="C69" s="37">
        <f t="shared" si="1"/>
        <v>2.4076575253978725E-3</v>
      </c>
      <c r="D69" s="36">
        <f t="shared" si="2"/>
        <v>1.2575631747538245E-2</v>
      </c>
      <c r="E69" s="36">
        <f t="shared" si="0"/>
        <v>9.6654668507309971E-3</v>
      </c>
    </row>
    <row r="70" spans="1:5" x14ac:dyDescent="0.35">
      <c r="A70" s="35">
        <v>23012</v>
      </c>
      <c r="B70" s="63">
        <f>VLOOKUP(A70,Database!A:L,MATCH($A$1,Database!$A$1:$L$1,),)</f>
        <v>17.154</v>
      </c>
      <c r="C70" s="37">
        <f t="shared" si="1"/>
        <v>4.9209138840070081E-3</v>
      </c>
      <c r="D70" s="36">
        <f t="shared" si="2"/>
        <v>1.2513280604415047E-2</v>
      </c>
      <c r="E70" s="36">
        <f t="shared" ref="E70:E133" si="3">((1+C70)^4)-1</f>
        <v>1.9829425130599265E-2</v>
      </c>
    </row>
    <row r="71" spans="1:5" x14ac:dyDescent="0.35">
      <c r="A71" s="35">
        <v>23102</v>
      </c>
      <c r="B71" s="63">
        <f>VLOOKUP(A71,Database!A:L,MATCH($A$1,Database!$A$1:$L$1,),)</f>
        <v>17.169</v>
      </c>
      <c r="C71" s="37">
        <f t="shared" ref="C71:C134" si="4">(B71-B70)/B70</f>
        <v>8.7443161944739231E-4</v>
      </c>
      <c r="D71" s="36">
        <f t="shared" si="2"/>
        <v>1.0595090941197228E-2</v>
      </c>
      <c r="E71" s="36">
        <f t="shared" si="3"/>
        <v>3.5023169367853768E-3</v>
      </c>
    </row>
    <row r="72" spans="1:5" x14ac:dyDescent="0.35">
      <c r="A72" s="35">
        <v>23193</v>
      </c>
      <c r="B72" s="63">
        <f>VLOOKUP(A72,Database!A:L,MATCH($A$1,Database!$A$1:$L$1,),)</f>
        <v>17.187999999999999</v>
      </c>
      <c r="C72" s="37">
        <f t="shared" si="4"/>
        <v>1.1066456986428069E-3</v>
      </c>
      <c r="D72" s="36">
        <f t="shared" si="2"/>
        <v>9.3370133302013575E-3</v>
      </c>
      <c r="E72" s="36">
        <f t="shared" si="3"/>
        <v>4.4339362053646969E-3</v>
      </c>
    </row>
    <row r="73" spans="1:5" x14ac:dyDescent="0.35">
      <c r="A73" s="35">
        <v>23285</v>
      </c>
      <c r="B73" s="63">
        <f>VLOOKUP(A73,Database!A:L,MATCH($A$1,Database!$A$1:$L$1,),)</f>
        <v>17.3</v>
      </c>
      <c r="C73" s="37">
        <f t="shared" si="4"/>
        <v>6.5161740749361116E-3</v>
      </c>
      <c r="D73" s="36">
        <f t="shared" si="2"/>
        <v>1.3473930872876416E-2</v>
      </c>
      <c r="E73" s="36">
        <f t="shared" si="3"/>
        <v>2.6320567970767872E-2</v>
      </c>
    </row>
    <row r="74" spans="1:5" x14ac:dyDescent="0.35">
      <c r="A74" s="35">
        <v>23377</v>
      </c>
      <c r="B74" s="63">
        <f>VLOOKUP(A74,Database!A:L,MATCH($A$1,Database!$A$1:$L$1,),)</f>
        <v>17.364999999999998</v>
      </c>
      <c r="C74" s="37">
        <f t="shared" si="4"/>
        <v>3.75722543352588E-3</v>
      </c>
      <c r="D74" s="36">
        <f t="shared" ref="D74:D137" si="5">(B74-B70)/B70</f>
        <v>1.2300338113559434E-2</v>
      </c>
      <c r="E74" s="36">
        <f t="shared" si="3"/>
        <v>1.5113814550278715E-2</v>
      </c>
    </row>
    <row r="75" spans="1:5" x14ac:dyDescent="0.35">
      <c r="A75" s="35">
        <v>23468</v>
      </c>
      <c r="B75" s="63">
        <f>VLOOKUP(A75,Database!A:L,MATCH($A$1,Database!$A$1:$L$1,),)</f>
        <v>17.416</v>
      </c>
      <c r="C75" s="37">
        <f t="shared" si="4"/>
        <v>2.9369421249641195E-3</v>
      </c>
      <c r="D75" s="36">
        <f t="shared" si="5"/>
        <v>1.438639408235773E-2</v>
      </c>
      <c r="E75" s="36">
        <f t="shared" si="3"/>
        <v>1.1799623680423421E-2</v>
      </c>
    </row>
    <row r="76" spans="1:5" x14ac:dyDescent="0.35">
      <c r="A76" s="35">
        <v>23559</v>
      </c>
      <c r="B76" s="63">
        <f>VLOOKUP(A76,Database!A:L,MATCH($A$1,Database!$A$1:$L$1,),)</f>
        <v>17.501999999999999</v>
      </c>
      <c r="C76" s="37">
        <f t="shared" si="4"/>
        <v>4.9379880569590329E-3</v>
      </c>
      <c r="D76" s="36">
        <f t="shared" si="5"/>
        <v>1.826855946008844E-2</v>
      </c>
      <c r="E76" s="36">
        <f t="shared" si="3"/>
        <v>1.9898736804898842E-2</v>
      </c>
    </row>
    <row r="77" spans="1:5" x14ac:dyDescent="0.35">
      <c r="A77" s="35">
        <v>23651</v>
      </c>
      <c r="B77" s="63">
        <f>VLOOKUP(A77,Database!A:L,MATCH($A$1,Database!$A$1:$L$1,),)</f>
        <v>17.577000000000002</v>
      </c>
      <c r="C77" s="37">
        <f t="shared" si="4"/>
        <v>4.2852245457663607E-3</v>
      </c>
      <c r="D77" s="36">
        <f t="shared" si="5"/>
        <v>1.6011560693641676E-2</v>
      </c>
      <c r="E77" s="36">
        <f t="shared" si="3"/>
        <v>1.7251392177590752E-2</v>
      </c>
    </row>
    <row r="78" spans="1:5" x14ac:dyDescent="0.35">
      <c r="A78" s="35">
        <v>23743</v>
      </c>
      <c r="B78" s="63">
        <f>VLOOKUP(A78,Database!A:L,MATCH($A$1,Database!$A$1:$L$1,),)</f>
        <v>17.652999999999999</v>
      </c>
      <c r="C78" s="37">
        <f t="shared" si="4"/>
        <v>4.3238322808213546E-3</v>
      </c>
      <c r="D78" s="36">
        <f t="shared" si="5"/>
        <v>1.6585084940973237E-2</v>
      </c>
      <c r="E78" s="36">
        <f t="shared" si="3"/>
        <v>1.7407825971632818E-2</v>
      </c>
    </row>
    <row r="79" spans="1:5" x14ac:dyDescent="0.35">
      <c r="A79" s="35">
        <v>23833</v>
      </c>
      <c r="B79" s="63">
        <f>VLOOKUP(A79,Database!A:L,MATCH($A$1,Database!$A$1:$L$1,),)</f>
        <v>17.736000000000001</v>
      </c>
      <c r="C79" s="37">
        <f t="shared" si="4"/>
        <v>4.7017504106951777E-3</v>
      </c>
      <c r="D79" s="36">
        <f t="shared" si="5"/>
        <v>1.8373909049150223E-2</v>
      </c>
      <c r="E79" s="36">
        <f t="shared" si="3"/>
        <v>1.8940056629195068E-2</v>
      </c>
    </row>
    <row r="80" spans="1:5" x14ac:dyDescent="0.35">
      <c r="A80" s="35">
        <v>23924</v>
      </c>
      <c r="B80" s="63">
        <f>VLOOKUP(A80,Database!A:L,MATCH($A$1,Database!$A$1:$L$1,),)</f>
        <v>17.815999999999999</v>
      </c>
      <c r="C80" s="37">
        <f t="shared" si="4"/>
        <v>4.5105999097879053E-3</v>
      </c>
      <c r="D80" s="36">
        <f t="shared" si="5"/>
        <v>1.7940806764941156E-2</v>
      </c>
      <c r="E80" s="36">
        <f t="shared" si="3"/>
        <v>1.8164840204218491E-2</v>
      </c>
    </row>
    <row r="81" spans="1:5" x14ac:dyDescent="0.35">
      <c r="A81" s="35">
        <v>24016</v>
      </c>
      <c r="B81" s="63">
        <f>VLOOKUP(A81,Database!A:L,MATCH($A$1,Database!$A$1:$L$1,),)</f>
        <v>17.934000000000001</v>
      </c>
      <c r="C81" s="37">
        <f t="shared" si="4"/>
        <v>6.6232599910194265E-3</v>
      </c>
      <c r="D81" s="36">
        <f t="shared" si="5"/>
        <v>2.0310633213858981E-2</v>
      </c>
      <c r="E81" s="36">
        <f t="shared" si="3"/>
        <v>2.6757409511255714E-2</v>
      </c>
    </row>
    <row r="82" spans="1:5" x14ac:dyDescent="0.35">
      <c r="A82" s="35">
        <v>24108</v>
      </c>
      <c r="B82" s="63">
        <f>VLOOKUP(A82,Database!A:L,MATCH($A$1,Database!$A$1:$L$1,),)</f>
        <v>18.042999999999999</v>
      </c>
      <c r="C82" s="37">
        <f t="shared" si="4"/>
        <v>6.0778409724544557E-3</v>
      </c>
      <c r="D82" s="36">
        <f t="shared" si="5"/>
        <v>2.2092562170735887E-2</v>
      </c>
      <c r="E82" s="36">
        <f t="shared" si="3"/>
        <v>2.4533904225161551E-2</v>
      </c>
    </row>
    <row r="83" spans="1:5" x14ac:dyDescent="0.35">
      <c r="A83" s="35">
        <v>24198</v>
      </c>
      <c r="B83" s="63">
        <f>VLOOKUP(A83,Database!A:L,MATCH($A$1,Database!$A$1:$L$1,),)</f>
        <v>18.206</v>
      </c>
      <c r="C83" s="37">
        <f t="shared" si="4"/>
        <v>9.0339743945020371E-3</v>
      </c>
      <c r="D83" s="36">
        <f t="shared" si="5"/>
        <v>2.6499774470004445E-2</v>
      </c>
      <c r="E83" s="36">
        <f t="shared" si="3"/>
        <v>3.6628529546731237E-2</v>
      </c>
    </row>
    <row r="84" spans="1:5" x14ac:dyDescent="0.35">
      <c r="A84" s="35">
        <v>24289</v>
      </c>
      <c r="B84" s="63">
        <f>VLOOKUP(A84,Database!A:L,MATCH($A$1,Database!$A$1:$L$1,),)</f>
        <v>18.366</v>
      </c>
      <c r="C84" s="37">
        <f t="shared" si="4"/>
        <v>8.7883115456443006E-3</v>
      </c>
      <c r="D84" s="36">
        <f t="shared" si="5"/>
        <v>3.0871127076784955E-2</v>
      </c>
      <c r="E84" s="36">
        <f t="shared" si="3"/>
        <v>3.5619373707246771E-2</v>
      </c>
    </row>
    <row r="85" spans="1:5" x14ac:dyDescent="0.35">
      <c r="A85" s="35">
        <v>24381</v>
      </c>
      <c r="B85" s="63">
        <f>VLOOKUP(A85,Database!A:L,MATCH($A$1,Database!$A$1:$L$1,),)</f>
        <v>18.515999999999998</v>
      </c>
      <c r="C85" s="37">
        <f t="shared" si="4"/>
        <v>8.1672655994772178E-3</v>
      </c>
      <c r="D85" s="36">
        <f t="shared" si="5"/>
        <v>3.2452325192371873E-2</v>
      </c>
      <c r="E85" s="36">
        <f t="shared" si="3"/>
        <v>3.3071471376162842E-2</v>
      </c>
    </row>
    <row r="86" spans="1:5" x14ac:dyDescent="0.35">
      <c r="A86" s="35">
        <v>24473</v>
      </c>
      <c r="B86" s="63">
        <f>VLOOKUP(A86,Database!A:L,MATCH($A$1,Database!$A$1:$L$1,),)</f>
        <v>18.593</v>
      </c>
      <c r="C86" s="37">
        <f t="shared" si="4"/>
        <v>4.1585655649169226E-3</v>
      </c>
      <c r="D86" s="36">
        <f t="shared" si="5"/>
        <v>3.0482735686970058E-2</v>
      </c>
      <c r="E86" s="36">
        <f t="shared" si="3"/>
        <v>1.6738312231487029E-2</v>
      </c>
    </row>
    <row r="87" spans="1:5" x14ac:dyDescent="0.35">
      <c r="A87" s="35">
        <v>24563</v>
      </c>
      <c r="B87" s="63">
        <f>VLOOKUP(A87,Database!A:L,MATCH($A$1,Database!$A$1:$L$1,),)</f>
        <v>18.704999999999998</v>
      </c>
      <c r="C87" s="37">
        <f t="shared" si="4"/>
        <v>6.0237723874575549E-3</v>
      </c>
      <c r="D87" s="36">
        <f t="shared" si="5"/>
        <v>2.7408546632978072E-2</v>
      </c>
      <c r="E87" s="36">
        <f t="shared" si="3"/>
        <v>2.4313680179562036E-2</v>
      </c>
    </row>
    <row r="88" spans="1:5" x14ac:dyDescent="0.35">
      <c r="A88" s="35">
        <v>24654</v>
      </c>
      <c r="B88" s="63">
        <f>VLOOKUP(A88,Database!A:L,MATCH($A$1,Database!$A$1:$L$1,),)</f>
        <v>18.873000000000001</v>
      </c>
      <c r="C88" s="37">
        <f t="shared" si="4"/>
        <v>8.9815557337611773E-3</v>
      </c>
      <c r="D88" s="36">
        <f t="shared" si="5"/>
        <v>2.7605357726233338E-2</v>
      </c>
      <c r="E88" s="36">
        <f t="shared" si="3"/>
        <v>3.6413137611706947E-2</v>
      </c>
    </row>
    <row r="89" spans="1:5" x14ac:dyDescent="0.35">
      <c r="A89" s="35">
        <v>24746</v>
      </c>
      <c r="B89" s="63">
        <f>VLOOKUP(A89,Database!A:L,MATCH($A$1,Database!$A$1:$L$1,),)</f>
        <v>19.082000000000001</v>
      </c>
      <c r="C89" s="37">
        <f t="shared" si="4"/>
        <v>1.107402108832722E-2</v>
      </c>
      <c r="D89" s="36">
        <f t="shared" si="5"/>
        <v>3.0568157269388774E-2</v>
      </c>
      <c r="E89" s="36">
        <f t="shared" si="3"/>
        <v>4.503733525426723E-2</v>
      </c>
    </row>
    <row r="90" spans="1:5" x14ac:dyDescent="0.35">
      <c r="A90" s="35">
        <v>24838</v>
      </c>
      <c r="B90" s="63">
        <f>VLOOKUP(A90,Database!A:L,MATCH($A$1,Database!$A$1:$L$1,),)</f>
        <v>19.29</v>
      </c>
      <c r="C90" s="37">
        <f t="shared" si="4"/>
        <v>1.0900324913530993E-2</v>
      </c>
      <c r="D90" s="36">
        <f t="shared" si="5"/>
        <v>3.7487226375517622E-2</v>
      </c>
      <c r="E90" s="36">
        <f t="shared" si="3"/>
        <v>4.4319396850196258E-2</v>
      </c>
    </row>
    <row r="91" spans="1:5" x14ac:dyDescent="0.35">
      <c r="A91" s="35">
        <v>24929</v>
      </c>
      <c r="B91" s="63">
        <f>VLOOKUP(A91,Database!A:L,MATCH($A$1,Database!$A$1:$L$1,),)</f>
        <v>19.506</v>
      </c>
      <c r="C91" s="37">
        <f t="shared" si="4"/>
        <v>1.1197511664074707E-2</v>
      </c>
      <c r="D91" s="36">
        <f t="shared" si="5"/>
        <v>4.2822774659182147E-2</v>
      </c>
      <c r="E91" s="36">
        <f t="shared" si="3"/>
        <v>4.5547983949506099E-2</v>
      </c>
    </row>
    <row r="92" spans="1:5" x14ac:dyDescent="0.35">
      <c r="A92" s="35">
        <v>25020</v>
      </c>
      <c r="B92" s="63">
        <f>VLOOKUP(A92,Database!A:L,MATCH($A$1,Database!$A$1:$L$1,),)</f>
        <v>19.693000000000001</v>
      </c>
      <c r="C92" s="37">
        <f t="shared" si="4"/>
        <v>9.5867938070337937E-3</v>
      </c>
      <c r="D92" s="36">
        <f t="shared" si="5"/>
        <v>4.3448312403963345E-2</v>
      </c>
      <c r="E92" s="36">
        <f t="shared" si="3"/>
        <v>3.8902147727041481E-2</v>
      </c>
    </row>
    <row r="93" spans="1:5" x14ac:dyDescent="0.35">
      <c r="A93" s="35">
        <v>25112</v>
      </c>
      <c r="B93" s="63">
        <f>VLOOKUP(A93,Database!A:L,MATCH($A$1,Database!$A$1:$L$1,),)</f>
        <v>19.966999999999999</v>
      </c>
      <c r="C93" s="37">
        <f t="shared" si="4"/>
        <v>1.3913573350936745E-2</v>
      </c>
      <c r="D93" s="36">
        <f t="shared" si="5"/>
        <v>4.63787862907451E-2</v>
      </c>
      <c r="E93" s="36">
        <f t="shared" si="3"/>
        <v>5.6826629997053679E-2</v>
      </c>
    </row>
    <row r="94" spans="1:5" x14ac:dyDescent="0.35">
      <c r="A94" s="35">
        <v>25204</v>
      </c>
      <c r="B94" s="63">
        <f>VLOOKUP(A94,Database!A:L,MATCH($A$1,Database!$A$1:$L$1,),)</f>
        <v>20.167000000000002</v>
      </c>
      <c r="C94" s="37">
        <f t="shared" si="4"/>
        <v>1.0016527269995636E-2</v>
      </c>
      <c r="D94" s="36">
        <f t="shared" si="5"/>
        <v>4.5463970969414333E-2</v>
      </c>
      <c r="E94" s="36">
        <f t="shared" si="3"/>
        <v>4.0672123923079395E-2</v>
      </c>
    </row>
    <row r="95" spans="1:5" x14ac:dyDescent="0.35">
      <c r="A95" s="35">
        <v>25294</v>
      </c>
      <c r="B95" s="63">
        <f>VLOOKUP(A95,Database!A:L,MATCH($A$1,Database!$A$1:$L$1,),)</f>
        <v>20.433</v>
      </c>
      <c r="C95" s="37">
        <f t="shared" si="4"/>
        <v>1.31898646303366E-2</v>
      </c>
      <c r="D95" s="36">
        <f t="shared" si="5"/>
        <v>4.7523838818824958E-2</v>
      </c>
      <c r="E95" s="36">
        <f t="shared" si="3"/>
        <v>5.381250265801274E-2</v>
      </c>
    </row>
    <row r="96" spans="1:5" x14ac:dyDescent="0.35">
      <c r="A96" s="35">
        <v>25385</v>
      </c>
      <c r="B96" s="63">
        <f>VLOOKUP(A96,Database!A:L,MATCH($A$1,Database!$A$1:$L$1,),)</f>
        <v>20.724</v>
      </c>
      <c r="C96" s="37">
        <f t="shared" si="4"/>
        <v>1.4241667890177672E-2</v>
      </c>
      <c r="D96" s="36">
        <f t="shared" si="5"/>
        <v>5.2353628192758787E-2</v>
      </c>
      <c r="E96" s="36">
        <f t="shared" si="3"/>
        <v>5.8195217595599091E-2</v>
      </c>
    </row>
    <row r="97" spans="1:5" x14ac:dyDescent="0.35">
      <c r="A97" s="35">
        <v>25477</v>
      </c>
      <c r="B97" s="63">
        <f>VLOOKUP(A97,Database!A:L,MATCH($A$1,Database!$A$1:$L$1,),)</f>
        <v>20.983000000000001</v>
      </c>
      <c r="C97" s="37">
        <f t="shared" si="4"/>
        <v>1.2497587338351686E-2</v>
      </c>
      <c r="D97" s="36">
        <f t="shared" si="5"/>
        <v>5.0883958531577192E-2</v>
      </c>
      <c r="E97" s="36">
        <f t="shared" si="3"/>
        <v>5.0935319861436623E-2</v>
      </c>
    </row>
    <row r="98" spans="1:5" x14ac:dyDescent="0.35">
      <c r="A98" s="35">
        <v>25569</v>
      </c>
      <c r="B98" s="63">
        <f>VLOOKUP(A98,Database!A:L,MATCH($A$1,Database!$A$1:$L$1,),)</f>
        <v>21.271999999999998</v>
      </c>
      <c r="C98" s="37">
        <f t="shared" si="4"/>
        <v>1.3773054377352996E-2</v>
      </c>
      <c r="D98" s="36">
        <f t="shared" si="5"/>
        <v>5.4792482768879693E-2</v>
      </c>
      <c r="E98" s="36">
        <f t="shared" si="3"/>
        <v>5.6240886485529495E-2</v>
      </c>
    </row>
    <row r="99" spans="1:5" x14ac:dyDescent="0.35">
      <c r="A99" s="35">
        <v>25659</v>
      </c>
      <c r="B99" s="63">
        <f>VLOOKUP(A99,Database!A:L,MATCH($A$1,Database!$A$1:$L$1,),)</f>
        <v>21.579000000000001</v>
      </c>
      <c r="C99" s="37">
        <f t="shared" si="4"/>
        <v>1.4432117337344969E-2</v>
      </c>
      <c r="D99" s="36">
        <f t="shared" si="5"/>
        <v>5.6085743649978016E-2</v>
      </c>
      <c r="E99" s="36">
        <f t="shared" si="3"/>
        <v>5.8990252830068313E-2</v>
      </c>
    </row>
    <row r="100" spans="1:5" x14ac:dyDescent="0.35">
      <c r="A100" s="35">
        <v>25750</v>
      </c>
      <c r="B100" s="63">
        <f>VLOOKUP(A100,Database!A:L,MATCH($A$1,Database!$A$1:$L$1,),)</f>
        <v>21.756</v>
      </c>
      <c r="C100" s="37">
        <f t="shared" si="4"/>
        <v>8.2024190184901806E-3</v>
      </c>
      <c r="D100" s="36">
        <f t="shared" si="5"/>
        <v>4.9797336421540245E-2</v>
      </c>
      <c r="E100" s="36">
        <f t="shared" si="3"/>
        <v>3.3215566091478799E-2</v>
      </c>
    </row>
    <row r="101" spans="1:5" x14ac:dyDescent="0.35">
      <c r="A101" s="35">
        <v>25842</v>
      </c>
      <c r="B101" s="63">
        <f>VLOOKUP(A101,Database!A:L,MATCH($A$1,Database!$A$1:$L$1,),)</f>
        <v>22.041</v>
      </c>
      <c r="C101" s="37">
        <f t="shared" si="4"/>
        <v>1.3099834528405963E-2</v>
      </c>
      <c r="D101" s="36">
        <f t="shared" si="5"/>
        <v>5.0421770004289178E-2</v>
      </c>
      <c r="E101" s="36">
        <f t="shared" si="3"/>
        <v>5.3437993573402842E-2</v>
      </c>
    </row>
    <row r="102" spans="1:5" x14ac:dyDescent="0.35">
      <c r="A102" s="35">
        <v>25934</v>
      </c>
      <c r="B102" s="63">
        <f>VLOOKUP(A102,Database!A:L,MATCH($A$1,Database!$A$1:$L$1,),)</f>
        <v>22.375</v>
      </c>
      <c r="C102" s="37">
        <f t="shared" si="4"/>
        <v>1.5153577423891821E-2</v>
      </c>
      <c r="D102" s="36">
        <f t="shared" si="5"/>
        <v>5.185220007521632E-2</v>
      </c>
      <c r="E102" s="36">
        <f t="shared" si="3"/>
        <v>6.2006066797390957E-2</v>
      </c>
    </row>
    <row r="103" spans="1:5" x14ac:dyDescent="0.35">
      <c r="A103" s="35">
        <v>26024</v>
      </c>
      <c r="B103" s="63">
        <f>VLOOKUP(A103,Database!A:L,MATCH($A$1,Database!$A$1:$L$1,),)</f>
        <v>22.673999999999999</v>
      </c>
      <c r="C103" s="37">
        <f t="shared" si="4"/>
        <v>1.3363128491620089E-2</v>
      </c>
      <c r="D103" s="36">
        <f t="shared" si="5"/>
        <v>5.07437786737105E-2</v>
      </c>
      <c r="E103" s="36">
        <f t="shared" si="3"/>
        <v>5.453353026000185E-2</v>
      </c>
    </row>
    <row r="104" spans="1:5" x14ac:dyDescent="0.35">
      <c r="A104" s="35">
        <v>26115</v>
      </c>
      <c r="B104" s="63">
        <f>VLOOKUP(A104,Database!A:L,MATCH($A$1,Database!$A$1:$L$1,),)</f>
        <v>22.902999999999999</v>
      </c>
      <c r="C104" s="37">
        <f t="shared" si="4"/>
        <v>1.0099673635000406E-2</v>
      </c>
      <c r="D104" s="36">
        <f t="shared" si="5"/>
        <v>5.2721088435374076E-2</v>
      </c>
      <c r="E104" s="36">
        <f t="shared" si="3"/>
        <v>4.1014846194400212E-2</v>
      </c>
    </row>
    <row r="105" spans="1:5" x14ac:dyDescent="0.35">
      <c r="A105" s="35">
        <v>26207</v>
      </c>
      <c r="B105" s="63">
        <f>VLOOKUP(A105,Database!A:L,MATCH($A$1,Database!$A$1:$L$1,),)</f>
        <v>23.091999999999999</v>
      </c>
      <c r="C105" s="37">
        <f t="shared" si="4"/>
        <v>8.2521940357158478E-3</v>
      </c>
      <c r="D105" s="36">
        <f t="shared" si="5"/>
        <v>4.7683861893743407E-2</v>
      </c>
      <c r="E105" s="36">
        <f t="shared" si="3"/>
        <v>3.3419620873671008E-2</v>
      </c>
    </row>
    <row r="106" spans="1:5" x14ac:dyDescent="0.35">
      <c r="A106" s="35">
        <v>26299</v>
      </c>
      <c r="B106" s="63">
        <f>VLOOKUP(A106,Database!A:L,MATCH($A$1,Database!$A$1:$L$1,),)</f>
        <v>23.463000000000001</v>
      </c>
      <c r="C106" s="37">
        <f t="shared" si="4"/>
        <v>1.6066170102199993E-2</v>
      </c>
      <c r="D106" s="36">
        <f t="shared" si="5"/>
        <v>4.8625698324022387E-2</v>
      </c>
      <c r="E106" s="36">
        <f t="shared" si="3"/>
        <v>6.5830066082573246E-2</v>
      </c>
    </row>
    <row r="107" spans="1:5" x14ac:dyDescent="0.35">
      <c r="A107" s="35">
        <v>26390</v>
      </c>
      <c r="B107" s="63">
        <f>VLOOKUP(A107,Database!A:L,MATCH($A$1,Database!$A$1:$L$1,),)</f>
        <v>23.606000000000002</v>
      </c>
      <c r="C107" s="37">
        <f t="shared" si="4"/>
        <v>6.0947022972339714E-3</v>
      </c>
      <c r="D107" s="36">
        <f t="shared" si="5"/>
        <v>4.110434859310233E-2</v>
      </c>
      <c r="E107" s="36">
        <f t="shared" si="3"/>
        <v>2.4602588505791223E-2</v>
      </c>
    </row>
    <row r="108" spans="1:5" x14ac:dyDescent="0.35">
      <c r="A108" s="35">
        <v>26481</v>
      </c>
      <c r="B108" s="63">
        <f>VLOOKUP(A108,Database!A:L,MATCH($A$1,Database!$A$1:$L$1,),)</f>
        <v>23.82</v>
      </c>
      <c r="C108" s="37">
        <f t="shared" si="4"/>
        <v>9.0654918241124555E-3</v>
      </c>
      <c r="D108" s="36">
        <f t="shared" si="5"/>
        <v>4.0038422914028801E-2</v>
      </c>
      <c r="E108" s="36">
        <f t="shared" si="3"/>
        <v>3.6758053025004678E-2</v>
      </c>
    </row>
    <row r="109" spans="1:5" x14ac:dyDescent="0.35">
      <c r="A109" s="35">
        <v>26573</v>
      </c>
      <c r="B109" s="63">
        <f>VLOOKUP(A109,Database!A:L,MATCH($A$1,Database!$A$1:$L$1,),)</f>
        <v>24.09</v>
      </c>
      <c r="C109" s="37">
        <f t="shared" si="4"/>
        <v>1.133501259445842E-2</v>
      </c>
      <c r="D109" s="36">
        <f t="shared" si="5"/>
        <v>4.3218430625324836E-2</v>
      </c>
      <c r="E109" s="36">
        <f t="shared" si="3"/>
        <v>4.611678735218816E-2</v>
      </c>
    </row>
    <row r="110" spans="1:5" x14ac:dyDescent="0.35">
      <c r="A110" s="35">
        <v>26665</v>
      </c>
      <c r="B110" s="63">
        <f>VLOOKUP(A110,Database!A:L,MATCH($A$1,Database!$A$1:$L$1,),)</f>
        <v>24.396000000000001</v>
      </c>
      <c r="C110" s="37">
        <f t="shared" si="4"/>
        <v>1.27023661270237E-2</v>
      </c>
      <c r="D110" s="36">
        <f t="shared" si="5"/>
        <v>3.9764735967267602E-2</v>
      </c>
      <c r="E110" s="36">
        <f t="shared" si="3"/>
        <v>5.1785789285746064E-2</v>
      </c>
    </row>
    <row r="111" spans="1:5" x14ac:dyDescent="0.35">
      <c r="A111" s="35">
        <v>26755</v>
      </c>
      <c r="B111" s="63">
        <f>VLOOKUP(A111,Database!A:L,MATCH($A$1,Database!$A$1:$L$1,),)</f>
        <v>24.8</v>
      </c>
      <c r="C111" s="37">
        <f t="shared" si="4"/>
        <v>1.6560091818330871E-2</v>
      </c>
      <c r="D111" s="36">
        <f t="shared" si="5"/>
        <v>5.0580360925188465E-2</v>
      </c>
      <c r="E111" s="36">
        <f t="shared" si="3"/>
        <v>6.7904027861069638E-2</v>
      </c>
    </row>
    <row r="112" spans="1:5" x14ac:dyDescent="0.35">
      <c r="A112" s="35">
        <v>26846</v>
      </c>
      <c r="B112" s="63">
        <f>VLOOKUP(A112,Database!A:L,MATCH($A$1,Database!$A$1:$L$1,),)</f>
        <v>25.273</v>
      </c>
      <c r="C112" s="37">
        <f t="shared" si="4"/>
        <v>1.907258064516125E-2</v>
      </c>
      <c r="D112" s="36">
        <f t="shared" si="5"/>
        <v>6.0999160369437422E-2</v>
      </c>
      <c r="E112" s="36">
        <f t="shared" si="3"/>
        <v>7.8500786521181087E-2</v>
      </c>
    </row>
    <row r="113" spans="1:5" x14ac:dyDescent="0.35">
      <c r="A113" s="35">
        <v>26938</v>
      </c>
      <c r="B113" s="63">
        <f>VLOOKUP(A113,Database!A:L,MATCH($A$1,Database!$A$1:$L$1,),)</f>
        <v>25.710999999999999</v>
      </c>
      <c r="C113" s="37">
        <f t="shared" si="4"/>
        <v>1.733074822933561E-2</v>
      </c>
      <c r="D113" s="36">
        <f t="shared" si="5"/>
        <v>6.7289331672893263E-2</v>
      </c>
      <c r="E113" s="36">
        <f t="shared" si="3"/>
        <v>7.1146033631544148E-2</v>
      </c>
    </row>
    <row r="114" spans="1:5" x14ac:dyDescent="0.35">
      <c r="A114" s="35">
        <v>27030</v>
      </c>
      <c r="B114" s="63">
        <f>VLOOKUP(A114,Database!A:L,MATCH($A$1,Database!$A$1:$L$1,),)</f>
        <v>26.231999999999999</v>
      </c>
      <c r="C114" s="37">
        <f t="shared" si="4"/>
        <v>2.0263700361712919E-2</v>
      </c>
      <c r="D114" s="36">
        <f t="shared" si="5"/>
        <v>7.5258239055582821E-2</v>
      </c>
      <c r="E114" s="36">
        <f t="shared" si="3"/>
        <v>8.3551957891898176E-2</v>
      </c>
    </row>
    <row r="115" spans="1:5" x14ac:dyDescent="0.35">
      <c r="A115" s="35">
        <v>27120</v>
      </c>
      <c r="B115" s="63">
        <f>VLOOKUP(A115,Database!A:L,MATCH($A$1,Database!$A$1:$L$1,),)</f>
        <v>26.815000000000001</v>
      </c>
      <c r="C115" s="37">
        <f t="shared" si="4"/>
        <v>2.2224763647453568E-2</v>
      </c>
      <c r="D115" s="36">
        <f t="shared" si="5"/>
        <v>8.1250000000000017E-2</v>
      </c>
      <c r="E115" s="36">
        <f t="shared" si="3"/>
        <v>9.1906850091386216E-2</v>
      </c>
    </row>
    <row r="116" spans="1:5" x14ac:dyDescent="0.35">
      <c r="A116" s="35">
        <v>27211</v>
      </c>
      <c r="B116" s="63">
        <f>VLOOKUP(A116,Database!A:L,MATCH($A$1,Database!$A$1:$L$1,),)</f>
        <v>27.640999999999998</v>
      </c>
      <c r="C116" s="37">
        <f t="shared" si="4"/>
        <v>3.0803654670893042E-2</v>
      </c>
      <c r="D116" s="36">
        <f t="shared" si="5"/>
        <v>9.3696830609741572E-2</v>
      </c>
      <c r="E116" s="36">
        <f t="shared" si="3"/>
        <v>0.12902562393167027</v>
      </c>
    </row>
    <row r="117" spans="1:5" x14ac:dyDescent="0.35">
      <c r="A117" s="35">
        <v>27303</v>
      </c>
      <c r="B117" s="63">
        <f>VLOOKUP(A117,Database!A:L,MATCH($A$1,Database!$A$1:$L$1,),)</f>
        <v>28.478999999999999</v>
      </c>
      <c r="C117" s="37">
        <f t="shared" si="4"/>
        <v>3.0317282298035562E-2</v>
      </c>
      <c r="D117" s="36">
        <f t="shared" si="5"/>
        <v>0.10765820077009844</v>
      </c>
      <c r="E117" s="36">
        <f t="shared" si="3"/>
        <v>0.1268962626587935</v>
      </c>
    </row>
    <row r="118" spans="1:5" x14ac:dyDescent="0.35">
      <c r="A118" s="35">
        <v>27395</v>
      </c>
      <c r="B118" s="63">
        <f>VLOOKUP(A118,Database!A:L,MATCH($A$1,Database!$A$1:$L$1,),)</f>
        <v>29.123999999999999</v>
      </c>
      <c r="C118" s="37">
        <f t="shared" si="4"/>
        <v>2.264826714421151E-2</v>
      </c>
      <c r="D118" s="36">
        <f t="shared" si="5"/>
        <v>0.11024702653247939</v>
      </c>
      <c r="E118" s="36">
        <f t="shared" si="3"/>
        <v>9.3717464887599133E-2</v>
      </c>
    </row>
    <row r="119" spans="1:5" x14ac:dyDescent="0.35">
      <c r="A119" s="35">
        <v>27485</v>
      </c>
      <c r="B119" s="63">
        <f>VLOOKUP(A119,Database!A:L,MATCH($A$1,Database!$A$1:$L$1,),)</f>
        <v>29.545999999999999</v>
      </c>
      <c r="C119" s="37">
        <f t="shared" si="4"/>
        <v>1.4489767889026254E-2</v>
      </c>
      <c r="D119" s="36">
        <f t="shared" si="5"/>
        <v>0.10184598172664545</v>
      </c>
      <c r="E119" s="36">
        <f t="shared" si="3"/>
        <v>5.9231004579988422E-2</v>
      </c>
    </row>
    <row r="120" spans="1:5" x14ac:dyDescent="0.35">
      <c r="A120" s="35">
        <v>27576</v>
      </c>
      <c r="B120" s="63">
        <f>VLOOKUP(A120,Database!A:L,MATCH($A$1,Database!$A$1:$L$1,),)</f>
        <v>30.068000000000001</v>
      </c>
      <c r="C120" s="37">
        <f t="shared" si="4"/>
        <v>1.7667366140932853E-2</v>
      </c>
      <c r="D120" s="36">
        <f t="shared" si="5"/>
        <v>8.7804348612568403E-2</v>
      </c>
      <c r="E120" s="36">
        <f t="shared" si="3"/>
        <v>7.2564435422371787E-2</v>
      </c>
    </row>
    <row r="121" spans="1:5" x14ac:dyDescent="0.35">
      <c r="A121" s="35">
        <v>27668</v>
      </c>
      <c r="B121" s="63">
        <f>VLOOKUP(A121,Database!A:L,MATCH($A$1,Database!$A$1:$L$1,),)</f>
        <v>30.57</v>
      </c>
      <c r="C121" s="37">
        <f t="shared" si="4"/>
        <v>1.6695490222163059E-2</v>
      </c>
      <c r="D121" s="36">
        <f t="shared" si="5"/>
        <v>7.3422521858211354E-2</v>
      </c>
      <c r="E121" s="36">
        <f t="shared" si="3"/>
        <v>6.8473089710143986E-2</v>
      </c>
    </row>
    <row r="122" spans="1:5" x14ac:dyDescent="0.35">
      <c r="A122" s="35">
        <v>27760</v>
      </c>
      <c r="B122" s="63">
        <f>VLOOKUP(A122,Database!A:L,MATCH($A$1,Database!$A$1:$L$1,),)</f>
        <v>30.905000000000001</v>
      </c>
      <c r="C122" s="37">
        <f t="shared" si="4"/>
        <v>1.0958456002616973E-2</v>
      </c>
      <c r="D122" s="36">
        <f t="shared" si="5"/>
        <v>6.1152314242549181E-2</v>
      </c>
      <c r="E122" s="36">
        <f t="shared" si="3"/>
        <v>4.4559628884953684E-2</v>
      </c>
    </row>
    <row r="123" spans="1:5" x14ac:dyDescent="0.35">
      <c r="A123" s="35">
        <v>27851</v>
      </c>
      <c r="B123" s="63">
        <f>VLOOKUP(A123,Database!A:L,MATCH($A$1,Database!$A$1:$L$1,),)</f>
        <v>31.213000000000001</v>
      </c>
      <c r="C123" s="37">
        <f t="shared" si="4"/>
        <v>9.9660249150622816E-3</v>
      </c>
      <c r="D123" s="36">
        <f t="shared" si="5"/>
        <v>5.6420496852365859E-2</v>
      </c>
      <c r="E123" s="36">
        <f t="shared" si="3"/>
        <v>4.0463998808944135E-2</v>
      </c>
    </row>
    <row r="124" spans="1:5" x14ac:dyDescent="0.35">
      <c r="A124" s="35">
        <v>27942</v>
      </c>
      <c r="B124" s="63">
        <f>VLOOKUP(A124,Database!A:L,MATCH($A$1,Database!$A$1:$L$1,),)</f>
        <v>31.611000000000001</v>
      </c>
      <c r="C124" s="37">
        <f t="shared" si="4"/>
        <v>1.2751097299202246E-2</v>
      </c>
      <c r="D124" s="36">
        <f t="shared" si="5"/>
        <v>5.1317014766529175E-2</v>
      </c>
      <c r="E124" s="36">
        <f t="shared" si="3"/>
        <v>5.1988251354716741E-2</v>
      </c>
    </row>
    <row r="125" spans="1:5" x14ac:dyDescent="0.35">
      <c r="A125" s="35">
        <v>28034</v>
      </c>
      <c r="B125" s="63">
        <f>VLOOKUP(A125,Database!A:L,MATCH($A$1,Database!$A$1:$L$1,),)</f>
        <v>32.148000000000003</v>
      </c>
      <c r="C125" s="37">
        <f t="shared" si="4"/>
        <v>1.6987757426212474E-2</v>
      </c>
      <c r="D125" s="36">
        <f t="shared" si="5"/>
        <v>5.1619234543670359E-2</v>
      </c>
      <c r="E125" s="36">
        <f t="shared" si="3"/>
        <v>6.9702225973072185E-2</v>
      </c>
    </row>
    <row r="126" spans="1:5" x14ac:dyDescent="0.35">
      <c r="A126" s="35">
        <v>28126</v>
      </c>
      <c r="B126" s="63">
        <f>VLOOKUP(A126,Database!A:L,MATCH($A$1,Database!$A$1:$L$1,),)</f>
        <v>32.667999999999999</v>
      </c>
      <c r="C126" s="37">
        <f t="shared" si="4"/>
        <v>1.6175189747418064E-2</v>
      </c>
      <c r="D126" s="36">
        <f t="shared" si="5"/>
        <v>5.7045785471606471E-2</v>
      </c>
      <c r="E126" s="36">
        <f t="shared" si="3"/>
        <v>6.6287576120827252E-2</v>
      </c>
    </row>
    <row r="127" spans="1:5" x14ac:dyDescent="0.35">
      <c r="A127" s="35">
        <v>28216</v>
      </c>
      <c r="B127" s="63">
        <f>VLOOKUP(A127,Database!A:L,MATCH($A$1,Database!$A$1:$L$1,),)</f>
        <v>33.183999999999997</v>
      </c>
      <c r="C127" s="37">
        <f t="shared" si="4"/>
        <v>1.5795273662299443E-2</v>
      </c>
      <c r="D127" s="36">
        <f t="shared" si="5"/>
        <v>6.3146765770672367E-2</v>
      </c>
      <c r="E127" s="36">
        <f t="shared" si="3"/>
        <v>6.4693864008833701E-2</v>
      </c>
    </row>
    <row r="128" spans="1:5" x14ac:dyDescent="0.35">
      <c r="A128" s="35">
        <v>28307</v>
      </c>
      <c r="B128" s="63">
        <f>VLOOKUP(A128,Database!A:L,MATCH($A$1,Database!$A$1:$L$1,),)</f>
        <v>33.640999999999998</v>
      </c>
      <c r="C128" s="37">
        <f t="shared" si="4"/>
        <v>1.3771697203471576E-2</v>
      </c>
      <c r="D128" s="36">
        <f t="shared" si="5"/>
        <v>6.4218151909145468E-2</v>
      </c>
      <c r="E128" s="36">
        <f t="shared" si="3"/>
        <v>5.6235230388599788E-2</v>
      </c>
    </row>
    <row r="129" spans="1:5" x14ac:dyDescent="0.35">
      <c r="A129" s="35">
        <v>28399</v>
      </c>
      <c r="B129" s="63">
        <f>VLOOKUP(A129,Database!A:L,MATCH($A$1,Database!$A$1:$L$1,),)</f>
        <v>34.203000000000003</v>
      </c>
      <c r="C129" s="37">
        <f t="shared" si="4"/>
        <v>1.6705805416010366E-2</v>
      </c>
      <c r="D129" s="36">
        <f t="shared" si="5"/>
        <v>6.3923105636431485E-2</v>
      </c>
      <c r="E129" s="36">
        <f t="shared" si="3"/>
        <v>6.8516452447093812E-2</v>
      </c>
    </row>
    <row r="130" spans="1:5" x14ac:dyDescent="0.35">
      <c r="A130" s="35">
        <v>28491</v>
      </c>
      <c r="B130" s="63">
        <f>VLOOKUP(A130,Database!A:L,MATCH($A$1,Database!$A$1:$L$1,),)</f>
        <v>34.762999999999998</v>
      </c>
      <c r="C130" s="37">
        <f t="shared" si="4"/>
        <v>1.6372832792444964E-2</v>
      </c>
      <c r="D130" s="36">
        <f t="shared" si="5"/>
        <v>6.4130035508754707E-2</v>
      </c>
      <c r="E130" s="36">
        <f t="shared" si="3"/>
        <v>6.7117377191479477E-2</v>
      </c>
    </row>
    <row r="131" spans="1:5" x14ac:dyDescent="0.35">
      <c r="A131" s="35">
        <v>28581</v>
      </c>
      <c r="B131" s="63">
        <f>VLOOKUP(A131,Database!A:L,MATCH($A$1,Database!$A$1:$L$1,),)</f>
        <v>35.457000000000001</v>
      </c>
      <c r="C131" s="37">
        <f t="shared" si="4"/>
        <v>1.9963754566637019E-2</v>
      </c>
      <c r="D131" s="36">
        <f t="shared" si="5"/>
        <v>6.8496865959498651E-2</v>
      </c>
      <c r="E131" s="36">
        <f t="shared" si="3"/>
        <v>8.2278312425250189E-2</v>
      </c>
    </row>
    <row r="132" spans="1:5" x14ac:dyDescent="0.35">
      <c r="A132" s="35">
        <v>28672</v>
      </c>
      <c r="B132" s="63">
        <f>VLOOKUP(A132,Database!A:L,MATCH($A$1,Database!$A$1:$L$1,),)</f>
        <v>36.082999999999998</v>
      </c>
      <c r="C132" s="37">
        <f t="shared" si="4"/>
        <v>1.7655187974165824E-2</v>
      </c>
      <c r="D132" s="36">
        <f t="shared" si="5"/>
        <v>7.2589994352129844E-2</v>
      </c>
      <c r="E132" s="36">
        <f t="shared" si="3"/>
        <v>7.251309591975108E-2</v>
      </c>
    </row>
    <row r="133" spans="1:5" x14ac:dyDescent="0.35">
      <c r="A133" s="35">
        <v>28764</v>
      </c>
      <c r="B133" s="63">
        <f>VLOOKUP(A133,Database!A:L,MATCH($A$1,Database!$A$1:$L$1,),)</f>
        <v>36.795999999999999</v>
      </c>
      <c r="C133" s="37">
        <f t="shared" si="4"/>
        <v>1.9759997782889477E-2</v>
      </c>
      <c r="D133" s="36">
        <f t="shared" si="5"/>
        <v>7.5812063269303745E-2</v>
      </c>
      <c r="E133" s="36">
        <f t="shared" si="3"/>
        <v>8.1413750421221787E-2</v>
      </c>
    </row>
    <row r="134" spans="1:5" x14ac:dyDescent="0.35">
      <c r="A134" s="35">
        <v>28856</v>
      </c>
      <c r="B134" s="63">
        <f>VLOOKUP(A134,Database!A:L,MATCH($A$1,Database!$A$1:$L$1,),)</f>
        <v>37.482999999999997</v>
      </c>
      <c r="C134" s="37">
        <f t="shared" si="4"/>
        <v>1.8670507663876443E-2</v>
      </c>
      <c r="D134" s="36">
        <f t="shared" si="5"/>
        <v>7.8244110117078478E-2</v>
      </c>
      <c r="E134" s="36">
        <f t="shared" ref="E134:E197" si="6">((1+C134)^4)-1</f>
        <v>7.67997125565405E-2</v>
      </c>
    </row>
    <row r="135" spans="1:5" x14ac:dyDescent="0.35">
      <c r="A135" s="35">
        <v>28946</v>
      </c>
      <c r="B135" s="63">
        <f>VLOOKUP(A135,Database!A:L,MATCH($A$1,Database!$A$1:$L$1,),)</f>
        <v>38.387999999999998</v>
      </c>
      <c r="C135" s="37">
        <f t="shared" ref="C135:C198" si="7">(B135-B134)/B134</f>
        <v>2.4144278739695362E-2</v>
      </c>
      <c r="D135" s="36">
        <f t="shared" si="5"/>
        <v>8.2663507910990697E-2</v>
      </c>
      <c r="E135" s="36">
        <f t="shared" si="6"/>
        <v>0.10013143122198143</v>
      </c>
    </row>
    <row r="136" spans="1:5" x14ac:dyDescent="0.35">
      <c r="A136" s="35">
        <v>29037</v>
      </c>
      <c r="B136" s="63">
        <f>VLOOKUP(A136,Database!A:L,MATCH($A$1,Database!$A$1:$L$1,),)</f>
        <v>39.19</v>
      </c>
      <c r="C136" s="37">
        <f t="shared" si="7"/>
        <v>2.0891945399604032E-2</v>
      </c>
      <c r="D136" s="36">
        <f t="shared" si="5"/>
        <v>8.6107031011833812E-2</v>
      </c>
      <c r="E136" s="36">
        <f t="shared" si="6"/>
        <v>8.6223287515218683E-2</v>
      </c>
    </row>
    <row r="137" spans="1:5" x14ac:dyDescent="0.35">
      <c r="A137" s="35">
        <v>29129</v>
      </c>
      <c r="B137" s="63">
        <f>VLOOKUP(A137,Database!A:L,MATCH($A$1,Database!$A$1:$L$1,),)</f>
        <v>39.905000000000001</v>
      </c>
      <c r="C137" s="37">
        <f t="shared" si="7"/>
        <v>1.8244450114825297E-2</v>
      </c>
      <c r="D137" s="36">
        <f t="shared" si="5"/>
        <v>8.4492879660832743E-2</v>
      </c>
      <c r="E137" s="36">
        <f t="shared" si="6"/>
        <v>7.4999362402749625E-2</v>
      </c>
    </row>
    <row r="138" spans="1:5" x14ac:dyDescent="0.35">
      <c r="A138" s="35">
        <v>29221</v>
      </c>
      <c r="B138" s="63">
        <f>VLOOKUP(A138,Database!A:L,MATCH($A$1,Database!$A$1:$L$1,),)</f>
        <v>40.777000000000001</v>
      </c>
      <c r="C138" s="37">
        <f t="shared" si="7"/>
        <v>2.185189825836361E-2</v>
      </c>
      <c r="D138" s="36">
        <f t="shared" ref="D138:D201" si="8">(B138-B134)/B134</f>
        <v>8.7879838860283443E-2</v>
      </c>
      <c r="E138" s="36">
        <f t="shared" si="6"/>
        <v>9.0314591392579358E-2</v>
      </c>
    </row>
    <row r="139" spans="1:5" x14ac:dyDescent="0.35">
      <c r="A139" s="35">
        <v>29312</v>
      </c>
      <c r="B139" s="63">
        <f>VLOOKUP(A139,Database!A:L,MATCH($A$1,Database!$A$1:$L$1,),)</f>
        <v>41.744999999999997</v>
      </c>
      <c r="C139" s="37">
        <f t="shared" si="7"/>
        <v>2.3738872403560742E-2</v>
      </c>
      <c r="D139" s="36">
        <f t="shared" si="8"/>
        <v>8.7449202875898704E-2</v>
      </c>
      <c r="E139" s="36">
        <f t="shared" si="6"/>
        <v>9.8390522215704213E-2</v>
      </c>
    </row>
    <row r="140" spans="1:5" x14ac:dyDescent="0.35">
      <c r="A140" s="35">
        <v>29403</v>
      </c>
      <c r="B140" s="63">
        <f>VLOOKUP(A140,Database!A:L,MATCH($A$1,Database!$A$1:$L$1,),)</f>
        <v>42.676000000000002</v>
      </c>
      <c r="C140" s="37">
        <f t="shared" si="7"/>
        <v>2.2302072104443755E-2</v>
      </c>
      <c r="D140" s="36">
        <f t="shared" si="8"/>
        <v>8.8951263077315754E-2</v>
      </c>
      <c r="E140" s="36">
        <f t="shared" si="6"/>
        <v>9.2237200962348664E-2</v>
      </c>
    </row>
    <row r="141" spans="1:5" x14ac:dyDescent="0.35">
      <c r="A141" s="35">
        <v>29495</v>
      </c>
      <c r="B141" s="63">
        <f>VLOOKUP(A141,Database!A:L,MATCH($A$1,Database!$A$1:$L$1,),)</f>
        <v>43.807000000000002</v>
      </c>
      <c r="C141" s="37">
        <f t="shared" si="7"/>
        <v>2.6502015184178464E-2</v>
      </c>
      <c r="D141" s="36">
        <f t="shared" si="8"/>
        <v>9.7782232802906932E-2</v>
      </c>
      <c r="E141" s="36">
        <f t="shared" si="6"/>
        <v>0.11029715037798349</v>
      </c>
    </row>
    <row r="142" spans="1:5" x14ac:dyDescent="0.35">
      <c r="A142" s="35">
        <v>29587</v>
      </c>
      <c r="B142" s="63">
        <f>VLOOKUP(A142,Database!A:L,MATCH($A$1,Database!$A$1:$L$1,),)</f>
        <v>44.968000000000004</v>
      </c>
      <c r="C142" s="37">
        <f t="shared" si="7"/>
        <v>2.6502613737530562E-2</v>
      </c>
      <c r="D142" s="36">
        <f t="shared" si="8"/>
        <v>0.10277852711087139</v>
      </c>
      <c r="E142" s="36">
        <f t="shared" si="6"/>
        <v>0.11029974003743948</v>
      </c>
    </row>
    <row r="143" spans="1:5" x14ac:dyDescent="0.35">
      <c r="A143" s="35">
        <v>29677</v>
      </c>
      <c r="B143" s="63">
        <f>VLOOKUP(A143,Database!A:L,MATCH($A$1,Database!$A$1:$L$1,),)</f>
        <v>45.813000000000002</v>
      </c>
      <c r="C143" s="37">
        <f t="shared" si="7"/>
        <v>1.8791140366482804E-2</v>
      </c>
      <c r="D143" s="36">
        <f t="shared" si="8"/>
        <v>9.7448796263025633E-2</v>
      </c>
      <c r="E143" s="36">
        <f t="shared" si="6"/>
        <v>7.7309869017609945E-2</v>
      </c>
    </row>
    <row r="144" spans="1:5" x14ac:dyDescent="0.35">
      <c r="A144" s="35">
        <v>29768</v>
      </c>
      <c r="B144" s="63">
        <f>VLOOKUP(A144,Database!A:L,MATCH($A$1,Database!$A$1:$L$1,),)</f>
        <v>46.703000000000003</v>
      </c>
      <c r="C144" s="37">
        <f t="shared" si="7"/>
        <v>1.9426800253203251E-2</v>
      </c>
      <c r="D144" s="36">
        <f t="shared" si="8"/>
        <v>9.4362170775142959E-2</v>
      </c>
      <c r="E144" s="36">
        <f t="shared" si="6"/>
        <v>8.0001073594274885E-2</v>
      </c>
    </row>
    <row r="145" spans="1:5" x14ac:dyDescent="0.35">
      <c r="A145" s="35">
        <v>29860</v>
      </c>
      <c r="B145" s="63">
        <f>VLOOKUP(A145,Database!A:L,MATCH($A$1,Database!$A$1:$L$1,),)</f>
        <v>47.475000000000001</v>
      </c>
      <c r="C145" s="37">
        <f t="shared" si="7"/>
        <v>1.6529987366978534E-2</v>
      </c>
      <c r="D145" s="36">
        <f t="shared" si="8"/>
        <v>8.3730910585066293E-2</v>
      </c>
      <c r="E145" s="36">
        <f t="shared" si="6"/>
        <v>6.7777533669276302E-2</v>
      </c>
    </row>
    <row r="146" spans="1:5" x14ac:dyDescent="0.35">
      <c r="A146" s="35">
        <v>29952</v>
      </c>
      <c r="B146" s="63">
        <f>VLOOKUP(A146,Database!A:L,MATCH($A$1,Database!$A$1:$L$1,),)</f>
        <v>48.155000000000001</v>
      </c>
      <c r="C146" s="37">
        <f t="shared" si="7"/>
        <v>1.432332806740389E-2</v>
      </c>
      <c r="D146" s="36">
        <f t="shared" si="8"/>
        <v>7.0872620530154723E-2</v>
      </c>
      <c r="E146" s="36">
        <f t="shared" si="6"/>
        <v>5.8536054886580979E-2</v>
      </c>
    </row>
    <row r="147" spans="1:5" x14ac:dyDescent="0.35">
      <c r="A147" s="35">
        <v>30042</v>
      </c>
      <c r="B147" s="63">
        <f>VLOOKUP(A147,Database!A:L,MATCH($A$1,Database!$A$1:$L$1,),)</f>
        <v>48.795000000000002</v>
      </c>
      <c r="C147" s="37">
        <f t="shared" si="7"/>
        <v>1.329041636382516E-2</v>
      </c>
      <c r="D147" s="36">
        <f t="shared" si="8"/>
        <v>6.5090694780957359E-2</v>
      </c>
      <c r="E147" s="36">
        <f t="shared" si="6"/>
        <v>5.42308978776882E-2</v>
      </c>
    </row>
    <row r="148" spans="1:5" x14ac:dyDescent="0.35">
      <c r="A148" s="35">
        <v>30133</v>
      </c>
      <c r="B148" s="63">
        <f>VLOOKUP(A148,Database!A:L,MATCH($A$1,Database!$A$1:$L$1,),)</f>
        <v>49.472000000000001</v>
      </c>
      <c r="C148" s="37">
        <f t="shared" si="7"/>
        <v>1.3874372374218661E-2</v>
      </c>
      <c r="D148" s="36">
        <f t="shared" si="8"/>
        <v>5.9289553133631635E-2</v>
      </c>
      <c r="E148" s="36">
        <f t="shared" si="6"/>
        <v>5.6663198972425999E-2</v>
      </c>
    </row>
    <row r="149" spans="1:5" x14ac:dyDescent="0.35">
      <c r="A149" s="35">
        <v>30225</v>
      </c>
      <c r="B149" s="63">
        <f>VLOOKUP(A149,Database!A:L,MATCH($A$1,Database!$A$1:$L$1,),)</f>
        <v>49.972999999999999</v>
      </c>
      <c r="C149" s="37">
        <f t="shared" si="7"/>
        <v>1.0126940491591156E-2</v>
      </c>
      <c r="D149" s="36">
        <f t="shared" si="8"/>
        <v>5.2617166929963086E-2</v>
      </c>
      <c r="E149" s="36">
        <f t="shared" si="6"/>
        <v>4.1127256296636716E-2</v>
      </c>
    </row>
    <row r="150" spans="1:5" x14ac:dyDescent="0.35">
      <c r="A150" s="35">
        <v>30317</v>
      </c>
      <c r="B150" s="63">
        <f>VLOOKUP(A150,Database!A:L,MATCH($A$1,Database!$A$1:$L$1,),)</f>
        <v>50.372</v>
      </c>
      <c r="C150" s="37">
        <f t="shared" si="7"/>
        <v>7.9843115282252596E-3</v>
      </c>
      <c r="D150" s="36">
        <f t="shared" si="8"/>
        <v>4.6038832935313023E-2</v>
      </c>
      <c r="E150" s="36">
        <f t="shared" si="6"/>
        <v>3.2321781535210148E-2</v>
      </c>
    </row>
    <row r="151" spans="1:5" x14ac:dyDescent="0.35">
      <c r="A151" s="35">
        <v>30407</v>
      </c>
      <c r="B151" s="63">
        <f>VLOOKUP(A151,Database!A:L,MATCH($A$1,Database!$A$1:$L$1,),)</f>
        <v>50.746000000000002</v>
      </c>
      <c r="C151" s="37">
        <f t="shared" si="7"/>
        <v>7.4247597871834022E-3</v>
      </c>
      <c r="D151" s="36">
        <f t="shared" si="8"/>
        <v>3.9983604877548935E-2</v>
      </c>
      <c r="E151" s="36">
        <f t="shared" si="6"/>
        <v>3.0031441755761445E-2</v>
      </c>
    </row>
    <row r="152" spans="1:5" x14ac:dyDescent="0.35">
      <c r="A152" s="35">
        <v>30498</v>
      </c>
      <c r="B152" s="63">
        <f>VLOOKUP(A152,Database!A:L,MATCH($A$1,Database!$A$1:$L$1,),)</f>
        <v>51.284999999999997</v>
      </c>
      <c r="C152" s="37">
        <f t="shared" si="7"/>
        <v>1.0621526819847758E-2</v>
      </c>
      <c r="D152" s="36">
        <f t="shared" si="8"/>
        <v>3.6646992238033541E-2</v>
      </c>
      <c r="E152" s="36">
        <f t="shared" si="6"/>
        <v>4.3167814146963801E-2</v>
      </c>
    </row>
    <row r="153" spans="1:5" x14ac:dyDescent="0.35">
      <c r="A153" s="35">
        <v>30590</v>
      </c>
      <c r="B153" s="63">
        <f>VLOOKUP(A153,Database!A:L,MATCH($A$1,Database!$A$1:$L$1,),)</f>
        <v>51.668999999999997</v>
      </c>
      <c r="C153" s="37">
        <f t="shared" si="7"/>
        <v>7.4875694647557837E-3</v>
      </c>
      <c r="D153" s="36">
        <f t="shared" si="8"/>
        <v>3.3938326696416027E-2</v>
      </c>
      <c r="E153" s="36">
        <f t="shared" si="6"/>
        <v>3.028834230438604E-2</v>
      </c>
    </row>
    <row r="154" spans="1:5" x14ac:dyDescent="0.35">
      <c r="A154" s="35">
        <v>30682</v>
      </c>
      <c r="B154" s="63">
        <f>VLOOKUP(A154,Database!A:L,MATCH($A$1,Database!$A$1:$L$1,),)</f>
        <v>52.177999999999997</v>
      </c>
      <c r="C154" s="37">
        <f t="shared" si="7"/>
        <v>9.8511680117672178E-3</v>
      </c>
      <c r="D154" s="36">
        <f t="shared" si="8"/>
        <v>3.5853251806559149E-2</v>
      </c>
      <c r="E154" s="36">
        <f t="shared" si="6"/>
        <v>3.9990778578619102E-2</v>
      </c>
    </row>
    <row r="155" spans="1:5" x14ac:dyDescent="0.35">
      <c r="A155" s="35">
        <v>30773</v>
      </c>
      <c r="B155" s="63">
        <f>VLOOKUP(A155,Database!A:L,MATCH($A$1,Database!$A$1:$L$1,),)</f>
        <v>52.646999999999998</v>
      </c>
      <c r="C155" s="37">
        <f t="shared" si="7"/>
        <v>8.9884625704320063E-3</v>
      </c>
      <c r="D155" s="36">
        <f t="shared" si="8"/>
        <v>3.7461080676309384E-2</v>
      </c>
      <c r="E155" s="36">
        <f t="shared" si="6"/>
        <v>3.6441516365417925E-2</v>
      </c>
    </row>
    <row r="156" spans="1:5" x14ac:dyDescent="0.35">
      <c r="A156" s="35">
        <v>30864</v>
      </c>
      <c r="B156" s="63">
        <f>VLOOKUP(A156,Database!A:L,MATCH($A$1,Database!$A$1:$L$1,),)</f>
        <v>53.122</v>
      </c>
      <c r="C156" s="37">
        <f t="shared" si="7"/>
        <v>9.0223564495603061E-3</v>
      </c>
      <c r="D156" s="36">
        <f t="shared" si="8"/>
        <v>3.5819440382178089E-2</v>
      </c>
      <c r="E156" s="36">
        <f t="shared" si="6"/>
        <v>3.6580787704586948E-2</v>
      </c>
    </row>
    <row r="157" spans="1:5" x14ac:dyDescent="0.35">
      <c r="A157" s="35">
        <v>30956</v>
      </c>
      <c r="B157" s="63">
        <f>VLOOKUP(A157,Database!A:L,MATCH($A$1,Database!$A$1:$L$1,),)</f>
        <v>53.494</v>
      </c>
      <c r="C157" s="37">
        <f t="shared" si="7"/>
        <v>7.0027483904973433E-3</v>
      </c>
      <c r="D157" s="36">
        <f t="shared" si="8"/>
        <v>3.5320985503880527E-2</v>
      </c>
      <c r="E157" s="36">
        <f t="shared" si="6"/>
        <v>2.8306600493574363E-2</v>
      </c>
    </row>
    <row r="158" spans="1:5" x14ac:dyDescent="0.35">
      <c r="A158" s="35">
        <v>31048</v>
      </c>
      <c r="B158" s="63">
        <f>VLOOKUP(A158,Database!A:L,MATCH($A$1,Database!$A$1:$L$1,),)</f>
        <v>54.040999999999997</v>
      </c>
      <c r="C158" s="37">
        <f t="shared" si="7"/>
        <v>1.0225445844393709E-2</v>
      </c>
      <c r="D158" s="36">
        <f t="shared" si="8"/>
        <v>3.5704703131588016E-2</v>
      </c>
      <c r="E158" s="36">
        <f t="shared" si="6"/>
        <v>4.1533429446561465E-2</v>
      </c>
    </row>
    <row r="159" spans="1:5" x14ac:dyDescent="0.35">
      <c r="A159" s="35">
        <v>31138</v>
      </c>
      <c r="B159" s="63">
        <f>VLOOKUP(A159,Database!A:L,MATCH($A$1,Database!$A$1:$L$1,),)</f>
        <v>54.360999999999997</v>
      </c>
      <c r="C159" s="37">
        <f t="shared" si="7"/>
        <v>5.9214300253511275E-3</v>
      </c>
      <c r="D159" s="36">
        <f t="shared" si="8"/>
        <v>3.2556460956939592E-2</v>
      </c>
      <c r="E159" s="36">
        <f t="shared" si="6"/>
        <v>2.3896931832416923E-2</v>
      </c>
    </row>
    <row r="160" spans="1:5" x14ac:dyDescent="0.35">
      <c r="A160" s="35">
        <v>31229</v>
      </c>
      <c r="B160" s="63">
        <f>VLOOKUP(A160,Database!A:L,MATCH($A$1,Database!$A$1:$L$1,),)</f>
        <v>54.722000000000001</v>
      </c>
      <c r="C160" s="37">
        <f t="shared" si="7"/>
        <v>6.6407902724380389E-3</v>
      </c>
      <c r="D160" s="36">
        <f t="shared" si="8"/>
        <v>3.0119347916117641E-2</v>
      </c>
      <c r="E160" s="36">
        <f t="shared" si="6"/>
        <v>2.682893504516537E-2</v>
      </c>
    </row>
    <row r="161" spans="1:5" x14ac:dyDescent="0.35">
      <c r="A161" s="35">
        <v>31321</v>
      </c>
      <c r="B161" s="63">
        <f>VLOOKUP(A161,Database!A:L,MATCH($A$1,Database!$A$1:$L$1,),)</f>
        <v>55.006</v>
      </c>
      <c r="C161" s="37">
        <f t="shared" si="7"/>
        <v>5.1898687913453255E-3</v>
      </c>
      <c r="D161" s="36">
        <f t="shared" si="8"/>
        <v>2.8264852132949499E-2</v>
      </c>
      <c r="E161" s="36">
        <f t="shared" si="6"/>
        <v>2.0921643470316331E-2</v>
      </c>
    </row>
    <row r="162" spans="1:5" x14ac:dyDescent="0.35">
      <c r="A162" s="35">
        <v>31413</v>
      </c>
      <c r="B162" s="63">
        <f>VLOOKUP(A162,Database!A:L,MATCH($A$1,Database!$A$1:$L$1,),)</f>
        <v>55.277999999999999</v>
      </c>
      <c r="C162" s="37">
        <f t="shared" si="7"/>
        <v>4.9449151001708623E-3</v>
      </c>
      <c r="D162" s="36">
        <f t="shared" si="8"/>
        <v>2.2890027941747968E-2</v>
      </c>
      <c r="E162" s="36">
        <f t="shared" si="6"/>
        <v>1.992685776660208E-2</v>
      </c>
    </row>
    <row r="163" spans="1:5" x14ac:dyDescent="0.35">
      <c r="A163" s="35">
        <v>31503</v>
      </c>
      <c r="B163" s="63">
        <f>VLOOKUP(A163,Database!A:L,MATCH($A$1,Database!$A$1:$L$1,),)</f>
        <v>55.472000000000001</v>
      </c>
      <c r="C163" s="37">
        <f t="shared" si="7"/>
        <v>3.5095336300156052E-3</v>
      </c>
      <c r="D163" s="36">
        <f t="shared" si="8"/>
        <v>2.0437445963098624E-2</v>
      </c>
      <c r="E163" s="36">
        <f t="shared" si="6"/>
        <v>1.411220853483286E-2</v>
      </c>
    </row>
    <row r="164" spans="1:5" x14ac:dyDescent="0.35">
      <c r="A164" s="35">
        <v>31594</v>
      </c>
      <c r="B164" s="63">
        <f>VLOOKUP(A164,Database!A:L,MATCH($A$1,Database!$A$1:$L$1,),)</f>
        <v>55.734999999999999</v>
      </c>
      <c r="C164" s="37">
        <f t="shared" si="7"/>
        <v>4.741130660513378E-3</v>
      </c>
      <c r="D164" s="36">
        <f t="shared" si="8"/>
        <v>1.8511750301524032E-2</v>
      </c>
      <c r="E164" s="36">
        <f t="shared" si="6"/>
        <v>1.9099819357576209E-2</v>
      </c>
    </row>
    <row r="165" spans="1:5" x14ac:dyDescent="0.35">
      <c r="A165" s="35">
        <v>31686</v>
      </c>
      <c r="B165" s="63">
        <f>VLOOKUP(A165,Database!A:L,MATCH($A$1,Database!$A$1:$L$1,),)</f>
        <v>56.066000000000003</v>
      </c>
      <c r="C165" s="37">
        <f t="shared" si="7"/>
        <v>5.9388176190903934E-3</v>
      </c>
      <c r="D165" s="36">
        <f t="shared" si="8"/>
        <v>1.9270625022724835E-2</v>
      </c>
      <c r="E165" s="36">
        <f t="shared" si="6"/>
        <v>2.3967726886391816E-2</v>
      </c>
    </row>
    <row r="166" spans="1:5" x14ac:dyDescent="0.35">
      <c r="A166" s="35">
        <v>31778</v>
      </c>
      <c r="B166" s="63">
        <f>VLOOKUP(A166,Database!A:L,MATCH($A$1,Database!$A$1:$L$1,),)</f>
        <v>56.390999999999998</v>
      </c>
      <c r="C166" s="37">
        <f t="shared" si="7"/>
        <v>5.7967395569506605E-3</v>
      </c>
      <c r="D166" s="36">
        <f t="shared" si="8"/>
        <v>2.0134592423749043E-2</v>
      </c>
      <c r="E166" s="36">
        <f t="shared" si="6"/>
        <v>2.3389351626420751E-2</v>
      </c>
    </row>
    <row r="167" spans="1:5" x14ac:dyDescent="0.35">
      <c r="A167" s="35">
        <v>31868</v>
      </c>
      <c r="B167" s="63">
        <f>VLOOKUP(A167,Database!A:L,MATCH($A$1,Database!$A$1:$L$1,),)</f>
        <v>56.774000000000001</v>
      </c>
      <c r="C167" s="37">
        <f t="shared" si="7"/>
        <v>6.7918639499211344E-3</v>
      </c>
      <c r="D167" s="36">
        <f t="shared" si="8"/>
        <v>2.3471300836458025E-2</v>
      </c>
      <c r="E167" s="36">
        <f t="shared" si="6"/>
        <v>2.7445487641960975E-2</v>
      </c>
    </row>
    <row r="168" spans="1:5" x14ac:dyDescent="0.35">
      <c r="A168" s="35">
        <v>31959</v>
      </c>
      <c r="B168" s="63">
        <f>VLOOKUP(A168,Database!A:L,MATCH($A$1,Database!$A$1:$L$1,),)</f>
        <v>57.212000000000003</v>
      </c>
      <c r="C168" s="37">
        <f t="shared" si="7"/>
        <v>7.7147990277239998E-3</v>
      </c>
      <c r="D168" s="36">
        <f t="shared" si="8"/>
        <v>2.650040369606179E-2</v>
      </c>
      <c r="E168" s="36">
        <f t="shared" si="6"/>
        <v>3.1218145078993897E-2</v>
      </c>
    </row>
    <row r="169" spans="1:5" x14ac:dyDescent="0.35">
      <c r="A169" s="35">
        <v>32051</v>
      </c>
      <c r="B169" s="63">
        <f>VLOOKUP(A169,Database!A:L,MATCH($A$1,Database!$A$1:$L$1,),)</f>
        <v>57.640999999999998</v>
      </c>
      <c r="C169" s="37">
        <f t="shared" si="7"/>
        <v>7.4984269034467409E-3</v>
      </c>
      <c r="D169" s="36">
        <f t="shared" si="8"/>
        <v>2.8091891699068876E-2</v>
      </c>
      <c r="E169" s="36">
        <f t="shared" si="6"/>
        <v>3.0332755649736809E-2</v>
      </c>
    </row>
    <row r="170" spans="1:5" x14ac:dyDescent="0.35">
      <c r="A170" s="35">
        <v>32143</v>
      </c>
      <c r="B170" s="63">
        <f>VLOOKUP(A170,Database!A:L,MATCH($A$1,Database!$A$1:$L$1,),)</f>
        <v>58.087000000000003</v>
      </c>
      <c r="C170" s="37">
        <f t="shared" si="7"/>
        <v>7.7375479259555709E-3</v>
      </c>
      <c r="D170" s="36">
        <f t="shared" si="8"/>
        <v>3.0075721303044901E-2</v>
      </c>
      <c r="E170" s="36">
        <f t="shared" si="6"/>
        <v>3.1311266152715733E-2</v>
      </c>
    </row>
    <row r="171" spans="1:5" x14ac:dyDescent="0.35">
      <c r="A171" s="35">
        <v>32234</v>
      </c>
      <c r="B171" s="63">
        <f>VLOOKUP(A171,Database!A:L,MATCH($A$1,Database!$A$1:$L$1,),)</f>
        <v>58.667000000000002</v>
      </c>
      <c r="C171" s="37">
        <f t="shared" si="7"/>
        <v>9.9850224663005187E-3</v>
      </c>
      <c r="D171" s="36">
        <f t="shared" si="8"/>
        <v>3.3342727304752184E-2</v>
      </c>
      <c r="E171" s="36">
        <f t="shared" si="6"/>
        <v>4.0542285901206787E-2</v>
      </c>
    </row>
    <row r="172" spans="1:5" x14ac:dyDescent="0.35">
      <c r="A172" s="35">
        <v>32325</v>
      </c>
      <c r="B172" s="63">
        <f>VLOOKUP(A172,Database!A:L,MATCH($A$1,Database!$A$1:$L$1,),)</f>
        <v>59.384999999999998</v>
      </c>
      <c r="C172" s="37">
        <f t="shared" si="7"/>
        <v>1.2238566826324789E-2</v>
      </c>
      <c r="D172" s="36">
        <f t="shared" si="8"/>
        <v>3.7981542333776035E-2</v>
      </c>
      <c r="E172" s="36">
        <f t="shared" si="6"/>
        <v>4.9860317341298144E-2</v>
      </c>
    </row>
    <row r="173" spans="1:5" x14ac:dyDescent="0.35">
      <c r="A173" s="35">
        <v>32417</v>
      </c>
      <c r="B173" s="63">
        <f>VLOOKUP(A173,Database!A:L,MATCH($A$1,Database!$A$1:$L$1,),)</f>
        <v>59.932000000000002</v>
      </c>
      <c r="C173" s="37">
        <f t="shared" si="7"/>
        <v>9.2110802391176926E-3</v>
      </c>
      <c r="D173" s="36">
        <f t="shared" si="8"/>
        <v>3.9746014121892471E-2</v>
      </c>
      <c r="E173" s="36">
        <f t="shared" si="6"/>
        <v>3.7356518169540109E-2</v>
      </c>
    </row>
    <row r="174" spans="1:5" x14ac:dyDescent="0.35">
      <c r="A174" s="35">
        <v>32509</v>
      </c>
      <c r="B174" s="63">
        <f>VLOOKUP(A174,Database!A:L,MATCH($A$1,Database!$A$1:$L$1,),)</f>
        <v>60.508000000000003</v>
      </c>
      <c r="C174" s="37">
        <f t="shared" si="7"/>
        <v>9.6108923446572864E-3</v>
      </c>
      <c r="D174" s="36">
        <f t="shared" si="8"/>
        <v>4.1678861018816592E-2</v>
      </c>
      <c r="E174" s="36">
        <f t="shared" si="6"/>
        <v>3.9001344424406392E-2</v>
      </c>
    </row>
    <row r="175" spans="1:5" x14ac:dyDescent="0.35">
      <c r="A175" s="35">
        <v>32599</v>
      </c>
      <c r="B175" s="63">
        <f>VLOOKUP(A175,Database!A:L,MATCH($A$1,Database!$A$1:$L$1,),)</f>
        <v>61.162999999999997</v>
      </c>
      <c r="C175" s="37">
        <f t="shared" si="7"/>
        <v>1.082501487406614E-2</v>
      </c>
      <c r="D175" s="36">
        <f t="shared" si="8"/>
        <v>4.2545212811290763E-2</v>
      </c>
      <c r="E175" s="36">
        <f t="shared" si="6"/>
        <v>4.4008232851759033E-2</v>
      </c>
    </row>
    <row r="176" spans="1:5" x14ac:dyDescent="0.35">
      <c r="A176" s="35">
        <v>32690</v>
      </c>
      <c r="B176" s="63">
        <f>VLOOKUP(A176,Database!A:L,MATCH($A$1,Database!$A$1:$L$1,),)</f>
        <v>61.616999999999997</v>
      </c>
      <c r="C176" s="37">
        <f t="shared" si="7"/>
        <v>7.422788287036291E-3</v>
      </c>
      <c r="D176" s="36">
        <f t="shared" si="8"/>
        <v>3.7585248800202059E-2</v>
      </c>
      <c r="E176" s="36">
        <f t="shared" si="6"/>
        <v>3.0023378816437241E-2</v>
      </c>
    </row>
    <row r="177" spans="1:5" x14ac:dyDescent="0.35">
      <c r="A177" s="35">
        <v>32782</v>
      </c>
      <c r="B177" s="63">
        <f>VLOOKUP(A177,Database!A:L,MATCH($A$1,Database!$A$1:$L$1,),)</f>
        <v>62.036999999999999</v>
      </c>
      <c r="C177" s="37">
        <f t="shared" si="7"/>
        <v>6.8163006962364565E-3</v>
      </c>
      <c r="D177" s="36">
        <f t="shared" si="8"/>
        <v>3.5123139558165865E-2</v>
      </c>
      <c r="E177" s="36">
        <f t="shared" si="6"/>
        <v>2.7545243469378144E-2</v>
      </c>
    </row>
    <row r="178" spans="1:5" x14ac:dyDescent="0.35">
      <c r="A178" s="35">
        <v>32874</v>
      </c>
      <c r="B178" s="63">
        <f>VLOOKUP(A178,Database!A:L,MATCH($A$1,Database!$A$1:$L$1,),)</f>
        <v>62.713000000000001</v>
      </c>
      <c r="C178" s="37">
        <f t="shared" si="7"/>
        <v>1.0896722923416702E-2</v>
      </c>
      <c r="D178" s="36">
        <f t="shared" si="8"/>
        <v>3.6441462285978686E-2</v>
      </c>
      <c r="E178" s="36">
        <f t="shared" si="6"/>
        <v>4.4304512660544138E-2</v>
      </c>
    </row>
    <row r="179" spans="1:5" x14ac:dyDescent="0.35">
      <c r="A179" s="35">
        <v>32964</v>
      </c>
      <c r="B179" s="63">
        <f>VLOOKUP(A179,Database!A:L,MATCH($A$1,Database!$A$1:$L$1,),)</f>
        <v>63.414999999999999</v>
      </c>
      <c r="C179" s="37">
        <f t="shared" si="7"/>
        <v>1.1193851354583549E-2</v>
      </c>
      <c r="D179" s="36">
        <f t="shared" si="8"/>
        <v>3.6819645864329786E-2</v>
      </c>
      <c r="E179" s="36">
        <f t="shared" si="6"/>
        <v>4.5532845429540503E-2</v>
      </c>
    </row>
    <row r="180" spans="1:5" x14ac:dyDescent="0.35">
      <c r="A180" s="35">
        <v>33055</v>
      </c>
      <c r="B180" s="63">
        <f>VLOOKUP(A180,Database!A:L,MATCH($A$1,Database!$A$1:$L$1,),)</f>
        <v>63.963000000000001</v>
      </c>
      <c r="C180" s="37">
        <f t="shared" si="7"/>
        <v>8.6414886067965272E-3</v>
      </c>
      <c r="D180" s="36">
        <f t="shared" si="8"/>
        <v>3.8073908174692112E-2</v>
      </c>
      <c r="E180" s="36">
        <f t="shared" si="6"/>
        <v>3.5016593179530986E-2</v>
      </c>
    </row>
    <row r="181" spans="1:5" x14ac:dyDescent="0.35">
      <c r="A181" s="35">
        <v>33147</v>
      </c>
      <c r="B181" s="63">
        <f>VLOOKUP(A181,Database!A:L,MATCH($A$1,Database!$A$1:$L$1,),)</f>
        <v>64.451999999999998</v>
      </c>
      <c r="C181" s="37">
        <f t="shared" si="7"/>
        <v>7.6450447915200536E-3</v>
      </c>
      <c r="D181" s="36">
        <f t="shared" si="8"/>
        <v>3.8928381449779954E-2</v>
      </c>
      <c r="E181" s="36">
        <f t="shared" si="6"/>
        <v>3.0932650152142971E-2</v>
      </c>
    </row>
    <row r="182" spans="1:5" x14ac:dyDescent="0.35">
      <c r="A182" s="35">
        <v>33239</v>
      </c>
      <c r="B182" s="63">
        <f>VLOOKUP(A182,Database!A:L,MATCH($A$1,Database!$A$1:$L$1,),)</f>
        <v>65.078000000000003</v>
      </c>
      <c r="C182" s="37">
        <f t="shared" si="7"/>
        <v>9.712654378452255E-3</v>
      </c>
      <c r="D182" s="36">
        <f t="shared" si="8"/>
        <v>3.7711479278618502E-2</v>
      </c>
      <c r="E182" s="36">
        <f t="shared" si="6"/>
        <v>3.9420305341929751E-2</v>
      </c>
    </row>
    <row r="183" spans="1:5" x14ac:dyDescent="0.35">
      <c r="A183" s="35">
        <v>33329</v>
      </c>
      <c r="B183" s="63">
        <f>VLOOKUP(A183,Database!A:L,MATCH($A$1,Database!$A$1:$L$1,),)</f>
        <v>65.546999999999997</v>
      </c>
      <c r="C183" s="37">
        <f t="shared" si="7"/>
        <v>7.2067365315466678E-3</v>
      </c>
      <c r="D183" s="36">
        <f t="shared" si="8"/>
        <v>3.3619806039580508E-2</v>
      </c>
      <c r="E183" s="36">
        <f t="shared" si="6"/>
        <v>2.914006831883853E-2</v>
      </c>
    </row>
    <row r="184" spans="1:5" x14ac:dyDescent="0.35">
      <c r="A184" s="35">
        <v>33420</v>
      </c>
      <c r="B184" s="63">
        <f>VLOOKUP(A184,Database!A:L,MATCH($A$1,Database!$A$1:$L$1,),)</f>
        <v>66.05</v>
      </c>
      <c r="C184" s="37">
        <f t="shared" si="7"/>
        <v>7.6738828626786906E-3</v>
      </c>
      <c r="D184" s="36">
        <f t="shared" si="8"/>
        <v>3.2628238200209436E-2</v>
      </c>
      <c r="E184" s="36">
        <f t="shared" si="6"/>
        <v>3.1050673400842888E-2</v>
      </c>
    </row>
    <row r="185" spans="1:5" x14ac:dyDescent="0.35">
      <c r="A185" s="35">
        <v>33512</v>
      </c>
      <c r="B185" s="63">
        <f>VLOOKUP(A185,Database!A:L,MATCH($A$1,Database!$A$1:$L$1,),)</f>
        <v>66.433999999999997</v>
      </c>
      <c r="C185" s="37">
        <f t="shared" si="7"/>
        <v>5.8137774413323292E-3</v>
      </c>
      <c r="D185" s="36">
        <f t="shared" si="8"/>
        <v>3.0751567057655301E-2</v>
      </c>
      <c r="E185" s="36">
        <f t="shared" si="6"/>
        <v>2.3458696979492766E-2</v>
      </c>
    </row>
    <row r="186" spans="1:5" x14ac:dyDescent="0.35">
      <c r="A186" s="35">
        <v>33604</v>
      </c>
      <c r="B186" s="63">
        <f>VLOOKUP(A186,Database!A:L,MATCH($A$1,Database!$A$1:$L$1,),)</f>
        <v>66.7</v>
      </c>
      <c r="C186" s="37">
        <f t="shared" si="7"/>
        <v>4.0039738688022004E-3</v>
      </c>
      <c r="D186" s="36">
        <f t="shared" si="8"/>
        <v>2.4923937428931432E-2</v>
      </c>
      <c r="E186" s="36">
        <f t="shared" si="6"/>
        <v>1.611234333642142E-2</v>
      </c>
    </row>
    <row r="187" spans="1:5" x14ac:dyDescent="0.35">
      <c r="A187" s="35">
        <v>33695</v>
      </c>
      <c r="B187" s="63">
        <f>VLOOKUP(A187,Database!A:L,MATCH($A$1,Database!$A$1:$L$1,),)</f>
        <v>67.097999999999999</v>
      </c>
      <c r="C187" s="37">
        <f t="shared" si="7"/>
        <v>5.9670164917540649E-3</v>
      </c>
      <c r="D187" s="36">
        <f t="shared" si="8"/>
        <v>2.3662410178955588E-2</v>
      </c>
      <c r="E187" s="36">
        <f t="shared" si="6"/>
        <v>2.4082548778940005E-2</v>
      </c>
    </row>
    <row r="188" spans="1:5" x14ac:dyDescent="0.35">
      <c r="A188" s="35">
        <v>33786</v>
      </c>
      <c r="B188" s="63">
        <f>VLOOKUP(A188,Database!A:L,MATCH($A$1,Database!$A$1:$L$1,),)</f>
        <v>67.418999999999997</v>
      </c>
      <c r="C188" s="37">
        <f t="shared" si="7"/>
        <v>4.7840472145220117E-3</v>
      </c>
      <c r="D188" s="36">
        <f t="shared" si="8"/>
        <v>2.0726722180166537E-2</v>
      </c>
      <c r="E188" s="36">
        <f t="shared" si="6"/>
        <v>1.9273950000428641E-2</v>
      </c>
    </row>
    <row r="189" spans="1:5" x14ac:dyDescent="0.35">
      <c r="A189" s="35">
        <v>33878</v>
      </c>
      <c r="B189" s="63">
        <f>VLOOKUP(A189,Database!A:L,MATCH($A$1,Database!$A$1:$L$1,),)</f>
        <v>67.894000000000005</v>
      </c>
      <c r="C189" s="37">
        <f t="shared" si="7"/>
        <v>7.0454916269895515E-3</v>
      </c>
      <c r="D189" s="36">
        <f t="shared" si="8"/>
        <v>2.1976698678387693E-2</v>
      </c>
      <c r="E189" s="36">
        <f t="shared" si="6"/>
        <v>2.8481201608869799E-2</v>
      </c>
    </row>
    <row r="190" spans="1:5" x14ac:dyDescent="0.35">
      <c r="A190" s="35">
        <v>33970</v>
      </c>
      <c r="B190" s="63">
        <f>VLOOKUP(A190,Database!A:L,MATCH($A$1,Database!$A$1:$L$1,),)</f>
        <v>68.298000000000002</v>
      </c>
      <c r="C190" s="37">
        <f t="shared" si="7"/>
        <v>5.9504521754499117E-3</v>
      </c>
      <c r="D190" s="36">
        <f t="shared" si="8"/>
        <v>2.3958020989505231E-2</v>
      </c>
      <c r="E190" s="36">
        <f t="shared" si="6"/>
        <v>2.4015100013683677E-2</v>
      </c>
    </row>
    <row r="191" spans="1:5" x14ac:dyDescent="0.35">
      <c r="A191" s="35">
        <v>34060</v>
      </c>
      <c r="B191" s="63">
        <f>VLOOKUP(A191,Database!A:L,MATCH($A$1,Database!$A$1:$L$1,),)</f>
        <v>68.700999999999993</v>
      </c>
      <c r="C191" s="37">
        <f t="shared" si="7"/>
        <v>5.9006120237780251E-3</v>
      </c>
      <c r="D191" s="36">
        <f t="shared" si="8"/>
        <v>2.3890428924856096E-2</v>
      </c>
      <c r="E191" s="36">
        <f t="shared" si="6"/>
        <v>2.3812174412563225E-2</v>
      </c>
    </row>
    <row r="192" spans="1:5" x14ac:dyDescent="0.35">
      <c r="A192" s="35">
        <v>34151</v>
      </c>
      <c r="B192" s="63">
        <f>VLOOKUP(A192,Database!A:L,MATCH($A$1,Database!$A$1:$L$1,),)</f>
        <v>69.046000000000006</v>
      </c>
      <c r="C192" s="37">
        <f t="shared" si="7"/>
        <v>5.0217609641782955E-3</v>
      </c>
      <c r="D192" s="36">
        <f t="shared" si="8"/>
        <v>2.4132662899182866E-2</v>
      </c>
      <c r="E192" s="36">
        <f t="shared" si="6"/>
        <v>2.0238859548495913E-2</v>
      </c>
    </row>
    <row r="193" spans="1:5" x14ac:dyDescent="0.35">
      <c r="A193" s="35">
        <v>34243</v>
      </c>
      <c r="B193" s="63">
        <f>VLOOKUP(A193,Database!A:L,MATCH($A$1,Database!$A$1:$L$1,),)</f>
        <v>69.451999999999998</v>
      </c>
      <c r="C193" s="37">
        <f t="shared" si="7"/>
        <v>5.8801378790949753E-3</v>
      </c>
      <c r="D193" s="36">
        <f t="shared" si="8"/>
        <v>2.2947535864730206E-2</v>
      </c>
      <c r="E193" s="36">
        <f t="shared" si="6"/>
        <v>2.3728822087838441E-2</v>
      </c>
    </row>
    <row r="194" spans="1:5" x14ac:dyDescent="0.35">
      <c r="A194" s="35">
        <v>34335</v>
      </c>
      <c r="B194" s="63">
        <f>VLOOKUP(A194,Database!A:L,MATCH($A$1,Database!$A$1:$L$1,),)</f>
        <v>69.807000000000002</v>
      </c>
      <c r="C194" s="37">
        <f t="shared" si="7"/>
        <v>5.1114438749064678E-3</v>
      </c>
      <c r="D194" s="36">
        <f t="shared" si="8"/>
        <v>2.2094351225511732E-2</v>
      </c>
      <c r="E194" s="36">
        <f t="shared" si="6"/>
        <v>2.0603071517039551E-2</v>
      </c>
    </row>
    <row r="195" spans="1:5" x14ac:dyDescent="0.35">
      <c r="A195" s="35">
        <v>34425</v>
      </c>
      <c r="B195" s="63">
        <f>VLOOKUP(A195,Database!A:L,MATCH($A$1,Database!$A$1:$L$1,),)</f>
        <v>70.14</v>
      </c>
      <c r="C195" s="37">
        <f t="shared" si="7"/>
        <v>4.7702952425974247E-3</v>
      </c>
      <c r="D195" s="36">
        <f t="shared" si="8"/>
        <v>2.0945837760731389E-2</v>
      </c>
      <c r="E195" s="36">
        <f t="shared" si="6"/>
        <v>1.9218149994370215E-2</v>
      </c>
    </row>
    <row r="196" spans="1:5" x14ac:dyDescent="0.35">
      <c r="A196" s="35">
        <v>34516</v>
      </c>
      <c r="B196" s="63">
        <f>VLOOKUP(A196,Database!A:L,MATCH($A$1,Database!$A$1:$L$1,),)</f>
        <v>70.513999999999996</v>
      </c>
      <c r="C196" s="37">
        <f t="shared" si="7"/>
        <v>5.3321927573423897E-3</v>
      </c>
      <c r="D196" s="36">
        <f t="shared" si="8"/>
        <v>2.1261188193378171E-2</v>
      </c>
      <c r="E196" s="36">
        <f t="shared" si="6"/>
        <v>2.1499971940954321E-2</v>
      </c>
    </row>
    <row r="197" spans="1:5" x14ac:dyDescent="0.35">
      <c r="A197" s="35">
        <v>34608</v>
      </c>
      <c r="B197" s="63">
        <f>VLOOKUP(A197,Database!A:L,MATCH($A$1,Database!$A$1:$L$1,),)</f>
        <v>70.906999999999996</v>
      </c>
      <c r="C197" s="37">
        <f t="shared" si="7"/>
        <v>5.5733613183197766E-3</v>
      </c>
      <c r="D197" s="36">
        <f t="shared" si="8"/>
        <v>2.0949720670391036E-2</v>
      </c>
      <c r="E197" s="36">
        <f t="shared" si="6"/>
        <v>2.2480512863398472E-2</v>
      </c>
    </row>
    <row r="198" spans="1:5" x14ac:dyDescent="0.35">
      <c r="A198" s="35">
        <v>34700</v>
      </c>
      <c r="B198" s="63">
        <f>VLOOKUP(A198,Database!A:L,MATCH($A$1,Database!$A$1:$L$1,),)</f>
        <v>71.311000000000007</v>
      </c>
      <c r="C198" s="37">
        <f t="shared" si="7"/>
        <v>5.6976039037050022E-3</v>
      </c>
      <c r="D198" s="36">
        <f t="shared" si="8"/>
        <v>2.1545117251851605E-2</v>
      </c>
      <c r="E198" s="36">
        <f t="shared" ref="E198:E261" si="9">((1+C198)^4)-1</f>
        <v>2.2985932648310392E-2</v>
      </c>
    </row>
    <row r="199" spans="1:5" x14ac:dyDescent="0.35">
      <c r="A199" s="35">
        <v>34790</v>
      </c>
      <c r="B199" s="63">
        <f>VLOOKUP(A199,Database!A:L,MATCH($A$1,Database!$A$1:$L$1,),)</f>
        <v>71.661000000000001</v>
      </c>
      <c r="C199" s="37">
        <f t="shared" ref="C199:C262" si="10">(B199-B198)/B198</f>
        <v>4.9080786975360642E-3</v>
      </c>
      <c r="D199" s="36">
        <f t="shared" si="8"/>
        <v>2.1685201026518403E-2</v>
      </c>
      <c r="E199" s="36">
        <f t="shared" si="9"/>
        <v>1.9777323716916317E-2</v>
      </c>
    </row>
    <row r="200" spans="1:5" x14ac:dyDescent="0.35">
      <c r="A200" s="35">
        <v>34881</v>
      </c>
      <c r="B200" s="63">
        <f>VLOOKUP(A200,Database!A:L,MATCH($A$1,Database!$A$1:$L$1,),)</f>
        <v>71.981999999999999</v>
      </c>
      <c r="C200" s="37">
        <f t="shared" si="10"/>
        <v>4.4794239544521837E-3</v>
      </c>
      <c r="D200" s="36">
        <f t="shared" si="8"/>
        <v>2.0818560853163963E-2</v>
      </c>
      <c r="E200" s="36">
        <f t="shared" si="9"/>
        <v>1.8038447177052719E-2</v>
      </c>
    </row>
    <row r="201" spans="1:5" x14ac:dyDescent="0.35">
      <c r="A201" s="35">
        <v>34973</v>
      </c>
      <c r="B201" s="63">
        <f>VLOOKUP(A201,Database!A:L,MATCH($A$1,Database!$A$1:$L$1,),)</f>
        <v>72.322000000000003</v>
      </c>
      <c r="C201" s="37">
        <f t="shared" si="10"/>
        <v>4.7234030729905174E-3</v>
      </c>
      <c r="D201" s="36">
        <f t="shared" si="8"/>
        <v>1.9955716642926738E-2</v>
      </c>
      <c r="E201" s="36">
        <f t="shared" si="9"/>
        <v>1.9027897535890403E-2</v>
      </c>
    </row>
    <row r="202" spans="1:5" x14ac:dyDescent="0.35">
      <c r="A202" s="35">
        <v>35065</v>
      </c>
      <c r="B202" s="63">
        <f>VLOOKUP(A202,Database!A:L,MATCH($A$1,Database!$A$1:$L$1,),)</f>
        <v>72.655000000000001</v>
      </c>
      <c r="C202" s="37">
        <f t="shared" si="10"/>
        <v>4.6044080639362625E-3</v>
      </c>
      <c r="D202" s="36">
        <f t="shared" ref="D202:D265" si="11">(B202-B198)/B198</f>
        <v>1.8847022198538711E-2</v>
      </c>
      <c r="E202" s="36">
        <f t="shared" si="9"/>
        <v>1.8545226611293542E-2</v>
      </c>
    </row>
    <row r="203" spans="1:5" x14ac:dyDescent="0.35">
      <c r="A203" s="35">
        <v>35156</v>
      </c>
      <c r="B203" s="63">
        <f>VLOOKUP(A203,Database!A:L,MATCH($A$1,Database!$A$1:$L$1,),)</f>
        <v>72.951999999999998</v>
      </c>
      <c r="C203" s="37">
        <f t="shared" si="10"/>
        <v>4.0878122634367495E-3</v>
      </c>
      <c r="D203" s="36">
        <f t="shared" si="11"/>
        <v>1.8015377960117731E-2</v>
      </c>
      <c r="E203" s="36">
        <f t="shared" si="9"/>
        <v>1.6451783820375265E-2</v>
      </c>
    </row>
    <row r="204" spans="1:5" x14ac:dyDescent="0.35">
      <c r="A204" s="35">
        <v>35247</v>
      </c>
      <c r="B204" s="63">
        <f>VLOOKUP(A204,Database!A:L,MATCH($A$1,Database!$A$1:$L$1,),)</f>
        <v>73.305999999999997</v>
      </c>
      <c r="C204" s="37">
        <f t="shared" si="10"/>
        <v>4.8525057572102095E-3</v>
      </c>
      <c r="D204" s="36">
        <f t="shared" si="11"/>
        <v>1.8393487260704038E-2</v>
      </c>
      <c r="E204" s="36">
        <f t="shared" si="9"/>
        <v>1.9551761500201215E-2</v>
      </c>
    </row>
    <row r="205" spans="1:5" x14ac:dyDescent="0.35">
      <c r="A205" s="35">
        <v>35339</v>
      </c>
      <c r="B205" s="63">
        <f>VLOOKUP(A205,Database!A:L,MATCH($A$1,Database!$A$1:$L$1,),)</f>
        <v>73.616</v>
      </c>
      <c r="C205" s="37">
        <f t="shared" si="10"/>
        <v>4.2288489346029284E-3</v>
      </c>
      <c r="D205" s="36">
        <f t="shared" si="11"/>
        <v>1.7892204308509123E-2</v>
      </c>
      <c r="E205" s="36">
        <f t="shared" si="9"/>
        <v>1.7022997538874041E-2</v>
      </c>
    </row>
    <row r="206" spans="1:5" x14ac:dyDescent="0.35">
      <c r="A206" s="35">
        <v>35431</v>
      </c>
      <c r="B206" s="63">
        <f>VLOOKUP(A206,Database!A:L,MATCH($A$1,Database!$A$1:$L$1,),)</f>
        <v>73.945999999999998</v>
      </c>
      <c r="C206" s="37">
        <f t="shared" si="10"/>
        <v>4.482721147576591E-3</v>
      </c>
      <c r="D206" s="36">
        <f t="shared" si="11"/>
        <v>1.7768907852178058E-2</v>
      </c>
      <c r="E206" s="36">
        <f t="shared" si="9"/>
        <v>1.8051814044768966E-2</v>
      </c>
    </row>
    <row r="207" spans="1:5" x14ac:dyDescent="0.35">
      <c r="A207" s="35">
        <v>35521</v>
      </c>
      <c r="B207" s="63">
        <f>VLOOKUP(A207,Database!A:L,MATCH($A$1,Database!$A$1:$L$1,),)</f>
        <v>74.313999999999993</v>
      </c>
      <c r="C207" s="37">
        <f t="shared" si="10"/>
        <v>4.976604549265613E-3</v>
      </c>
      <c r="D207" s="36">
        <f t="shared" si="11"/>
        <v>1.8669810286215522E-2</v>
      </c>
      <c r="E207" s="36">
        <f t="shared" si="9"/>
        <v>2.0055511381639413E-2</v>
      </c>
    </row>
    <row r="208" spans="1:5" x14ac:dyDescent="0.35">
      <c r="A208" s="35">
        <v>35612</v>
      </c>
      <c r="B208" s="63">
        <f>VLOOKUP(A208,Database!A:L,MATCH($A$1,Database!$A$1:$L$1,),)</f>
        <v>74.534999999999997</v>
      </c>
      <c r="C208" s="37">
        <f t="shared" si="10"/>
        <v>2.9738676427053267E-3</v>
      </c>
      <c r="D208" s="36">
        <f t="shared" si="11"/>
        <v>1.6765339808474056E-2</v>
      </c>
      <c r="E208" s="36">
        <f t="shared" si="9"/>
        <v>1.1948639183792409E-2</v>
      </c>
    </row>
    <row r="209" spans="1:5" x14ac:dyDescent="0.35">
      <c r="A209" s="35">
        <v>35704</v>
      </c>
      <c r="B209" s="63">
        <f>VLOOKUP(A209,Database!A:L,MATCH($A$1,Database!$A$1:$L$1,),)</f>
        <v>74.802000000000007</v>
      </c>
      <c r="C209" s="37">
        <f t="shared" si="10"/>
        <v>3.5822097001410092E-3</v>
      </c>
      <c r="D209" s="36">
        <f t="shared" si="11"/>
        <v>1.6110628124320896E-2</v>
      </c>
      <c r="E209" s="36">
        <f t="shared" si="9"/>
        <v>1.4406016194147275E-2</v>
      </c>
    </row>
    <row r="210" spans="1:5" x14ac:dyDescent="0.35">
      <c r="A210" s="35">
        <v>35796</v>
      </c>
      <c r="B210" s="63">
        <f>VLOOKUP(A210,Database!A:L,MATCH($A$1,Database!$A$1:$L$1,),)</f>
        <v>74.878</v>
      </c>
      <c r="C210" s="37">
        <f t="shared" si="10"/>
        <v>1.0160156145556723E-3</v>
      </c>
      <c r="D210" s="36">
        <f t="shared" si="11"/>
        <v>1.260379195629246E-2</v>
      </c>
      <c r="E210" s="36">
        <f t="shared" si="9"/>
        <v>4.0702603809448235E-3</v>
      </c>
    </row>
    <row r="211" spans="1:5" x14ac:dyDescent="0.35">
      <c r="A211" s="35">
        <v>35886</v>
      </c>
      <c r="B211" s="63">
        <f>VLOOKUP(A211,Database!A:L,MATCH($A$1,Database!$A$1:$L$1,),)</f>
        <v>75.072000000000003</v>
      </c>
      <c r="C211" s="37">
        <f t="shared" si="10"/>
        <v>2.5908811666978636E-3</v>
      </c>
      <c r="D211" s="36">
        <f t="shared" si="11"/>
        <v>1.0199962322039048E-2</v>
      </c>
      <c r="E211" s="36">
        <f t="shared" si="9"/>
        <v>1.0403870270042859E-2</v>
      </c>
    </row>
    <row r="212" spans="1:5" x14ac:dyDescent="0.35">
      <c r="A212" s="35">
        <v>35977</v>
      </c>
      <c r="B212" s="63">
        <f>VLOOKUP(A212,Database!A:L,MATCH($A$1,Database!$A$1:$L$1,),)</f>
        <v>75.363</v>
      </c>
      <c r="C212" s="37">
        <f t="shared" si="10"/>
        <v>3.876278772378474E-3</v>
      </c>
      <c r="D212" s="36">
        <f t="shared" si="11"/>
        <v>1.1108875025156006E-2</v>
      </c>
      <c r="E212" s="36">
        <f t="shared" si="9"/>
        <v>1.5595501510690335E-2</v>
      </c>
    </row>
    <row r="213" spans="1:5" x14ac:dyDescent="0.35">
      <c r="A213" s="35">
        <v>36069</v>
      </c>
      <c r="B213" s="63">
        <f>VLOOKUP(A213,Database!A:L,MATCH($A$1,Database!$A$1:$L$1,),)</f>
        <v>75.564999999999998</v>
      </c>
      <c r="C213" s="37">
        <f t="shared" si="10"/>
        <v>2.6803603890503055E-3</v>
      </c>
      <c r="D213" s="36">
        <f t="shared" si="11"/>
        <v>1.0200262025079423E-2</v>
      </c>
      <c r="E213" s="36">
        <f t="shared" si="9"/>
        <v>1.0764624625101193E-2</v>
      </c>
    </row>
    <row r="214" spans="1:5" x14ac:dyDescent="0.35">
      <c r="A214" s="35">
        <v>36161</v>
      </c>
      <c r="B214" s="63">
        <f>VLOOKUP(A214,Database!A:L,MATCH($A$1,Database!$A$1:$L$1,),)</f>
        <v>75.769000000000005</v>
      </c>
      <c r="C214" s="37">
        <f t="shared" si="10"/>
        <v>2.6996625421823297E-3</v>
      </c>
      <c r="D214" s="36">
        <f t="shared" si="11"/>
        <v>1.1899356286225665E-2</v>
      </c>
      <c r="E214" s="36">
        <f t="shared" si="9"/>
        <v>1.0842457991379284E-2</v>
      </c>
    </row>
    <row r="215" spans="1:5" x14ac:dyDescent="0.35">
      <c r="A215" s="35">
        <v>36251</v>
      </c>
      <c r="B215" s="63">
        <f>VLOOKUP(A215,Database!A:L,MATCH($A$1,Database!$A$1:$L$1,),)</f>
        <v>76.111999999999995</v>
      </c>
      <c r="C215" s="37">
        <f t="shared" si="10"/>
        <v>4.5269173408648564E-3</v>
      </c>
      <c r="D215" s="36">
        <f t="shared" si="11"/>
        <v>1.3853367433929988E-2</v>
      </c>
      <c r="E215" s="36">
        <f t="shared" si="9"/>
        <v>1.8230998747205129E-2</v>
      </c>
    </row>
    <row r="216" spans="1:5" x14ac:dyDescent="0.35">
      <c r="A216" s="35">
        <v>36342</v>
      </c>
      <c r="B216" s="63">
        <f>VLOOKUP(A216,Database!A:L,MATCH($A$1,Database!$A$1:$L$1,),)</f>
        <v>76.403999999999996</v>
      </c>
      <c r="C216" s="37">
        <f t="shared" si="10"/>
        <v>3.8364515450914653E-3</v>
      </c>
      <c r="D216" s="36">
        <f t="shared" si="11"/>
        <v>1.3813144381194974E-2</v>
      </c>
      <c r="E216" s="36">
        <f t="shared" si="9"/>
        <v>1.5434342424849756E-2</v>
      </c>
    </row>
    <row r="217" spans="1:5" x14ac:dyDescent="0.35">
      <c r="A217" s="35">
        <v>36434</v>
      </c>
      <c r="B217" s="63">
        <f>VLOOKUP(A217,Database!A:L,MATCH($A$1,Database!$A$1:$L$1,),)</f>
        <v>76.805999999999997</v>
      </c>
      <c r="C217" s="37">
        <f t="shared" si="10"/>
        <v>5.2615046332652876E-3</v>
      </c>
      <c r="D217" s="36">
        <f t="shared" si="11"/>
        <v>1.6422947131608544E-2</v>
      </c>
      <c r="E217" s="36">
        <f t="shared" si="9"/>
        <v>2.1212702511470782E-2</v>
      </c>
    </row>
    <row r="218" spans="1:5" x14ac:dyDescent="0.35">
      <c r="A218" s="35">
        <v>36526</v>
      </c>
      <c r="B218" s="63">
        <f>VLOOKUP(A218,Database!A:L,MATCH($A$1,Database!$A$1:$L$1,),)</f>
        <v>77.317999999999998</v>
      </c>
      <c r="C218" s="37">
        <f t="shared" si="10"/>
        <v>6.6661458740202651E-3</v>
      </c>
      <c r="D218" s="36">
        <f t="shared" si="11"/>
        <v>2.044371708746311E-2</v>
      </c>
      <c r="E218" s="36">
        <f t="shared" si="9"/>
        <v>2.6932395383105545E-2</v>
      </c>
    </row>
    <row r="219" spans="1:5" x14ac:dyDescent="0.35">
      <c r="A219" s="35">
        <v>36617</v>
      </c>
      <c r="B219" s="63">
        <f>VLOOKUP(A219,Database!A:L,MATCH($A$1,Database!$A$1:$L$1,),)</f>
        <v>77.783000000000001</v>
      </c>
      <c r="C219" s="37">
        <f t="shared" si="10"/>
        <v>6.0141234900023726E-3</v>
      </c>
      <c r="D219" s="36">
        <f t="shared" si="11"/>
        <v>2.1954488122766538E-2</v>
      </c>
      <c r="E219" s="36">
        <f t="shared" si="9"/>
        <v>2.4274383472094208E-2</v>
      </c>
    </row>
    <row r="220" spans="1:5" x14ac:dyDescent="0.35">
      <c r="A220" s="35">
        <v>36708</v>
      </c>
      <c r="B220" s="63">
        <f>VLOOKUP(A220,Database!A:L,MATCH($A$1,Database!$A$1:$L$1,),)</f>
        <v>78.27</v>
      </c>
      <c r="C220" s="37">
        <f t="shared" si="10"/>
        <v>6.2610081894500695E-3</v>
      </c>
      <c r="D220" s="36">
        <f t="shared" si="11"/>
        <v>2.4422805088738807E-2</v>
      </c>
      <c r="E220" s="36">
        <f t="shared" si="9"/>
        <v>2.5280217367430469E-2</v>
      </c>
    </row>
    <row r="221" spans="1:5" x14ac:dyDescent="0.35">
      <c r="A221" s="35">
        <v>36800</v>
      </c>
      <c r="B221" s="63">
        <f>VLOOKUP(A221,Database!A:L,MATCH($A$1,Database!$A$1:$L$1,),)</f>
        <v>78.694000000000003</v>
      </c>
      <c r="C221" s="37">
        <f t="shared" si="10"/>
        <v>5.4171457774371615E-3</v>
      </c>
      <c r="D221" s="36">
        <f t="shared" si="11"/>
        <v>2.4581412910449775E-2</v>
      </c>
      <c r="E221" s="36">
        <f t="shared" si="9"/>
        <v>2.1845292655869875E-2</v>
      </c>
    </row>
    <row r="222" spans="1:5" x14ac:dyDescent="0.35">
      <c r="A222" s="35">
        <v>36892</v>
      </c>
      <c r="B222" s="63">
        <f>VLOOKUP(A222,Database!A:L,MATCH($A$1,Database!$A$1:$L$1,),)</f>
        <v>79.233000000000004</v>
      </c>
      <c r="C222" s="37">
        <f t="shared" si="10"/>
        <v>6.8493150684931694E-3</v>
      </c>
      <c r="D222" s="36">
        <f t="shared" si="11"/>
        <v>2.4767841899687087E-2</v>
      </c>
      <c r="E222" s="36">
        <f t="shared" si="9"/>
        <v>2.7680026467132191E-2</v>
      </c>
    </row>
    <row r="223" spans="1:5" x14ac:dyDescent="0.35">
      <c r="A223" s="35">
        <v>36982</v>
      </c>
      <c r="B223" s="63">
        <f>VLOOKUP(A223,Database!A:L,MATCH($A$1,Database!$A$1:$L$1,),)</f>
        <v>79.760999999999996</v>
      </c>
      <c r="C223" s="37">
        <f t="shared" si="10"/>
        <v>6.6638900458141376E-3</v>
      </c>
      <c r="D223" s="36">
        <f t="shared" si="11"/>
        <v>2.5429721147294325E-2</v>
      </c>
      <c r="E223" s="36">
        <f t="shared" si="9"/>
        <v>2.6923190443470579E-2</v>
      </c>
    </row>
    <row r="224" spans="1:5" x14ac:dyDescent="0.35">
      <c r="A224" s="35">
        <v>37073</v>
      </c>
      <c r="B224" s="63">
        <f>VLOOKUP(A224,Database!A:L,MATCH($A$1,Database!$A$1:$L$1,),)</f>
        <v>80.003</v>
      </c>
      <c r="C224" s="37">
        <f t="shared" si="10"/>
        <v>3.0340642669977112E-3</v>
      </c>
      <c r="D224" s="36">
        <f t="shared" si="11"/>
        <v>2.214130573655301E-2</v>
      </c>
      <c r="E224" s="36">
        <f t="shared" si="9"/>
        <v>1.2191602149462799E-2</v>
      </c>
    </row>
    <row r="225" spans="1:5" x14ac:dyDescent="0.35">
      <c r="A225" s="35">
        <v>37165</v>
      </c>
      <c r="B225" s="63">
        <f>VLOOKUP(A225,Database!A:L,MATCH($A$1,Database!$A$1:$L$1,),)</f>
        <v>80.260999999999996</v>
      </c>
      <c r="C225" s="37">
        <f t="shared" si="10"/>
        <v>3.2248790670349309E-3</v>
      </c>
      <c r="D225" s="36">
        <f t="shared" si="11"/>
        <v>1.9912572750146046E-2</v>
      </c>
      <c r="E225" s="36">
        <f t="shared" si="9"/>
        <v>1.2962049599247738E-2</v>
      </c>
    </row>
    <row r="226" spans="1:5" x14ac:dyDescent="0.35">
      <c r="A226" s="35">
        <v>37257</v>
      </c>
      <c r="B226" s="63">
        <f>VLOOKUP(A226,Database!A:L,MATCH($A$1,Database!$A$1:$L$1,),)</f>
        <v>80.474999999999994</v>
      </c>
      <c r="C226" s="37">
        <f t="shared" si="10"/>
        <v>2.6663011923599091E-3</v>
      </c>
      <c r="D226" s="36">
        <f t="shared" si="11"/>
        <v>1.5675286812312929E-2</v>
      </c>
      <c r="E226" s="36">
        <f t="shared" si="9"/>
        <v>1.0707935612939368E-2</v>
      </c>
    </row>
    <row r="227" spans="1:5" x14ac:dyDescent="0.35">
      <c r="A227" s="35">
        <v>37347</v>
      </c>
      <c r="B227" s="63">
        <f>VLOOKUP(A227,Database!A:L,MATCH($A$1,Database!$A$1:$L$1,),)</f>
        <v>80.793999999999997</v>
      </c>
      <c r="C227" s="37">
        <f t="shared" si="10"/>
        <v>3.9639639639639963E-3</v>
      </c>
      <c r="D227" s="36">
        <f t="shared" si="11"/>
        <v>1.295119168515943E-2</v>
      </c>
      <c r="E227" s="36">
        <f t="shared" si="9"/>
        <v>1.5950383307826499E-2</v>
      </c>
    </row>
    <row r="228" spans="1:5" x14ac:dyDescent="0.35">
      <c r="A228" s="35">
        <v>37438</v>
      </c>
      <c r="B228" s="63">
        <f>VLOOKUP(A228,Database!A:L,MATCH($A$1,Database!$A$1:$L$1,),)</f>
        <v>81.155000000000001</v>
      </c>
      <c r="C228" s="37">
        <f t="shared" si="10"/>
        <v>4.4681535757606283E-3</v>
      </c>
      <c r="D228" s="36">
        <f t="shared" si="11"/>
        <v>1.4399460020249253E-2</v>
      </c>
      <c r="E228" s="36">
        <f t="shared" si="9"/>
        <v>1.7992757895835432E-2</v>
      </c>
    </row>
    <row r="229" spans="1:5" x14ac:dyDescent="0.35">
      <c r="A229" s="35">
        <v>37530</v>
      </c>
      <c r="B229" s="63">
        <f>VLOOKUP(A229,Database!A:L,MATCH($A$1,Database!$A$1:$L$1,),)</f>
        <v>81.626999999999995</v>
      </c>
      <c r="C229" s="37">
        <f t="shared" si="10"/>
        <v>5.8160310516911368E-3</v>
      </c>
      <c r="D229" s="36">
        <f t="shared" si="11"/>
        <v>1.7019473966185316E-2</v>
      </c>
      <c r="E229" s="36">
        <f t="shared" si="9"/>
        <v>2.3467869591460744E-2</v>
      </c>
    </row>
    <row r="230" spans="1:5" x14ac:dyDescent="0.35">
      <c r="A230" s="35">
        <v>37622</v>
      </c>
      <c r="B230" s="63">
        <f>VLOOKUP(A230,Database!A:L,MATCH($A$1,Database!$A$1:$L$1,),)</f>
        <v>82.067999999999998</v>
      </c>
      <c r="C230" s="37">
        <f t="shared" si="10"/>
        <v>5.4026241317211531E-3</v>
      </c>
      <c r="D230" s="36">
        <f t="shared" si="11"/>
        <v>1.9794967381174321E-2</v>
      </c>
      <c r="E230" s="36">
        <f t="shared" si="9"/>
        <v>2.1786258238578604E-2</v>
      </c>
    </row>
    <row r="231" spans="1:5" x14ac:dyDescent="0.35">
      <c r="A231" s="35">
        <v>37712</v>
      </c>
      <c r="B231" s="63">
        <f>VLOOKUP(A231,Database!A:L,MATCH($A$1,Database!$A$1:$L$1,),)</f>
        <v>82.349000000000004</v>
      </c>
      <c r="C231" s="37">
        <f t="shared" si="10"/>
        <v>3.4239898620656763E-3</v>
      </c>
      <c r="D231" s="36">
        <f t="shared" si="11"/>
        <v>1.9246478698913373E-2</v>
      </c>
      <c r="E231" s="36">
        <f t="shared" si="9"/>
        <v>1.3766462392570844E-2</v>
      </c>
    </row>
    <row r="232" spans="1:5" x14ac:dyDescent="0.35">
      <c r="A232" s="35">
        <v>37803</v>
      </c>
      <c r="B232" s="63">
        <f>VLOOKUP(A232,Database!A:L,MATCH($A$1,Database!$A$1:$L$1,),)</f>
        <v>82.822000000000003</v>
      </c>
      <c r="C232" s="37">
        <f t="shared" si="10"/>
        <v>5.7438463126449494E-3</v>
      </c>
      <c r="D232" s="36">
        <f t="shared" si="11"/>
        <v>2.0540940176206043E-2</v>
      </c>
      <c r="E232" s="36">
        <f t="shared" si="9"/>
        <v>2.3174094960452862E-2</v>
      </c>
    </row>
    <row r="233" spans="1:5" x14ac:dyDescent="0.35">
      <c r="A233" s="35">
        <v>37895</v>
      </c>
      <c r="B233" s="63">
        <f>VLOOKUP(A233,Database!A:L,MATCH($A$1,Database!$A$1:$L$1,),)</f>
        <v>83.302000000000007</v>
      </c>
      <c r="C233" s="37">
        <f t="shared" si="10"/>
        <v>5.7955615657675971E-3</v>
      </c>
      <c r="D233" s="36">
        <f t="shared" si="11"/>
        <v>2.0520171021843402E-2</v>
      </c>
      <c r="E233" s="36">
        <f t="shared" si="9"/>
        <v>2.3384557252099647E-2</v>
      </c>
    </row>
    <row r="234" spans="1:5" x14ac:dyDescent="0.35">
      <c r="A234" s="35">
        <v>37987</v>
      </c>
      <c r="B234" s="63">
        <f>VLOOKUP(A234,Database!A:L,MATCH($A$1,Database!$A$1:$L$1,),)</f>
        <v>83.899000000000001</v>
      </c>
      <c r="C234" s="37">
        <f t="shared" si="10"/>
        <v>7.1666946771985563E-3</v>
      </c>
      <c r="D234" s="36">
        <f t="shared" si="11"/>
        <v>2.2310766681288726E-2</v>
      </c>
      <c r="E234" s="36">
        <f t="shared" si="9"/>
        <v>2.8976422791492373E-2</v>
      </c>
    </row>
    <row r="235" spans="1:5" x14ac:dyDescent="0.35">
      <c r="A235" s="35">
        <v>38078</v>
      </c>
      <c r="B235" s="63">
        <f>VLOOKUP(A235,Database!A:L,MATCH($A$1,Database!$A$1:$L$1,),)</f>
        <v>84.58</v>
      </c>
      <c r="C235" s="37">
        <f t="shared" si="10"/>
        <v>8.1169024660603505E-3</v>
      </c>
      <c r="D235" s="36">
        <f t="shared" si="11"/>
        <v>2.709201083194689E-2</v>
      </c>
      <c r="E235" s="36">
        <f t="shared" si="9"/>
        <v>3.2865057938256337E-2</v>
      </c>
    </row>
    <row r="236" spans="1:5" x14ac:dyDescent="0.35">
      <c r="A236" s="35">
        <v>38169</v>
      </c>
      <c r="B236" s="63">
        <f>VLOOKUP(A236,Database!A:L,MATCH($A$1,Database!$A$1:$L$1,),)</f>
        <v>85.116</v>
      </c>
      <c r="C236" s="37">
        <f t="shared" si="10"/>
        <v>6.3371955545046274E-3</v>
      </c>
      <c r="D236" s="36">
        <f t="shared" si="11"/>
        <v>2.7697954649730711E-2</v>
      </c>
      <c r="E236" s="36">
        <f t="shared" si="9"/>
        <v>2.5590762124121813E-2</v>
      </c>
    </row>
    <row r="237" spans="1:5" x14ac:dyDescent="0.35">
      <c r="A237" s="35">
        <v>38261</v>
      </c>
      <c r="B237" s="63">
        <f>VLOOKUP(A237,Database!A:L,MATCH($A$1,Database!$A$1:$L$1,),)</f>
        <v>85.772000000000006</v>
      </c>
      <c r="C237" s="37">
        <f t="shared" si="10"/>
        <v>7.7071290944124007E-3</v>
      </c>
      <c r="D237" s="36">
        <f t="shared" si="11"/>
        <v>2.9651148831960801E-2</v>
      </c>
      <c r="E237" s="36">
        <f t="shared" si="9"/>
        <v>3.1186750148163966E-2</v>
      </c>
    </row>
    <row r="238" spans="1:5" x14ac:dyDescent="0.35">
      <c r="A238" s="35">
        <v>38353</v>
      </c>
      <c r="B238" s="63">
        <f>VLOOKUP(A238,Database!A:L,MATCH($A$1,Database!$A$1:$L$1,),)</f>
        <v>86.43</v>
      </c>
      <c r="C238" s="37">
        <f t="shared" si="10"/>
        <v>7.6715011891992863E-3</v>
      </c>
      <c r="D238" s="36">
        <f t="shared" si="11"/>
        <v>3.0167224877531387E-2</v>
      </c>
      <c r="E238" s="36">
        <f t="shared" si="9"/>
        <v>3.1040925733941016E-2</v>
      </c>
    </row>
    <row r="239" spans="1:5" x14ac:dyDescent="0.35">
      <c r="A239" s="35">
        <v>38443</v>
      </c>
      <c r="B239" s="63">
        <f>VLOOKUP(A239,Database!A:L,MATCH($A$1,Database!$A$1:$L$1,),)</f>
        <v>87.061999999999998</v>
      </c>
      <c r="C239" s="37">
        <f t="shared" si="10"/>
        <v>7.3122758301514606E-3</v>
      </c>
      <c r="D239" s="36">
        <f t="shared" si="11"/>
        <v>2.9344998817687391E-2</v>
      </c>
      <c r="E239" s="36">
        <f t="shared" si="9"/>
        <v>2.9571486377833356E-2</v>
      </c>
    </row>
    <row r="240" spans="1:5" x14ac:dyDescent="0.35">
      <c r="A240" s="35">
        <v>38534</v>
      </c>
      <c r="B240" s="63">
        <f>VLOOKUP(A240,Database!A:L,MATCH($A$1,Database!$A$1:$L$1,),)</f>
        <v>87.884</v>
      </c>
      <c r="C240" s="37">
        <f t="shared" si="10"/>
        <v>9.441547403000192E-3</v>
      </c>
      <c r="D240" s="36">
        <f t="shared" si="11"/>
        <v>3.2520325203252043E-2</v>
      </c>
      <c r="E240" s="36">
        <f t="shared" si="9"/>
        <v>3.8304421047164583E-2</v>
      </c>
    </row>
    <row r="241" spans="1:5" x14ac:dyDescent="0.35">
      <c r="A241" s="35">
        <v>38626</v>
      </c>
      <c r="B241" s="63">
        <f>VLOOKUP(A241,Database!A:L,MATCH($A$1,Database!$A$1:$L$1,),)</f>
        <v>88.584000000000003</v>
      </c>
      <c r="C241" s="37">
        <f t="shared" si="10"/>
        <v>7.9650448318238001E-3</v>
      </c>
      <c r="D241" s="36">
        <f t="shared" si="11"/>
        <v>3.2784591708249745E-2</v>
      </c>
      <c r="E241" s="36">
        <f t="shared" si="9"/>
        <v>3.2242856258771546E-2</v>
      </c>
    </row>
    <row r="242" spans="1:5" x14ac:dyDescent="0.35">
      <c r="A242" s="35">
        <v>38718</v>
      </c>
      <c r="B242" s="63">
        <f>VLOOKUP(A242,Database!A:L,MATCH($A$1,Database!$A$1:$L$1,),)</f>
        <v>89.203999999999994</v>
      </c>
      <c r="C242" s="37">
        <f t="shared" si="10"/>
        <v>6.9990065926125522E-3</v>
      </c>
      <c r="D242" s="36">
        <f t="shared" si="11"/>
        <v>3.2095337267152454E-2</v>
      </c>
      <c r="E242" s="36">
        <f t="shared" si="9"/>
        <v>2.8291316745748141E-2</v>
      </c>
    </row>
    <row r="243" spans="1:5" x14ac:dyDescent="0.35">
      <c r="A243" s="35">
        <v>38808</v>
      </c>
      <c r="B243" s="63">
        <f>VLOOKUP(A243,Database!A:L,MATCH($A$1,Database!$A$1:$L$1,),)</f>
        <v>89.992999999999995</v>
      </c>
      <c r="C243" s="37">
        <f t="shared" si="10"/>
        <v>8.8448948477646908E-3</v>
      </c>
      <c r="D243" s="36">
        <f t="shared" si="11"/>
        <v>3.3665663550113682E-2</v>
      </c>
      <c r="E243" s="36">
        <f t="shared" si="9"/>
        <v>3.5851746321626132E-2</v>
      </c>
    </row>
    <row r="244" spans="1:5" x14ac:dyDescent="0.35">
      <c r="A244" s="35">
        <v>38899</v>
      </c>
      <c r="B244" s="63">
        <f>VLOOKUP(A244,Database!A:L,MATCH($A$1,Database!$A$1:$L$1,),)</f>
        <v>90.652000000000001</v>
      </c>
      <c r="C244" s="37">
        <f t="shared" si="10"/>
        <v>7.322791772693499E-3</v>
      </c>
      <c r="D244" s="36">
        <f t="shared" si="11"/>
        <v>3.1496062992125991E-2</v>
      </c>
      <c r="E244" s="36">
        <f t="shared" si="9"/>
        <v>2.9614480330742543E-2</v>
      </c>
    </row>
    <row r="245" spans="1:5" x14ac:dyDescent="0.35">
      <c r="A245" s="35">
        <v>38991</v>
      </c>
      <c r="B245" s="63">
        <f>VLOOKUP(A245,Database!A:L,MATCH($A$1,Database!$A$1:$L$1,),)</f>
        <v>90.997</v>
      </c>
      <c r="C245" s="37">
        <f t="shared" si="10"/>
        <v>3.8057626969068398E-3</v>
      </c>
      <c r="D245" s="36">
        <f t="shared" si="11"/>
        <v>2.7239682109636013E-2</v>
      </c>
      <c r="E245" s="36">
        <f t="shared" si="9"/>
        <v>1.5310174463714743E-2</v>
      </c>
    </row>
    <row r="246" spans="1:5" x14ac:dyDescent="0.35">
      <c r="A246" s="35">
        <v>39083</v>
      </c>
      <c r="B246" s="63">
        <f>VLOOKUP(A246,Database!A:L,MATCH($A$1,Database!$A$1:$L$1,),)</f>
        <v>91.908000000000001</v>
      </c>
      <c r="C246" s="37">
        <f t="shared" si="10"/>
        <v>1.0011319054474338E-2</v>
      </c>
      <c r="D246" s="36">
        <f t="shared" si="11"/>
        <v>3.0312542038473701E-2</v>
      </c>
      <c r="E246" s="36">
        <f t="shared" si="9"/>
        <v>4.065065891675923E-2</v>
      </c>
    </row>
    <row r="247" spans="1:5" x14ac:dyDescent="0.35">
      <c r="A247" s="35">
        <v>39173</v>
      </c>
      <c r="B247" s="63">
        <f>VLOOKUP(A247,Database!A:L,MATCH($A$1,Database!$A$1:$L$1,),)</f>
        <v>92.491</v>
      </c>
      <c r="C247" s="37">
        <f t="shared" si="10"/>
        <v>6.3432998215606738E-3</v>
      </c>
      <c r="D247" s="36">
        <f t="shared" si="11"/>
        <v>2.7757714488904746E-2</v>
      </c>
      <c r="E247" s="36">
        <f t="shared" si="9"/>
        <v>2.5615646573956985E-2</v>
      </c>
    </row>
    <row r="248" spans="1:5" x14ac:dyDescent="0.35">
      <c r="A248" s="35">
        <v>39264</v>
      </c>
      <c r="B248" s="63">
        <f>VLOOKUP(A248,Database!A:L,MATCH($A$1,Database!$A$1:$L$1,),)</f>
        <v>92.882000000000005</v>
      </c>
      <c r="C248" s="37">
        <f t="shared" si="10"/>
        <v>4.2274383453525782E-3</v>
      </c>
      <c r="D248" s="36">
        <f t="shared" si="11"/>
        <v>2.4599567577108104E-2</v>
      </c>
      <c r="E248" s="36">
        <f t="shared" si="9"/>
        <v>1.7017283308749853E-2</v>
      </c>
    </row>
    <row r="249" spans="1:5" x14ac:dyDescent="0.35">
      <c r="A249" s="35">
        <v>39356</v>
      </c>
      <c r="B249" s="63">
        <f>VLOOKUP(A249,Database!A:L,MATCH($A$1,Database!$A$1:$L$1,),)</f>
        <v>93.331999999999994</v>
      </c>
      <c r="C249" s="37">
        <f t="shared" si="10"/>
        <v>4.8448569152256477E-3</v>
      </c>
      <c r="D249" s="36">
        <f t="shared" si="11"/>
        <v>2.5660186599558158E-2</v>
      </c>
      <c r="E249" s="36">
        <f t="shared" si="9"/>
        <v>1.9520718929342262E-2</v>
      </c>
    </row>
    <row r="250" spans="1:5" x14ac:dyDescent="0.35">
      <c r="A250" s="35">
        <v>39448</v>
      </c>
      <c r="B250" s="63">
        <f>VLOOKUP(A250,Database!A:L,MATCH($A$1,Database!$A$1:$L$1,),)</f>
        <v>93.734999999999999</v>
      </c>
      <c r="C250" s="37">
        <f t="shared" si="10"/>
        <v>4.3179188274118825E-3</v>
      </c>
      <c r="D250" s="36">
        <f t="shared" si="11"/>
        <v>1.9878574226400294E-2</v>
      </c>
      <c r="E250" s="36">
        <f t="shared" si="9"/>
        <v>1.7383864215682943E-2</v>
      </c>
    </row>
    <row r="251" spans="1:5" x14ac:dyDescent="0.35">
      <c r="A251" s="35">
        <v>39539</v>
      </c>
      <c r="B251" s="63">
        <f>VLOOKUP(A251,Database!A:L,MATCH($A$1,Database!$A$1:$L$1,),)</f>
        <v>94.075000000000003</v>
      </c>
      <c r="C251" s="37">
        <f t="shared" si="10"/>
        <v>3.6272470261908937E-3</v>
      </c>
      <c r="D251" s="36">
        <f t="shared" si="11"/>
        <v>1.712599063692687E-2</v>
      </c>
      <c r="E251" s="36">
        <f t="shared" si="9"/>
        <v>1.458812069741211E-2</v>
      </c>
    </row>
    <row r="252" spans="1:5" x14ac:dyDescent="0.35">
      <c r="A252" s="35">
        <v>39630</v>
      </c>
      <c r="B252" s="63">
        <f>VLOOKUP(A252,Database!A:L,MATCH($A$1,Database!$A$1:$L$1,),)</f>
        <v>94.804000000000002</v>
      </c>
      <c r="C252" s="37">
        <f t="shared" si="10"/>
        <v>7.7491363273983439E-3</v>
      </c>
      <c r="D252" s="36">
        <f t="shared" si="11"/>
        <v>2.0692922202364256E-2</v>
      </c>
      <c r="E252" s="36">
        <f t="shared" si="9"/>
        <v>3.1358704913490021E-2</v>
      </c>
    </row>
    <row r="253" spans="1:5" x14ac:dyDescent="0.35">
      <c r="A253" s="35">
        <v>39722</v>
      </c>
      <c r="B253" s="63">
        <f>VLOOKUP(A253,Database!A:L,MATCH($A$1,Database!$A$1:$L$1,),)</f>
        <v>94.974999999999994</v>
      </c>
      <c r="C253" s="37">
        <f t="shared" si="10"/>
        <v>1.8037213619677679E-3</v>
      </c>
      <c r="D253" s="36">
        <f t="shared" si="11"/>
        <v>1.7603822911755891E-2</v>
      </c>
      <c r="E253" s="36">
        <f t="shared" si="9"/>
        <v>7.2344293959512029E-3</v>
      </c>
    </row>
    <row r="254" spans="1:5" x14ac:dyDescent="0.35">
      <c r="A254" s="35">
        <v>39814</v>
      </c>
      <c r="B254" s="63">
        <f>VLOOKUP(A254,Database!A:L,MATCH($A$1,Database!$A$1:$L$1,),)</f>
        <v>95.001000000000005</v>
      </c>
      <c r="C254" s="37">
        <f t="shared" si="10"/>
        <v>2.7375625164527992E-4</v>
      </c>
      <c r="D254" s="36">
        <f t="shared" si="11"/>
        <v>1.3506160985757779E-2</v>
      </c>
      <c r="E254" s="36">
        <f t="shared" si="9"/>
        <v>1.0954747435625301E-3</v>
      </c>
    </row>
    <row r="255" spans="1:5" x14ac:dyDescent="0.35">
      <c r="A255" s="35">
        <v>39904</v>
      </c>
      <c r="B255" s="63">
        <f>VLOOKUP(A255,Database!A:L,MATCH($A$1,Database!$A$1:$L$1,),)</f>
        <v>94.87</v>
      </c>
      <c r="C255" s="37">
        <f t="shared" si="10"/>
        <v>-1.3789328533383883E-3</v>
      </c>
      <c r="D255" s="36">
        <f t="shared" si="11"/>
        <v>8.4507042253521309E-3</v>
      </c>
      <c r="E255" s="36">
        <f t="shared" si="9"/>
        <v>-5.5043331627733227E-3</v>
      </c>
    </row>
    <row r="256" spans="1:5" x14ac:dyDescent="0.35">
      <c r="A256" s="35">
        <v>39995</v>
      </c>
      <c r="B256" s="63">
        <f>VLOOKUP(A256,Database!A:L,MATCH($A$1,Database!$A$1:$L$1,),)</f>
        <v>94.927999999999997</v>
      </c>
      <c r="C256" s="37">
        <f t="shared" si="10"/>
        <v>6.1136291767674422E-4</v>
      </c>
      <c r="D256" s="36">
        <f t="shared" si="11"/>
        <v>1.3079616893801446E-3</v>
      </c>
      <c r="E256" s="36">
        <f t="shared" si="9"/>
        <v>2.4476951725724838E-3</v>
      </c>
    </row>
    <row r="257" spans="1:5" x14ac:dyDescent="0.35">
      <c r="A257" s="35">
        <v>40087</v>
      </c>
      <c r="B257" s="63">
        <f>VLOOKUP(A257,Database!A:L,MATCH($A$1,Database!$A$1:$L$1,),)</f>
        <v>95.277000000000001</v>
      </c>
      <c r="C257" s="37">
        <f t="shared" si="10"/>
        <v>3.6764705882353335E-3</v>
      </c>
      <c r="D257" s="36">
        <f t="shared" si="11"/>
        <v>3.1797841537247354E-3</v>
      </c>
      <c r="E257" s="36">
        <f t="shared" si="9"/>
        <v>1.4787179922669758E-2</v>
      </c>
    </row>
    <row r="258" spans="1:5" x14ac:dyDescent="0.35">
      <c r="A258" s="35">
        <v>40179</v>
      </c>
      <c r="B258" s="63">
        <f>VLOOKUP(A258,Database!A:L,MATCH($A$1,Database!$A$1:$L$1,),)</f>
        <v>95.518000000000001</v>
      </c>
      <c r="C258" s="37">
        <f t="shared" si="10"/>
        <v>2.5294667128477979E-3</v>
      </c>
      <c r="D258" s="36">
        <f t="shared" si="11"/>
        <v>5.4420479784422892E-3</v>
      </c>
      <c r="E258" s="36">
        <f t="shared" si="9"/>
        <v>1.0156320839590727E-2</v>
      </c>
    </row>
    <row r="259" spans="1:5" x14ac:dyDescent="0.35">
      <c r="A259" s="35">
        <v>40269</v>
      </c>
      <c r="B259" s="63">
        <f>VLOOKUP(A259,Database!A:L,MATCH($A$1,Database!$A$1:$L$1,),)</f>
        <v>95.962999999999994</v>
      </c>
      <c r="C259" s="37">
        <f t="shared" si="10"/>
        <v>4.6588077639815864E-3</v>
      </c>
      <c r="D259" s="36">
        <f t="shared" si="11"/>
        <v>1.1521028776219978E-2</v>
      </c>
      <c r="E259" s="36">
        <f t="shared" si="9"/>
        <v>1.8765862933883382E-2</v>
      </c>
    </row>
    <row r="260" spans="1:5" x14ac:dyDescent="0.35">
      <c r="A260" s="35">
        <v>40360</v>
      </c>
      <c r="B260" s="63">
        <f>VLOOKUP(A260,Database!A:L,MATCH($A$1,Database!$A$1:$L$1,),)</f>
        <v>96.311999999999998</v>
      </c>
      <c r="C260" s="37">
        <f t="shared" si="10"/>
        <v>3.636818357075162E-3</v>
      </c>
      <c r="D260" s="36">
        <f t="shared" si="11"/>
        <v>1.4579470756784093E-2</v>
      </c>
      <c r="E260" s="36">
        <f t="shared" si="9"/>
        <v>1.462682469856591E-2</v>
      </c>
    </row>
    <row r="261" spans="1:5" x14ac:dyDescent="0.35">
      <c r="A261" s="35">
        <v>40452</v>
      </c>
      <c r="B261" s="63">
        <f>VLOOKUP(A261,Database!A:L,MATCH($A$1,Database!$A$1:$L$1,),)</f>
        <v>96.864000000000004</v>
      </c>
      <c r="C261" s="37">
        <f t="shared" si="10"/>
        <v>5.7313730376277799E-3</v>
      </c>
      <c r="D261" s="36">
        <f t="shared" si="11"/>
        <v>1.6656695739790329E-2</v>
      </c>
      <c r="E261" s="36">
        <f t="shared" si="9"/>
        <v>2.3123338122090109E-2</v>
      </c>
    </row>
    <row r="262" spans="1:5" x14ac:dyDescent="0.35">
      <c r="A262" s="35">
        <v>40544</v>
      </c>
      <c r="B262" s="63">
        <f>VLOOKUP(A262,Database!A:L,MATCH($A$1,Database!$A$1:$L$1,),)</f>
        <v>97.338999999999999</v>
      </c>
      <c r="C262" s="37">
        <f t="shared" si="10"/>
        <v>4.9037826230590754E-3</v>
      </c>
      <c r="D262" s="36">
        <f t="shared" si="11"/>
        <v>1.906446952406874E-2</v>
      </c>
      <c r="E262" s="36">
        <f t="shared" ref="E262:E309" si="12">((1+C262)^4)-1</f>
        <v>1.9759885261275034E-2</v>
      </c>
    </row>
    <row r="263" spans="1:5" x14ac:dyDescent="0.35">
      <c r="A263" s="35">
        <v>40634</v>
      </c>
      <c r="B263" s="63">
        <f>VLOOKUP(A263,Database!A:L,MATCH($A$1,Database!$A$1:$L$1,),)</f>
        <v>98.042000000000002</v>
      </c>
      <c r="C263" s="37">
        <f t="shared" ref="C263:C326" si="13">(B263-B262)/B262</f>
        <v>7.2221822702103261E-3</v>
      </c>
      <c r="D263" s="36">
        <f t="shared" si="11"/>
        <v>2.166459989787739E-2</v>
      </c>
      <c r="E263" s="36">
        <f t="shared" si="12"/>
        <v>2.9203198135666852E-2</v>
      </c>
    </row>
    <row r="264" spans="1:5" x14ac:dyDescent="0.35">
      <c r="A264" s="35">
        <v>40725</v>
      </c>
      <c r="B264" s="63">
        <f>VLOOKUP(A264,Database!A:L,MATCH($A$1,Database!$A$1:$L$1,),)</f>
        <v>98.561000000000007</v>
      </c>
      <c r="C264" s="37">
        <f t="shared" si="13"/>
        <v>5.2936496603497012E-3</v>
      </c>
      <c r="D264" s="36">
        <f t="shared" si="11"/>
        <v>2.3351191959465171E-2</v>
      </c>
      <c r="E264" s="36">
        <f t="shared" si="12"/>
        <v>2.1343329157022417E-2</v>
      </c>
    </row>
    <row r="265" spans="1:5" x14ac:dyDescent="0.35">
      <c r="A265" s="35">
        <v>40817</v>
      </c>
      <c r="B265" s="63">
        <f>VLOOKUP(A265,Database!A:L,MATCH($A$1,Database!$A$1:$L$1,),)</f>
        <v>98.686999999999998</v>
      </c>
      <c r="C265" s="37">
        <f t="shared" si="13"/>
        <v>1.2783961201691394E-3</v>
      </c>
      <c r="D265" s="36">
        <f t="shared" si="11"/>
        <v>1.8820201519656354E-2</v>
      </c>
      <c r="E265" s="36">
        <f t="shared" si="12"/>
        <v>5.1233986203020887E-3</v>
      </c>
    </row>
    <row r="266" spans="1:5" x14ac:dyDescent="0.35">
      <c r="A266" s="35">
        <v>40909</v>
      </c>
      <c r="B266" s="63">
        <f>VLOOKUP(A266,Database!A:L,MATCH($A$1,Database!$A$1:$L$1,),)</f>
        <v>99.277000000000001</v>
      </c>
      <c r="C266" s="37">
        <f t="shared" si="13"/>
        <v>5.9784976744657698E-3</v>
      </c>
      <c r="D266" s="36">
        <f t="shared" ref="D266:D329" si="14">(B266-B262)/B262</f>
        <v>1.9909799771931112E-2</v>
      </c>
      <c r="E266" s="36">
        <f t="shared" si="12"/>
        <v>2.4129301326290431E-2</v>
      </c>
    </row>
    <row r="267" spans="1:5" x14ac:dyDescent="0.35">
      <c r="A267" s="35">
        <v>41000</v>
      </c>
      <c r="B267" s="63">
        <f>VLOOKUP(A267,Database!A:L,MATCH($A$1,Database!$A$1:$L$1,),)</f>
        <v>99.69</v>
      </c>
      <c r="C267" s="37">
        <f t="shared" si="13"/>
        <v>4.1600773593077622E-3</v>
      </c>
      <c r="D267" s="36">
        <f t="shared" si="14"/>
        <v>1.6809122620917525E-2</v>
      </c>
      <c r="E267" s="36">
        <f t="shared" si="12"/>
        <v>1.6744435179799178E-2</v>
      </c>
    </row>
    <row r="268" spans="1:5" x14ac:dyDescent="0.35">
      <c r="A268" s="35">
        <v>41091</v>
      </c>
      <c r="B268" s="63">
        <f>VLOOKUP(A268,Database!A:L,MATCH($A$1,Database!$A$1:$L$1,),)</f>
        <v>100.304</v>
      </c>
      <c r="C268" s="37">
        <f t="shared" si="13"/>
        <v>6.1590931888855886E-3</v>
      </c>
      <c r="D268" s="36">
        <f t="shared" si="14"/>
        <v>1.7684479662341036E-2</v>
      </c>
      <c r="E268" s="36">
        <f t="shared" si="12"/>
        <v>2.4864915334750215E-2</v>
      </c>
    </row>
    <row r="269" spans="1:5" x14ac:dyDescent="0.35">
      <c r="A269" s="35">
        <v>41183</v>
      </c>
      <c r="B269" s="63">
        <f>VLOOKUP(A269,Database!A:L,MATCH($A$1,Database!$A$1:$L$1,),)</f>
        <v>100.73</v>
      </c>
      <c r="C269" s="37">
        <f t="shared" si="13"/>
        <v>4.2470888498963343E-3</v>
      </c>
      <c r="D269" s="36">
        <f t="shared" si="14"/>
        <v>2.0701814828700905E-2</v>
      </c>
      <c r="E269" s="36">
        <f t="shared" si="12"/>
        <v>1.7096888739080551E-2</v>
      </c>
    </row>
    <row r="270" spans="1:5" x14ac:dyDescent="0.35">
      <c r="A270" s="35">
        <v>41275</v>
      </c>
      <c r="B270" s="63">
        <f>VLOOKUP(A270,Database!A:L,MATCH($A$1,Database!$A$1:$L$1,),)</f>
        <v>101.124</v>
      </c>
      <c r="C270" s="37">
        <f t="shared" si="13"/>
        <v>3.9114464409807526E-3</v>
      </c>
      <c r="D270" s="36">
        <f t="shared" si="14"/>
        <v>1.8604510611722698E-2</v>
      </c>
      <c r="E270" s="36">
        <f t="shared" si="12"/>
        <v>1.5737821848901712E-2</v>
      </c>
    </row>
    <row r="271" spans="1:5" x14ac:dyDescent="0.35">
      <c r="A271" s="35">
        <v>41365</v>
      </c>
      <c r="B271" s="63">
        <f>VLOOKUP(A271,Database!A:L,MATCH($A$1,Database!$A$1:$L$1,),)</f>
        <v>101.428</v>
      </c>
      <c r="C271" s="37">
        <f t="shared" si="13"/>
        <v>3.0062101973814532E-3</v>
      </c>
      <c r="D271" s="36">
        <f t="shared" si="14"/>
        <v>1.7434045541177647E-2</v>
      </c>
      <c r="E271" s="36">
        <f t="shared" si="12"/>
        <v>1.2079173341793759E-2</v>
      </c>
    </row>
    <row r="272" spans="1:5" x14ac:dyDescent="0.35">
      <c r="A272" s="35">
        <v>41456</v>
      </c>
      <c r="B272" s="63">
        <f>VLOOKUP(A272,Database!A:L,MATCH($A$1,Database!$A$1:$L$1,),)</f>
        <v>101.973</v>
      </c>
      <c r="C272" s="37">
        <f t="shared" si="13"/>
        <v>5.3732697085617552E-3</v>
      </c>
      <c r="D272" s="36">
        <f t="shared" si="14"/>
        <v>1.6639416174828489E-2</v>
      </c>
      <c r="E272" s="36">
        <f t="shared" si="12"/>
        <v>2.1666932380766779E-2</v>
      </c>
    </row>
    <row r="273" spans="1:5" x14ac:dyDescent="0.35">
      <c r="A273" s="35">
        <v>41548</v>
      </c>
      <c r="B273" s="63">
        <f>VLOOKUP(A273,Database!A:L,MATCH($A$1,Database!$A$1:$L$1,),)</f>
        <v>102.55</v>
      </c>
      <c r="C273" s="37">
        <f t="shared" si="13"/>
        <v>5.6583605464191325E-3</v>
      </c>
      <c r="D273" s="36">
        <f t="shared" si="14"/>
        <v>1.8068102849200764E-2</v>
      </c>
      <c r="E273" s="36">
        <f t="shared" si="12"/>
        <v>2.2826270131123261E-2</v>
      </c>
    </row>
    <row r="274" spans="1:5" x14ac:dyDescent="0.35">
      <c r="A274" s="35">
        <v>41640</v>
      </c>
      <c r="B274" s="63">
        <f>VLOOKUP(A274,Database!A:L,MATCH($A$1,Database!$A$1:$L$1,),)</f>
        <v>102.965</v>
      </c>
      <c r="C274" s="37">
        <f t="shared" si="13"/>
        <v>4.0468064358849956E-3</v>
      </c>
      <c r="D274" s="36">
        <f t="shared" si="14"/>
        <v>1.8205371622958034E-2</v>
      </c>
      <c r="E274" s="36">
        <f t="shared" si="12"/>
        <v>1.6285750958117795E-2</v>
      </c>
    </row>
    <row r="275" spans="1:5" x14ac:dyDescent="0.35">
      <c r="A275" s="35">
        <v>41730</v>
      </c>
      <c r="B275" s="63">
        <f>VLOOKUP(A275,Database!A:L,MATCH($A$1,Database!$A$1:$L$1,),)</f>
        <v>103.55200000000001</v>
      </c>
      <c r="C275" s="37">
        <f t="shared" si="13"/>
        <v>5.7009663477881152E-3</v>
      </c>
      <c r="D275" s="36">
        <f t="shared" si="14"/>
        <v>2.0940963047679235E-2</v>
      </c>
      <c r="E275" s="36">
        <f t="shared" si="12"/>
        <v>2.299961370008341E-2</v>
      </c>
    </row>
    <row r="276" spans="1:5" x14ac:dyDescent="0.35">
      <c r="A276" s="35">
        <v>41821</v>
      </c>
      <c r="B276" s="63">
        <f>VLOOKUP(A276,Database!A:L,MATCH($A$1,Database!$A$1:$L$1,),)</f>
        <v>104.029</v>
      </c>
      <c r="C276" s="37">
        <f t="shared" si="13"/>
        <v>4.6063813349813583E-3</v>
      </c>
      <c r="D276" s="36">
        <f t="shared" si="14"/>
        <v>2.0162199797985714E-2</v>
      </c>
      <c r="E276" s="36">
        <f t="shared" si="12"/>
        <v>1.8553229250777292E-2</v>
      </c>
    </row>
    <row r="277" spans="1:5" x14ac:dyDescent="0.35">
      <c r="A277" s="35">
        <v>41913</v>
      </c>
      <c r="B277" s="63">
        <f>VLOOKUP(A277,Database!A:L,MATCH($A$1,Database!$A$1:$L$1,),)</f>
        <v>104.104</v>
      </c>
      <c r="C277" s="37">
        <f t="shared" si="13"/>
        <v>7.2095281123535598E-4</v>
      </c>
      <c r="D277" s="36">
        <f t="shared" si="14"/>
        <v>1.5153583617747461E-2</v>
      </c>
      <c r="E277" s="36">
        <f t="shared" si="12"/>
        <v>2.88693138187468E-3</v>
      </c>
    </row>
    <row r="278" spans="1:5" x14ac:dyDescent="0.35">
      <c r="A278" s="35">
        <v>42005</v>
      </c>
      <c r="B278" s="63">
        <f>VLOOKUP(A278,Database!A:L,MATCH($A$1,Database!$A$1:$L$1,),)</f>
        <v>104.092</v>
      </c>
      <c r="C278" s="37">
        <f t="shared" si="13"/>
        <v>-1.1526934603858118E-4</v>
      </c>
      <c r="D278" s="36">
        <f t="shared" si="14"/>
        <v>1.0945466906230227E-2</v>
      </c>
      <c r="E278" s="36">
        <f t="shared" si="12"/>
        <v>-4.6099766814755583E-4</v>
      </c>
    </row>
    <row r="279" spans="1:5" x14ac:dyDescent="0.35">
      <c r="A279" s="35">
        <v>42095</v>
      </c>
      <c r="B279" s="63">
        <f>VLOOKUP(A279,Database!A:L,MATCH($A$1,Database!$A$1:$L$1,),)</f>
        <v>104.68300000000001</v>
      </c>
      <c r="C279" s="37">
        <f t="shared" si="13"/>
        <v>5.6776697536795161E-3</v>
      </c>
      <c r="D279" s="36">
        <f t="shared" si="14"/>
        <v>1.0922048825710755E-2</v>
      </c>
      <c r="E279" s="36">
        <f t="shared" si="12"/>
        <v>2.2904827756810686E-2</v>
      </c>
    </row>
    <row r="280" spans="1:5" x14ac:dyDescent="0.35">
      <c r="A280" s="35">
        <v>42186</v>
      </c>
      <c r="B280" s="63">
        <f>VLOOKUP(A280,Database!A:L,MATCH($A$1,Database!$A$1:$L$1,),)</f>
        <v>104.93899999999999</v>
      </c>
      <c r="C280" s="37">
        <f t="shared" si="13"/>
        <v>2.4454782533934452E-3</v>
      </c>
      <c r="D280" s="36">
        <f t="shared" si="14"/>
        <v>8.7475607763219543E-3</v>
      </c>
      <c r="E280" s="36">
        <f t="shared" si="12"/>
        <v>9.8178537320645631E-3</v>
      </c>
    </row>
    <row r="281" spans="1:5" x14ac:dyDescent="0.35">
      <c r="A281" s="35">
        <v>42278</v>
      </c>
      <c r="B281" s="63">
        <f>VLOOKUP(A281,Database!A:L,MATCH($A$1,Database!$A$1:$L$1,),)</f>
        <v>104.932</v>
      </c>
      <c r="C281" s="37">
        <f t="shared" si="13"/>
        <v>-6.6705419338766259E-5</v>
      </c>
      <c r="D281" s="36">
        <f t="shared" si="14"/>
        <v>7.9535848766618279E-3</v>
      </c>
      <c r="E281" s="36">
        <f t="shared" si="12"/>
        <v>-2.6679498086423781E-4</v>
      </c>
    </row>
    <row r="282" spans="1:5" x14ac:dyDescent="0.35">
      <c r="A282" s="35">
        <v>42370</v>
      </c>
      <c r="B282" s="63">
        <f>VLOOKUP(A282,Database!A:L,MATCH($A$1,Database!$A$1:$L$1,),)</f>
        <v>104.873</v>
      </c>
      <c r="C282" s="37">
        <f t="shared" si="13"/>
        <v>-5.6226889795293617E-4</v>
      </c>
      <c r="D282" s="36">
        <f t="shared" si="14"/>
        <v>7.5029781347270294E-3</v>
      </c>
      <c r="E282" s="36">
        <f t="shared" si="12"/>
        <v>-2.247179424867296E-3</v>
      </c>
    </row>
    <row r="283" spans="1:5" x14ac:dyDescent="0.35">
      <c r="A283" s="35">
        <v>42461</v>
      </c>
      <c r="B283" s="63">
        <f>VLOOKUP(A283,Database!A:L,MATCH($A$1,Database!$A$1:$L$1,),)</f>
        <v>105.57599999999999</v>
      </c>
      <c r="C283" s="37">
        <f t="shared" si="13"/>
        <v>6.7033459517701292E-3</v>
      </c>
      <c r="D283" s="36">
        <f t="shared" si="14"/>
        <v>8.5305159385954399E-3</v>
      </c>
      <c r="E283" s="36">
        <f t="shared" si="12"/>
        <v>2.7084199763212746E-2</v>
      </c>
    </row>
    <row r="284" spans="1:5" x14ac:dyDescent="0.35">
      <c r="A284" s="35">
        <v>42552</v>
      </c>
      <c r="B284" s="63">
        <f>VLOOKUP(A284,Database!A:L,MATCH($A$1,Database!$A$1:$L$1,),)</f>
        <v>105.89400000000001</v>
      </c>
      <c r="C284" s="37">
        <f t="shared" si="13"/>
        <v>3.0120481927711986E-3</v>
      </c>
      <c r="D284" s="36">
        <f t="shared" si="14"/>
        <v>9.1005250669437734E-3</v>
      </c>
      <c r="E284" s="36">
        <f t="shared" si="12"/>
        <v>1.2102736765724487E-2</v>
      </c>
    </row>
    <row r="285" spans="1:5" x14ac:dyDescent="0.35">
      <c r="A285" s="35">
        <v>42644</v>
      </c>
      <c r="B285" s="63">
        <f>VLOOKUP(A285,Database!A:L,MATCH($A$1,Database!$A$1:$L$1,),)</f>
        <v>106.47</v>
      </c>
      <c r="C285" s="37">
        <f t="shared" si="13"/>
        <v>5.4394016658166977E-3</v>
      </c>
      <c r="D285" s="36">
        <f t="shared" si="14"/>
        <v>1.4657111272061875E-2</v>
      </c>
      <c r="E285" s="36">
        <f t="shared" si="12"/>
        <v>2.1935773825832561E-2</v>
      </c>
    </row>
    <row r="286" spans="1:5" x14ac:dyDescent="0.35">
      <c r="A286" s="35">
        <v>42736</v>
      </c>
      <c r="B286" s="63">
        <f>VLOOKUP(A286,Database!A:L,MATCH($A$1,Database!$A$1:$L$1,),)</f>
        <v>107.02200000000001</v>
      </c>
      <c r="C286" s="37">
        <f t="shared" si="13"/>
        <v>5.18455903071294E-3</v>
      </c>
      <c r="D286" s="36">
        <f t="shared" si="14"/>
        <v>2.0491451565226519E-2</v>
      </c>
      <c r="E286" s="36">
        <f t="shared" si="12"/>
        <v>2.0900072196002428E-2</v>
      </c>
    </row>
    <row r="287" spans="1:5" x14ac:dyDescent="0.35">
      <c r="A287" s="35">
        <v>42826</v>
      </c>
      <c r="B287" s="63">
        <f>VLOOKUP(A287,Database!A:L,MATCH($A$1,Database!$A$1:$L$1,),)</f>
        <v>107.363</v>
      </c>
      <c r="C287" s="37">
        <f t="shared" si="13"/>
        <v>3.1862607688138323E-3</v>
      </c>
      <c r="D287" s="36">
        <f t="shared" si="14"/>
        <v>1.6926195347427505E-2</v>
      </c>
      <c r="E287" s="36">
        <f t="shared" si="12"/>
        <v>1.2806086115406456E-2</v>
      </c>
    </row>
    <row r="288" spans="1:5" x14ac:dyDescent="0.35">
      <c r="A288" s="35">
        <v>42917</v>
      </c>
      <c r="B288" s="63">
        <f>VLOOKUP(A288,Database!A:L,MATCH($A$1,Database!$A$1:$L$1,),)</f>
        <v>107.94799999999999</v>
      </c>
      <c r="C288" s="37">
        <f t="shared" si="13"/>
        <v>5.4488045229734057E-3</v>
      </c>
      <c r="D288" s="36">
        <f t="shared" si="14"/>
        <v>1.9396755245811734E-2</v>
      </c>
      <c r="E288" s="36">
        <f t="shared" si="12"/>
        <v>2.1974002886225863E-2</v>
      </c>
    </row>
    <row r="289" spans="1:5" x14ac:dyDescent="0.35">
      <c r="A289" s="35">
        <v>43009</v>
      </c>
      <c r="B289" s="63">
        <f>VLOOKUP(A289,Database!A:L,MATCH($A$1,Database!$A$1:$L$1,),)</f>
        <v>108.639</v>
      </c>
      <c r="C289" s="37">
        <f t="shared" si="13"/>
        <v>6.4012302219587447E-3</v>
      </c>
      <c r="D289" s="36">
        <f t="shared" si="14"/>
        <v>2.0371935756551114E-2</v>
      </c>
      <c r="E289" s="36">
        <f t="shared" si="12"/>
        <v>2.5851826237768938E-2</v>
      </c>
    </row>
    <row r="290" spans="1:5" x14ac:dyDescent="0.35">
      <c r="A290" s="35">
        <v>43101</v>
      </c>
      <c r="B290" s="63">
        <f>VLOOKUP(A290,Database!A:L,MATCH($A$1,Database!$A$1:$L$1,),)</f>
        <v>109.36499999999999</v>
      </c>
      <c r="C290" s="37">
        <f t="shared" si="13"/>
        <v>6.6826830143870905E-3</v>
      </c>
      <c r="D290" s="36">
        <f t="shared" si="14"/>
        <v>2.1892694959914683E-2</v>
      </c>
      <c r="E290" s="36">
        <f t="shared" si="12"/>
        <v>2.699987731330844E-2</v>
      </c>
    </row>
    <row r="291" spans="1:5" x14ac:dyDescent="0.35">
      <c r="A291" s="35">
        <v>43191</v>
      </c>
      <c r="B291" s="63">
        <f>VLOOKUP(A291,Database!A:L,MATCH($A$1,Database!$A$1:$L$1,),)</f>
        <v>110.176</v>
      </c>
      <c r="C291" s="37">
        <f t="shared" si="13"/>
        <v>7.415535134640946E-3</v>
      </c>
      <c r="D291" s="36">
        <f t="shared" si="14"/>
        <v>2.6200832689101481E-2</v>
      </c>
      <c r="E291" s="36">
        <f t="shared" si="12"/>
        <v>2.9993715656374098E-2</v>
      </c>
    </row>
    <row r="292" spans="1:5" x14ac:dyDescent="0.35">
      <c r="A292" s="35">
        <v>43282</v>
      </c>
      <c r="B292" s="63">
        <f>VLOOKUP(A292,Database!A:L,MATCH($A$1,Database!$A$1:$L$1,),)</f>
        <v>110.68</v>
      </c>
      <c r="C292" s="37">
        <f t="shared" si="13"/>
        <v>4.5744989834447143E-3</v>
      </c>
      <c r="D292" s="36">
        <f t="shared" si="14"/>
        <v>2.530848186163721E-2</v>
      </c>
      <c r="E292" s="36">
        <f t="shared" si="12"/>
        <v>1.8423935521987289E-2</v>
      </c>
    </row>
    <row r="293" spans="1:5" x14ac:dyDescent="0.35">
      <c r="A293" s="35">
        <v>43374</v>
      </c>
      <c r="B293" s="63">
        <f>VLOOKUP(A293,Database!A:L,MATCH($A$1,Database!$A$1:$L$1,),)</f>
        <v>111.155</v>
      </c>
      <c r="C293" s="37">
        <f t="shared" si="13"/>
        <v>4.2916516082399199E-3</v>
      </c>
      <c r="D293" s="36">
        <f t="shared" si="14"/>
        <v>2.3159270611842944E-2</v>
      </c>
      <c r="E293" s="36">
        <f t="shared" si="12"/>
        <v>1.7277432592604169E-2</v>
      </c>
    </row>
    <row r="294" spans="1:5" x14ac:dyDescent="0.35">
      <c r="A294" s="35">
        <v>43466</v>
      </c>
      <c r="B294" s="63">
        <f>VLOOKUP(A294,Database!A:L,MATCH($A$1,Database!$A$1:$L$1,),)</f>
        <v>111.56</v>
      </c>
      <c r="C294" s="37">
        <f t="shared" si="13"/>
        <v>3.643560793486583E-3</v>
      </c>
      <c r="D294" s="36">
        <f t="shared" si="14"/>
        <v>2.0070406437160036E-2</v>
      </c>
      <c r="E294" s="36">
        <f t="shared" si="12"/>
        <v>1.465409004260021E-2</v>
      </c>
    </row>
    <row r="295" spans="1:5" x14ac:dyDescent="0.35">
      <c r="A295" s="35">
        <v>43556</v>
      </c>
      <c r="B295" s="63">
        <f>VLOOKUP(A295,Database!A:L,MATCH($A$1,Database!$A$1:$L$1,),)</f>
        <v>112.184</v>
      </c>
      <c r="C295" s="37">
        <f t="shared" si="13"/>
        <v>5.5934026532807029E-3</v>
      </c>
      <c r="D295" s="36">
        <f t="shared" si="14"/>
        <v>1.822538483880333E-2</v>
      </c>
      <c r="E295" s="36">
        <f t="shared" si="12"/>
        <v>2.2562028495606512E-2</v>
      </c>
    </row>
    <row r="296" spans="1:5" x14ac:dyDescent="0.35">
      <c r="A296" s="35">
        <v>43647</v>
      </c>
      <c r="B296" s="63">
        <f>VLOOKUP(A296,Database!A:L,MATCH($A$1,Database!$A$1:$L$1,),)</f>
        <v>112.55800000000001</v>
      </c>
      <c r="C296" s="37">
        <f t="shared" si="13"/>
        <v>3.3338087427798031E-3</v>
      </c>
      <c r="D296" s="36">
        <f t="shared" si="14"/>
        <v>1.6967835200578242E-2</v>
      </c>
      <c r="E296" s="36">
        <f t="shared" si="12"/>
        <v>1.3402068990592708E-2</v>
      </c>
    </row>
    <row r="297" spans="1:5" x14ac:dyDescent="0.35">
      <c r="A297" s="35">
        <v>43739</v>
      </c>
      <c r="B297" s="63">
        <f>VLOOKUP(A297,Database!A:L,MATCH($A$1,Database!$A$1:$L$1,),)</f>
        <v>112.91</v>
      </c>
      <c r="C297" s="37">
        <f t="shared" si="13"/>
        <v>3.1272766040618136E-3</v>
      </c>
      <c r="D297" s="36">
        <f t="shared" si="14"/>
        <v>1.5788763438441773E-2</v>
      </c>
      <c r="E297" s="36">
        <f t="shared" si="12"/>
        <v>1.2567908002938832E-2</v>
      </c>
    </row>
    <row r="298" spans="1:5" x14ac:dyDescent="0.35">
      <c r="A298" s="35">
        <v>43831</v>
      </c>
      <c r="B298" s="63">
        <f>VLOOKUP(A298,Database!A:L,MATCH($A$1,Database!$A$1:$L$1,),)</f>
        <v>113.42700000000001</v>
      </c>
      <c r="C298" s="37">
        <f t="shared" si="13"/>
        <v>4.5788681250554433E-3</v>
      </c>
      <c r="D298" s="36">
        <f t="shared" si="14"/>
        <v>1.6735389028325606E-2</v>
      </c>
      <c r="E298" s="36">
        <f t="shared" si="12"/>
        <v>1.8441653142442282E-2</v>
      </c>
    </row>
    <row r="299" spans="1:5" x14ac:dyDescent="0.35">
      <c r="A299" s="35">
        <v>43922</v>
      </c>
      <c r="B299" s="63">
        <f>VLOOKUP(A299,Database!A:L,MATCH($A$1,Database!$A$1:$L$1,),)</f>
        <v>113.053</v>
      </c>
      <c r="C299" s="37">
        <f t="shared" si="13"/>
        <v>-3.2972748992745062E-3</v>
      </c>
      <c r="D299" s="36">
        <f t="shared" si="14"/>
        <v>7.7462026670469921E-3</v>
      </c>
      <c r="E299" s="36">
        <f t="shared" si="12"/>
        <v>-1.3124010740506842E-2</v>
      </c>
    </row>
    <row r="300" spans="1:5" x14ac:dyDescent="0.35">
      <c r="A300" s="35">
        <v>44013</v>
      </c>
      <c r="B300" s="63">
        <f>VLOOKUP(A300,Database!A:L,MATCH($A$1,Database!$A$1:$L$1,),)</f>
        <v>114.032</v>
      </c>
      <c r="C300" s="37">
        <f t="shared" si="13"/>
        <v>8.6596552059653373E-3</v>
      </c>
      <c r="D300" s="36">
        <f t="shared" si="14"/>
        <v>1.3095470779509137E-2</v>
      </c>
      <c r="E300" s="36">
        <f t="shared" si="12"/>
        <v>3.5091161754322142E-2</v>
      </c>
    </row>
    <row r="301" spans="1:5" x14ac:dyDescent="0.35">
      <c r="A301" s="35">
        <v>44105</v>
      </c>
      <c r="B301" s="63">
        <f>VLOOKUP(A301,Database!A:L,MATCH($A$1,Database!$A$1:$L$1,),)</f>
        <v>114.744</v>
      </c>
      <c r="C301" s="37">
        <f t="shared" si="13"/>
        <v>6.2438613722464158E-3</v>
      </c>
      <c r="D301" s="36">
        <f t="shared" si="14"/>
        <v>1.6243025418474919E-2</v>
      </c>
      <c r="E301" s="36">
        <f t="shared" si="12"/>
        <v>2.5210335525736927E-2</v>
      </c>
    </row>
    <row r="302" spans="1:5" x14ac:dyDescent="0.35">
      <c r="A302" s="35">
        <v>44197</v>
      </c>
      <c r="B302" s="63">
        <f>VLOOKUP(A302,Database!A:L,MATCH($A$1,Database!$A$1:$L$1,),)</f>
        <v>116.199</v>
      </c>
      <c r="C302" s="37">
        <f t="shared" si="13"/>
        <v>1.2680401589625587E-2</v>
      </c>
      <c r="D302" s="36">
        <f t="shared" si="14"/>
        <v>2.4438625724033883E-2</v>
      </c>
      <c r="E302" s="36">
        <f t="shared" si="12"/>
        <v>5.1694543377777791E-2</v>
      </c>
    </row>
    <row r="303" spans="1:5" x14ac:dyDescent="0.35">
      <c r="A303" s="35">
        <v>44287</v>
      </c>
      <c r="B303" s="63">
        <f>VLOOKUP(A303,Database!A:L,MATCH($A$1,Database!$A$1:$L$1,),)</f>
        <v>117.974</v>
      </c>
      <c r="C303" s="37">
        <f t="shared" si="13"/>
        <v>1.527551872219215E-2</v>
      </c>
      <c r="D303" s="36">
        <f t="shared" si="14"/>
        <v>4.3528256658381524E-2</v>
      </c>
      <c r="E303" s="36">
        <f t="shared" si="12"/>
        <v>6.2516435818514626E-2</v>
      </c>
    </row>
    <row r="304" spans="1:5" x14ac:dyDescent="0.35">
      <c r="A304" s="53">
        <v>44378</v>
      </c>
      <c r="B304" s="64">
        <f>VLOOKUP(A304,Database!A:L,MATCH($A$1,Database!$A$1:$L$1,),)</f>
        <v>119.76300000000001</v>
      </c>
      <c r="C304" s="54">
        <f t="shared" si="13"/>
        <v>1.5164358248427632E-2</v>
      </c>
      <c r="D304" s="55">
        <f t="shared" si="14"/>
        <v>5.0257822365651822E-2</v>
      </c>
      <c r="E304" s="55">
        <f t="shared" si="12"/>
        <v>6.2051181088286667E-2</v>
      </c>
    </row>
    <row r="305" spans="1:5" x14ac:dyDescent="0.35">
      <c r="A305" s="35">
        <v>44470</v>
      </c>
      <c r="B305" s="63">
        <f>VLOOKUP(A305,Database!A:L,MATCH($A$1,Database!$A$1:$L$1,),)</f>
        <v>121.758</v>
      </c>
      <c r="C305" s="37">
        <f t="shared" si="13"/>
        <v>1.6657899351218575E-2</v>
      </c>
      <c r="D305" s="36">
        <f t="shared" si="14"/>
        <v>6.1127379209370385E-2</v>
      </c>
      <c r="E305" s="36">
        <f t="shared" si="12"/>
        <v>6.8315077377414601E-2</v>
      </c>
    </row>
    <row r="306" spans="1:5" x14ac:dyDescent="0.35">
      <c r="A306" s="35">
        <v>44562</v>
      </c>
      <c r="B306" s="63">
        <f>VLOOKUP(A306,Database!A:L,MATCH($A$1,Database!$A$1:$L$1,),)</f>
        <v>124.209</v>
      </c>
      <c r="C306" s="37">
        <f t="shared" si="13"/>
        <v>2.0130094121125576E-2</v>
      </c>
      <c r="D306" s="36">
        <f t="shared" si="14"/>
        <v>6.8933467585779618E-2</v>
      </c>
      <c r="E306" s="36">
        <f t="shared" si="12"/>
        <v>8.2984493346725419E-2</v>
      </c>
    </row>
    <row r="307" spans="1:5" x14ac:dyDescent="0.35">
      <c r="A307" s="35">
        <v>44652</v>
      </c>
      <c r="B307" s="63">
        <f>VLOOKUP(A307,Database!A:L,MATCH($A$1,Database!$A$1:$L$1,),)</f>
        <v>126.914</v>
      </c>
      <c r="C307" s="37">
        <f t="shared" si="13"/>
        <v>2.1777809981563319E-2</v>
      </c>
      <c r="D307" s="36">
        <f t="shared" si="14"/>
        <v>7.5779409022326938E-2</v>
      </c>
      <c r="E307" s="36">
        <f t="shared" si="12"/>
        <v>8.9998417416452314E-2</v>
      </c>
    </row>
    <row r="308" spans="1:5" x14ac:dyDescent="0.35">
      <c r="A308" s="35">
        <v>44743</v>
      </c>
      <c r="B308" s="63">
        <f>VLOOKUP(A308,Database!A:L,MATCH($A$1,Database!$A$1:$L$1,),)</f>
        <v>128.27600000000001</v>
      </c>
      <c r="C308" s="37">
        <f t="shared" si="13"/>
        <v>1.0731676568384961E-2</v>
      </c>
      <c r="D308" s="36">
        <f t="shared" si="14"/>
        <v>7.108205372276917E-2</v>
      </c>
      <c r="E308" s="36">
        <f t="shared" si="12"/>
        <v>4.3622676649989867E-2</v>
      </c>
    </row>
    <row r="309" spans="1:5" x14ac:dyDescent="0.35">
      <c r="A309" s="35">
        <v>44835</v>
      </c>
      <c r="B309" s="63">
        <f>VLOOKUP(A309,Database!A:L,MATCH($A$1,Database!$A$1:$L$1,),)</f>
        <v>129.374</v>
      </c>
      <c r="C309" s="37">
        <f t="shared" si="13"/>
        <v>8.5596682154104008E-3</v>
      </c>
      <c r="D309" s="36">
        <f t="shared" si="14"/>
        <v>6.2550304702771065E-2</v>
      </c>
      <c r="E309" s="36">
        <f t="shared" si="12"/>
        <v>3.4680794345919752E-2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9"/>
  <sheetViews>
    <sheetView zoomScale="110" zoomScaleNormal="110" workbookViewId="0">
      <pane ySplit="5" topLeftCell="A276" activePane="bottomLeft" state="frozen"/>
      <selection activeCell="I311" sqref="I311"/>
      <selection pane="bottomLeft" activeCell="M317" sqref="M317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22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69</v>
      </c>
      <c r="M1" s="76"/>
      <c r="N1" s="76"/>
      <c r="O1" s="76"/>
    </row>
    <row r="2" spans="1:15" x14ac:dyDescent="0.35">
      <c r="A2" s="48" t="s">
        <v>70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/>
      <c r="C6" s="36"/>
      <c r="D6" s="36"/>
      <c r="E6" s="36"/>
    </row>
    <row r="7" spans="1:15" x14ac:dyDescent="0.35">
      <c r="A7" s="35">
        <v>17258</v>
      </c>
      <c r="B7" s="63"/>
      <c r="C7" s="37"/>
      <c r="D7" s="36"/>
      <c r="E7" s="36"/>
    </row>
    <row r="8" spans="1:15" x14ac:dyDescent="0.35">
      <c r="A8" s="35">
        <v>17349</v>
      </c>
      <c r="B8" s="63"/>
      <c r="C8" s="37"/>
      <c r="D8" s="36"/>
      <c r="E8" s="36"/>
    </row>
    <row r="9" spans="1:15" x14ac:dyDescent="0.35">
      <c r="A9" s="35">
        <v>17441</v>
      </c>
      <c r="B9" s="63"/>
      <c r="C9" s="37"/>
      <c r="D9" s="36"/>
      <c r="E9" s="36"/>
    </row>
    <row r="10" spans="1:15" x14ac:dyDescent="0.35">
      <c r="A10" s="35">
        <v>17533</v>
      </c>
      <c r="B10" s="63"/>
      <c r="C10" s="37"/>
      <c r="D10" s="36"/>
      <c r="E10" s="36"/>
    </row>
    <row r="11" spans="1:15" x14ac:dyDescent="0.35">
      <c r="A11" s="35">
        <v>17624</v>
      </c>
      <c r="B11" s="63"/>
      <c r="C11" s="37"/>
      <c r="D11" s="36"/>
      <c r="E11" s="36"/>
    </row>
    <row r="12" spans="1:15" x14ac:dyDescent="0.35">
      <c r="A12" s="35">
        <v>17715</v>
      </c>
      <c r="B12" s="63"/>
      <c r="C12" s="37"/>
      <c r="D12" s="36"/>
      <c r="E12" s="36"/>
    </row>
    <row r="13" spans="1:15" x14ac:dyDescent="0.35">
      <c r="A13" s="35">
        <v>17807</v>
      </c>
      <c r="B13" s="63"/>
      <c r="C13" s="37"/>
      <c r="D13" s="36"/>
      <c r="E13" s="36"/>
    </row>
    <row r="14" spans="1:15" x14ac:dyDescent="0.35">
      <c r="A14" s="35">
        <v>17899</v>
      </c>
      <c r="B14" s="63"/>
      <c r="C14" s="37"/>
      <c r="D14" s="36"/>
      <c r="E14" s="36"/>
    </row>
    <row r="15" spans="1:15" x14ac:dyDescent="0.35">
      <c r="A15" s="35">
        <v>17989</v>
      </c>
      <c r="B15" s="63"/>
      <c r="C15" s="37"/>
      <c r="D15" s="36"/>
      <c r="E15" s="36"/>
    </row>
    <row r="16" spans="1:15" x14ac:dyDescent="0.35">
      <c r="A16" s="35">
        <v>18080</v>
      </c>
      <c r="B16" s="63"/>
      <c r="C16" s="37"/>
      <c r="D16" s="36"/>
      <c r="E16" s="36"/>
    </row>
    <row r="17" spans="1:5" x14ac:dyDescent="0.35">
      <c r="A17" s="35">
        <v>18172</v>
      </c>
      <c r="B17" s="63"/>
      <c r="C17" s="37"/>
      <c r="D17" s="36"/>
      <c r="E17" s="36"/>
    </row>
    <row r="18" spans="1:5" x14ac:dyDescent="0.35">
      <c r="A18" s="35">
        <v>18264</v>
      </c>
      <c r="B18" s="63"/>
      <c r="C18" s="37"/>
      <c r="D18" s="36"/>
      <c r="E18" s="36"/>
    </row>
    <row r="19" spans="1:5" x14ac:dyDescent="0.35">
      <c r="A19" s="35">
        <v>18354</v>
      </c>
      <c r="B19" s="63"/>
      <c r="C19" s="37"/>
      <c r="D19" s="36"/>
      <c r="E19" s="36"/>
    </row>
    <row r="20" spans="1:5" x14ac:dyDescent="0.35">
      <c r="A20" s="35">
        <v>18445</v>
      </c>
      <c r="B20" s="63"/>
      <c r="C20" s="37"/>
      <c r="D20" s="36"/>
      <c r="E20" s="36"/>
    </row>
    <row r="21" spans="1:5" x14ac:dyDescent="0.35">
      <c r="A21" s="35">
        <v>18537</v>
      </c>
      <c r="B21" s="63"/>
      <c r="C21" s="37"/>
      <c r="D21" s="36"/>
      <c r="E21" s="36"/>
    </row>
    <row r="22" spans="1:5" x14ac:dyDescent="0.35">
      <c r="A22" s="35">
        <v>18629</v>
      </c>
      <c r="B22" s="63"/>
      <c r="C22" s="37"/>
      <c r="D22" s="36"/>
      <c r="E22" s="36"/>
    </row>
    <row r="23" spans="1:5" x14ac:dyDescent="0.35">
      <c r="A23" s="35">
        <v>18719</v>
      </c>
      <c r="B23" s="63"/>
      <c r="C23" s="37"/>
      <c r="D23" s="36"/>
      <c r="E23" s="36"/>
    </row>
    <row r="24" spans="1:5" x14ac:dyDescent="0.35">
      <c r="A24" s="35">
        <v>18810</v>
      </c>
      <c r="B24" s="63"/>
      <c r="C24" s="37"/>
      <c r="D24" s="36"/>
      <c r="E24" s="36"/>
    </row>
    <row r="25" spans="1:5" x14ac:dyDescent="0.35">
      <c r="A25" s="35">
        <v>18902</v>
      </c>
      <c r="B25" s="63"/>
      <c r="C25" s="37"/>
      <c r="D25" s="36"/>
      <c r="E25" s="36"/>
    </row>
    <row r="26" spans="1:5" x14ac:dyDescent="0.35">
      <c r="A26" s="35">
        <v>18994</v>
      </c>
      <c r="B26" s="63"/>
      <c r="C26" s="37"/>
      <c r="D26" s="36"/>
      <c r="E26" s="36"/>
    </row>
    <row r="27" spans="1:5" x14ac:dyDescent="0.35">
      <c r="A27" s="35">
        <v>19085</v>
      </c>
      <c r="B27" s="63"/>
      <c r="C27" s="37"/>
      <c r="D27" s="36"/>
      <c r="E27" s="36"/>
    </row>
    <row r="28" spans="1:5" x14ac:dyDescent="0.35">
      <c r="A28" s="35">
        <v>19176</v>
      </c>
      <c r="B28" s="63"/>
      <c r="C28" s="37"/>
      <c r="D28" s="36"/>
      <c r="E28" s="36"/>
    </row>
    <row r="29" spans="1:5" x14ac:dyDescent="0.35">
      <c r="A29" s="35">
        <v>19268</v>
      </c>
      <c r="B29" s="63"/>
      <c r="C29" s="37"/>
      <c r="D29" s="36"/>
      <c r="E29" s="36"/>
    </row>
    <row r="30" spans="1:5" x14ac:dyDescent="0.35">
      <c r="A30" s="35">
        <v>19360</v>
      </c>
      <c r="B30" s="63"/>
      <c r="C30" s="37"/>
      <c r="D30" s="36"/>
      <c r="E30" s="36"/>
    </row>
    <row r="31" spans="1:5" x14ac:dyDescent="0.35">
      <c r="A31" s="35">
        <v>19450</v>
      </c>
      <c r="B31" s="63"/>
      <c r="C31" s="37"/>
      <c r="D31" s="36"/>
      <c r="E31" s="36"/>
    </row>
    <row r="32" spans="1:5" x14ac:dyDescent="0.35">
      <c r="A32" s="35">
        <v>19541</v>
      </c>
      <c r="B32" s="63"/>
      <c r="C32" s="37"/>
      <c r="D32" s="36"/>
      <c r="E32" s="36"/>
    </row>
    <row r="33" spans="1:5" x14ac:dyDescent="0.35">
      <c r="A33" s="35">
        <v>19633</v>
      </c>
      <c r="B33" s="63"/>
      <c r="C33" s="37"/>
      <c r="D33" s="36"/>
      <c r="E33" s="36"/>
    </row>
    <row r="34" spans="1:5" x14ac:dyDescent="0.35">
      <c r="A34" s="35">
        <v>19725</v>
      </c>
      <c r="B34" s="63"/>
      <c r="C34" s="37"/>
      <c r="D34" s="36"/>
      <c r="E34" s="36"/>
    </row>
    <row r="35" spans="1:5" x14ac:dyDescent="0.35">
      <c r="A35" s="35">
        <v>19815</v>
      </c>
      <c r="B35" s="63"/>
      <c r="C35" s="37"/>
      <c r="D35" s="36"/>
      <c r="E35" s="36"/>
    </row>
    <row r="36" spans="1:5" x14ac:dyDescent="0.35">
      <c r="A36" s="35">
        <v>19906</v>
      </c>
      <c r="B36" s="63"/>
      <c r="C36" s="37"/>
      <c r="D36" s="36"/>
      <c r="E36" s="36"/>
    </row>
    <row r="37" spans="1:5" x14ac:dyDescent="0.35">
      <c r="A37" s="35">
        <v>19998</v>
      </c>
      <c r="B37" s="63"/>
      <c r="C37" s="37"/>
      <c r="D37" s="36"/>
      <c r="E37" s="36"/>
    </row>
    <row r="38" spans="1:5" x14ac:dyDescent="0.35">
      <c r="A38" s="35">
        <v>20090</v>
      </c>
      <c r="B38" s="63"/>
      <c r="C38" s="37"/>
      <c r="D38" s="36"/>
      <c r="E38" s="36"/>
    </row>
    <row r="39" spans="1:5" x14ac:dyDescent="0.35">
      <c r="A39" s="35">
        <v>20180</v>
      </c>
      <c r="B39" s="63"/>
      <c r="C39" s="37"/>
      <c r="D39" s="36"/>
      <c r="E39" s="36"/>
    </row>
    <row r="40" spans="1:5" x14ac:dyDescent="0.35">
      <c r="A40" s="35">
        <v>20271</v>
      </c>
      <c r="B40" s="63"/>
      <c r="C40" s="37"/>
      <c r="D40" s="36"/>
      <c r="E40" s="36"/>
    </row>
    <row r="41" spans="1:5" x14ac:dyDescent="0.35">
      <c r="A41" s="35">
        <v>20363</v>
      </c>
      <c r="B41" s="63"/>
      <c r="C41" s="37"/>
      <c r="D41" s="36"/>
      <c r="E41" s="36"/>
    </row>
    <row r="42" spans="1:5" x14ac:dyDescent="0.35">
      <c r="A42" s="35">
        <v>20455</v>
      </c>
      <c r="B42" s="63"/>
      <c r="C42" s="37"/>
      <c r="D42" s="36"/>
      <c r="E42" s="36"/>
    </row>
    <row r="43" spans="1:5" x14ac:dyDescent="0.35">
      <c r="A43" s="35">
        <v>20546</v>
      </c>
      <c r="B43" s="63"/>
      <c r="C43" s="37"/>
      <c r="D43" s="36"/>
      <c r="E43" s="36"/>
    </row>
    <row r="44" spans="1:5" x14ac:dyDescent="0.35">
      <c r="A44" s="35">
        <v>20637</v>
      </c>
      <c r="B44" s="63"/>
      <c r="C44" s="37"/>
      <c r="D44" s="36"/>
      <c r="E44" s="36"/>
    </row>
    <row r="45" spans="1:5" x14ac:dyDescent="0.35">
      <c r="A45" s="35">
        <v>20729</v>
      </c>
      <c r="B45" s="63"/>
      <c r="C45" s="37"/>
      <c r="D45" s="36"/>
      <c r="E45" s="36"/>
    </row>
    <row r="46" spans="1:5" x14ac:dyDescent="0.35">
      <c r="A46" s="35">
        <v>20821</v>
      </c>
      <c r="B46" s="63"/>
      <c r="C46" s="37"/>
      <c r="D46" s="36"/>
      <c r="E46" s="36"/>
    </row>
    <row r="47" spans="1:5" x14ac:dyDescent="0.35">
      <c r="A47" s="35">
        <v>20911</v>
      </c>
      <c r="B47" s="63"/>
      <c r="C47" s="37"/>
      <c r="D47" s="36"/>
      <c r="E47" s="36"/>
    </row>
    <row r="48" spans="1:5" x14ac:dyDescent="0.35">
      <c r="A48" s="35">
        <v>21002</v>
      </c>
      <c r="B48" s="63"/>
      <c r="C48" s="37"/>
      <c r="D48" s="36"/>
      <c r="E48" s="36"/>
    </row>
    <row r="49" spans="1:5" x14ac:dyDescent="0.35">
      <c r="A49" s="35">
        <v>21094</v>
      </c>
      <c r="B49" s="63"/>
      <c r="C49" s="37"/>
      <c r="D49" s="36"/>
      <c r="E49" s="36"/>
    </row>
    <row r="50" spans="1:5" x14ac:dyDescent="0.35">
      <c r="A50" s="35">
        <v>21186</v>
      </c>
      <c r="B50" s="63"/>
      <c r="C50" s="37"/>
      <c r="D50" s="36"/>
      <c r="E50" s="36"/>
    </row>
    <row r="51" spans="1:5" x14ac:dyDescent="0.35">
      <c r="A51" s="35">
        <v>21276</v>
      </c>
      <c r="B51" s="63"/>
      <c r="C51" s="37"/>
      <c r="D51" s="36"/>
      <c r="E51" s="36"/>
    </row>
    <row r="52" spans="1:5" x14ac:dyDescent="0.35">
      <c r="A52" s="35">
        <v>21367</v>
      </c>
      <c r="B52" s="63"/>
      <c r="C52" s="37"/>
      <c r="D52" s="36"/>
      <c r="E52" s="36"/>
    </row>
    <row r="53" spans="1:5" x14ac:dyDescent="0.35">
      <c r="A53" s="35">
        <v>21459</v>
      </c>
      <c r="B53" s="63"/>
      <c r="C53" s="37"/>
      <c r="D53" s="36"/>
      <c r="E53" s="36"/>
    </row>
    <row r="54" spans="1:5" x14ac:dyDescent="0.35">
      <c r="A54" s="35">
        <v>21551</v>
      </c>
      <c r="B54" s="63">
        <f>VLOOKUP(A54,Database!A:L,MATCH($A$1,Database!$A$1:$L$1,),)</f>
        <v>16.702999999999999</v>
      </c>
      <c r="C54" s="37"/>
      <c r="D54" s="36"/>
      <c r="E54" s="36"/>
    </row>
    <row r="55" spans="1:5" x14ac:dyDescent="0.35">
      <c r="A55" s="35">
        <v>21641</v>
      </c>
      <c r="B55" s="63">
        <f>VLOOKUP(A55,Database!A:L,MATCH($A$1,Database!$A$1:$L$1,),)</f>
        <v>16.792000000000002</v>
      </c>
      <c r="C55" s="37">
        <f t="shared" ref="C55:C118" si="0">(B55-B54)/B54</f>
        <v>5.3283841226128359E-3</v>
      </c>
      <c r="D55" s="36"/>
      <c r="E55" s="36">
        <f t="shared" ref="E55:E118" si="1">((1+C55)^4)-1</f>
        <v>2.1484492487738649E-2</v>
      </c>
    </row>
    <row r="56" spans="1:5" x14ac:dyDescent="0.35">
      <c r="A56" s="35">
        <v>21732</v>
      </c>
      <c r="B56" s="63">
        <f>VLOOKUP(A56,Database!A:L,MATCH($A$1,Database!$A$1:$L$1,),)</f>
        <v>16.904</v>
      </c>
      <c r="C56" s="37">
        <f t="shared" si="0"/>
        <v>6.6698427822771741E-3</v>
      </c>
      <c r="D56" s="36"/>
      <c r="E56" s="36">
        <f t="shared" si="1"/>
        <v>2.6947480804546453E-2</v>
      </c>
    </row>
    <row r="57" spans="1:5" x14ac:dyDescent="0.35">
      <c r="A57" s="35">
        <v>21824</v>
      </c>
      <c r="B57" s="63">
        <f>VLOOKUP(A57,Database!A:L,MATCH($A$1,Database!$A$1:$L$1,),)</f>
        <v>17.001999999999999</v>
      </c>
      <c r="C57" s="37">
        <f t="shared" si="0"/>
        <v>5.7974443918598541E-3</v>
      </c>
      <c r="D57" s="36"/>
      <c r="E57" s="36">
        <f t="shared" si="1"/>
        <v>2.3392220282762333E-2</v>
      </c>
    </row>
    <row r="58" spans="1:5" x14ac:dyDescent="0.35">
      <c r="A58" s="35">
        <v>21916</v>
      </c>
      <c r="B58" s="63">
        <f>VLOOKUP(A58,Database!A:L,MATCH($A$1,Database!$A$1:$L$1,),)</f>
        <v>17.055</v>
      </c>
      <c r="C58" s="37">
        <f t="shared" si="0"/>
        <v>3.117280319962406E-3</v>
      </c>
      <c r="D58" s="36">
        <f t="shared" ref="D58:D121" si="2">(B58-B54)/B54</f>
        <v>2.1074058552355883E-2</v>
      </c>
      <c r="E58" s="36">
        <f t="shared" si="1"/>
        <v>1.2527547161732766E-2</v>
      </c>
    </row>
    <row r="59" spans="1:5" x14ac:dyDescent="0.35">
      <c r="A59" s="35">
        <v>22007</v>
      </c>
      <c r="B59" s="63">
        <f>VLOOKUP(A59,Database!A:L,MATCH($A$1,Database!$A$1:$L$1,),)</f>
        <v>17.12</v>
      </c>
      <c r="C59" s="37">
        <f t="shared" si="0"/>
        <v>3.8111990618587676E-3</v>
      </c>
      <c r="D59" s="36">
        <f t="shared" si="2"/>
        <v>1.9533111005240553E-2</v>
      </c>
      <c r="E59" s="36">
        <f t="shared" si="1"/>
        <v>1.5332169322450406E-2</v>
      </c>
    </row>
    <row r="60" spans="1:5" x14ac:dyDescent="0.35">
      <c r="A60" s="35">
        <v>22098</v>
      </c>
      <c r="B60" s="63">
        <f>VLOOKUP(A60,Database!A:L,MATCH($A$1,Database!$A$1:$L$1,),)</f>
        <v>17.187000000000001</v>
      </c>
      <c r="C60" s="37">
        <f t="shared" si="0"/>
        <v>3.9135514018691685E-3</v>
      </c>
      <c r="D60" s="36">
        <f t="shared" si="2"/>
        <v>1.6741599621391462E-2</v>
      </c>
      <c r="E60" s="36">
        <f t="shared" si="1"/>
        <v>1.5746340907509371E-2</v>
      </c>
    </row>
    <row r="61" spans="1:5" x14ac:dyDescent="0.35">
      <c r="A61" s="35">
        <v>22190</v>
      </c>
      <c r="B61" s="63">
        <f>VLOOKUP(A61,Database!A:L,MATCH($A$1,Database!$A$1:$L$1,),)</f>
        <v>17.242999999999999</v>
      </c>
      <c r="C61" s="37">
        <f t="shared" si="0"/>
        <v>3.2582766044101578E-3</v>
      </c>
      <c r="D61" s="36">
        <f t="shared" si="2"/>
        <v>1.4174802964357115E-2</v>
      </c>
      <c r="E61" s="36">
        <f t="shared" si="1"/>
        <v>1.3096943093166669E-2</v>
      </c>
    </row>
    <row r="62" spans="1:5" x14ac:dyDescent="0.35">
      <c r="A62" s="35">
        <v>22282</v>
      </c>
      <c r="B62" s="63">
        <f>VLOOKUP(A62,Database!A:L,MATCH($A$1,Database!$A$1:$L$1,),)</f>
        <v>17.273</v>
      </c>
      <c r="C62" s="37">
        <f t="shared" si="0"/>
        <v>1.739836455373261E-3</v>
      </c>
      <c r="D62" s="36">
        <f t="shared" si="2"/>
        <v>1.2782175315156845E-2</v>
      </c>
      <c r="E62" s="36">
        <f t="shared" si="1"/>
        <v>6.9775290821598723E-3</v>
      </c>
    </row>
    <row r="63" spans="1:5" x14ac:dyDescent="0.35">
      <c r="A63" s="35">
        <v>22372</v>
      </c>
      <c r="B63" s="63">
        <f>VLOOKUP(A63,Database!A:L,MATCH($A$1,Database!$A$1:$L$1,),)</f>
        <v>17.329000000000001</v>
      </c>
      <c r="C63" s="37">
        <f t="shared" si="0"/>
        <v>3.2420540728304833E-3</v>
      </c>
      <c r="D63" s="36">
        <f t="shared" si="2"/>
        <v>1.2207943925233623E-2</v>
      </c>
      <c r="E63" s="36">
        <f t="shared" si="1"/>
        <v>1.303141819728193E-2</v>
      </c>
    </row>
    <row r="64" spans="1:5" x14ac:dyDescent="0.35">
      <c r="A64" s="35">
        <v>22463</v>
      </c>
      <c r="B64" s="63">
        <f>VLOOKUP(A64,Database!A:L,MATCH($A$1,Database!$A$1:$L$1,),)</f>
        <v>17.405000000000001</v>
      </c>
      <c r="C64" s="37">
        <f t="shared" si="0"/>
        <v>4.3857118125685563E-3</v>
      </c>
      <c r="D64" s="36">
        <f t="shared" si="2"/>
        <v>1.268400535288299E-2</v>
      </c>
      <c r="E64" s="36">
        <f t="shared" si="1"/>
        <v>1.7658591856192229E-2</v>
      </c>
    </row>
    <row r="65" spans="1:5" x14ac:dyDescent="0.35">
      <c r="A65" s="35">
        <v>22555</v>
      </c>
      <c r="B65" s="63">
        <f>VLOOKUP(A65,Database!A:L,MATCH($A$1,Database!$A$1:$L$1,),)</f>
        <v>17.446999999999999</v>
      </c>
      <c r="C65" s="37">
        <f t="shared" si="0"/>
        <v>2.413099683998738E-3</v>
      </c>
      <c r="D65" s="36">
        <f t="shared" si="2"/>
        <v>1.1830887896537762E-2</v>
      </c>
      <c r="E65" s="36">
        <f t="shared" si="1"/>
        <v>9.6873932768142268E-3</v>
      </c>
    </row>
    <row r="66" spans="1:5" x14ac:dyDescent="0.35">
      <c r="A66" s="35">
        <v>22647</v>
      </c>
      <c r="B66" s="63">
        <f>VLOOKUP(A66,Database!A:L,MATCH($A$1,Database!$A$1:$L$1,),)</f>
        <v>17.510999999999999</v>
      </c>
      <c r="C66" s="37">
        <f t="shared" si="0"/>
        <v>3.6682524216197663E-3</v>
      </c>
      <c r="D66" s="36">
        <f t="shared" si="2"/>
        <v>1.3778729809529298E-2</v>
      </c>
      <c r="E66" s="36">
        <f t="shared" si="1"/>
        <v>1.475394376364858E-2</v>
      </c>
    </row>
    <row r="67" spans="1:5" x14ac:dyDescent="0.35">
      <c r="A67" s="35">
        <v>22737</v>
      </c>
      <c r="B67" s="63">
        <f>VLOOKUP(A67,Database!A:L,MATCH($A$1,Database!$A$1:$L$1,),)</f>
        <v>17.577999999999999</v>
      </c>
      <c r="C67" s="37">
        <f t="shared" si="0"/>
        <v>3.8261664096853505E-3</v>
      </c>
      <c r="D67" s="36">
        <f t="shared" si="2"/>
        <v>1.4368976859599444E-2</v>
      </c>
      <c r="E67" s="36">
        <f t="shared" si="1"/>
        <v>1.5392727202833356E-2</v>
      </c>
    </row>
    <row r="68" spans="1:5" x14ac:dyDescent="0.35">
      <c r="A68" s="35">
        <v>22828</v>
      </c>
      <c r="B68" s="63">
        <f>VLOOKUP(A68,Database!A:L,MATCH($A$1,Database!$A$1:$L$1,),)</f>
        <v>17.635999999999999</v>
      </c>
      <c r="C68" s="37">
        <f t="shared" si="0"/>
        <v>3.2995790192285714E-3</v>
      </c>
      <c r="D68" s="36">
        <f t="shared" si="2"/>
        <v>1.3272048261993569E-2</v>
      </c>
      <c r="E68" s="36">
        <f t="shared" si="1"/>
        <v>1.3263783218663727E-2</v>
      </c>
    </row>
    <row r="69" spans="1:5" x14ac:dyDescent="0.35">
      <c r="A69" s="35">
        <v>22920</v>
      </c>
      <c r="B69" s="63">
        <f>VLOOKUP(A69,Database!A:L,MATCH($A$1,Database!$A$1:$L$1,),)</f>
        <v>17.669</v>
      </c>
      <c r="C69" s="37">
        <f t="shared" si="0"/>
        <v>1.871172601497009E-3</v>
      </c>
      <c r="D69" s="36">
        <f t="shared" si="2"/>
        <v>1.2724250587493628E-2</v>
      </c>
      <c r="E69" s="36">
        <f t="shared" si="1"/>
        <v>7.5057243457232747E-3</v>
      </c>
    </row>
    <row r="70" spans="1:5" x14ac:dyDescent="0.35">
      <c r="A70" s="35">
        <v>23012</v>
      </c>
      <c r="B70" s="63">
        <f>VLOOKUP(A70,Database!A:L,MATCH($A$1,Database!$A$1:$L$1,),)</f>
        <v>17.728000000000002</v>
      </c>
      <c r="C70" s="37">
        <f t="shared" si="0"/>
        <v>3.3391816175222734E-3</v>
      </c>
      <c r="D70" s="36">
        <f t="shared" si="2"/>
        <v>1.2392210610473549E-2</v>
      </c>
      <c r="E70" s="36">
        <f t="shared" si="1"/>
        <v>1.3423776326952019E-2</v>
      </c>
    </row>
    <row r="71" spans="1:5" x14ac:dyDescent="0.35">
      <c r="A71" s="35">
        <v>23102</v>
      </c>
      <c r="B71" s="63">
        <f>VLOOKUP(A71,Database!A:L,MATCH($A$1,Database!$A$1:$L$1,),)</f>
        <v>17.795000000000002</v>
      </c>
      <c r="C71" s="37">
        <f t="shared" si="0"/>
        <v>3.7793321299639084E-3</v>
      </c>
      <c r="D71" s="36">
        <f t="shared" si="2"/>
        <v>1.2344976675389823E-2</v>
      </c>
      <c r="E71" s="36">
        <f t="shared" si="1"/>
        <v>1.5203244758076107E-2</v>
      </c>
    </row>
    <row r="72" spans="1:5" x14ac:dyDescent="0.35">
      <c r="A72" s="35">
        <v>23193</v>
      </c>
      <c r="B72" s="63">
        <f>VLOOKUP(A72,Database!A:L,MATCH($A$1,Database!$A$1:$L$1,),)</f>
        <v>17.863</v>
      </c>
      <c r="C72" s="37">
        <f t="shared" si="0"/>
        <v>3.8212981174485998E-3</v>
      </c>
      <c r="D72" s="36">
        <f t="shared" si="2"/>
        <v>1.2871399410297139E-2</v>
      </c>
      <c r="E72" s="36">
        <f t="shared" si="1"/>
        <v>1.5373029798097626E-2</v>
      </c>
    </row>
    <row r="73" spans="1:5" x14ac:dyDescent="0.35">
      <c r="A73" s="35">
        <v>23285</v>
      </c>
      <c r="B73" s="63">
        <f>VLOOKUP(A73,Database!A:L,MATCH($A$1,Database!$A$1:$L$1,),)</f>
        <v>17.95</v>
      </c>
      <c r="C73" s="37">
        <f t="shared" si="0"/>
        <v>4.8704025079773696E-3</v>
      </c>
      <c r="D73" s="36">
        <f t="shared" si="2"/>
        <v>1.5903559907182001E-2</v>
      </c>
      <c r="E73" s="36">
        <f t="shared" si="1"/>
        <v>1.9624397637901358E-2</v>
      </c>
    </row>
    <row r="74" spans="1:5" x14ac:dyDescent="0.35">
      <c r="A74" s="35">
        <v>23377</v>
      </c>
      <c r="B74" s="63">
        <f>VLOOKUP(A74,Database!A:L,MATCH($A$1,Database!$A$1:$L$1,),)</f>
        <v>18.026</v>
      </c>
      <c r="C74" s="37">
        <f t="shared" si="0"/>
        <v>4.2339832869081068E-3</v>
      </c>
      <c r="D74" s="36">
        <f t="shared" si="2"/>
        <v>1.6809566787003512E-2</v>
      </c>
      <c r="E74" s="36">
        <f t="shared" si="1"/>
        <v>1.7043796759782737E-2</v>
      </c>
    </row>
    <row r="75" spans="1:5" x14ac:dyDescent="0.35">
      <c r="A75" s="35">
        <v>23468</v>
      </c>
      <c r="B75" s="63">
        <f>VLOOKUP(A75,Database!A:L,MATCH($A$1,Database!$A$1:$L$1,),)</f>
        <v>18.079000000000001</v>
      </c>
      <c r="C75" s="37">
        <f t="shared" si="0"/>
        <v>2.9401974925108636E-3</v>
      </c>
      <c r="D75" s="36">
        <f t="shared" si="2"/>
        <v>1.5959539196403423E-2</v>
      </c>
      <c r="E75" s="36">
        <f t="shared" si="1"/>
        <v>1.1812760281767476E-2</v>
      </c>
    </row>
    <row r="76" spans="1:5" x14ac:dyDescent="0.35">
      <c r="A76" s="35">
        <v>23559</v>
      </c>
      <c r="B76" s="63">
        <f>VLOOKUP(A76,Database!A:L,MATCH($A$1,Database!$A$1:$L$1,),)</f>
        <v>18.129000000000001</v>
      </c>
      <c r="C76" s="37">
        <f t="shared" si="0"/>
        <v>2.7656396924609053E-3</v>
      </c>
      <c r="D76" s="36">
        <f t="shared" si="2"/>
        <v>1.4891115714045894E-2</v>
      </c>
      <c r="E76" s="36">
        <f t="shared" si="1"/>
        <v>1.1108536020687731E-2</v>
      </c>
    </row>
    <row r="77" spans="1:5" x14ac:dyDescent="0.35">
      <c r="A77" s="35">
        <v>23651</v>
      </c>
      <c r="B77" s="63">
        <f>VLOOKUP(A77,Database!A:L,MATCH($A$1,Database!$A$1:$L$1,),)</f>
        <v>18.175000000000001</v>
      </c>
      <c r="C77" s="37">
        <f t="shared" si="0"/>
        <v>2.5373710629377996E-3</v>
      </c>
      <c r="D77" s="36">
        <f t="shared" si="2"/>
        <v>1.2534818941504258E-2</v>
      </c>
      <c r="E77" s="36">
        <f t="shared" si="1"/>
        <v>1.0188179149604348E-2</v>
      </c>
    </row>
    <row r="78" spans="1:5" x14ac:dyDescent="0.35">
      <c r="A78" s="35">
        <v>23743</v>
      </c>
      <c r="B78" s="63">
        <f>VLOOKUP(A78,Database!A:L,MATCH($A$1,Database!$A$1:$L$1,),)</f>
        <v>18.244</v>
      </c>
      <c r="C78" s="37">
        <f t="shared" si="0"/>
        <v>3.7964236588720252E-3</v>
      </c>
      <c r="D78" s="36">
        <f t="shared" si="2"/>
        <v>1.2093642516365249E-2</v>
      </c>
      <c r="E78" s="36">
        <f t="shared" si="1"/>
        <v>1.5272390707678607E-2</v>
      </c>
    </row>
    <row r="79" spans="1:5" x14ac:dyDescent="0.35">
      <c r="A79" s="35">
        <v>23833</v>
      </c>
      <c r="B79" s="63">
        <f>VLOOKUP(A79,Database!A:L,MATCH($A$1,Database!$A$1:$L$1,),)</f>
        <v>18.300999999999998</v>
      </c>
      <c r="C79" s="37">
        <f t="shared" si="0"/>
        <v>3.1243148432360561E-3</v>
      </c>
      <c r="D79" s="36">
        <f t="shared" si="2"/>
        <v>1.2279440234526122E-2</v>
      </c>
      <c r="E79" s="36">
        <f t="shared" si="1"/>
        <v>1.2555949517704335E-2</v>
      </c>
    </row>
    <row r="80" spans="1:5" x14ac:dyDescent="0.35">
      <c r="A80" s="35">
        <v>23924</v>
      </c>
      <c r="B80" s="63">
        <f>VLOOKUP(A80,Database!A:L,MATCH($A$1,Database!$A$1:$L$1,),)</f>
        <v>18.358000000000001</v>
      </c>
      <c r="C80" s="37">
        <f t="shared" si="0"/>
        <v>3.1145839025191065E-3</v>
      </c>
      <c r="D80" s="36">
        <f t="shared" si="2"/>
        <v>1.2631695074190478E-2</v>
      </c>
      <c r="E80" s="36">
        <f t="shared" si="1"/>
        <v>1.25166603552338E-2</v>
      </c>
    </row>
    <row r="81" spans="1:5" x14ac:dyDescent="0.35">
      <c r="A81" s="35">
        <v>24016</v>
      </c>
      <c r="B81" s="63">
        <f>VLOOKUP(A81,Database!A:L,MATCH($A$1,Database!$A$1:$L$1,),)</f>
        <v>18.419</v>
      </c>
      <c r="C81" s="37">
        <f t="shared" si="0"/>
        <v>3.3228020481533903E-3</v>
      </c>
      <c r="D81" s="36">
        <f t="shared" si="2"/>
        <v>1.3425034387895447E-2</v>
      </c>
      <c r="E81" s="36">
        <f t="shared" si="1"/>
        <v>1.3357601143633824E-2</v>
      </c>
    </row>
    <row r="82" spans="1:5" x14ac:dyDescent="0.35">
      <c r="A82" s="35">
        <v>24108</v>
      </c>
      <c r="B82" s="63">
        <f>VLOOKUP(A82,Database!A:L,MATCH($A$1,Database!$A$1:$L$1,),)</f>
        <v>18.510999999999999</v>
      </c>
      <c r="C82" s="37">
        <f t="shared" si="0"/>
        <v>4.9948422824256881E-3</v>
      </c>
      <c r="D82" s="36">
        <f t="shared" si="2"/>
        <v>1.4634948476211327E-2</v>
      </c>
      <c r="E82" s="36">
        <f t="shared" si="1"/>
        <v>2.0129558902966416E-2</v>
      </c>
    </row>
    <row r="83" spans="1:5" x14ac:dyDescent="0.35">
      <c r="A83" s="35">
        <v>24198</v>
      </c>
      <c r="B83" s="63">
        <f>VLOOKUP(A83,Database!A:L,MATCH($A$1,Database!$A$1:$L$1,),)</f>
        <v>18.661000000000001</v>
      </c>
      <c r="C83" s="37">
        <f t="shared" si="0"/>
        <v>8.1032899357140146E-3</v>
      </c>
      <c r="D83" s="36">
        <f t="shared" si="2"/>
        <v>1.967105622643588E-2</v>
      </c>
      <c r="E83" s="36">
        <f t="shared" si="1"/>
        <v>3.2809272256504096E-2</v>
      </c>
    </row>
    <row r="84" spans="1:5" x14ac:dyDescent="0.35">
      <c r="A84" s="35">
        <v>24289</v>
      </c>
      <c r="B84" s="63">
        <f>VLOOKUP(A84,Database!A:L,MATCH($A$1,Database!$A$1:$L$1,),)</f>
        <v>18.815000000000001</v>
      </c>
      <c r="C84" s="37">
        <f t="shared" si="0"/>
        <v>8.25250522480038E-3</v>
      </c>
      <c r="D84" s="36">
        <f t="shared" si="2"/>
        <v>2.4893779278788577E-2</v>
      </c>
      <c r="E84" s="36">
        <f t="shared" si="1"/>
        <v>3.3420896701510827E-2</v>
      </c>
    </row>
    <row r="85" spans="1:5" x14ac:dyDescent="0.35">
      <c r="A85" s="35">
        <v>24381</v>
      </c>
      <c r="B85" s="63">
        <f>VLOOKUP(A85,Database!A:L,MATCH($A$1,Database!$A$1:$L$1,),)</f>
        <v>18.978000000000002</v>
      </c>
      <c r="C85" s="37">
        <f t="shared" si="0"/>
        <v>8.6633005580653861E-3</v>
      </c>
      <c r="D85" s="36">
        <f t="shared" si="2"/>
        <v>3.0349096042130465E-2</v>
      </c>
      <c r="E85" s="36">
        <f t="shared" si="1"/>
        <v>3.5106125343581374E-2</v>
      </c>
    </row>
    <row r="86" spans="1:5" x14ac:dyDescent="0.35">
      <c r="A86" s="35">
        <v>24473</v>
      </c>
      <c r="B86" s="63">
        <f>VLOOKUP(A86,Database!A:L,MATCH($A$1,Database!$A$1:$L$1,),)</f>
        <v>19.082000000000001</v>
      </c>
      <c r="C86" s="37">
        <f t="shared" si="0"/>
        <v>5.4800295078511535E-3</v>
      </c>
      <c r="D86" s="36">
        <f t="shared" si="2"/>
        <v>3.084652368861766E-2</v>
      </c>
      <c r="E86" s="36">
        <f t="shared" si="1"/>
        <v>2.2100961550692189E-2</v>
      </c>
    </row>
    <row r="87" spans="1:5" x14ac:dyDescent="0.35">
      <c r="A87" s="35">
        <v>24563</v>
      </c>
      <c r="B87" s="63">
        <f>VLOOKUP(A87,Database!A:L,MATCH($A$1,Database!$A$1:$L$1,),)</f>
        <v>19.21</v>
      </c>
      <c r="C87" s="37">
        <f t="shared" si="0"/>
        <v>6.7078922544806683E-3</v>
      </c>
      <c r="D87" s="36">
        <f t="shared" si="2"/>
        <v>2.9419645249450697E-2</v>
      </c>
      <c r="E87" s="36">
        <f t="shared" si="1"/>
        <v>2.710275326194278E-2</v>
      </c>
    </row>
    <row r="88" spans="1:5" x14ac:dyDescent="0.35">
      <c r="A88" s="35">
        <v>24654</v>
      </c>
      <c r="B88" s="63">
        <f>VLOOKUP(A88,Database!A:L,MATCH($A$1,Database!$A$1:$L$1,),)</f>
        <v>19.385000000000002</v>
      </c>
      <c r="C88" s="37">
        <f t="shared" si="0"/>
        <v>9.1098386257158093E-3</v>
      </c>
      <c r="D88" s="36">
        <f t="shared" si="2"/>
        <v>3.0294977411639661E-2</v>
      </c>
      <c r="E88" s="36">
        <f t="shared" si="1"/>
        <v>3.6940320420196793E-2</v>
      </c>
    </row>
    <row r="89" spans="1:5" x14ac:dyDescent="0.35">
      <c r="A89" s="35">
        <v>24746</v>
      </c>
      <c r="B89" s="63">
        <f>VLOOKUP(A89,Database!A:L,MATCH($A$1,Database!$A$1:$L$1,),)</f>
        <v>19.579999999999998</v>
      </c>
      <c r="C89" s="37">
        <f t="shared" si="0"/>
        <v>1.0059324219757375E-2</v>
      </c>
      <c r="D89" s="36">
        <f t="shared" si="2"/>
        <v>3.1720940035830786E-2</v>
      </c>
      <c r="E89" s="36">
        <f t="shared" si="1"/>
        <v>4.0848518753217711E-2</v>
      </c>
    </row>
    <row r="90" spans="1:5" x14ac:dyDescent="0.35">
      <c r="A90" s="35">
        <v>24838</v>
      </c>
      <c r="B90" s="63">
        <f>VLOOKUP(A90,Database!A:L,MATCH($A$1,Database!$A$1:$L$1,),)</f>
        <v>19.803000000000001</v>
      </c>
      <c r="C90" s="37">
        <f t="shared" si="0"/>
        <v>1.1389172625127812E-2</v>
      </c>
      <c r="D90" s="36">
        <f t="shared" si="2"/>
        <v>3.7784299339691858E-2</v>
      </c>
      <c r="E90" s="36">
        <f t="shared" si="1"/>
        <v>4.6340896151073618E-2</v>
      </c>
    </row>
    <row r="91" spans="1:5" x14ac:dyDescent="0.35">
      <c r="A91" s="35">
        <v>24929</v>
      </c>
      <c r="B91" s="63">
        <f>VLOOKUP(A91,Database!A:L,MATCH($A$1,Database!$A$1:$L$1,),)</f>
        <v>20.033000000000001</v>
      </c>
      <c r="C91" s="37">
        <f t="shared" si="0"/>
        <v>1.1614401858304318E-2</v>
      </c>
      <c r="D91" s="36">
        <f t="shared" si="2"/>
        <v>4.2842269651223341E-2</v>
      </c>
      <c r="E91" s="36">
        <f t="shared" si="1"/>
        <v>4.7273258480707625E-2</v>
      </c>
    </row>
    <row r="92" spans="1:5" x14ac:dyDescent="0.35">
      <c r="A92" s="35">
        <v>25020</v>
      </c>
      <c r="B92" s="63">
        <f>VLOOKUP(A92,Database!A:L,MATCH($A$1,Database!$A$1:$L$1,),)</f>
        <v>20.257999999999999</v>
      </c>
      <c r="C92" s="37">
        <f t="shared" si="0"/>
        <v>1.1231468077671735E-2</v>
      </c>
      <c r="D92" s="36">
        <f t="shared" si="2"/>
        <v>4.5034820737683647E-2</v>
      </c>
      <c r="E92" s="36">
        <f t="shared" si="1"/>
        <v>4.5688430688028081E-2</v>
      </c>
    </row>
    <row r="93" spans="1:5" x14ac:dyDescent="0.35">
      <c r="A93" s="35">
        <v>25112</v>
      </c>
      <c r="B93" s="63">
        <f>VLOOKUP(A93,Database!A:L,MATCH($A$1,Database!$A$1:$L$1,),)</f>
        <v>20.492999999999999</v>
      </c>
      <c r="C93" s="37">
        <f t="shared" si="0"/>
        <v>1.1600355415144606E-2</v>
      </c>
      <c r="D93" s="36">
        <f t="shared" si="2"/>
        <v>4.6629213483146081E-2</v>
      </c>
      <c r="E93" s="36">
        <f t="shared" si="1"/>
        <v>4.7215093401651087E-2</v>
      </c>
    </row>
    <row r="94" spans="1:5" x14ac:dyDescent="0.35">
      <c r="A94" s="35">
        <v>25204</v>
      </c>
      <c r="B94" s="63">
        <f>VLOOKUP(A94,Database!A:L,MATCH($A$1,Database!$A$1:$L$1,),)</f>
        <v>20.716999999999999</v>
      </c>
      <c r="C94" s="37">
        <f t="shared" si="0"/>
        <v>1.0930561655199346E-2</v>
      </c>
      <c r="D94" s="36">
        <f t="shared" si="2"/>
        <v>4.6154623036913492E-2</v>
      </c>
      <c r="E94" s="36">
        <f t="shared" si="1"/>
        <v>4.4444347774828641E-2</v>
      </c>
    </row>
    <row r="95" spans="1:5" x14ac:dyDescent="0.35">
      <c r="A95" s="35">
        <v>25294</v>
      </c>
      <c r="B95" s="63">
        <f>VLOOKUP(A95,Database!A:L,MATCH($A$1,Database!$A$1:$L$1,),)</f>
        <v>20.965</v>
      </c>
      <c r="C95" s="37">
        <f t="shared" si="0"/>
        <v>1.197084519959459E-2</v>
      </c>
      <c r="D95" s="36">
        <f t="shared" si="2"/>
        <v>4.6523236659511732E-2</v>
      </c>
      <c r="E95" s="36">
        <f t="shared" si="1"/>
        <v>4.8750069885155511E-2</v>
      </c>
    </row>
    <row r="96" spans="1:5" x14ac:dyDescent="0.35">
      <c r="A96" s="35">
        <v>25385</v>
      </c>
      <c r="B96" s="63">
        <f>VLOOKUP(A96,Database!A:L,MATCH($A$1,Database!$A$1:$L$1,),)</f>
        <v>21.207000000000001</v>
      </c>
      <c r="C96" s="37">
        <f t="shared" si="0"/>
        <v>1.1543047937037962E-2</v>
      </c>
      <c r="D96" s="36">
        <f t="shared" si="2"/>
        <v>4.6845690591371392E-2</v>
      </c>
      <c r="E96" s="36">
        <f t="shared" si="1"/>
        <v>4.6977813308757721E-2</v>
      </c>
    </row>
    <row r="97" spans="1:5" x14ac:dyDescent="0.35">
      <c r="A97" s="35">
        <v>25477</v>
      </c>
      <c r="B97" s="63">
        <f>VLOOKUP(A97,Database!A:L,MATCH($A$1,Database!$A$1:$L$1,),)</f>
        <v>21.456</v>
      </c>
      <c r="C97" s="37">
        <f t="shared" si="0"/>
        <v>1.1741406139482189E-2</v>
      </c>
      <c r="D97" s="36">
        <f t="shared" si="2"/>
        <v>4.6991655687307912E-2</v>
      </c>
      <c r="E97" s="36">
        <f t="shared" si="1"/>
        <v>4.779928198230543E-2</v>
      </c>
    </row>
    <row r="98" spans="1:5" x14ac:dyDescent="0.35">
      <c r="A98" s="35">
        <v>25569</v>
      </c>
      <c r="B98" s="63">
        <f>VLOOKUP(A98,Database!A:L,MATCH($A$1,Database!$A$1:$L$1,),)</f>
        <v>21.69</v>
      </c>
      <c r="C98" s="37">
        <f t="shared" si="0"/>
        <v>1.0906040268456459E-2</v>
      </c>
      <c r="D98" s="36">
        <f t="shared" si="2"/>
        <v>4.696625959357062E-2</v>
      </c>
      <c r="E98" s="36">
        <f t="shared" si="1"/>
        <v>4.4343014239484946E-2</v>
      </c>
    </row>
    <row r="99" spans="1:5" x14ac:dyDescent="0.35">
      <c r="A99" s="35">
        <v>25659</v>
      </c>
      <c r="B99" s="63">
        <f>VLOOKUP(A99,Database!A:L,MATCH($A$1,Database!$A$1:$L$1,),)</f>
        <v>21.934999999999999</v>
      </c>
      <c r="C99" s="37">
        <f t="shared" si="0"/>
        <v>1.1295527893038148E-2</v>
      </c>
      <c r="D99" s="36">
        <f t="shared" si="2"/>
        <v>4.6267588838540367E-2</v>
      </c>
      <c r="E99" s="36">
        <f t="shared" si="1"/>
        <v>4.595342629157928E-2</v>
      </c>
    </row>
    <row r="100" spans="1:5" x14ac:dyDescent="0.35">
      <c r="A100" s="35">
        <v>25750</v>
      </c>
      <c r="B100" s="63">
        <f>VLOOKUP(A100,Database!A:L,MATCH($A$1,Database!$A$1:$L$1,),)</f>
        <v>22.178999999999998</v>
      </c>
      <c r="C100" s="37">
        <f t="shared" si="0"/>
        <v>1.112377478914975E-2</v>
      </c>
      <c r="D100" s="36">
        <f t="shared" si="2"/>
        <v>4.5833922761352279E-2</v>
      </c>
      <c r="E100" s="36">
        <f t="shared" si="1"/>
        <v>4.5243050411985397E-2</v>
      </c>
    </row>
    <row r="101" spans="1:5" x14ac:dyDescent="0.35">
      <c r="A101" s="35">
        <v>25842</v>
      </c>
      <c r="B101" s="63">
        <f>VLOOKUP(A101,Database!A:L,MATCH($A$1,Database!$A$1:$L$1,),)</f>
        <v>22.491</v>
      </c>
      <c r="C101" s="37">
        <f t="shared" si="0"/>
        <v>1.4067361017178466E-2</v>
      </c>
      <c r="D101" s="36">
        <f t="shared" si="2"/>
        <v>4.8238255033557054E-2</v>
      </c>
      <c r="E101" s="36">
        <f t="shared" si="1"/>
        <v>5.7467962301983366E-2</v>
      </c>
    </row>
    <row r="102" spans="1:5" x14ac:dyDescent="0.35">
      <c r="A102" s="35">
        <v>25934</v>
      </c>
      <c r="B102" s="63">
        <f>VLOOKUP(A102,Database!A:L,MATCH($A$1,Database!$A$1:$L$1,),)</f>
        <v>22.776</v>
      </c>
      <c r="C102" s="37">
        <f t="shared" si="0"/>
        <v>1.2671735360810997E-2</v>
      </c>
      <c r="D102" s="36">
        <f t="shared" si="2"/>
        <v>5.0069156293222609E-2</v>
      </c>
      <c r="E102" s="36">
        <f t="shared" si="1"/>
        <v>5.1658543437236082E-2</v>
      </c>
    </row>
    <row r="103" spans="1:5" x14ac:dyDescent="0.35">
      <c r="A103" s="35">
        <v>26024</v>
      </c>
      <c r="B103" s="63">
        <f>VLOOKUP(A103,Database!A:L,MATCH($A$1,Database!$A$1:$L$1,),)</f>
        <v>23.036000000000001</v>
      </c>
      <c r="C103" s="37">
        <f t="shared" si="0"/>
        <v>1.141552511415532E-2</v>
      </c>
      <c r="D103" s="36">
        <f t="shared" si="2"/>
        <v>5.0193754273991462E-2</v>
      </c>
      <c r="E103" s="36">
        <f t="shared" si="1"/>
        <v>4.6449953140920597E-2</v>
      </c>
    </row>
    <row r="104" spans="1:5" x14ac:dyDescent="0.35">
      <c r="A104" s="35">
        <v>26115</v>
      </c>
      <c r="B104" s="63">
        <f>VLOOKUP(A104,Database!A:L,MATCH($A$1,Database!$A$1:$L$1,),)</f>
        <v>23.253</v>
      </c>
      <c r="C104" s="37">
        <f t="shared" si="0"/>
        <v>9.4200382010765204E-3</v>
      </c>
      <c r="D104" s="36">
        <f t="shared" si="2"/>
        <v>4.8424185039902687E-2</v>
      </c>
      <c r="E104" s="36">
        <f t="shared" si="1"/>
        <v>3.8215927025071039E-2</v>
      </c>
    </row>
    <row r="105" spans="1:5" x14ac:dyDescent="0.35">
      <c r="A105" s="35">
        <v>26207</v>
      </c>
      <c r="B105" s="63">
        <f>VLOOKUP(A105,Database!A:L,MATCH($A$1,Database!$A$1:$L$1,),)</f>
        <v>23.385000000000002</v>
      </c>
      <c r="C105" s="37">
        <f t="shared" si="0"/>
        <v>5.676686879112435E-3</v>
      </c>
      <c r="D105" s="36">
        <f t="shared" si="2"/>
        <v>3.9749233026544033E-2</v>
      </c>
      <c r="E105" s="36">
        <f t="shared" si="1"/>
        <v>2.2900828918232197E-2</v>
      </c>
    </row>
    <row r="106" spans="1:5" x14ac:dyDescent="0.35">
      <c r="A106" s="35">
        <v>26299</v>
      </c>
      <c r="B106" s="63">
        <f>VLOOKUP(A106,Database!A:L,MATCH($A$1,Database!$A$1:$L$1,),)</f>
        <v>23.609000000000002</v>
      </c>
      <c r="C106" s="37">
        <f t="shared" si="0"/>
        <v>9.5787898225358215E-3</v>
      </c>
      <c r="D106" s="36">
        <f t="shared" si="2"/>
        <v>3.6573586231120565E-2</v>
      </c>
      <c r="E106" s="36">
        <f t="shared" si="1"/>
        <v>3.886920253460957E-2</v>
      </c>
    </row>
    <row r="107" spans="1:5" x14ac:dyDescent="0.35">
      <c r="A107" s="35">
        <v>26390</v>
      </c>
      <c r="B107" s="63">
        <f>VLOOKUP(A107,Database!A:L,MATCH($A$1,Database!$A$1:$L$1,),)</f>
        <v>23.768999999999998</v>
      </c>
      <c r="C107" s="37">
        <f t="shared" si="0"/>
        <v>6.7770765386080132E-3</v>
      </c>
      <c r="D107" s="36">
        <f t="shared" si="2"/>
        <v>3.1819760375064982E-2</v>
      </c>
      <c r="E107" s="36">
        <f t="shared" si="1"/>
        <v>2.738512591340525E-2</v>
      </c>
    </row>
    <row r="108" spans="1:5" x14ac:dyDescent="0.35">
      <c r="A108" s="35">
        <v>26481</v>
      </c>
      <c r="B108" s="63">
        <f>VLOOKUP(A108,Database!A:L,MATCH($A$1,Database!$A$1:$L$1,),)</f>
        <v>23.948</v>
      </c>
      <c r="C108" s="37">
        <f t="shared" si="0"/>
        <v>7.5308174513022026E-3</v>
      </c>
      <c r="D108" s="36">
        <f t="shared" si="2"/>
        <v>2.9888616522599245E-2</v>
      </c>
      <c r="E108" s="36">
        <f t="shared" si="1"/>
        <v>3.046526067787747E-2</v>
      </c>
    </row>
    <row r="109" spans="1:5" x14ac:dyDescent="0.35">
      <c r="A109" s="35">
        <v>26573</v>
      </c>
      <c r="B109" s="63">
        <f>VLOOKUP(A109,Database!A:L,MATCH($A$1,Database!$A$1:$L$1,),)</f>
        <v>24.097999999999999</v>
      </c>
      <c r="C109" s="37">
        <f t="shared" si="0"/>
        <v>6.2635710706530224E-3</v>
      </c>
      <c r="D109" s="36">
        <f t="shared" si="2"/>
        <v>3.0489630104767899E-2</v>
      </c>
      <c r="E109" s="36">
        <f t="shared" si="1"/>
        <v>2.5290662694892774E-2</v>
      </c>
    </row>
    <row r="110" spans="1:5" x14ac:dyDescent="0.35">
      <c r="A110" s="35">
        <v>26665</v>
      </c>
      <c r="B110" s="63">
        <f>VLOOKUP(A110,Database!A:L,MATCH($A$1,Database!$A$1:$L$1,),)</f>
        <v>24.265999999999998</v>
      </c>
      <c r="C110" s="37">
        <f t="shared" si="0"/>
        <v>6.9715329072951807E-3</v>
      </c>
      <c r="D110" s="36">
        <f t="shared" si="2"/>
        <v>2.7828370536659597E-2</v>
      </c>
      <c r="E110" s="36">
        <f t="shared" si="1"/>
        <v>2.8179102947155421E-2</v>
      </c>
    </row>
    <row r="111" spans="1:5" x14ac:dyDescent="0.35">
      <c r="A111" s="35">
        <v>26755</v>
      </c>
      <c r="B111" s="63">
        <f>VLOOKUP(A111,Database!A:L,MATCH($A$1,Database!$A$1:$L$1,),)</f>
        <v>24.597000000000001</v>
      </c>
      <c r="C111" s="37">
        <f t="shared" si="0"/>
        <v>1.3640484628698718E-2</v>
      </c>
      <c r="D111" s="36">
        <f t="shared" si="2"/>
        <v>3.4835289663006565E-2</v>
      </c>
      <c r="E111" s="36">
        <f t="shared" si="1"/>
        <v>5.5688502007797513E-2</v>
      </c>
    </row>
    <row r="112" spans="1:5" x14ac:dyDescent="0.35">
      <c r="A112" s="35">
        <v>26846</v>
      </c>
      <c r="B112" s="63">
        <f>VLOOKUP(A112,Database!A:L,MATCH($A$1,Database!$A$1:$L$1,),)</f>
        <v>24.923999999999999</v>
      </c>
      <c r="C112" s="37">
        <f t="shared" si="0"/>
        <v>1.329430418343693E-2</v>
      </c>
      <c r="D112" s="36">
        <f t="shared" si="2"/>
        <v>4.0754969099716015E-2</v>
      </c>
      <c r="E112" s="36">
        <f t="shared" si="1"/>
        <v>5.4247077575365399E-2</v>
      </c>
    </row>
    <row r="113" spans="1:5" x14ac:dyDescent="0.35">
      <c r="A113" s="35">
        <v>26938</v>
      </c>
      <c r="B113" s="63">
        <f>VLOOKUP(A113,Database!A:L,MATCH($A$1,Database!$A$1:$L$1,),)</f>
        <v>25.271000000000001</v>
      </c>
      <c r="C113" s="37">
        <f t="shared" si="0"/>
        <v>1.3922323864548279E-2</v>
      </c>
      <c r="D113" s="36">
        <f t="shared" si="2"/>
        <v>4.8676238692007712E-2</v>
      </c>
      <c r="E113" s="36">
        <f t="shared" si="1"/>
        <v>5.6863113956921785E-2</v>
      </c>
    </row>
    <row r="114" spans="1:5" x14ac:dyDescent="0.35">
      <c r="A114" s="35">
        <v>27030</v>
      </c>
      <c r="B114" s="63">
        <f>VLOOKUP(A114,Database!A:L,MATCH($A$1,Database!$A$1:$L$1,),)</f>
        <v>25.704000000000001</v>
      </c>
      <c r="C114" s="37">
        <f t="shared" si="0"/>
        <v>1.7134264572039089E-2</v>
      </c>
      <c r="D114" s="36">
        <f t="shared" si="2"/>
        <v>5.925986977664232E-2</v>
      </c>
      <c r="E114" s="36">
        <f t="shared" si="1"/>
        <v>7.0318763930415917E-2</v>
      </c>
    </row>
    <row r="115" spans="1:5" x14ac:dyDescent="0.35">
      <c r="A115" s="35">
        <v>27120</v>
      </c>
      <c r="B115" s="63">
        <f>VLOOKUP(A115,Database!A:L,MATCH($A$1,Database!$A$1:$L$1,),)</f>
        <v>26.343</v>
      </c>
      <c r="C115" s="37">
        <f t="shared" si="0"/>
        <v>2.4859943977591011E-2</v>
      </c>
      <c r="D115" s="36">
        <f t="shared" si="2"/>
        <v>7.0984266373947988E-2</v>
      </c>
      <c r="E115" s="36">
        <f t="shared" si="1"/>
        <v>0.10320971419610991</v>
      </c>
    </row>
    <row r="116" spans="1:5" x14ac:dyDescent="0.35">
      <c r="A116" s="35">
        <v>27211</v>
      </c>
      <c r="B116" s="63">
        <f>VLOOKUP(A116,Database!A:L,MATCH($A$1,Database!$A$1:$L$1,),)</f>
        <v>27.096</v>
      </c>
      <c r="C116" s="37">
        <f t="shared" si="0"/>
        <v>2.8584443685229478E-2</v>
      </c>
      <c r="D116" s="36">
        <f t="shared" si="2"/>
        <v>8.714492055849786E-2</v>
      </c>
      <c r="E116" s="36">
        <f t="shared" si="1"/>
        <v>0.1193342868834748</v>
      </c>
    </row>
    <row r="117" spans="1:5" x14ac:dyDescent="0.35">
      <c r="A117" s="35">
        <v>27303</v>
      </c>
      <c r="B117" s="63">
        <f>VLOOKUP(A117,Database!A:L,MATCH($A$1,Database!$A$1:$L$1,),)</f>
        <v>27.757999999999999</v>
      </c>
      <c r="C117" s="37">
        <f t="shared" si="0"/>
        <v>2.4431650428107434E-2</v>
      </c>
      <c r="D117" s="36">
        <f t="shared" si="2"/>
        <v>9.8413200902219861E-2</v>
      </c>
      <c r="E117" s="36">
        <f t="shared" si="1"/>
        <v>0.10136672481472964</v>
      </c>
    </row>
    <row r="118" spans="1:5" x14ac:dyDescent="0.35">
      <c r="A118" s="35">
        <v>27395</v>
      </c>
      <c r="B118" s="63">
        <f>VLOOKUP(A118,Database!A:L,MATCH($A$1,Database!$A$1:$L$1,),)</f>
        <v>28.300999999999998</v>
      </c>
      <c r="C118" s="37">
        <f t="shared" si="0"/>
        <v>1.956192809280205E-2</v>
      </c>
      <c r="D118" s="36">
        <f t="shared" si="2"/>
        <v>0.10103485838779948</v>
      </c>
      <c r="E118" s="36">
        <f t="shared" si="1"/>
        <v>8.057381596729174E-2</v>
      </c>
    </row>
    <row r="119" spans="1:5" x14ac:dyDescent="0.35">
      <c r="A119" s="35">
        <v>27485</v>
      </c>
      <c r="B119" s="63">
        <f>VLOOKUP(A119,Database!A:L,MATCH($A$1,Database!$A$1:$L$1,),)</f>
        <v>28.731999999999999</v>
      </c>
      <c r="C119" s="37">
        <f t="shared" ref="C119:C182" si="3">(B119-B118)/B118</f>
        <v>1.5229143846507224E-2</v>
      </c>
      <c r="D119" s="36">
        <f t="shared" si="2"/>
        <v>9.0688228371863466E-2</v>
      </c>
      <c r="E119" s="36">
        <f t="shared" ref="E119:E182" si="4">((1+C119)^4)-1</f>
        <v>6.2322318297620471E-2</v>
      </c>
    </row>
    <row r="120" spans="1:5" x14ac:dyDescent="0.35">
      <c r="A120" s="35">
        <v>27576</v>
      </c>
      <c r="B120" s="63">
        <f>VLOOKUP(A120,Database!A:L,MATCH($A$1,Database!$A$1:$L$1,),)</f>
        <v>29.163</v>
      </c>
      <c r="C120" s="37">
        <f t="shared" si="3"/>
        <v>1.5000696087985554E-2</v>
      </c>
      <c r="D120" s="36">
        <f t="shared" si="2"/>
        <v>7.6284322409211694E-2</v>
      </c>
      <c r="E120" s="36">
        <f t="shared" si="4"/>
        <v>6.1366462164609503E-2</v>
      </c>
    </row>
    <row r="121" spans="1:5" x14ac:dyDescent="0.35">
      <c r="A121" s="35">
        <v>27668</v>
      </c>
      <c r="B121" s="63">
        <f>VLOOKUP(A121,Database!A:L,MATCH($A$1,Database!$A$1:$L$1,),)</f>
        <v>29.638000000000002</v>
      </c>
      <c r="C121" s="37">
        <f t="shared" si="3"/>
        <v>1.6287761890066227E-2</v>
      </c>
      <c r="D121" s="36">
        <f t="shared" si="2"/>
        <v>6.7728222494416124E-2</v>
      </c>
      <c r="E121" s="36">
        <f t="shared" si="4"/>
        <v>6.6760149062771168E-2</v>
      </c>
    </row>
    <row r="122" spans="1:5" x14ac:dyDescent="0.35">
      <c r="A122" s="35">
        <v>27760</v>
      </c>
      <c r="B122" s="63">
        <f>VLOOKUP(A122,Database!A:L,MATCH($A$1,Database!$A$1:$L$1,),)</f>
        <v>30.088000000000001</v>
      </c>
      <c r="C122" s="37">
        <f t="shared" si="3"/>
        <v>1.5183210742965088E-2</v>
      </c>
      <c r="D122" s="36">
        <f t="shared" ref="D122:D185" si="5">(B122-B118)/B118</f>
        <v>6.3142645136214356E-2</v>
      </c>
      <c r="E122" s="36">
        <f t="shared" si="4"/>
        <v>6.213007618219768E-2</v>
      </c>
    </row>
    <row r="123" spans="1:5" x14ac:dyDescent="0.35">
      <c r="A123" s="35">
        <v>27851</v>
      </c>
      <c r="B123" s="63">
        <f>VLOOKUP(A123,Database!A:L,MATCH($A$1,Database!$A$1:$L$1,),)</f>
        <v>30.449000000000002</v>
      </c>
      <c r="C123" s="37">
        <f t="shared" si="3"/>
        <v>1.1998138792874258E-2</v>
      </c>
      <c r="D123" s="36">
        <f t="shared" si="5"/>
        <v>5.9759153557009691E-2</v>
      </c>
      <c r="E123" s="36">
        <f t="shared" si="4"/>
        <v>4.8863216685926636E-2</v>
      </c>
    </row>
    <row r="124" spans="1:5" x14ac:dyDescent="0.35">
      <c r="A124" s="35">
        <v>27942</v>
      </c>
      <c r="B124" s="63">
        <f>VLOOKUP(A124,Database!A:L,MATCH($A$1,Database!$A$1:$L$1,),)</f>
        <v>30.925999999999998</v>
      </c>
      <c r="C124" s="37">
        <f t="shared" si="3"/>
        <v>1.5665539098164035E-2</v>
      </c>
      <c r="D124" s="36">
        <f t="shared" si="5"/>
        <v>6.0453314130919249E-2</v>
      </c>
      <c r="E124" s="36">
        <f t="shared" si="4"/>
        <v>6.4150049174065416E-2</v>
      </c>
    </row>
    <row r="125" spans="1:5" x14ac:dyDescent="0.35">
      <c r="A125" s="35">
        <v>28034</v>
      </c>
      <c r="B125" s="63">
        <f>VLOOKUP(A125,Database!A:L,MATCH($A$1,Database!$A$1:$L$1,),)</f>
        <v>31.41</v>
      </c>
      <c r="C125" s="37">
        <f t="shared" si="3"/>
        <v>1.5650261915540378E-2</v>
      </c>
      <c r="D125" s="36">
        <f t="shared" si="5"/>
        <v>5.9788109858964787E-2</v>
      </c>
      <c r="E125" s="36">
        <f t="shared" si="4"/>
        <v>6.4086024759659077E-2</v>
      </c>
    </row>
    <row r="126" spans="1:5" x14ac:dyDescent="0.35">
      <c r="A126" s="35">
        <v>28126</v>
      </c>
      <c r="B126" s="63">
        <f>VLOOKUP(A126,Database!A:L,MATCH($A$1,Database!$A$1:$L$1,),)</f>
        <v>31.939</v>
      </c>
      <c r="C126" s="37">
        <f t="shared" si="3"/>
        <v>1.6841770136899074E-2</v>
      </c>
      <c r="D126" s="36">
        <f t="shared" si="5"/>
        <v>6.1519542674820495E-2</v>
      </c>
      <c r="E126" s="36">
        <f t="shared" si="4"/>
        <v>6.9088140680745758E-2</v>
      </c>
    </row>
    <row r="127" spans="1:5" x14ac:dyDescent="0.35">
      <c r="A127" s="35">
        <v>28216</v>
      </c>
      <c r="B127" s="63">
        <f>VLOOKUP(A127,Database!A:L,MATCH($A$1,Database!$A$1:$L$1,),)</f>
        <v>32.427</v>
      </c>
      <c r="C127" s="37">
        <f t="shared" si="3"/>
        <v>1.5279125833620325E-2</v>
      </c>
      <c r="D127" s="36">
        <f t="shared" si="5"/>
        <v>6.4961082465762349E-2</v>
      </c>
      <c r="E127" s="36">
        <f t="shared" si="4"/>
        <v>6.2531535702369023E-2</v>
      </c>
    </row>
    <row r="128" spans="1:5" x14ac:dyDescent="0.35">
      <c r="A128" s="35">
        <v>28307</v>
      </c>
      <c r="B128" s="63">
        <f>VLOOKUP(A128,Database!A:L,MATCH($A$1,Database!$A$1:$L$1,),)</f>
        <v>32.966000000000001</v>
      </c>
      <c r="C128" s="37">
        <f t="shared" si="3"/>
        <v>1.6621950843432987E-2</v>
      </c>
      <c r="D128" s="36">
        <f t="shared" si="5"/>
        <v>6.5963913858889056E-2</v>
      </c>
      <c r="E128" s="36">
        <f t="shared" si="4"/>
        <v>6.8163985073848909E-2</v>
      </c>
    </row>
    <row r="129" spans="1:5" x14ac:dyDescent="0.35">
      <c r="A129" s="35">
        <v>28399</v>
      </c>
      <c r="B129" s="63">
        <f>VLOOKUP(A129,Database!A:L,MATCH($A$1,Database!$A$1:$L$1,),)</f>
        <v>33.445</v>
      </c>
      <c r="C129" s="37">
        <f t="shared" si="3"/>
        <v>1.4530121943820883E-2</v>
      </c>
      <c r="D129" s="36">
        <f t="shared" si="5"/>
        <v>6.4788283985991721E-2</v>
      </c>
      <c r="E129" s="36">
        <f t="shared" si="4"/>
        <v>5.9399549666677931E-2</v>
      </c>
    </row>
    <row r="130" spans="1:5" x14ac:dyDescent="0.35">
      <c r="A130" s="35">
        <v>28491</v>
      </c>
      <c r="B130" s="63">
        <f>VLOOKUP(A130,Database!A:L,MATCH($A$1,Database!$A$1:$L$1,),)</f>
        <v>33.966999999999999</v>
      </c>
      <c r="C130" s="37">
        <f t="shared" si="3"/>
        <v>1.5607714157572087E-2</v>
      </c>
      <c r="D130" s="36">
        <f t="shared" si="5"/>
        <v>6.3496039324963172E-2</v>
      </c>
      <c r="E130" s="36">
        <f t="shared" si="4"/>
        <v>6.3907728621906967E-2</v>
      </c>
    </row>
    <row r="131" spans="1:5" x14ac:dyDescent="0.35">
      <c r="A131" s="35">
        <v>28581</v>
      </c>
      <c r="B131" s="63">
        <f>VLOOKUP(A131,Database!A:L,MATCH($A$1,Database!$A$1:$L$1,),)</f>
        <v>34.552999999999997</v>
      </c>
      <c r="C131" s="37">
        <f t="shared" si="3"/>
        <v>1.7252038743486284E-2</v>
      </c>
      <c r="D131" s="36">
        <f t="shared" si="5"/>
        <v>6.5562648410275315E-2</v>
      </c>
      <c r="E131" s="36">
        <f t="shared" si="4"/>
        <v>7.0814579697297431E-2</v>
      </c>
    </row>
    <row r="132" spans="1:5" x14ac:dyDescent="0.35">
      <c r="A132" s="35">
        <v>28672</v>
      </c>
      <c r="B132" s="63">
        <f>VLOOKUP(A132,Database!A:L,MATCH($A$1,Database!$A$1:$L$1,),)</f>
        <v>35.146000000000001</v>
      </c>
      <c r="C132" s="37">
        <f t="shared" si="3"/>
        <v>1.7162040922640686E-2</v>
      </c>
      <c r="D132" s="36">
        <f t="shared" si="5"/>
        <v>6.6128738700479264E-2</v>
      </c>
      <c r="E132" s="36">
        <f t="shared" si="4"/>
        <v>7.0435683665013515E-2</v>
      </c>
    </row>
    <row r="133" spans="1:5" x14ac:dyDescent="0.35">
      <c r="A133" s="35">
        <v>28764</v>
      </c>
      <c r="B133" s="63">
        <f>VLOOKUP(A133,Database!A:L,MATCH($A$1,Database!$A$1:$L$1,),)</f>
        <v>35.777000000000001</v>
      </c>
      <c r="C133" s="37">
        <f t="shared" si="3"/>
        <v>1.7953678939281858E-2</v>
      </c>
      <c r="D133" s="36">
        <f t="shared" si="5"/>
        <v>6.9726416504709246E-2</v>
      </c>
      <c r="E133" s="36">
        <f t="shared" si="4"/>
        <v>7.3771975548218904E-2</v>
      </c>
    </row>
    <row r="134" spans="1:5" x14ac:dyDescent="0.35">
      <c r="A134" s="35">
        <v>28856</v>
      </c>
      <c r="B134" s="63">
        <f>VLOOKUP(A134,Database!A:L,MATCH($A$1,Database!$A$1:$L$1,),)</f>
        <v>36.265999999999998</v>
      </c>
      <c r="C134" s="37">
        <f t="shared" si="3"/>
        <v>1.3667998993766866E-2</v>
      </c>
      <c r="D134" s="36">
        <f t="shared" si="5"/>
        <v>6.7683339712073465E-2</v>
      </c>
      <c r="E134" s="36">
        <f t="shared" si="4"/>
        <v>5.580312955857214E-2</v>
      </c>
    </row>
    <row r="135" spans="1:5" x14ac:dyDescent="0.35">
      <c r="A135" s="35">
        <v>28946</v>
      </c>
      <c r="B135" s="63">
        <f>VLOOKUP(A135,Database!A:L,MATCH($A$1,Database!$A$1:$L$1,),)</f>
        <v>37.063000000000002</v>
      </c>
      <c r="C135" s="37">
        <f t="shared" si="3"/>
        <v>2.1976506921083223E-2</v>
      </c>
      <c r="D135" s="36">
        <f t="shared" si="5"/>
        <v>7.264202818858001E-2</v>
      </c>
      <c r="E135" s="36">
        <f t="shared" si="4"/>
        <v>9.0846517777886104E-2</v>
      </c>
    </row>
    <row r="136" spans="1:5" x14ac:dyDescent="0.35">
      <c r="A136" s="35">
        <v>29037</v>
      </c>
      <c r="B136" s="63">
        <f>VLOOKUP(A136,Database!A:L,MATCH($A$1,Database!$A$1:$L$1,),)</f>
        <v>37.747</v>
      </c>
      <c r="C136" s="37">
        <f t="shared" si="3"/>
        <v>1.8455063000836346E-2</v>
      </c>
      <c r="D136" s="36">
        <f t="shared" si="5"/>
        <v>7.4005576737039752E-2</v>
      </c>
      <c r="E136" s="36">
        <f t="shared" si="4"/>
        <v>7.5889046498313739E-2</v>
      </c>
    </row>
    <row r="137" spans="1:5" x14ac:dyDescent="0.35">
      <c r="A137" s="35">
        <v>29129</v>
      </c>
      <c r="B137" s="63">
        <f>VLOOKUP(A137,Database!A:L,MATCH($A$1,Database!$A$1:$L$1,),)</f>
        <v>38.533999999999999</v>
      </c>
      <c r="C137" s="37">
        <f t="shared" si="3"/>
        <v>2.084933902031947E-2</v>
      </c>
      <c r="D137" s="36">
        <f t="shared" si="5"/>
        <v>7.7060681443385348E-2</v>
      </c>
      <c r="E137" s="36">
        <f t="shared" si="4"/>
        <v>8.6041967074968362E-2</v>
      </c>
    </row>
    <row r="138" spans="1:5" x14ac:dyDescent="0.35">
      <c r="A138" s="35">
        <v>29221</v>
      </c>
      <c r="B138" s="63">
        <f>VLOOKUP(A138,Database!A:L,MATCH($A$1,Database!$A$1:$L$1,),)</f>
        <v>39.476999999999997</v>
      </c>
      <c r="C138" s="37">
        <f t="shared" si="3"/>
        <v>2.4471894949914304E-2</v>
      </c>
      <c r="D138" s="36">
        <f t="shared" si="5"/>
        <v>8.854023051894333E-2</v>
      </c>
      <c r="E138" s="36">
        <f t="shared" si="4"/>
        <v>0.10153980259539885</v>
      </c>
    </row>
    <row r="139" spans="1:5" x14ac:dyDescent="0.35">
      <c r="A139" s="35">
        <v>29312</v>
      </c>
      <c r="B139" s="63">
        <f>VLOOKUP(A139,Database!A:L,MATCH($A$1,Database!$A$1:$L$1,),)</f>
        <v>40.36</v>
      </c>
      <c r="C139" s="37">
        <f t="shared" si="3"/>
        <v>2.2367454467158161E-2</v>
      </c>
      <c r="D139" s="36">
        <f t="shared" si="5"/>
        <v>8.8956641394382446E-2</v>
      </c>
      <c r="E139" s="36">
        <f t="shared" si="4"/>
        <v>9.2516648307805704E-2</v>
      </c>
    </row>
    <row r="140" spans="1:5" x14ac:dyDescent="0.35">
      <c r="A140" s="35">
        <v>29403</v>
      </c>
      <c r="B140" s="63">
        <f>VLOOKUP(A140,Database!A:L,MATCH($A$1,Database!$A$1:$L$1,),)</f>
        <v>41.259</v>
      </c>
      <c r="C140" s="37">
        <f t="shared" si="3"/>
        <v>2.227452923686821E-2</v>
      </c>
      <c r="D140" s="36">
        <f t="shared" si="5"/>
        <v>9.3040506530320297E-2</v>
      </c>
      <c r="E140" s="36">
        <f t="shared" si="4"/>
        <v>9.2119497478529322E-2</v>
      </c>
    </row>
    <row r="141" spans="1:5" x14ac:dyDescent="0.35">
      <c r="A141" s="35">
        <v>29495</v>
      </c>
      <c r="B141" s="63">
        <f>VLOOKUP(A141,Database!A:L,MATCH($A$1,Database!$A$1:$L$1,),)</f>
        <v>42.264000000000003</v>
      </c>
      <c r="C141" s="37">
        <f t="shared" si="3"/>
        <v>2.4358321820693727E-2</v>
      </c>
      <c r="D141" s="36">
        <f t="shared" si="5"/>
        <v>9.6797633258940266E-2</v>
      </c>
      <c r="E141" s="36">
        <f t="shared" si="4"/>
        <v>0.10105141625430081</v>
      </c>
    </row>
    <row r="142" spans="1:5" x14ac:dyDescent="0.35">
      <c r="A142" s="35">
        <v>29587</v>
      </c>
      <c r="B142" s="63">
        <f>VLOOKUP(A142,Database!A:L,MATCH($A$1,Database!$A$1:$L$1,),)</f>
        <v>43.201999999999998</v>
      </c>
      <c r="C142" s="37">
        <f t="shared" si="3"/>
        <v>2.2193829263675829E-2</v>
      </c>
      <c r="D142" s="36">
        <f t="shared" si="5"/>
        <v>9.4358740532461988E-2</v>
      </c>
      <c r="E142" s="36">
        <f t="shared" si="4"/>
        <v>9.1774683728250039E-2</v>
      </c>
    </row>
    <row r="143" spans="1:5" x14ac:dyDescent="0.35">
      <c r="A143" s="35">
        <v>29677</v>
      </c>
      <c r="B143" s="63">
        <f>VLOOKUP(A143,Database!A:L,MATCH($A$1,Database!$A$1:$L$1,),)</f>
        <v>44.018000000000001</v>
      </c>
      <c r="C143" s="37">
        <f t="shared" si="3"/>
        <v>1.8888014443775809E-2</v>
      </c>
      <c r="D143" s="36">
        <f t="shared" si="5"/>
        <v>9.0634291377601622E-2</v>
      </c>
      <c r="E143" s="36">
        <f t="shared" si="4"/>
        <v>7.771968132074103E-2</v>
      </c>
    </row>
    <row r="144" spans="1:5" x14ac:dyDescent="0.35">
      <c r="A144" s="35">
        <v>29768</v>
      </c>
      <c r="B144" s="63">
        <f>VLOOKUP(A144,Database!A:L,MATCH($A$1,Database!$A$1:$L$1,),)</f>
        <v>44.829000000000001</v>
      </c>
      <c r="C144" s="37">
        <f t="shared" si="3"/>
        <v>1.8424280975964376E-2</v>
      </c>
      <c r="D144" s="36">
        <f t="shared" si="5"/>
        <v>8.6526576019777507E-2</v>
      </c>
      <c r="E144" s="36">
        <f t="shared" si="4"/>
        <v>7.5758980702890666E-2</v>
      </c>
    </row>
    <row r="145" spans="1:5" x14ac:dyDescent="0.35">
      <c r="A145" s="35">
        <v>29860</v>
      </c>
      <c r="B145" s="63">
        <f>VLOOKUP(A145,Database!A:L,MATCH($A$1,Database!$A$1:$L$1,),)</f>
        <v>45.625999999999998</v>
      </c>
      <c r="C145" s="37">
        <f t="shared" si="3"/>
        <v>1.7778670057328895E-2</v>
      </c>
      <c r="D145" s="36">
        <f t="shared" si="5"/>
        <v>7.9547605527162474E-2</v>
      </c>
      <c r="E145" s="36">
        <f t="shared" si="4"/>
        <v>7.3033744797620148E-2</v>
      </c>
    </row>
    <row r="146" spans="1:5" x14ac:dyDescent="0.35">
      <c r="A146" s="35">
        <v>29952</v>
      </c>
      <c r="B146" s="63">
        <f>VLOOKUP(A146,Database!A:L,MATCH($A$1,Database!$A$1:$L$1,),)</f>
        <v>46.293999999999997</v>
      </c>
      <c r="C146" s="37">
        <f t="shared" si="3"/>
        <v>1.4640774996712385E-2</v>
      </c>
      <c r="D146" s="36">
        <f t="shared" si="5"/>
        <v>7.1570760612934561E-2</v>
      </c>
      <c r="E146" s="36">
        <f t="shared" si="4"/>
        <v>5.9861812823519323E-2</v>
      </c>
    </row>
    <row r="147" spans="1:5" x14ac:dyDescent="0.35">
      <c r="A147" s="35">
        <v>30042</v>
      </c>
      <c r="B147" s="63">
        <f>VLOOKUP(A147,Database!A:L,MATCH($A$1,Database!$A$1:$L$1,),)</f>
        <v>46.92</v>
      </c>
      <c r="C147" s="37">
        <f t="shared" si="3"/>
        <v>1.3522270704627054E-2</v>
      </c>
      <c r="D147" s="36">
        <f t="shared" si="5"/>
        <v>6.5927575082920645E-2</v>
      </c>
      <c r="E147" s="36">
        <f t="shared" si="4"/>
        <v>5.5196117369770592E-2</v>
      </c>
    </row>
    <row r="148" spans="1:5" x14ac:dyDescent="0.35">
      <c r="A148" s="35">
        <v>30133</v>
      </c>
      <c r="B148" s="63">
        <f>VLOOKUP(A148,Database!A:L,MATCH($A$1,Database!$A$1:$L$1,),)</f>
        <v>47.671999999999997</v>
      </c>
      <c r="C148" s="37">
        <f t="shared" si="3"/>
        <v>1.6027280477408253E-2</v>
      </c>
      <c r="D148" s="36">
        <f t="shared" si="5"/>
        <v>6.3418769100359068E-2</v>
      </c>
      <c r="E148" s="36">
        <f t="shared" si="4"/>
        <v>6.5666898159348452E-2</v>
      </c>
    </row>
    <row r="149" spans="1:5" x14ac:dyDescent="0.35">
      <c r="A149" s="35">
        <v>30225</v>
      </c>
      <c r="B149" s="63">
        <f>VLOOKUP(A149,Database!A:L,MATCH($A$1,Database!$A$1:$L$1,),)</f>
        <v>48.335999999999999</v>
      </c>
      <c r="C149" s="37">
        <f t="shared" si="3"/>
        <v>1.3928511495217351E-2</v>
      </c>
      <c r="D149" s="36">
        <f t="shared" si="5"/>
        <v>5.939595844474644E-2</v>
      </c>
      <c r="E149" s="36">
        <f t="shared" si="4"/>
        <v>5.6888912929193181E-2</v>
      </c>
    </row>
    <row r="150" spans="1:5" x14ac:dyDescent="0.35">
      <c r="A150" s="35">
        <v>30317</v>
      </c>
      <c r="B150" s="63">
        <f>VLOOKUP(A150,Database!A:L,MATCH($A$1,Database!$A$1:$L$1,),)</f>
        <v>48.970999999999997</v>
      </c>
      <c r="C150" s="37">
        <f t="shared" si="3"/>
        <v>1.3137206223104891E-2</v>
      </c>
      <c r="D150" s="36">
        <f t="shared" si="5"/>
        <v>5.7826068172981374E-2</v>
      </c>
      <c r="E150" s="36">
        <f t="shared" si="4"/>
        <v>5.3593441003839892E-2</v>
      </c>
    </row>
    <row r="151" spans="1:5" x14ac:dyDescent="0.35">
      <c r="A151" s="35">
        <v>30407</v>
      </c>
      <c r="B151" s="63">
        <f>VLOOKUP(A151,Database!A:L,MATCH($A$1,Database!$A$1:$L$1,),)</f>
        <v>49.345999999999997</v>
      </c>
      <c r="C151" s="37">
        <f t="shared" si="3"/>
        <v>7.6575932694860228E-3</v>
      </c>
      <c r="D151" s="36">
        <f t="shared" si="5"/>
        <v>5.1705029838022054E-2</v>
      </c>
      <c r="E151" s="36">
        <f t="shared" si="4"/>
        <v>3.0984005050850527E-2</v>
      </c>
    </row>
    <row r="152" spans="1:5" x14ac:dyDescent="0.35">
      <c r="A152" s="35">
        <v>30498</v>
      </c>
      <c r="B152" s="63">
        <f>VLOOKUP(A152,Database!A:L,MATCH($A$1,Database!$A$1:$L$1,),)</f>
        <v>50.094999999999999</v>
      </c>
      <c r="C152" s="37">
        <f t="shared" si="3"/>
        <v>1.5178535240951696E-2</v>
      </c>
      <c r="D152" s="36">
        <f t="shared" si="5"/>
        <v>5.0826480953180105E-2</v>
      </c>
      <c r="E152" s="36">
        <f t="shared" si="4"/>
        <v>6.2110509440154615E-2</v>
      </c>
    </row>
    <row r="153" spans="1:5" x14ac:dyDescent="0.35">
      <c r="A153" s="35">
        <v>30590</v>
      </c>
      <c r="B153" s="63">
        <f>VLOOKUP(A153,Database!A:L,MATCH($A$1,Database!$A$1:$L$1,),)</f>
        <v>50.496000000000002</v>
      </c>
      <c r="C153" s="37">
        <f t="shared" si="3"/>
        <v>8.0047908972952064E-3</v>
      </c>
      <c r="D153" s="36">
        <f t="shared" si="5"/>
        <v>4.4687189672294021E-2</v>
      </c>
      <c r="E153" s="36">
        <f t="shared" si="4"/>
        <v>3.2405679440470569E-2</v>
      </c>
    </row>
    <row r="154" spans="1:5" x14ac:dyDescent="0.35">
      <c r="A154" s="35">
        <v>30682</v>
      </c>
      <c r="B154" s="63">
        <f>VLOOKUP(A154,Database!A:L,MATCH($A$1,Database!$A$1:$L$1,),)</f>
        <v>51.006</v>
      </c>
      <c r="C154" s="37">
        <f t="shared" si="3"/>
        <v>1.0099809885931519E-2</v>
      </c>
      <c r="D154" s="36">
        <f t="shared" si="5"/>
        <v>4.1555206142410893E-2</v>
      </c>
      <c r="E154" s="36">
        <f t="shared" si="4"/>
        <v>4.1015407878656207E-2</v>
      </c>
    </row>
    <row r="155" spans="1:5" x14ac:dyDescent="0.35">
      <c r="A155" s="35">
        <v>30773</v>
      </c>
      <c r="B155" s="63">
        <f>VLOOKUP(A155,Database!A:L,MATCH($A$1,Database!$A$1:$L$1,),)</f>
        <v>51.603000000000002</v>
      </c>
      <c r="C155" s="37">
        <f t="shared" si="3"/>
        <v>1.1704505352311519E-2</v>
      </c>
      <c r="D155" s="36">
        <f t="shared" si="5"/>
        <v>4.5738256393628766E-2</v>
      </c>
      <c r="E155" s="36">
        <f t="shared" si="4"/>
        <v>4.7646426705954203E-2</v>
      </c>
    </row>
    <row r="156" spans="1:5" x14ac:dyDescent="0.35">
      <c r="A156" s="35">
        <v>30864</v>
      </c>
      <c r="B156" s="63">
        <f>VLOOKUP(A156,Database!A:L,MATCH($A$1,Database!$A$1:$L$1,),)</f>
        <v>52.088000000000001</v>
      </c>
      <c r="C156" s="37">
        <f t="shared" si="3"/>
        <v>9.3986783714125038E-3</v>
      </c>
      <c r="D156" s="36">
        <f t="shared" si="5"/>
        <v>3.978440962171878E-2</v>
      </c>
      <c r="E156" s="36">
        <f t="shared" si="4"/>
        <v>3.8128053154372621E-2</v>
      </c>
    </row>
    <row r="157" spans="1:5" x14ac:dyDescent="0.35">
      <c r="A157" s="35">
        <v>30956</v>
      </c>
      <c r="B157" s="63">
        <f>VLOOKUP(A157,Database!A:L,MATCH($A$1,Database!$A$1:$L$1,),)</f>
        <v>52.457999999999998</v>
      </c>
      <c r="C157" s="37">
        <f t="shared" si="3"/>
        <v>7.1033635386268902E-3</v>
      </c>
      <c r="D157" s="36">
        <f t="shared" si="5"/>
        <v>3.8854562737642512E-2</v>
      </c>
      <c r="E157" s="36">
        <f t="shared" si="4"/>
        <v>2.871763702150143E-2</v>
      </c>
    </row>
    <row r="158" spans="1:5" x14ac:dyDescent="0.35">
      <c r="A158" s="35">
        <v>31048</v>
      </c>
      <c r="B158" s="63">
        <f>VLOOKUP(A158,Database!A:L,MATCH($A$1,Database!$A$1:$L$1,),)</f>
        <v>53.173999999999999</v>
      </c>
      <c r="C158" s="37">
        <f t="shared" si="3"/>
        <v>1.3649014449654983E-2</v>
      </c>
      <c r="D158" s="36">
        <f t="shared" si="5"/>
        <v>4.2504803356467849E-2</v>
      </c>
      <c r="E158" s="36">
        <f t="shared" si="4"/>
        <v>5.5724037082446998E-2</v>
      </c>
    </row>
    <row r="159" spans="1:5" x14ac:dyDescent="0.35">
      <c r="A159" s="35">
        <v>31138</v>
      </c>
      <c r="B159" s="63">
        <f>VLOOKUP(A159,Database!A:L,MATCH($A$1,Database!$A$1:$L$1,),)</f>
        <v>53.634999999999998</v>
      </c>
      <c r="C159" s="37">
        <f t="shared" si="3"/>
        <v>8.6696505811110422E-3</v>
      </c>
      <c r="D159" s="36">
        <f t="shared" si="5"/>
        <v>3.937755556847463E-2</v>
      </c>
      <c r="E159" s="36">
        <f t="shared" si="4"/>
        <v>3.5132191563367554E-2</v>
      </c>
    </row>
    <row r="160" spans="1:5" x14ac:dyDescent="0.35">
      <c r="A160" s="35">
        <v>31229</v>
      </c>
      <c r="B160" s="63">
        <f>VLOOKUP(A160,Database!A:L,MATCH($A$1,Database!$A$1:$L$1,),)</f>
        <v>54.186</v>
      </c>
      <c r="C160" s="37">
        <f t="shared" si="3"/>
        <v>1.0273142537522177E-2</v>
      </c>
      <c r="D160" s="36">
        <f t="shared" si="5"/>
        <v>4.0277991091998137E-2</v>
      </c>
      <c r="E160" s="36">
        <f t="shared" si="4"/>
        <v>4.1730142839200957E-2</v>
      </c>
    </row>
    <row r="161" spans="1:5" x14ac:dyDescent="0.35">
      <c r="A161" s="35">
        <v>31321</v>
      </c>
      <c r="B161" s="63">
        <f>VLOOKUP(A161,Database!A:L,MATCH($A$1,Database!$A$1:$L$1,),)</f>
        <v>54.575000000000003</v>
      </c>
      <c r="C161" s="37">
        <f t="shared" si="3"/>
        <v>7.1789761192928596E-3</v>
      </c>
      <c r="D161" s="36">
        <f t="shared" si="5"/>
        <v>4.0356094399329072E-2</v>
      </c>
      <c r="E161" s="36">
        <f t="shared" si="4"/>
        <v>2.9026613273650304E-2</v>
      </c>
    </row>
    <row r="162" spans="1:5" x14ac:dyDescent="0.35">
      <c r="A162" s="35">
        <v>31413</v>
      </c>
      <c r="B162" s="63">
        <f>VLOOKUP(A162,Database!A:L,MATCH($A$1,Database!$A$1:$L$1,),)</f>
        <v>55.164999999999999</v>
      </c>
      <c r="C162" s="37">
        <f t="shared" si="3"/>
        <v>1.0810810810810742E-2</v>
      </c>
      <c r="D162" s="36">
        <f t="shared" si="5"/>
        <v>3.7443111294993787E-2</v>
      </c>
      <c r="E162" s="36">
        <f t="shared" si="4"/>
        <v>4.3949552679838799E-2</v>
      </c>
    </row>
    <row r="163" spans="1:5" x14ac:dyDescent="0.35">
      <c r="A163" s="35">
        <v>31503</v>
      </c>
      <c r="B163" s="63">
        <f>VLOOKUP(A163,Database!A:L,MATCH($A$1,Database!$A$1:$L$1,),)</f>
        <v>55.542000000000002</v>
      </c>
      <c r="C163" s="37">
        <f t="shared" si="3"/>
        <v>6.8340433245717841E-3</v>
      </c>
      <c r="D163" s="36">
        <f t="shared" si="5"/>
        <v>3.5555141232404282E-2</v>
      </c>
      <c r="E163" s="36">
        <f t="shared" si="4"/>
        <v>2.7617677081225089E-2</v>
      </c>
    </row>
    <row r="164" spans="1:5" x14ac:dyDescent="0.35">
      <c r="A164" s="35">
        <v>31594</v>
      </c>
      <c r="B164" s="63">
        <f>VLOOKUP(A164,Database!A:L,MATCH($A$1,Database!$A$1:$L$1,),)</f>
        <v>55.923999999999999</v>
      </c>
      <c r="C164" s="37">
        <f t="shared" si="3"/>
        <v>6.8776781534694081E-3</v>
      </c>
      <c r="D164" s="36">
        <f t="shared" si="5"/>
        <v>3.2074705643524153E-2</v>
      </c>
      <c r="E164" s="36">
        <f t="shared" si="4"/>
        <v>2.7795830916390596E-2</v>
      </c>
    </row>
    <row r="165" spans="1:5" x14ac:dyDescent="0.35">
      <c r="A165" s="35">
        <v>31686</v>
      </c>
      <c r="B165" s="63">
        <f>VLOOKUP(A165,Database!A:L,MATCH($A$1,Database!$A$1:$L$1,),)</f>
        <v>56.378</v>
      </c>
      <c r="C165" s="37">
        <f t="shared" si="3"/>
        <v>8.1181603604892471E-3</v>
      </c>
      <c r="D165" s="36">
        <f t="shared" si="5"/>
        <v>3.3037104901511627E-2</v>
      </c>
      <c r="E165" s="36">
        <f t="shared" si="4"/>
        <v>3.2870213045290475E-2</v>
      </c>
    </row>
    <row r="166" spans="1:5" x14ac:dyDescent="0.35">
      <c r="A166" s="35">
        <v>31778</v>
      </c>
      <c r="B166" s="63">
        <f>VLOOKUP(A166,Database!A:L,MATCH($A$1,Database!$A$1:$L$1,),)</f>
        <v>56.731999999999999</v>
      </c>
      <c r="C166" s="37">
        <f t="shared" si="3"/>
        <v>6.2790450175600268E-3</v>
      </c>
      <c r="D166" s="36">
        <f t="shared" si="5"/>
        <v>2.8405692014864502E-2</v>
      </c>
      <c r="E166" s="36">
        <f t="shared" si="4"/>
        <v>2.5353730303397937E-2</v>
      </c>
    </row>
    <row r="167" spans="1:5" x14ac:dyDescent="0.35">
      <c r="A167" s="35">
        <v>31868</v>
      </c>
      <c r="B167" s="63">
        <f>VLOOKUP(A167,Database!A:L,MATCH($A$1,Database!$A$1:$L$1,),)</f>
        <v>57.281999999999996</v>
      </c>
      <c r="C167" s="37">
        <f t="shared" si="3"/>
        <v>9.6947049284354016E-3</v>
      </c>
      <c r="D167" s="36">
        <f t="shared" si="5"/>
        <v>3.1327643945122517E-2</v>
      </c>
      <c r="E167" s="36">
        <f t="shared" si="4"/>
        <v>3.9346397085955331E-2</v>
      </c>
    </row>
    <row r="168" spans="1:5" x14ac:dyDescent="0.35">
      <c r="A168" s="35">
        <v>31959</v>
      </c>
      <c r="B168" s="63">
        <f>VLOOKUP(A168,Database!A:L,MATCH($A$1,Database!$A$1:$L$1,),)</f>
        <v>57.795000000000002</v>
      </c>
      <c r="C168" s="37">
        <f t="shared" si="3"/>
        <v>8.9556928878182541E-3</v>
      </c>
      <c r="D168" s="36">
        <f t="shared" si="5"/>
        <v>3.3456119018668233E-2</v>
      </c>
      <c r="E168" s="36">
        <f t="shared" si="4"/>
        <v>3.6306877739786136E-2</v>
      </c>
    </row>
    <row r="169" spans="1:5" x14ac:dyDescent="0.35">
      <c r="A169" s="35">
        <v>32051</v>
      </c>
      <c r="B169" s="63">
        <f>VLOOKUP(A169,Database!A:L,MATCH($A$1,Database!$A$1:$L$1,),)</f>
        <v>58.381999999999998</v>
      </c>
      <c r="C169" s="37">
        <f t="shared" si="3"/>
        <v>1.0156587940133164E-2</v>
      </c>
      <c r="D169" s="36">
        <f t="shared" si="5"/>
        <v>3.554578026889918E-2</v>
      </c>
      <c r="E169" s="36">
        <f t="shared" si="4"/>
        <v>4.1249490936523969E-2</v>
      </c>
    </row>
    <row r="170" spans="1:5" x14ac:dyDescent="0.35">
      <c r="A170" s="35">
        <v>32143</v>
      </c>
      <c r="B170" s="63">
        <f>VLOOKUP(A170,Database!A:L,MATCH($A$1,Database!$A$1:$L$1,),)</f>
        <v>58.945</v>
      </c>
      <c r="C170" s="37">
        <f t="shared" si="3"/>
        <v>9.6433832345586383E-3</v>
      </c>
      <c r="D170" s="36">
        <f t="shared" si="5"/>
        <v>3.9007967284777567E-2</v>
      </c>
      <c r="E170" s="36">
        <f t="shared" si="4"/>
        <v>3.9135097767058147E-2</v>
      </c>
    </row>
    <row r="171" spans="1:5" x14ac:dyDescent="0.35">
      <c r="A171" s="35">
        <v>32234</v>
      </c>
      <c r="B171" s="63">
        <f>VLOOKUP(A171,Database!A:L,MATCH($A$1,Database!$A$1:$L$1,),)</f>
        <v>59.66</v>
      </c>
      <c r="C171" s="37">
        <f t="shared" si="3"/>
        <v>1.2129951649843011E-2</v>
      </c>
      <c r="D171" s="36">
        <f t="shared" si="5"/>
        <v>4.1513913620334492E-2</v>
      </c>
      <c r="E171" s="36">
        <f t="shared" si="4"/>
        <v>4.9409781607478553E-2</v>
      </c>
    </row>
    <row r="172" spans="1:5" x14ac:dyDescent="0.35">
      <c r="A172" s="35">
        <v>32325</v>
      </c>
      <c r="B172" s="63">
        <f>VLOOKUP(A172,Database!A:L,MATCH($A$1,Database!$A$1:$L$1,),)</f>
        <v>60.347000000000001</v>
      </c>
      <c r="C172" s="37">
        <f t="shared" si="3"/>
        <v>1.1515253100905209E-2</v>
      </c>
      <c r="D172" s="36">
        <f t="shared" si="5"/>
        <v>4.4156068864088578E-2</v>
      </c>
      <c r="E172" s="36">
        <f t="shared" si="4"/>
        <v>4.6862744049320115E-2</v>
      </c>
    </row>
    <row r="173" spans="1:5" x14ac:dyDescent="0.35">
      <c r="A173" s="35">
        <v>32417</v>
      </c>
      <c r="B173" s="63">
        <f>VLOOKUP(A173,Database!A:L,MATCH($A$1,Database!$A$1:$L$1,),)</f>
        <v>61.021999999999998</v>
      </c>
      <c r="C173" s="37">
        <f t="shared" si="3"/>
        <v>1.1185311614496117E-2</v>
      </c>
      <c r="D173" s="36">
        <f t="shared" si="5"/>
        <v>4.5219416943578512E-2</v>
      </c>
      <c r="E173" s="36">
        <f t="shared" si="4"/>
        <v>4.5497526917127384E-2</v>
      </c>
    </row>
    <row r="174" spans="1:5" x14ac:dyDescent="0.35">
      <c r="A174" s="35">
        <v>32509</v>
      </c>
      <c r="B174" s="63">
        <f>VLOOKUP(A174,Database!A:L,MATCH($A$1,Database!$A$1:$L$1,),)</f>
        <v>61.686999999999998</v>
      </c>
      <c r="C174" s="37">
        <f t="shared" si="3"/>
        <v>1.0897709022975306E-2</v>
      </c>
      <c r="D174" s="36">
        <f t="shared" si="5"/>
        <v>4.6517940452964583E-2</v>
      </c>
      <c r="E174" s="36">
        <f t="shared" si="4"/>
        <v>4.4308587417945189E-2</v>
      </c>
    </row>
    <row r="175" spans="1:5" x14ac:dyDescent="0.35">
      <c r="A175" s="35">
        <v>32599</v>
      </c>
      <c r="B175" s="63">
        <f>VLOOKUP(A175,Database!A:L,MATCH($A$1,Database!$A$1:$L$1,),)</f>
        <v>62.249000000000002</v>
      </c>
      <c r="C175" s="37">
        <f t="shared" si="3"/>
        <v>9.1105095076759249E-3</v>
      </c>
      <c r="D175" s="36">
        <f t="shared" si="5"/>
        <v>4.33959101575596E-2</v>
      </c>
      <c r="E175" s="36">
        <f t="shared" si="4"/>
        <v>3.6943077960444048E-2</v>
      </c>
    </row>
    <row r="176" spans="1:5" x14ac:dyDescent="0.35">
      <c r="A176" s="35">
        <v>32690</v>
      </c>
      <c r="B176" s="63">
        <f>VLOOKUP(A176,Database!A:L,MATCH($A$1,Database!$A$1:$L$1,),)</f>
        <v>62.712000000000003</v>
      </c>
      <c r="C176" s="37">
        <f t="shared" si="3"/>
        <v>7.4378704878793386E-3</v>
      </c>
      <c r="D176" s="36">
        <f t="shared" si="5"/>
        <v>3.9190017730790297E-2</v>
      </c>
      <c r="E176" s="36">
        <f t="shared" si="4"/>
        <v>3.0085062425425191E-2</v>
      </c>
    </row>
    <row r="177" spans="1:5" x14ac:dyDescent="0.35">
      <c r="A177" s="35">
        <v>32782</v>
      </c>
      <c r="B177" s="63">
        <f>VLOOKUP(A177,Database!A:L,MATCH($A$1,Database!$A$1:$L$1,),)</f>
        <v>63.286000000000001</v>
      </c>
      <c r="C177" s="37">
        <f t="shared" si="3"/>
        <v>9.1529531828038972E-3</v>
      </c>
      <c r="D177" s="36">
        <f t="shared" si="5"/>
        <v>3.710137327521227E-2</v>
      </c>
      <c r="E177" s="36">
        <f t="shared" si="4"/>
        <v>3.711754627295738E-2</v>
      </c>
    </row>
    <row r="178" spans="1:5" x14ac:dyDescent="0.35">
      <c r="A178" s="35">
        <v>32874</v>
      </c>
      <c r="B178" s="63">
        <f>VLOOKUP(A178,Database!A:L,MATCH($A$1,Database!$A$1:$L$1,),)</f>
        <v>64.015000000000001</v>
      </c>
      <c r="C178" s="37">
        <f t="shared" si="3"/>
        <v>1.1519135353790715E-2</v>
      </c>
      <c r="D178" s="36">
        <f t="shared" si="5"/>
        <v>3.7738907711511387E-2</v>
      </c>
      <c r="E178" s="36">
        <f t="shared" si="4"/>
        <v>4.687881581608444E-2</v>
      </c>
    </row>
    <row r="179" spans="1:5" x14ac:dyDescent="0.35">
      <c r="A179" s="35">
        <v>32964</v>
      </c>
      <c r="B179" s="63">
        <f>VLOOKUP(A179,Database!A:L,MATCH($A$1,Database!$A$1:$L$1,),)</f>
        <v>64.73</v>
      </c>
      <c r="C179" s="37">
        <f t="shared" si="3"/>
        <v>1.116925720534255E-2</v>
      </c>
      <c r="D179" s="36">
        <f t="shared" si="5"/>
        <v>3.9856061944770226E-2</v>
      </c>
      <c r="E179" s="36">
        <f t="shared" si="4"/>
        <v>4.5431131786016765E-2</v>
      </c>
    </row>
    <row r="180" spans="1:5" x14ac:dyDescent="0.35">
      <c r="A180" s="35">
        <v>33055</v>
      </c>
      <c r="B180" s="63">
        <f>VLOOKUP(A180,Database!A:L,MATCH($A$1,Database!$A$1:$L$1,),)</f>
        <v>65.384</v>
      </c>
      <c r="C180" s="37">
        <f t="shared" si="3"/>
        <v>1.0103506874710278E-2</v>
      </c>
      <c r="D180" s="36">
        <f t="shared" si="5"/>
        <v>4.2607475443296287E-2</v>
      </c>
      <c r="E180" s="36">
        <f t="shared" si="4"/>
        <v>4.1030648524670976E-2</v>
      </c>
    </row>
    <row r="181" spans="1:5" x14ac:dyDescent="0.35">
      <c r="A181" s="35">
        <v>33147</v>
      </c>
      <c r="B181" s="63">
        <f>VLOOKUP(A181,Database!A:L,MATCH($A$1,Database!$A$1:$L$1,),)</f>
        <v>65.933000000000007</v>
      </c>
      <c r="C181" s="37">
        <f t="shared" si="3"/>
        <v>8.3965496145847092E-3</v>
      </c>
      <c r="D181" s="36">
        <f t="shared" si="5"/>
        <v>4.1825996270897281E-2</v>
      </c>
      <c r="E181" s="36">
        <f t="shared" si="4"/>
        <v>3.4011583597148176E-2</v>
      </c>
    </row>
    <row r="182" spans="1:5" x14ac:dyDescent="0.35">
      <c r="A182" s="35">
        <v>33239</v>
      </c>
      <c r="B182" s="63">
        <f>VLOOKUP(A182,Database!A:L,MATCH($A$1,Database!$A$1:$L$1,),)</f>
        <v>66.518000000000001</v>
      </c>
      <c r="C182" s="37">
        <f t="shared" si="3"/>
        <v>8.8726434410688684E-3</v>
      </c>
      <c r="D182" s="36">
        <f t="shared" si="5"/>
        <v>3.9100210888073111E-2</v>
      </c>
      <c r="E182" s="36">
        <f t="shared" si="4"/>
        <v>3.5965716724395413E-2</v>
      </c>
    </row>
    <row r="183" spans="1:5" x14ac:dyDescent="0.35">
      <c r="A183" s="35">
        <v>33329</v>
      </c>
      <c r="B183" s="63">
        <f>VLOOKUP(A183,Database!A:L,MATCH($A$1,Database!$A$1:$L$1,),)</f>
        <v>67.031000000000006</v>
      </c>
      <c r="C183" s="37">
        <f t="shared" ref="C183:C246" si="6">(B183-B182)/B182</f>
        <v>7.7121982019905172E-3</v>
      </c>
      <c r="D183" s="36">
        <f t="shared" si="5"/>
        <v>3.5547659508728589E-2</v>
      </c>
      <c r="E183" s="36">
        <f t="shared" ref="E183:E246" si="7">((1+C183)^4)-1</f>
        <v>3.1207499176768128E-2</v>
      </c>
    </row>
    <row r="184" spans="1:5" x14ac:dyDescent="0.35">
      <c r="A184" s="35">
        <v>33420</v>
      </c>
      <c r="B184" s="63">
        <f>VLOOKUP(A184,Database!A:L,MATCH($A$1,Database!$A$1:$L$1,),)</f>
        <v>67.635000000000005</v>
      </c>
      <c r="C184" s="37">
        <f t="shared" si="6"/>
        <v>9.0107562172725923E-3</v>
      </c>
      <c r="D184" s="36">
        <f t="shared" si="5"/>
        <v>3.442738284595627E-2</v>
      </c>
      <c r="E184" s="36">
        <f t="shared" si="7"/>
        <v>3.6533120294697463E-2</v>
      </c>
    </row>
    <row r="185" spans="1:5" x14ac:dyDescent="0.35">
      <c r="A185" s="35">
        <v>33512</v>
      </c>
      <c r="B185" s="63">
        <f>VLOOKUP(A185,Database!A:L,MATCH($A$1,Database!$A$1:$L$1,),)</f>
        <v>68.167000000000002</v>
      </c>
      <c r="C185" s="37">
        <f t="shared" si="6"/>
        <v>7.8657499815183926E-3</v>
      </c>
      <c r="D185" s="36">
        <f t="shared" si="5"/>
        <v>3.3882881106577806E-2</v>
      </c>
      <c r="E185" s="36">
        <f t="shared" si="7"/>
        <v>3.1836170507125949E-2</v>
      </c>
    </row>
    <row r="186" spans="1:5" x14ac:dyDescent="0.35">
      <c r="A186" s="35">
        <v>33604</v>
      </c>
      <c r="B186" s="63">
        <f>VLOOKUP(A186,Database!A:L,MATCH($A$1,Database!$A$1:$L$1,),)</f>
        <v>68.688000000000002</v>
      </c>
      <c r="C186" s="37">
        <f t="shared" si="6"/>
        <v>7.6429944107852888E-3</v>
      </c>
      <c r="D186" s="36">
        <f t="shared" ref="D186:D249" si="8">(B186-B182)/B182</f>
        <v>3.2622748729667181E-2</v>
      </c>
      <c r="E186" s="36">
        <f t="shared" si="7"/>
        <v>3.0924259110064023E-2</v>
      </c>
    </row>
    <row r="187" spans="1:5" x14ac:dyDescent="0.35">
      <c r="A187" s="35">
        <v>33695</v>
      </c>
      <c r="B187" s="63">
        <f>VLOOKUP(A187,Database!A:L,MATCH($A$1,Database!$A$1:$L$1,),)</f>
        <v>69.173000000000002</v>
      </c>
      <c r="C187" s="37">
        <f t="shared" si="6"/>
        <v>7.0609131143722255E-3</v>
      </c>
      <c r="D187" s="36">
        <f t="shared" si="8"/>
        <v>3.1955363936089207E-2</v>
      </c>
      <c r="E187" s="36">
        <f t="shared" si="7"/>
        <v>2.8544202036700606E-2</v>
      </c>
    </row>
    <row r="188" spans="1:5" x14ac:dyDescent="0.35">
      <c r="A188" s="35">
        <v>33786</v>
      </c>
      <c r="B188" s="63">
        <f>VLOOKUP(A188,Database!A:L,MATCH($A$1,Database!$A$1:$L$1,),)</f>
        <v>69.582999999999998</v>
      </c>
      <c r="C188" s="37">
        <f t="shared" si="6"/>
        <v>5.9271681147267949E-3</v>
      </c>
      <c r="D188" s="36">
        <f t="shared" si="8"/>
        <v>2.8801655947364429E-2</v>
      </c>
      <c r="E188" s="36">
        <f t="shared" si="7"/>
        <v>2.3920294541281528E-2</v>
      </c>
    </row>
    <row r="189" spans="1:5" x14ac:dyDescent="0.35">
      <c r="A189" s="35">
        <v>33878</v>
      </c>
      <c r="B189" s="63">
        <f>VLOOKUP(A189,Database!A:L,MATCH($A$1,Database!$A$1:$L$1,),)</f>
        <v>70.093000000000004</v>
      </c>
      <c r="C189" s="37">
        <f t="shared" si="6"/>
        <v>7.3293764281506281E-3</v>
      </c>
      <c r="D189" s="36">
        <f t="shared" si="8"/>
        <v>2.8254140566549825E-2</v>
      </c>
      <c r="E189" s="36">
        <f t="shared" si="7"/>
        <v>2.9641402080704093E-2</v>
      </c>
    </row>
    <row r="190" spans="1:5" x14ac:dyDescent="0.35">
      <c r="A190" s="35">
        <v>33970</v>
      </c>
      <c r="B190" s="63">
        <f>VLOOKUP(A190,Database!A:L,MATCH($A$1,Database!$A$1:$L$1,),)</f>
        <v>70.575999999999993</v>
      </c>
      <c r="C190" s="37">
        <f t="shared" si="6"/>
        <v>6.8908450201873202E-3</v>
      </c>
      <c r="D190" s="36">
        <f t="shared" si="8"/>
        <v>2.7486606102958173E-2</v>
      </c>
      <c r="E190" s="36">
        <f t="shared" si="7"/>
        <v>2.7849593618522128E-2</v>
      </c>
    </row>
    <row r="191" spans="1:5" x14ac:dyDescent="0.35">
      <c r="A191" s="35">
        <v>34060</v>
      </c>
      <c r="B191" s="63">
        <f>VLOOKUP(A191,Database!A:L,MATCH($A$1,Database!$A$1:$L$1,),)</f>
        <v>71.111999999999995</v>
      </c>
      <c r="C191" s="37">
        <f t="shared" si="6"/>
        <v>7.594649739288163E-3</v>
      </c>
      <c r="D191" s="36">
        <f t="shared" si="8"/>
        <v>2.8031168230378802E-2</v>
      </c>
      <c r="E191" s="36">
        <f t="shared" si="7"/>
        <v>3.0726426710198096E-2</v>
      </c>
    </row>
    <row r="192" spans="1:5" x14ac:dyDescent="0.35">
      <c r="A192" s="35">
        <v>34151</v>
      </c>
      <c r="B192" s="63">
        <f>VLOOKUP(A192,Database!A:L,MATCH($A$1,Database!$A$1:$L$1,),)</f>
        <v>71.509</v>
      </c>
      <c r="C192" s="37">
        <f t="shared" si="6"/>
        <v>5.5827427157161321E-3</v>
      </c>
      <c r="D192" s="36">
        <f t="shared" si="8"/>
        <v>2.7679174511015651E-2</v>
      </c>
      <c r="E192" s="36">
        <f t="shared" si="7"/>
        <v>2.2518669921358425E-2</v>
      </c>
    </row>
    <row r="193" spans="1:5" x14ac:dyDescent="0.35">
      <c r="A193" s="35">
        <v>34243</v>
      </c>
      <c r="B193" s="63">
        <f>VLOOKUP(A193,Database!A:L,MATCH($A$1,Database!$A$1:$L$1,),)</f>
        <v>71.876999999999995</v>
      </c>
      <c r="C193" s="37">
        <f t="shared" si="6"/>
        <v>5.1462053727502136E-3</v>
      </c>
      <c r="D193" s="36">
        <f t="shared" si="8"/>
        <v>2.5451899619077394E-2</v>
      </c>
      <c r="E193" s="36">
        <f t="shared" si="7"/>
        <v>2.0744267927477855E-2</v>
      </c>
    </row>
    <row r="194" spans="1:5" x14ac:dyDescent="0.35">
      <c r="A194" s="35">
        <v>34335</v>
      </c>
      <c r="B194" s="63">
        <f>VLOOKUP(A194,Database!A:L,MATCH($A$1,Database!$A$1:$L$1,),)</f>
        <v>72.203000000000003</v>
      </c>
      <c r="C194" s="37">
        <f t="shared" si="6"/>
        <v>4.5355259679731716E-3</v>
      </c>
      <c r="D194" s="36">
        <f t="shared" si="8"/>
        <v>2.3053162548175153E-2</v>
      </c>
      <c r="E194" s="36">
        <f t="shared" si="7"/>
        <v>1.8265903471037959E-2</v>
      </c>
    </row>
    <row r="195" spans="1:5" x14ac:dyDescent="0.35">
      <c r="A195" s="35">
        <v>34425</v>
      </c>
      <c r="B195" s="63">
        <f>VLOOKUP(A195,Database!A:L,MATCH($A$1,Database!$A$1:$L$1,),)</f>
        <v>72.688999999999993</v>
      </c>
      <c r="C195" s="37">
        <f t="shared" si="6"/>
        <v>6.7310222566927961E-3</v>
      </c>
      <c r="D195" s="36">
        <f t="shared" si="8"/>
        <v>2.217628529643377E-2</v>
      </c>
      <c r="E195" s="36">
        <f t="shared" si="7"/>
        <v>2.7197150883749188E-2</v>
      </c>
    </row>
    <row r="196" spans="1:5" x14ac:dyDescent="0.35">
      <c r="A196" s="35">
        <v>34516</v>
      </c>
      <c r="B196" s="63">
        <f>VLOOKUP(A196,Database!A:L,MATCH($A$1,Database!$A$1:$L$1,),)</f>
        <v>73.094999999999999</v>
      </c>
      <c r="C196" s="37">
        <f t="shared" si="6"/>
        <v>5.585439337451416E-3</v>
      </c>
      <c r="D196" s="36">
        <f t="shared" si="8"/>
        <v>2.2179026416255274E-2</v>
      </c>
      <c r="E196" s="36">
        <f t="shared" si="7"/>
        <v>2.2529638117387618E-2</v>
      </c>
    </row>
    <row r="197" spans="1:5" x14ac:dyDescent="0.35">
      <c r="A197" s="35">
        <v>34608</v>
      </c>
      <c r="B197" s="63">
        <f>VLOOKUP(A197,Database!A:L,MATCH($A$1,Database!$A$1:$L$1,),)</f>
        <v>73.466999999999999</v>
      </c>
      <c r="C197" s="37">
        <f t="shared" si="6"/>
        <v>5.0892673917504599E-3</v>
      </c>
      <c r="D197" s="36">
        <f t="shared" si="8"/>
        <v>2.2121123586126348E-2</v>
      </c>
      <c r="E197" s="36">
        <f t="shared" si="7"/>
        <v>2.0513001354536264E-2</v>
      </c>
    </row>
    <row r="198" spans="1:5" x14ac:dyDescent="0.35">
      <c r="A198" s="35">
        <v>34700</v>
      </c>
      <c r="B198" s="63">
        <f>VLOOKUP(A198,Database!A:L,MATCH($A$1,Database!$A$1:$L$1,),)</f>
        <v>73.852000000000004</v>
      </c>
      <c r="C198" s="37">
        <f t="shared" si="6"/>
        <v>5.2404480923408485E-3</v>
      </c>
      <c r="D198" s="36">
        <f t="shared" si="8"/>
        <v>2.2838386216639209E-2</v>
      </c>
      <c r="E198" s="36">
        <f t="shared" si="7"/>
        <v>2.1127142559743461E-2</v>
      </c>
    </row>
    <row r="199" spans="1:5" x14ac:dyDescent="0.35">
      <c r="A199" s="35">
        <v>34790</v>
      </c>
      <c r="B199" s="63">
        <f>VLOOKUP(A199,Database!A:L,MATCH($A$1,Database!$A$1:$L$1,),)</f>
        <v>74.290000000000006</v>
      </c>
      <c r="C199" s="37">
        <f t="shared" si="6"/>
        <v>5.930780479878708E-3</v>
      </c>
      <c r="D199" s="36">
        <f t="shared" si="8"/>
        <v>2.2025340835614929E-2</v>
      </c>
      <c r="E199" s="36">
        <f t="shared" si="7"/>
        <v>2.3935002540156569E-2</v>
      </c>
    </row>
    <row r="200" spans="1:5" x14ac:dyDescent="0.35">
      <c r="A200" s="35">
        <v>34881</v>
      </c>
      <c r="B200" s="63">
        <f>VLOOKUP(A200,Database!A:L,MATCH($A$1,Database!$A$1:$L$1,),)</f>
        <v>74.644000000000005</v>
      </c>
      <c r="C200" s="37">
        <f t="shared" si="6"/>
        <v>4.7651097052093042E-3</v>
      </c>
      <c r="D200" s="36">
        <f t="shared" si="8"/>
        <v>2.1191599972638437E-2</v>
      </c>
      <c r="E200" s="36">
        <f t="shared" si="7"/>
        <v>1.9197109750907604E-2</v>
      </c>
    </row>
    <row r="201" spans="1:5" x14ac:dyDescent="0.35">
      <c r="A201" s="35">
        <v>34973</v>
      </c>
      <c r="B201" s="63">
        <f>VLOOKUP(A201,Database!A:L,MATCH($A$1,Database!$A$1:$L$1,),)</f>
        <v>75.019000000000005</v>
      </c>
      <c r="C201" s="37">
        <f t="shared" si="6"/>
        <v>5.0238465248378964E-3</v>
      </c>
      <c r="D201" s="36">
        <f t="shared" si="8"/>
        <v>2.1125131011202399E-2</v>
      </c>
      <c r="E201" s="36">
        <f t="shared" si="7"/>
        <v>2.0247328127922515E-2</v>
      </c>
    </row>
    <row r="202" spans="1:5" x14ac:dyDescent="0.35">
      <c r="A202" s="35">
        <v>35065</v>
      </c>
      <c r="B202" s="63">
        <f>VLOOKUP(A202,Database!A:L,MATCH($A$1,Database!$A$1:$L$1,),)</f>
        <v>75.313000000000002</v>
      </c>
      <c r="C202" s="37">
        <f t="shared" si="6"/>
        <v>3.919007184846464E-3</v>
      </c>
      <c r="D202" s="36">
        <f t="shared" si="8"/>
        <v>1.9782808860965152E-2</v>
      </c>
      <c r="E202" s="36">
        <f t="shared" si="7"/>
        <v>1.576842144128876E-2</v>
      </c>
    </row>
    <row r="203" spans="1:5" x14ac:dyDescent="0.35">
      <c r="A203" s="35">
        <v>35156</v>
      </c>
      <c r="B203" s="63">
        <f>VLOOKUP(A203,Database!A:L,MATCH($A$1,Database!$A$1:$L$1,),)</f>
        <v>75.671999999999997</v>
      </c>
      <c r="C203" s="37">
        <f t="shared" si="6"/>
        <v>4.7667733326251065E-3</v>
      </c>
      <c r="D203" s="36">
        <f t="shared" si="8"/>
        <v>1.8602772916946973E-2</v>
      </c>
      <c r="E203" s="36">
        <f t="shared" si="7"/>
        <v>1.9203859859758809E-2</v>
      </c>
    </row>
    <row r="204" spans="1:5" x14ac:dyDescent="0.35">
      <c r="A204" s="35">
        <v>35247</v>
      </c>
      <c r="B204" s="63">
        <f>VLOOKUP(A204,Database!A:L,MATCH($A$1,Database!$A$1:$L$1,),)</f>
        <v>76.016999999999996</v>
      </c>
      <c r="C204" s="37">
        <f t="shared" si="6"/>
        <v>4.559150015857898E-3</v>
      </c>
      <c r="D204" s="36">
        <f t="shared" si="8"/>
        <v>1.8393976742939692E-2</v>
      </c>
      <c r="E204" s="36">
        <f t="shared" si="7"/>
        <v>1.8361694651898519E-2</v>
      </c>
    </row>
    <row r="205" spans="1:5" x14ac:dyDescent="0.35">
      <c r="A205" s="35">
        <v>35339</v>
      </c>
      <c r="B205" s="63">
        <f>VLOOKUP(A205,Database!A:L,MATCH($A$1,Database!$A$1:$L$1,),)</f>
        <v>76.45</v>
      </c>
      <c r="C205" s="37">
        <f t="shared" si="6"/>
        <v>5.6960942946973304E-3</v>
      </c>
      <c r="D205" s="36">
        <f t="shared" si="8"/>
        <v>1.9075167624201833E-2</v>
      </c>
      <c r="E205" s="36">
        <f t="shared" si="7"/>
        <v>2.2979790423070412E-2</v>
      </c>
    </row>
    <row r="206" spans="1:5" x14ac:dyDescent="0.35">
      <c r="A206" s="35">
        <v>35431</v>
      </c>
      <c r="B206" s="63">
        <f>VLOOKUP(A206,Database!A:L,MATCH($A$1,Database!$A$1:$L$1,),)</f>
        <v>76.75</v>
      </c>
      <c r="C206" s="37">
        <f t="shared" si="6"/>
        <v>3.924133420536261E-3</v>
      </c>
      <c r="D206" s="36">
        <f t="shared" si="8"/>
        <v>1.9080371250647266E-2</v>
      </c>
      <c r="E206" s="36">
        <f t="shared" si="7"/>
        <v>1.578916856602719E-2</v>
      </c>
    </row>
    <row r="207" spans="1:5" x14ac:dyDescent="0.35">
      <c r="A207" s="35">
        <v>35521</v>
      </c>
      <c r="B207" s="63">
        <f>VLOOKUP(A207,Database!A:L,MATCH($A$1,Database!$A$1:$L$1,),)</f>
        <v>77.150000000000006</v>
      </c>
      <c r="C207" s="37">
        <f t="shared" si="6"/>
        <v>5.2117263843648948E-3</v>
      </c>
      <c r="D207" s="36">
        <f t="shared" si="8"/>
        <v>1.9531662966487059E-2</v>
      </c>
      <c r="E207" s="36">
        <f t="shared" si="7"/>
        <v>2.101044507223615E-2</v>
      </c>
    </row>
    <row r="208" spans="1:5" x14ac:dyDescent="0.35">
      <c r="A208" s="35">
        <v>35612</v>
      </c>
      <c r="B208" s="63">
        <f>VLOOKUP(A208,Database!A:L,MATCH($A$1,Database!$A$1:$L$1,),)</f>
        <v>77.33</v>
      </c>
      <c r="C208" s="37">
        <f t="shared" si="6"/>
        <v>2.3331173039532415E-3</v>
      </c>
      <c r="D208" s="36">
        <f t="shared" si="8"/>
        <v>1.7272452214636233E-2</v>
      </c>
      <c r="E208" s="36">
        <f t="shared" si="7"/>
        <v>9.3651806642700564E-3</v>
      </c>
    </row>
    <row r="209" spans="1:5" x14ac:dyDescent="0.35">
      <c r="A209" s="35">
        <v>35704</v>
      </c>
      <c r="B209" s="63">
        <f>VLOOKUP(A209,Database!A:L,MATCH($A$1,Database!$A$1:$L$1,),)</f>
        <v>77.575000000000003</v>
      </c>
      <c r="C209" s="37">
        <f t="shared" si="6"/>
        <v>3.1682400103453323E-3</v>
      </c>
      <c r="D209" s="36">
        <f t="shared" si="8"/>
        <v>1.4715500327011117E-2</v>
      </c>
      <c r="E209" s="36">
        <f t="shared" si="7"/>
        <v>1.273331381865539E-2</v>
      </c>
    </row>
    <row r="210" spans="1:5" x14ac:dyDescent="0.35">
      <c r="A210" s="35">
        <v>35796</v>
      </c>
      <c r="B210" s="63">
        <f>VLOOKUP(A210,Database!A:L,MATCH($A$1,Database!$A$1:$L$1,),)</f>
        <v>77.804000000000002</v>
      </c>
      <c r="C210" s="37">
        <f t="shared" si="6"/>
        <v>2.9519819529487488E-3</v>
      </c>
      <c r="D210" s="36">
        <f t="shared" si="8"/>
        <v>1.373289902280133E-2</v>
      </c>
      <c r="E210" s="36">
        <f t="shared" si="7"/>
        <v>1.1860315969049573E-2</v>
      </c>
    </row>
    <row r="211" spans="1:5" x14ac:dyDescent="0.35">
      <c r="A211" s="35">
        <v>35886</v>
      </c>
      <c r="B211" s="63">
        <f>VLOOKUP(A211,Database!A:L,MATCH($A$1,Database!$A$1:$L$1,),)</f>
        <v>78.042000000000002</v>
      </c>
      <c r="C211" s="37">
        <f t="shared" si="6"/>
        <v>3.0589686905557498E-3</v>
      </c>
      <c r="D211" s="36">
        <f t="shared" si="8"/>
        <v>1.1561892417368708E-2</v>
      </c>
      <c r="E211" s="36">
        <f t="shared" si="7"/>
        <v>1.2292133081102552E-2</v>
      </c>
    </row>
    <row r="212" spans="1:5" x14ac:dyDescent="0.35">
      <c r="A212" s="35">
        <v>35977</v>
      </c>
      <c r="B212" s="63">
        <f>VLOOKUP(A212,Database!A:L,MATCH($A$1,Database!$A$1:$L$1,),)</f>
        <v>78.319000000000003</v>
      </c>
      <c r="C212" s="37">
        <f t="shared" si="6"/>
        <v>3.5493708515927451E-3</v>
      </c>
      <c r="D212" s="36">
        <f t="shared" si="8"/>
        <v>1.2789344368291792E-2</v>
      </c>
      <c r="E212" s="36">
        <f t="shared" si="7"/>
        <v>1.4273250626105405E-2</v>
      </c>
    </row>
    <row r="213" spans="1:5" x14ac:dyDescent="0.35">
      <c r="A213" s="35">
        <v>36069</v>
      </c>
      <c r="B213" s="63">
        <f>VLOOKUP(A213,Database!A:L,MATCH($A$1,Database!$A$1:$L$1,),)</f>
        <v>78.567999999999998</v>
      </c>
      <c r="C213" s="37">
        <f t="shared" si="6"/>
        <v>3.1793051494528176E-3</v>
      </c>
      <c r="D213" s="36">
        <f t="shared" si="8"/>
        <v>1.2800515630035385E-2</v>
      </c>
      <c r="E213" s="36">
        <f t="shared" si="7"/>
        <v>1.2777997132809915E-2</v>
      </c>
    </row>
    <row r="214" spans="1:5" x14ac:dyDescent="0.35">
      <c r="A214" s="35">
        <v>36161</v>
      </c>
      <c r="B214" s="63">
        <f>VLOOKUP(A214,Database!A:L,MATCH($A$1,Database!$A$1:$L$1,),)</f>
        <v>78.766000000000005</v>
      </c>
      <c r="C214" s="37">
        <f t="shared" si="6"/>
        <v>2.5201099684350817E-3</v>
      </c>
      <c r="D214" s="36">
        <f t="shared" si="8"/>
        <v>1.2364402858464902E-2</v>
      </c>
      <c r="E214" s="36">
        <f t="shared" si="7"/>
        <v>1.011860966000544E-2</v>
      </c>
    </row>
    <row r="215" spans="1:5" x14ac:dyDescent="0.35">
      <c r="A215" s="35">
        <v>36251</v>
      </c>
      <c r="B215" s="63">
        <f>VLOOKUP(A215,Database!A:L,MATCH($A$1,Database!$A$1:$L$1,),)</f>
        <v>79.039000000000001</v>
      </c>
      <c r="C215" s="37">
        <f t="shared" si="6"/>
        <v>3.4659624711169301E-3</v>
      </c>
      <c r="D215" s="36">
        <f t="shared" si="8"/>
        <v>1.2775172343097305E-2</v>
      </c>
      <c r="E215" s="36">
        <f t="shared" si="7"/>
        <v>1.3936093948869077E-2</v>
      </c>
    </row>
    <row r="216" spans="1:5" x14ac:dyDescent="0.35">
      <c r="A216" s="35">
        <v>36342</v>
      </c>
      <c r="B216" s="63">
        <f>VLOOKUP(A216,Database!A:L,MATCH($A$1,Database!$A$1:$L$1,),)</f>
        <v>79.33</v>
      </c>
      <c r="C216" s="37">
        <f t="shared" si="6"/>
        <v>3.6817267424941714E-3</v>
      </c>
      <c r="D216" s="36">
        <f t="shared" si="8"/>
        <v>1.2908745004405005E-2</v>
      </c>
      <c r="E216" s="36">
        <f t="shared" si="7"/>
        <v>1.4808437449426837E-2</v>
      </c>
    </row>
    <row r="217" spans="1:5" x14ac:dyDescent="0.35">
      <c r="A217" s="35">
        <v>36434</v>
      </c>
      <c r="B217" s="63">
        <f>VLOOKUP(A217,Database!A:L,MATCH($A$1,Database!$A$1:$L$1,),)</f>
        <v>79.703000000000003</v>
      </c>
      <c r="C217" s="37">
        <f t="shared" si="6"/>
        <v>4.7018782301777974E-3</v>
      </c>
      <c r="D217" s="36">
        <f t="shared" si="8"/>
        <v>1.4446084920069305E-2</v>
      </c>
      <c r="E217" s="36">
        <f t="shared" si="7"/>
        <v>1.8940575152888162E-2</v>
      </c>
    </row>
    <row r="218" spans="1:5" x14ac:dyDescent="0.35">
      <c r="A218" s="35">
        <v>36526</v>
      </c>
      <c r="B218" s="63">
        <f>VLOOKUP(A218,Database!A:L,MATCH($A$1,Database!$A$1:$L$1,),)</f>
        <v>80.120999999999995</v>
      </c>
      <c r="C218" s="37">
        <f t="shared" si="6"/>
        <v>5.2444700952284373E-3</v>
      </c>
      <c r="D218" s="36">
        <f t="shared" si="8"/>
        <v>1.720285402330942E-2</v>
      </c>
      <c r="E218" s="36">
        <f t="shared" si="7"/>
        <v>2.1143484922297562E-2</v>
      </c>
    </row>
    <row r="219" spans="1:5" x14ac:dyDescent="0.35">
      <c r="A219" s="35">
        <v>36617</v>
      </c>
      <c r="B219" s="63">
        <f>VLOOKUP(A219,Database!A:L,MATCH($A$1,Database!$A$1:$L$1,),)</f>
        <v>80.400000000000006</v>
      </c>
      <c r="C219" s="37">
        <f t="shared" si="6"/>
        <v>3.4822331224024987E-3</v>
      </c>
      <c r="D219" s="36">
        <f t="shared" si="8"/>
        <v>1.7219347410771951E-2</v>
      </c>
      <c r="E219" s="36">
        <f t="shared" si="7"/>
        <v>1.4001857223265413E-2</v>
      </c>
    </row>
    <row r="220" spans="1:5" x14ac:dyDescent="0.35">
      <c r="A220" s="35">
        <v>36708</v>
      </c>
      <c r="B220" s="63">
        <f>VLOOKUP(A220,Database!A:L,MATCH($A$1,Database!$A$1:$L$1,),)</f>
        <v>80.787999999999997</v>
      </c>
      <c r="C220" s="37">
        <f t="shared" si="6"/>
        <v>4.8258706467660568E-3</v>
      </c>
      <c r="D220" s="36">
        <f t="shared" si="8"/>
        <v>1.8378923484179986E-2</v>
      </c>
      <c r="E220" s="36">
        <f t="shared" si="7"/>
        <v>1.9443666853776076E-2</v>
      </c>
    </row>
    <row r="221" spans="1:5" x14ac:dyDescent="0.35">
      <c r="A221" s="35">
        <v>36800</v>
      </c>
      <c r="B221" s="63">
        <f>VLOOKUP(A221,Database!A:L,MATCH($A$1,Database!$A$1:$L$1,),)</f>
        <v>81.188999999999993</v>
      </c>
      <c r="C221" s="37">
        <f t="shared" si="6"/>
        <v>4.9636084567014445E-3</v>
      </c>
      <c r="D221" s="36">
        <f t="shared" si="8"/>
        <v>1.8644216654329072E-2</v>
      </c>
      <c r="E221" s="36">
        <f t="shared" si="7"/>
        <v>2.0002748049081642E-2</v>
      </c>
    </row>
    <row r="222" spans="1:5" x14ac:dyDescent="0.35">
      <c r="A222" s="35">
        <v>36892</v>
      </c>
      <c r="B222" s="63">
        <f>VLOOKUP(A222,Database!A:L,MATCH($A$1,Database!$A$1:$L$1,),)</f>
        <v>81.715999999999994</v>
      </c>
      <c r="C222" s="37">
        <f t="shared" si="6"/>
        <v>6.4910271095838237E-3</v>
      </c>
      <c r="D222" s="36">
        <f t="shared" si="8"/>
        <v>1.9907390072515307E-2</v>
      </c>
      <c r="E222" s="36">
        <f t="shared" si="7"/>
        <v>2.6218004768206571E-2</v>
      </c>
    </row>
    <row r="223" spans="1:5" x14ac:dyDescent="0.35">
      <c r="A223" s="35">
        <v>36982</v>
      </c>
      <c r="B223" s="63">
        <f>VLOOKUP(A223,Database!A:L,MATCH($A$1,Database!$A$1:$L$1,),)</f>
        <v>82.025000000000006</v>
      </c>
      <c r="C223" s="37">
        <f t="shared" si="6"/>
        <v>3.7813892016252842E-3</v>
      </c>
      <c r="D223" s="36">
        <f t="shared" si="8"/>
        <v>2.021144278606965E-2</v>
      </c>
      <c r="E223" s="36">
        <f t="shared" si="7"/>
        <v>1.5211566715613634E-2</v>
      </c>
    </row>
    <row r="224" spans="1:5" x14ac:dyDescent="0.35">
      <c r="A224" s="35">
        <v>37073</v>
      </c>
      <c r="B224" s="63">
        <f>VLOOKUP(A224,Database!A:L,MATCH($A$1,Database!$A$1:$L$1,),)</f>
        <v>82.236999999999995</v>
      </c>
      <c r="C224" s="37">
        <f t="shared" si="6"/>
        <v>2.5845778725996837E-3</v>
      </c>
      <c r="D224" s="36">
        <f t="shared" si="8"/>
        <v>1.7935832054265462E-2</v>
      </c>
      <c r="E224" s="36">
        <f t="shared" si="7"/>
        <v>1.0378460852062066E-2</v>
      </c>
    </row>
    <row r="225" spans="1:5" x14ac:dyDescent="0.35">
      <c r="A225" s="35">
        <v>37165</v>
      </c>
      <c r="B225" s="63">
        <f>VLOOKUP(A225,Database!A:L,MATCH($A$1,Database!$A$1:$L$1,),)</f>
        <v>82.634</v>
      </c>
      <c r="C225" s="37">
        <f t="shared" si="6"/>
        <v>4.8275107311794643E-3</v>
      </c>
      <c r="D225" s="36">
        <f t="shared" si="8"/>
        <v>1.7797977558536349E-2</v>
      </c>
      <c r="E225" s="36">
        <f t="shared" si="7"/>
        <v>1.9450322644836593E-2</v>
      </c>
    </row>
    <row r="226" spans="1:5" x14ac:dyDescent="0.35">
      <c r="A226" s="35">
        <v>37257</v>
      </c>
      <c r="B226" s="63">
        <f>VLOOKUP(A226,Database!A:L,MATCH($A$1,Database!$A$1:$L$1,),)</f>
        <v>82.888000000000005</v>
      </c>
      <c r="C226" s="37">
        <f t="shared" si="6"/>
        <v>3.0737952900743628E-3</v>
      </c>
      <c r="D226" s="36">
        <f t="shared" si="8"/>
        <v>1.4342356454060543E-2</v>
      </c>
      <c r="E226" s="36">
        <f t="shared" si="7"/>
        <v>1.2351986722023423E-2</v>
      </c>
    </row>
    <row r="227" spans="1:5" x14ac:dyDescent="0.35">
      <c r="A227" s="35">
        <v>37347</v>
      </c>
      <c r="B227" s="63">
        <f>VLOOKUP(A227,Database!A:L,MATCH($A$1,Database!$A$1:$L$1,),)</f>
        <v>83.343999999999994</v>
      </c>
      <c r="C227" s="37">
        <f t="shared" si="6"/>
        <v>5.5013994788146517E-3</v>
      </c>
      <c r="D227" s="36">
        <f t="shared" si="8"/>
        <v>1.6080463273392118E-2</v>
      </c>
      <c r="E227" s="36">
        <f t="shared" si="7"/>
        <v>2.2187857216745765E-2</v>
      </c>
    </row>
    <row r="228" spans="1:5" x14ac:dyDescent="0.35">
      <c r="A228" s="35">
        <v>37438</v>
      </c>
      <c r="B228" s="63">
        <f>VLOOKUP(A228,Database!A:L,MATCH($A$1,Database!$A$1:$L$1,),)</f>
        <v>83.787999999999997</v>
      </c>
      <c r="C228" s="37">
        <f t="shared" si="6"/>
        <v>5.3273181032828113E-3</v>
      </c>
      <c r="D228" s="36">
        <f t="shared" si="8"/>
        <v>1.886012378856235E-2</v>
      </c>
      <c r="E228" s="36">
        <f t="shared" si="7"/>
        <v>2.1480159891546613E-2</v>
      </c>
    </row>
    <row r="229" spans="1:5" x14ac:dyDescent="0.35">
      <c r="A229" s="35">
        <v>37530</v>
      </c>
      <c r="B229" s="63">
        <f>VLOOKUP(A229,Database!A:L,MATCH($A$1,Database!$A$1:$L$1,),)</f>
        <v>84.085999999999999</v>
      </c>
      <c r="C229" s="37">
        <f t="shared" si="6"/>
        <v>3.5565952164988046E-3</v>
      </c>
      <c r="D229" s="36">
        <f t="shared" si="8"/>
        <v>1.7571459689716077E-2</v>
      </c>
      <c r="E229" s="36">
        <f t="shared" si="7"/>
        <v>1.4302457197954865E-2</v>
      </c>
    </row>
    <row r="230" spans="1:5" x14ac:dyDescent="0.35">
      <c r="A230" s="35">
        <v>37622</v>
      </c>
      <c r="B230" s="63">
        <f>VLOOKUP(A230,Database!A:L,MATCH($A$1,Database!$A$1:$L$1,),)</f>
        <v>84.344999999999999</v>
      </c>
      <c r="C230" s="37">
        <f t="shared" si="6"/>
        <v>3.0801798159027704E-3</v>
      </c>
      <c r="D230" s="36">
        <f t="shared" si="8"/>
        <v>1.7577936492616464E-2</v>
      </c>
      <c r="E230" s="36">
        <f t="shared" si="7"/>
        <v>1.2377761292732714E-2</v>
      </c>
    </row>
    <row r="231" spans="1:5" x14ac:dyDescent="0.35">
      <c r="A231" s="35">
        <v>37712</v>
      </c>
      <c r="B231" s="63">
        <f>VLOOKUP(A231,Database!A:L,MATCH($A$1,Database!$A$1:$L$1,),)</f>
        <v>84.665000000000006</v>
      </c>
      <c r="C231" s="37">
        <f t="shared" si="6"/>
        <v>3.7939415495880893E-3</v>
      </c>
      <c r="D231" s="36">
        <f t="shared" si="8"/>
        <v>1.5849971203686076E-2</v>
      </c>
      <c r="E231" s="36">
        <f t="shared" si="7"/>
        <v>1.5262348800293868E-2</v>
      </c>
    </row>
    <row r="232" spans="1:5" x14ac:dyDescent="0.35">
      <c r="A232" s="35">
        <v>37803</v>
      </c>
      <c r="B232" s="63">
        <f>VLOOKUP(A232,Database!A:L,MATCH($A$1,Database!$A$1:$L$1,),)</f>
        <v>85.052999999999997</v>
      </c>
      <c r="C232" s="37">
        <f t="shared" si="6"/>
        <v>4.5827673773104708E-3</v>
      </c>
      <c r="D232" s="36">
        <f t="shared" si="8"/>
        <v>1.5097627345204572E-2</v>
      </c>
      <c r="E232" s="36">
        <f t="shared" si="7"/>
        <v>1.8457465475987034E-2</v>
      </c>
    </row>
    <row r="233" spans="1:5" x14ac:dyDescent="0.35">
      <c r="A233" s="35">
        <v>37895</v>
      </c>
      <c r="B233" s="63">
        <f>VLOOKUP(A233,Database!A:L,MATCH($A$1,Database!$A$1:$L$1,),)</f>
        <v>85.433999999999997</v>
      </c>
      <c r="C233" s="37">
        <f t="shared" si="6"/>
        <v>4.479559803886991E-3</v>
      </c>
      <c r="D233" s="36">
        <f t="shared" si="8"/>
        <v>1.6031206146088516E-2</v>
      </c>
      <c r="E233" s="36">
        <f t="shared" si="7"/>
        <v>1.8038997909989307E-2</v>
      </c>
    </row>
    <row r="234" spans="1:5" x14ac:dyDescent="0.35">
      <c r="A234" s="35">
        <v>37987</v>
      </c>
      <c r="B234" s="63">
        <f>VLOOKUP(A234,Database!A:L,MATCH($A$1,Database!$A$1:$L$1,),)</f>
        <v>85.903000000000006</v>
      </c>
      <c r="C234" s="37">
        <f t="shared" si="6"/>
        <v>5.4896177166000454E-3</v>
      </c>
      <c r="D234" s="36">
        <f t="shared" si="8"/>
        <v>1.8471752919556664E-2</v>
      </c>
      <c r="E234" s="36">
        <f t="shared" si="7"/>
        <v>2.2139948928959763E-2</v>
      </c>
    </row>
    <row r="235" spans="1:5" x14ac:dyDescent="0.35">
      <c r="A235" s="35">
        <v>38078</v>
      </c>
      <c r="B235" s="63">
        <f>VLOOKUP(A235,Database!A:L,MATCH($A$1,Database!$A$1:$L$1,),)</f>
        <v>86.394999999999996</v>
      </c>
      <c r="C235" s="37">
        <f t="shared" si="6"/>
        <v>5.7273901959185381E-3</v>
      </c>
      <c r="D235" s="36">
        <f t="shared" si="8"/>
        <v>2.0433473099864048E-2</v>
      </c>
      <c r="E235" s="36">
        <f t="shared" si="7"/>
        <v>2.3107131352735344E-2</v>
      </c>
    </row>
    <row r="236" spans="1:5" x14ac:dyDescent="0.35">
      <c r="A236" s="35">
        <v>38169</v>
      </c>
      <c r="B236" s="63">
        <f>VLOOKUP(A236,Database!A:L,MATCH($A$1,Database!$A$1:$L$1,),)</f>
        <v>86.703999999999994</v>
      </c>
      <c r="C236" s="37">
        <f t="shared" si="6"/>
        <v>3.5765958678163957E-3</v>
      </c>
      <c r="D236" s="36">
        <f t="shared" si="8"/>
        <v>1.9411425816843571E-2</v>
      </c>
      <c r="E236" s="36">
        <f t="shared" si="7"/>
        <v>1.4383318870713202E-2</v>
      </c>
    </row>
    <row r="237" spans="1:5" x14ac:dyDescent="0.35">
      <c r="A237" s="35">
        <v>38261</v>
      </c>
      <c r="B237" s="63">
        <f>VLOOKUP(A237,Database!A:L,MATCH($A$1,Database!$A$1:$L$1,),)</f>
        <v>87.174000000000007</v>
      </c>
      <c r="C237" s="37">
        <f t="shared" si="6"/>
        <v>5.4207418342869197E-3</v>
      </c>
      <c r="D237" s="36">
        <f t="shared" si="8"/>
        <v>2.0366598778004182E-2</v>
      </c>
      <c r="E237" s="36">
        <f t="shared" si="7"/>
        <v>2.1859911994693837E-2</v>
      </c>
    </row>
    <row r="238" spans="1:5" x14ac:dyDescent="0.35">
      <c r="A238" s="35">
        <v>38353</v>
      </c>
      <c r="B238" s="63">
        <f>VLOOKUP(A238,Database!A:L,MATCH($A$1,Database!$A$1:$L$1,),)</f>
        <v>87.793999999999997</v>
      </c>
      <c r="C238" s="37">
        <f t="shared" si="6"/>
        <v>7.1122123568952934E-3</v>
      </c>
      <c r="D238" s="36">
        <f t="shared" si="8"/>
        <v>2.2013200935939267E-2</v>
      </c>
      <c r="E238" s="36">
        <f t="shared" si="7"/>
        <v>2.8753792418148461E-2</v>
      </c>
    </row>
    <row r="239" spans="1:5" x14ac:dyDescent="0.35">
      <c r="A239" s="35">
        <v>38443</v>
      </c>
      <c r="B239" s="63">
        <f>VLOOKUP(A239,Database!A:L,MATCH($A$1,Database!$A$1:$L$1,),)</f>
        <v>88.228999999999999</v>
      </c>
      <c r="C239" s="37">
        <f t="shared" si="6"/>
        <v>4.954780508918631E-3</v>
      </c>
      <c r="D239" s="36">
        <f t="shared" si="8"/>
        <v>2.1228080328722764E-2</v>
      </c>
      <c r="E239" s="36">
        <f t="shared" si="7"/>
        <v>1.9966908294190455E-2</v>
      </c>
    </row>
    <row r="240" spans="1:5" x14ac:dyDescent="0.35">
      <c r="A240" s="35">
        <v>38534</v>
      </c>
      <c r="B240" s="63">
        <f>VLOOKUP(A240,Database!A:L,MATCH($A$1,Database!$A$1:$L$1,),)</f>
        <v>88.572999999999993</v>
      </c>
      <c r="C240" s="37">
        <f t="shared" si="6"/>
        <v>3.8989447913950525E-3</v>
      </c>
      <c r="D240" s="36">
        <f t="shared" si="8"/>
        <v>2.1556098911238233E-2</v>
      </c>
      <c r="E240" s="36">
        <f t="shared" si="7"/>
        <v>1.5687227103047707E-2</v>
      </c>
    </row>
    <row r="241" spans="1:5" x14ac:dyDescent="0.35">
      <c r="A241" s="35">
        <v>38626</v>
      </c>
      <c r="B241" s="63">
        <f>VLOOKUP(A241,Database!A:L,MATCH($A$1,Database!$A$1:$L$1,),)</f>
        <v>89.165000000000006</v>
      </c>
      <c r="C241" s="37">
        <f t="shared" si="6"/>
        <v>6.6837523850384771E-3</v>
      </c>
      <c r="D241" s="36">
        <f t="shared" si="8"/>
        <v>2.2839378713836688E-2</v>
      </c>
      <c r="E241" s="36">
        <f t="shared" si="7"/>
        <v>2.7004241132399187E-2</v>
      </c>
    </row>
    <row r="242" spans="1:5" x14ac:dyDescent="0.35">
      <c r="A242" s="35">
        <v>38718</v>
      </c>
      <c r="B242" s="63">
        <f>VLOOKUP(A242,Database!A:L,MATCH($A$1,Database!$A$1:$L$1,),)</f>
        <v>89.680999999999997</v>
      </c>
      <c r="C242" s="37">
        <f t="shared" si="6"/>
        <v>5.7870240565243208E-3</v>
      </c>
      <c r="D242" s="36">
        <f t="shared" si="8"/>
        <v>2.1493496138688298E-2</v>
      </c>
      <c r="E242" s="36">
        <f t="shared" si="7"/>
        <v>2.3349810453819675E-2</v>
      </c>
    </row>
    <row r="243" spans="1:5" x14ac:dyDescent="0.35">
      <c r="A243" s="35">
        <v>38808</v>
      </c>
      <c r="B243" s="63">
        <f>VLOOKUP(A243,Database!A:L,MATCH($A$1,Database!$A$1:$L$1,),)</f>
        <v>90.396000000000001</v>
      </c>
      <c r="C243" s="37">
        <f t="shared" si="6"/>
        <v>7.9727032481796967E-3</v>
      </c>
      <c r="D243" s="36">
        <f t="shared" si="8"/>
        <v>2.4561085357422182E-2</v>
      </c>
      <c r="E243" s="36">
        <f t="shared" si="7"/>
        <v>3.2274228123146287E-2</v>
      </c>
    </row>
    <row r="244" spans="1:5" x14ac:dyDescent="0.35">
      <c r="A244" s="35">
        <v>38899</v>
      </c>
      <c r="B244" s="63">
        <f>VLOOKUP(A244,Database!A:L,MATCH($A$1,Database!$A$1:$L$1,),)</f>
        <v>90.882999999999996</v>
      </c>
      <c r="C244" s="37">
        <f t="shared" si="6"/>
        <v>5.3874065224124379E-3</v>
      </c>
      <c r="D244" s="36">
        <f t="shared" si="8"/>
        <v>2.6080182448375944E-2</v>
      </c>
      <c r="E244" s="36">
        <f t="shared" si="7"/>
        <v>2.172439728583675E-2</v>
      </c>
    </row>
    <row r="245" spans="1:5" x14ac:dyDescent="0.35">
      <c r="A245" s="35">
        <v>38991</v>
      </c>
      <c r="B245" s="63">
        <f>VLOOKUP(A245,Database!A:L,MATCH($A$1,Database!$A$1:$L$1,),)</f>
        <v>91.274000000000001</v>
      </c>
      <c r="C245" s="37">
        <f t="shared" si="6"/>
        <v>4.3022347413708322E-3</v>
      </c>
      <c r="D245" s="36">
        <f t="shared" si="8"/>
        <v>2.3652778556608474E-2</v>
      </c>
      <c r="E245" s="36">
        <f t="shared" si="7"/>
        <v>1.7320313174796098E-2</v>
      </c>
    </row>
    <row r="246" spans="1:5" x14ac:dyDescent="0.35">
      <c r="A246" s="35">
        <v>39083</v>
      </c>
      <c r="B246" s="63">
        <f>VLOOKUP(A246,Database!A:L,MATCH($A$1,Database!$A$1:$L$1,),)</f>
        <v>91.903999999999996</v>
      </c>
      <c r="C246" s="37">
        <f t="shared" si="6"/>
        <v>6.9022941911168071E-3</v>
      </c>
      <c r="D246" s="36">
        <f t="shared" si="8"/>
        <v>2.4787859189794929E-2</v>
      </c>
      <c r="E246" s="36">
        <f t="shared" si="7"/>
        <v>2.7896344371952875E-2</v>
      </c>
    </row>
    <row r="247" spans="1:5" x14ac:dyDescent="0.35">
      <c r="A247" s="35">
        <v>39173</v>
      </c>
      <c r="B247" s="63">
        <f>VLOOKUP(A247,Database!A:L,MATCH($A$1,Database!$A$1:$L$1,),)</f>
        <v>92.286000000000001</v>
      </c>
      <c r="C247" s="37">
        <f t="shared" ref="C247:C310" si="9">(B247-B246)/B246</f>
        <v>4.1565111420613357E-3</v>
      </c>
      <c r="D247" s="36">
        <f t="shared" si="8"/>
        <v>2.0908004778972526E-2</v>
      </c>
      <c r="E247" s="36">
        <f t="shared" ref="E247:E309" si="10">((1+C247)^4)-1</f>
        <v>1.6729991617240536E-2</v>
      </c>
    </row>
    <row r="248" spans="1:5" x14ac:dyDescent="0.35">
      <c r="A248" s="35">
        <v>39264</v>
      </c>
      <c r="B248" s="63">
        <f>VLOOKUP(A248,Database!A:L,MATCH($A$1,Database!$A$1:$L$1,),)</f>
        <v>92.739000000000004</v>
      </c>
      <c r="C248" s="37">
        <f t="shared" si="9"/>
        <v>4.9086535335804236E-3</v>
      </c>
      <c r="D248" s="36">
        <f t="shared" si="8"/>
        <v>2.0421861074128373E-2</v>
      </c>
      <c r="E248" s="36">
        <f t="shared" si="10"/>
        <v>1.9779657085623459E-2</v>
      </c>
    </row>
    <row r="249" spans="1:5" x14ac:dyDescent="0.35">
      <c r="A249" s="35">
        <v>39356</v>
      </c>
      <c r="B249" s="63">
        <f>VLOOKUP(A249,Database!A:L,MATCH($A$1,Database!$A$1:$L$1,),)</f>
        <v>93.381</v>
      </c>
      <c r="C249" s="37">
        <f t="shared" si="9"/>
        <v>6.9226538996538228E-3</v>
      </c>
      <c r="D249" s="36">
        <f t="shared" si="8"/>
        <v>2.3084339461401926E-2</v>
      </c>
      <c r="E249" s="36">
        <f t="shared" si="10"/>
        <v>2.7979483738493904E-2</v>
      </c>
    </row>
    <row r="250" spans="1:5" x14ac:dyDescent="0.35">
      <c r="A250" s="35">
        <v>39448</v>
      </c>
      <c r="B250" s="63">
        <f>VLOOKUP(A250,Database!A:L,MATCH($A$1,Database!$A$1:$L$1,),)</f>
        <v>93.875</v>
      </c>
      <c r="C250" s="37">
        <f t="shared" si="9"/>
        <v>5.290155384928409E-3</v>
      </c>
      <c r="D250" s="36">
        <f t="shared" ref="D250:D313" si="11">(B250-B246)/B246</f>
        <v>2.1446291782729845E-2</v>
      </c>
      <c r="E250" s="36">
        <f t="shared" si="10"/>
        <v>2.1329128982633172E-2</v>
      </c>
    </row>
    <row r="251" spans="1:5" x14ac:dyDescent="0.35">
      <c r="A251" s="35">
        <v>39539</v>
      </c>
      <c r="B251" s="63">
        <f>VLOOKUP(A251,Database!A:L,MATCH($A$1,Database!$A$1:$L$1,),)</f>
        <v>94.269000000000005</v>
      </c>
      <c r="C251" s="37">
        <f t="shared" si="9"/>
        <v>4.1970705725699652E-3</v>
      </c>
      <c r="D251" s="36">
        <f t="shared" si="11"/>
        <v>2.1487549574149969E-2</v>
      </c>
      <c r="E251" s="36">
        <f t="shared" si="10"/>
        <v>1.6894270741260486E-2</v>
      </c>
    </row>
    <row r="252" spans="1:5" x14ac:dyDescent="0.35">
      <c r="A252" s="35">
        <v>39630</v>
      </c>
      <c r="B252" s="63">
        <f>VLOOKUP(A252,Database!A:L,MATCH($A$1,Database!$A$1:$L$1,),)</f>
        <v>94.751000000000005</v>
      </c>
      <c r="C252" s="37">
        <f t="shared" si="9"/>
        <v>5.1130276124706879E-3</v>
      </c>
      <c r="D252" s="36">
        <f t="shared" si="11"/>
        <v>2.1695295398915238E-2</v>
      </c>
      <c r="E252" s="36">
        <f t="shared" si="10"/>
        <v>2.0609504122111266E-2</v>
      </c>
    </row>
    <row r="253" spans="1:5" x14ac:dyDescent="0.35">
      <c r="A253" s="35">
        <v>39722</v>
      </c>
      <c r="B253" s="63">
        <f>VLOOKUP(A253,Database!A:L,MATCH($A$1,Database!$A$1:$L$1,),)</f>
        <v>94.676000000000002</v>
      </c>
      <c r="C253" s="37">
        <f t="shared" si="9"/>
        <v>-7.9154837415966938E-4</v>
      </c>
      <c r="D253" s="36">
        <f t="shared" si="11"/>
        <v>1.3867917456441907E-2</v>
      </c>
      <c r="E253" s="36">
        <f t="shared" si="10"/>
        <v>-3.1624361870490336E-3</v>
      </c>
    </row>
    <row r="254" spans="1:5" x14ac:dyDescent="0.35">
      <c r="A254" s="35">
        <v>39814</v>
      </c>
      <c r="B254" s="63">
        <f>VLOOKUP(A254,Database!A:L,MATCH($A$1,Database!$A$1:$L$1,),)</f>
        <v>94.674999999999997</v>
      </c>
      <c r="C254" s="37">
        <f t="shared" si="9"/>
        <v>-1.0562338924381837E-5</v>
      </c>
      <c r="D254" s="36">
        <f t="shared" si="11"/>
        <v>8.5219707057256691E-3</v>
      </c>
      <c r="E254" s="36">
        <f t="shared" si="10"/>
        <v>-4.224868632429768E-5</v>
      </c>
    </row>
    <row r="255" spans="1:5" x14ac:dyDescent="0.35">
      <c r="A255" s="35">
        <v>39904</v>
      </c>
      <c r="B255" s="63">
        <f>VLOOKUP(A255,Database!A:L,MATCH($A$1,Database!$A$1:$L$1,),)</f>
        <v>95.046000000000006</v>
      </c>
      <c r="C255" s="37">
        <f t="shared" si="9"/>
        <v>3.9186691312385457E-3</v>
      </c>
      <c r="D255" s="36">
        <f t="shared" si="11"/>
        <v>8.2423702383604466E-3</v>
      </c>
      <c r="E255" s="36">
        <f t="shared" si="10"/>
        <v>1.5767053267147668E-2</v>
      </c>
    </row>
    <row r="256" spans="1:5" x14ac:dyDescent="0.35">
      <c r="A256" s="35">
        <v>39995</v>
      </c>
      <c r="B256" s="63">
        <f>VLOOKUP(A256,Database!A:L,MATCH($A$1,Database!$A$1:$L$1,),)</f>
        <v>95.382999999999996</v>
      </c>
      <c r="C256" s="37">
        <f t="shared" si="9"/>
        <v>3.5456515792352027E-3</v>
      </c>
      <c r="D256" s="36">
        <f t="shared" si="11"/>
        <v>6.6701142995851314E-3</v>
      </c>
      <c r="E256" s="36">
        <f t="shared" si="10"/>
        <v>1.4258214644408351E-2</v>
      </c>
    </row>
    <row r="257" spans="1:5" x14ac:dyDescent="0.35">
      <c r="A257" s="35">
        <v>40087</v>
      </c>
      <c r="B257" s="63">
        <f>VLOOKUP(A257,Database!A:L,MATCH($A$1,Database!$A$1:$L$1,),)</f>
        <v>95.977000000000004</v>
      </c>
      <c r="C257" s="37">
        <f t="shared" si="9"/>
        <v>6.2275248209849587E-3</v>
      </c>
      <c r="D257" s="36">
        <f t="shared" si="11"/>
        <v>1.3741602940555177E-2</v>
      </c>
      <c r="E257" s="36">
        <f t="shared" si="10"/>
        <v>2.5143759245463526E-2</v>
      </c>
    </row>
    <row r="258" spans="1:5" x14ac:dyDescent="0.35">
      <c r="A258" s="35">
        <v>40179</v>
      </c>
      <c r="B258" s="63">
        <f>VLOOKUP(A258,Database!A:L,MATCH($A$1,Database!$A$1:$L$1,),)</f>
        <v>96.305000000000007</v>
      </c>
      <c r="C258" s="37">
        <f t="shared" si="9"/>
        <v>3.4174854392198437E-3</v>
      </c>
      <c r="D258" s="36">
        <f t="shared" si="11"/>
        <v>1.721679429627684E-2</v>
      </c>
      <c r="E258" s="36">
        <f t="shared" si="10"/>
        <v>1.3740176787722991E-2</v>
      </c>
    </row>
    <row r="259" spans="1:5" x14ac:dyDescent="0.35">
      <c r="A259" s="35">
        <v>40269</v>
      </c>
      <c r="B259" s="63">
        <f>VLOOKUP(A259,Database!A:L,MATCH($A$1,Database!$A$1:$L$1,),)</f>
        <v>96.564999999999998</v>
      </c>
      <c r="C259" s="37">
        <f t="shared" si="9"/>
        <v>2.6997559835936959E-3</v>
      </c>
      <c r="D259" s="36">
        <f t="shared" si="11"/>
        <v>1.5981735159817257E-2</v>
      </c>
      <c r="E259" s="36">
        <f t="shared" si="10"/>
        <v>1.0842834792381018E-2</v>
      </c>
    </row>
    <row r="260" spans="1:5" x14ac:dyDescent="0.35">
      <c r="A260" s="35">
        <v>40360</v>
      </c>
      <c r="B260" s="63">
        <f>VLOOKUP(A260,Database!A:L,MATCH($A$1,Database!$A$1:$L$1,),)</f>
        <v>96.712999999999994</v>
      </c>
      <c r="C260" s="37">
        <f t="shared" si="9"/>
        <v>1.5326464039765561E-3</v>
      </c>
      <c r="D260" s="36">
        <f t="shared" si="11"/>
        <v>1.3943784531834796E-2</v>
      </c>
      <c r="E260" s="36">
        <f t="shared" si="10"/>
        <v>6.1446940521985294E-3</v>
      </c>
    </row>
    <row r="261" spans="1:5" x14ac:dyDescent="0.35">
      <c r="A261" s="35">
        <v>40452</v>
      </c>
      <c r="B261" s="63">
        <f>VLOOKUP(A261,Database!A:L,MATCH($A$1,Database!$A$1:$L$1,),)</f>
        <v>97.019000000000005</v>
      </c>
      <c r="C261" s="37">
        <f t="shared" si="9"/>
        <v>3.1640007031113874E-3</v>
      </c>
      <c r="D261" s="36">
        <f t="shared" si="11"/>
        <v>1.0856767767277594E-2</v>
      </c>
      <c r="E261" s="36">
        <f t="shared" si="10"/>
        <v>1.2716195013343201E-2</v>
      </c>
    </row>
    <row r="262" spans="1:5" x14ac:dyDescent="0.35">
      <c r="A262" s="35">
        <v>40544</v>
      </c>
      <c r="B262" s="63">
        <f>VLOOKUP(A262,Database!A:L,MATCH($A$1,Database!$A$1:$L$1,),)</f>
        <v>97.444999999999993</v>
      </c>
      <c r="C262" s="37">
        <f t="shared" si="9"/>
        <v>4.3908925055915612E-3</v>
      </c>
      <c r="D262" s="36">
        <f t="shared" si="11"/>
        <v>1.1837391620372631E-2</v>
      </c>
      <c r="E262" s="36">
        <f t="shared" si="10"/>
        <v>1.7679588640579391E-2</v>
      </c>
    </row>
    <row r="263" spans="1:5" x14ac:dyDescent="0.35">
      <c r="A263" s="35">
        <v>40634</v>
      </c>
      <c r="B263" s="63">
        <f>VLOOKUP(A263,Database!A:L,MATCH($A$1,Database!$A$1:$L$1,),)</f>
        <v>98.015000000000001</v>
      </c>
      <c r="C263" s="37">
        <f t="shared" si="9"/>
        <v>5.8494535378932466E-3</v>
      </c>
      <c r="D263" s="36">
        <f t="shared" si="11"/>
        <v>1.5015792471392356E-2</v>
      </c>
      <c r="E263" s="36">
        <f t="shared" si="10"/>
        <v>2.360391254457217E-2</v>
      </c>
    </row>
    <row r="264" spans="1:5" x14ac:dyDescent="0.35">
      <c r="A264" s="35">
        <v>40725</v>
      </c>
      <c r="B264" s="63">
        <f>VLOOKUP(A264,Database!A:L,MATCH($A$1,Database!$A$1:$L$1,),)</f>
        <v>98.462000000000003</v>
      </c>
      <c r="C264" s="37">
        <f t="shared" si="9"/>
        <v>4.5605264500331857E-3</v>
      </c>
      <c r="D264" s="36">
        <f t="shared" si="11"/>
        <v>1.8084435391312537E-2</v>
      </c>
      <c r="E264" s="36">
        <f t="shared" si="10"/>
        <v>1.8367276048355974E-2</v>
      </c>
    </row>
    <row r="265" spans="1:5" x14ac:dyDescent="0.35">
      <c r="A265" s="35">
        <v>40817</v>
      </c>
      <c r="B265" s="63">
        <f>VLOOKUP(A265,Database!A:L,MATCH($A$1,Database!$A$1:$L$1,),)</f>
        <v>98.813000000000002</v>
      </c>
      <c r="C265" s="37">
        <f t="shared" si="9"/>
        <v>3.5648270398732414E-3</v>
      </c>
      <c r="D265" s="36">
        <f t="shared" si="11"/>
        <v>1.8491223368618484E-2</v>
      </c>
      <c r="E265" s="36">
        <f t="shared" si="10"/>
        <v>1.4335737479102439E-2</v>
      </c>
    </row>
    <row r="266" spans="1:5" x14ac:dyDescent="0.35">
      <c r="A266" s="35">
        <v>40909</v>
      </c>
      <c r="B266" s="63">
        <f>VLOOKUP(A266,Database!A:L,MATCH($A$1,Database!$A$1:$L$1,),)</f>
        <v>99.436999999999998</v>
      </c>
      <c r="C266" s="37">
        <f t="shared" si="9"/>
        <v>6.3149585580844145E-3</v>
      </c>
      <c r="D266" s="36">
        <f t="shared" si="11"/>
        <v>2.0442300785058286E-2</v>
      </c>
      <c r="E266" s="36">
        <f t="shared" si="10"/>
        <v>2.5500115361581921E-2</v>
      </c>
    </row>
    <row r="267" spans="1:5" x14ac:dyDescent="0.35">
      <c r="A267" s="35">
        <v>41000</v>
      </c>
      <c r="B267" s="63">
        <f>VLOOKUP(A267,Database!A:L,MATCH($A$1,Database!$A$1:$L$1,),)</f>
        <v>99.847999999999999</v>
      </c>
      <c r="C267" s="37">
        <f t="shared" si="9"/>
        <v>4.1332703118557614E-3</v>
      </c>
      <c r="D267" s="36">
        <f t="shared" si="11"/>
        <v>1.8701219201142667E-2</v>
      </c>
      <c r="E267" s="36">
        <f t="shared" si="10"/>
        <v>1.6635867530003123E-2</v>
      </c>
    </row>
    <row r="268" spans="1:5" x14ac:dyDescent="0.35">
      <c r="A268" s="35">
        <v>41091</v>
      </c>
      <c r="B268" s="63">
        <f>VLOOKUP(A268,Database!A:L,MATCH($A$1,Database!$A$1:$L$1,),)</f>
        <v>100.136</v>
      </c>
      <c r="C268" s="37">
        <f t="shared" si="9"/>
        <v>2.8843842640813707E-3</v>
      </c>
      <c r="D268" s="36">
        <f t="shared" si="11"/>
        <v>1.7001482805549271E-2</v>
      </c>
      <c r="E268" s="36">
        <f t="shared" si="10"/>
        <v>1.1587551149570219E-2</v>
      </c>
    </row>
    <row r="269" spans="1:5" x14ac:dyDescent="0.35">
      <c r="A269" s="35">
        <v>41183</v>
      </c>
      <c r="B269" s="63">
        <f>VLOOKUP(A269,Database!A:L,MATCH($A$1,Database!$A$1:$L$1,),)</f>
        <v>100.57899999999999</v>
      </c>
      <c r="C269" s="37">
        <f t="shared" si="9"/>
        <v>4.4239833825996432E-3</v>
      </c>
      <c r="D269" s="36">
        <f t="shared" si="11"/>
        <v>1.7872142329450488E-2</v>
      </c>
      <c r="E269" s="36">
        <f t="shared" si="10"/>
        <v>1.7813710025509577E-2</v>
      </c>
    </row>
    <row r="270" spans="1:5" x14ac:dyDescent="0.35">
      <c r="A270" s="35">
        <v>41275</v>
      </c>
      <c r="B270" s="63">
        <f>VLOOKUP(A270,Database!A:L,MATCH($A$1,Database!$A$1:$L$1,),)</f>
        <v>100.983</v>
      </c>
      <c r="C270" s="37">
        <f t="shared" si="9"/>
        <v>4.0167430576960456E-3</v>
      </c>
      <c r="D270" s="36">
        <f t="shared" si="11"/>
        <v>1.5547532608586406E-2</v>
      </c>
      <c r="E270" s="36">
        <f t="shared" si="10"/>
        <v>1.6164037067988302E-2</v>
      </c>
    </row>
    <row r="271" spans="1:5" x14ac:dyDescent="0.35">
      <c r="A271" s="35">
        <v>41365</v>
      </c>
      <c r="B271" s="63">
        <f>VLOOKUP(A271,Database!A:L,MATCH($A$1,Database!$A$1:$L$1,),)</f>
        <v>101.291</v>
      </c>
      <c r="C271" s="37">
        <f t="shared" si="9"/>
        <v>3.050018319915161E-3</v>
      </c>
      <c r="D271" s="36">
        <f t="shared" si="11"/>
        <v>1.4451966989824512E-2</v>
      </c>
      <c r="E271" s="36">
        <f t="shared" si="10"/>
        <v>1.2256002529255072E-2</v>
      </c>
    </row>
    <row r="272" spans="1:5" x14ac:dyDescent="0.35">
      <c r="A272" s="35">
        <v>41456</v>
      </c>
      <c r="B272" s="63">
        <f>VLOOKUP(A272,Database!A:L,MATCH($A$1,Database!$A$1:$L$1,),)</f>
        <v>101.684</v>
      </c>
      <c r="C272" s="37">
        <f t="shared" si="9"/>
        <v>3.8799103572874261E-3</v>
      </c>
      <c r="D272" s="36">
        <f t="shared" si="11"/>
        <v>1.5458975792921645E-2</v>
      </c>
      <c r="E272" s="36">
        <f t="shared" si="10"/>
        <v>1.5610197510141699E-2</v>
      </c>
    </row>
    <row r="273" spans="1:5" x14ac:dyDescent="0.35">
      <c r="A273" s="35">
        <v>41548</v>
      </c>
      <c r="B273" s="63">
        <f>VLOOKUP(A273,Database!A:L,MATCH($A$1,Database!$A$1:$L$1,),)</f>
        <v>102.181</v>
      </c>
      <c r="C273" s="37">
        <f t="shared" si="9"/>
        <v>4.8876912788639306E-3</v>
      </c>
      <c r="D273" s="36">
        <f t="shared" si="11"/>
        <v>1.5927778164428003E-2</v>
      </c>
      <c r="E273" s="36">
        <f t="shared" si="10"/>
        <v>1.969456990090257E-2</v>
      </c>
    </row>
    <row r="274" spans="1:5" x14ac:dyDescent="0.35">
      <c r="A274" s="35">
        <v>41640</v>
      </c>
      <c r="B274" s="63">
        <f>VLOOKUP(A274,Database!A:L,MATCH($A$1,Database!$A$1:$L$1,),)</f>
        <v>102.533</v>
      </c>
      <c r="C274" s="37">
        <f t="shared" si="9"/>
        <v>3.4448674411094418E-3</v>
      </c>
      <c r="D274" s="36">
        <f t="shared" si="11"/>
        <v>1.5349118168404554E-2</v>
      </c>
      <c r="E274" s="36">
        <f t="shared" si="10"/>
        <v>1.3850836097893504E-2</v>
      </c>
    </row>
    <row r="275" spans="1:5" x14ac:dyDescent="0.35">
      <c r="A275" s="35">
        <v>41730</v>
      </c>
      <c r="B275" s="63">
        <f>VLOOKUP(A275,Database!A:L,MATCH($A$1,Database!$A$1:$L$1,),)</f>
        <v>103.04</v>
      </c>
      <c r="C275" s="37">
        <f t="shared" si="9"/>
        <v>4.944749495284494E-3</v>
      </c>
      <c r="D275" s="36">
        <f t="shared" si="11"/>
        <v>1.7267081971744869E-2</v>
      </c>
      <c r="E275" s="36">
        <f t="shared" si="10"/>
        <v>1.99261854717252E-2</v>
      </c>
    </row>
    <row r="276" spans="1:5" x14ac:dyDescent="0.35">
      <c r="A276" s="35">
        <v>41821</v>
      </c>
      <c r="B276" s="63">
        <f>VLOOKUP(A276,Database!A:L,MATCH($A$1,Database!$A$1:$L$1,),)</f>
        <v>103.438</v>
      </c>
      <c r="C276" s="37">
        <f t="shared" si="9"/>
        <v>3.8625776397515151E-3</v>
      </c>
      <c r="D276" s="36">
        <f t="shared" si="11"/>
        <v>1.7249518114944386E-2</v>
      </c>
      <c r="E276" s="36">
        <f t="shared" si="10"/>
        <v>1.5540058328738171E-2</v>
      </c>
    </row>
    <row r="277" spans="1:5" x14ac:dyDescent="0.35">
      <c r="A277" s="35">
        <v>41913</v>
      </c>
      <c r="B277" s="63">
        <f>VLOOKUP(A277,Database!A:L,MATCH($A$1,Database!$A$1:$L$1,),)</f>
        <v>103.735</v>
      </c>
      <c r="C277" s="37">
        <f t="shared" si="9"/>
        <v>2.8712852143312614E-3</v>
      </c>
      <c r="D277" s="36">
        <f t="shared" si="11"/>
        <v>1.5208306828079604E-2</v>
      </c>
      <c r="E277" s="36">
        <f t="shared" si="10"/>
        <v>1.153470128468892E-2</v>
      </c>
    </row>
    <row r="278" spans="1:5" x14ac:dyDescent="0.35">
      <c r="A278" s="35">
        <v>42005</v>
      </c>
      <c r="B278" s="63">
        <f>VLOOKUP(A278,Database!A:L,MATCH($A$1,Database!$A$1:$L$1,),)</f>
        <v>103.938</v>
      </c>
      <c r="C278" s="37">
        <f t="shared" si="9"/>
        <v>1.9569094326890922E-3</v>
      </c>
      <c r="D278" s="36">
        <f t="shared" si="11"/>
        <v>1.37029054060644E-2</v>
      </c>
      <c r="E278" s="36">
        <f t="shared" si="10"/>
        <v>7.8506446884833991E-3</v>
      </c>
    </row>
    <row r="279" spans="1:5" x14ac:dyDescent="0.35">
      <c r="A279" s="35">
        <v>42095</v>
      </c>
      <c r="B279" s="63">
        <f>VLOOKUP(A279,Database!A:L,MATCH($A$1,Database!$A$1:$L$1,),)</f>
        <v>104.384</v>
      </c>
      <c r="C279" s="37">
        <f t="shared" si="9"/>
        <v>4.2910196463275983E-3</v>
      </c>
      <c r="D279" s="36">
        <f t="shared" si="11"/>
        <v>1.3043478260869507E-2</v>
      </c>
      <c r="E279" s="36">
        <f t="shared" si="10"/>
        <v>1.7274872061571855E-2</v>
      </c>
    </row>
    <row r="280" spans="1:5" x14ac:dyDescent="0.35">
      <c r="A280" s="35">
        <v>42186</v>
      </c>
      <c r="B280" s="63">
        <f>VLOOKUP(A280,Database!A:L,MATCH($A$1,Database!$A$1:$L$1,),)</f>
        <v>104.699</v>
      </c>
      <c r="C280" s="37">
        <f t="shared" si="9"/>
        <v>3.0177038626609223E-3</v>
      </c>
      <c r="D280" s="36">
        <f t="shared" si="11"/>
        <v>1.219087762717759E-2</v>
      </c>
      <c r="E280" s="36">
        <f t="shared" si="10"/>
        <v>1.2125564676511713E-2</v>
      </c>
    </row>
    <row r="281" spans="1:5" x14ac:dyDescent="0.35">
      <c r="A281" s="35">
        <v>42278</v>
      </c>
      <c r="B281" s="63">
        <f>VLOOKUP(A281,Database!A:L,MATCH($A$1,Database!$A$1:$L$1,),)</f>
        <v>104.926</v>
      </c>
      <c r="C281" s="37">
        <f t="shared" si="9"/>
        <v>2.1681200393509382E-3</v>
      </c>
      <c r="D281" s="36">
        <f t="shared" si="11"/>
        <v>1.1481178001638816E-2</v>
      </c>
      <c r="E281" s="36">
        <f t="shared" si="10"/>
        <v>8.7007254136439727E-3</v>
      </c>
    </row>
    <row r="282" spans="1:5" x14ac:dyDescent="0.35">
      <c r="A282" s="35">
        <v>42370</v>
      </c>
      <c r="B282" s="63">
        <f>VLOOKUP(A282,Database!A:L,MATCH($A$1,Database!$A$1:$L$1,),)</f>
        <v>105.36499999999999</v>
      </c>
      <c r="C282" s="37">
        <f t="shared" si="9"/>
        <v>4.1839010350150866E-3</v>
      </c>
      <c r="D282" s="36">
        <f t="shared" si="11"/>
        <v>1.3729338644191657E-2</v>
      </c>
      <c r="E282" s="36">
        <f t="shared" si="10"/>
        <v>1.6840927570928033E-2</v>
      </c>
    </row>
    <row r="283" spans="1:5" x14ac:dyDescent="0.35">
      <c r="A283" s="35">
        <v>42461</v>
      </c>
      <c r="B283" s="63">
        <f>VLOOKUP(A283,Database!A:L,MATCH($A$1,Database!$A$1:$L$1,),)</f>
        <v>105.937</v>
      </c>
      <c r="C283" s="37">
        <f t="shared" si="9"/>
        <v>5.4287476866132275E-3</v>
      </c>
      <c r="D283" s="36">
        <f t="shared" si="11"/>
        <v>1.4877759043531549E-2</v>
      </c>
      <c r="E283" s="36">
        <f t="shared" si="10"/>
        <v>2.1892459392718111E-2</v>
      </c>
    </row>
    <row r="284" spans="1:5" x14ac:dyDescent="0.35">
      <c r="A284" s="35">
        <v>42552</v>
      </c>
      <c r="B284" s="63">
        <f>VLOOKUP(A284,Database!A:L,MATCH($A$1,Database!$A$1:$L$1,),)</f>
        <v>106.43</v>
      </c>
      <c r="C284" s="37">
        <f t="shared" si="9"/>
        <v>4.6537092800438863E-3</v>
      </c>
      <c r="D284" s="36">
        <f t="shared" si="11"/>
        <v>1.6533109198750787E-2</v>
      </c>
      <c r="E284" s="36">
        <f t="shared" si="10"/>
        <v>1.8745182791295001E-2</v>
      </c>
    </row>
    <row r="285" spans="1:5" x14ac:dyDescent="0.35">
      <c r="A285" s="35">
        <v>42644</v>
      </c>
      <c r="B285" s="63">
        <f>VLOOKUP(A285,Database!A:L,MATCH($A$1,Database!$A$1:$L$1,),)</f>
        <v>106.818</v>
      </c>
      <c r="C285" s="37">
        <f t="shared" si="9"/>
        <v>3.6455886498166965E-3</v>
      </c>
      <c r="D285" s="36">
        <f t="shared" si="11"/>
        <v>1.8031755713550462E-2</v>
      </c>
      <c r="E285" s="36">
        <f t="shared" si="10"/>
        <v>1.466229047963119E-2</v>
      </c>
    </row>
    <row r="286" spans="1:5" x14ac:dyDescent="0.35">
      <c r="A286" s="35">
        <v>42736</v>
      </c>
      <c r="B286" s="63">
        <f>VLOOKUP(A286,Database!A:L,MATCH($A$1,Database!$A$1:$L$1,),)</f>
        <v>107.328</v>
      </c>
      <c r="C286" s="37">
        <f t="shared" si="9"/>
        <v>4.7744762118744509E-3</v>
      </c>
      <c r="D286" s="36">
        <f t="shared" si="11"/>
        <v>1.8630475015422657E-2</v>
      </c>
      <c r="E286" s="36">
        <f t="shared" si="10"/>
        <v>1.9235114454365654E-2</v>
      </c>
    </row>
    <row r="287" spans="1:5" x14ac:dyDescent="0.35">
      <c r="A287" s="35">
        <v>42826</v>
      </c>
      <c r="B287" s="63">
        <f>VLOOKUP(A287,Database!A:L,MATCH($A$1,Database!$A$1:$L$1,),)</f>
        <v>107.738</v>
      </c>
      <c r="C287" s="37">
        <f t="shared" si="9"/>
        <v>3.8200655933213752E-3</v>
      </c>
      <c r="D287" s="36">
        <f t="shared" si="11"/>
        <v>1.7000670209652926E-2</v>
      </c>
      <c r="E287" s="36">
        <f t="shared" si="10"/>
        <v>1.5368042976420027E-2</v>
      </c>
    </row>
    <row r="288" spans="1:5" x14ac:dyDescent="0.35">
      <c r="A288" s="35">
        <v>42917</v>
      </c>
      <c r="B288" s="63">
        <f>VLOOKUP(A288,Database!A:L,MATCH($A$1,Database!$A$1:$L$1,),)</f>
        <v>108.077</v>
      </c>
      <c r="C288" s="37">
        <f t="shared" si="9"/>
        <v>3.1465221184725782E-3</v>
      </c>
      <c r="D288" s="36">
        <f t="shared" si="11"/>
        <v>1.5474960067650017E-2</v>
      </c>
      <c r="E288" s="36">
        <f t="shared" si="10"/>
        <v>1.2645616790409875E-2</v>
      </c>
    </row>
    <row r="289" spans="1:5" x14ac:dyDescent="0.35">
      <c r="A289" s="35">
        <v>43009</v>
      </c>
      <c r="B289" s="63">
        <f>VLOOKUP(A289,Database!A:L,MATCH($A$1,Database!$A$1:$L$1,),)</f>
        <v>108.608</v>
      </c>
      <c r="C289" s="37">
        <f t="shared" si="9"/>
        <v>4.9131637628728212E-3</v>
      </c>
      <c r="D289" s="36">
        <f t="shared" si="11"/>
        <v>1.6757475331872964E-2</v>
      </c>
      <c r="E289" s="36">
        <f t="shared" si="10"/>
        <v>1.9797965102097415E-2</v>
      </c>
    </row>
    <row r="290" spans="1:5" x14ac:dyDescent="0.35">
      <c r="A290" s="35">
        <v>43101</v>
      </c>
      <c r="B290" s="63">
        <f>VLOOKUP(A290,Database!A:L,MATCH($A$1,Database!$A$1:$L$1,),)</f>
        <v>109.318</v>
      </c>
      <c r="C290" s="37">
        <f t="shared" si="9"/>
        <v>6.5372716558632299E-3</v>
      </c>
      <c r="D290" s="36">
        <f t="shared" si="11"/>
        <v>1.8541293977340442E-2</v>
      </c>
      <c r="E290" s="36">
        <f t="shared" si="10"/>
        <v>2.6406621479319048E-2</v>
      </c>
    </row>
    <row r="291" spans="1:5" x14ac:dyDescent="0.35">
      <c r="A291" s="35">
        <v>43191</v>
      </c>
      <c r="B291" s="63">
        <f>VLOOKUP(A291,Database!A:L,MATCH($A$1,Database!$A$1:$L$1,),)</f>
        <v>109.926</v>
      </c>
      <c r="C291" s="37">
        <f t="shared" si="9"/>
        <v>5.5617556120675839E-3</v>
      </c>
      <c r="D291" s="36">
        <f t="shared" si="11"/>
        <v>2.030852623958123E-2</v>
      </c>
      <c r="E291" s="36">
        <f t="shared" si="10"/>
        <v>2.243331032799567E-2</v>
      </c>
    </row>
    <row r="292" spans="1:5" x14ac:dyDescent="0.35">
      <c r="A292" s="35">
        <v>43282</v>
      </c>
      <c r="B292" s="63">
        <f>VLOOKUP(A292,Database!A:L,MATCH($A$1,Database!$A$1:$L$1,),)</f>
        <v>110.313</v>
      </c>
      <c r="C292" s="37">
        <f t="shared" si="9"/>
        <v>3.5205501883085024E-3</v>
      </c>
      <c r="D292" s="36">
        <f t="shared" si="11"/>
        <v>2.068895324629666E-2</v>
      </c>
      <c r="E292" s="36">
        <f t="shared" si="10"/>
        <v>1.4156741087271385E-2</v>
      </c>
    </row>
    <row r="293" spans="1:5" x14ac:dyDescent="0.35">
      <c r="A293" s="35">
        <v>43374</v>
      </c>
      <c r="B293" s="63">
        <f>VLOOKUP(A293,Database!A:L,MATCH($A$1,Database!$A$1:$L$1,),)</f>
        <v>110.822</v>
      </c>
      <c r="C293" s="37">
        <f t="shared" si="9"/>
        <v>4.6141433919846282E-3</v>
      </c>
      <c r="D293" s="36">
        <f t="shared" si="11"/>
        <v>2.0385238656452549E-2</v>
      </c>
      <c r="E293" s="36">
        <f t="shared" si="10"/>
        <v>1.8584708883010448E-2</v>
      </c>
    </row>
    <row r="294" spans="1:5" x14ac:dyDescent="0.35">
      <c r="A294" s="35">
        <v>43466</v>
      </c>
      <c r="B294" s="63">
        <f>VLOOKUP(A294,Database!A:L,MATCH($A$1,Database!$A$1:$L$1,),)</f>
        <v>111.23</v>
      </c>
      <c r="C294" s="37">
        <f t="shared" si="9"/>
        <v>3.6815794697803799E-3</v>
      </c>
      <c r="D294" s="36">
        <f t="shared" si="11"/>
        <v>1.7490257780054575E-2</v>
      </c>
      <c r="E294" s="36">
        <f t="shared" si="10"/>
        <v>1.4807841828103019E-2</v>
      </c>
    </row>
    <row r="295" spans="1:5" x14ac:dyDescent="0.35">
      <c r="A295" s="35">
        <v>43556</v>
      </c>
      <c r="B295" s="63">
        <f>VLOOKUP(A295,Database!A:L,MATCH($A$1,Database!$A$1:$L$1,),)</f>
        <v>111.80800000000001</v>
      </c>
      <c r="C295" s="37">
        <f t="shared" si="9"/>
        <v>5.1964398094039646E-3</v>
      </c>
      <c r="D295" s="36">
        <f t="shared" si="11"/>
        <v>1.712060840929357E-2</v>
      </c>
      <c r="E295" s="36">
        <f t="shared" si="10"/>
        <v>2.0948339164513774E-2</v>
      </c>
    </row>
    <row r="296" spans="1:5" x14ac:dyDescent="0.35">
      <c r="A296" s="35">
        <v>43647</v>
      </c>
      <c r="B296" s="63">
        <f>VLOOKUP(A296,Database!A:L,MATCH($A$1,Database!$A$1:$L$1,),)</f>
        <v>112.255</v>
      </c>
      <c r="C296" s="37">
        <f t="shared" si="9"/>
        <v>3.9979250143101436E-3</v>
      </c>
      <c r="D296" s="36">
        <f t="shared" si="11"/>
        <v>1.7604452784349921E-2</v>
      </c>
      <c r="E296" s="36">
        <f t="shared" si="10"/>
        <v>1.6087856341038931E-2</v>
      </c>
    </row>
    <row r="297" spans="1:5" x14ac:dyDescent="0.35">
      <c r="A297" s="35">
        <v>43739</v>
      </c>
      <c r="B297" s="63">
        <f>VLOOKUP(A297,Database!A:L,MATCH($A$1,Database!$A$1:$L$1,),)</f>
        <v>112.59699999999999</v>
      </c>
      <c r="C297" s="37">
        <f t="shared" si="9"/>
        <v>3.0466348937686406E-3</v>
      </c>
      <c r="D297" s="36">
        <f t="shared" si="11"/>
        <v>1.6016675389363046E-2</v>
      </c>
      <c r="E297" s="36">
        <f t="shared" si="10"/>
        <v>1.2242344681552497E-2</v>
      </c>
    </row>
    <row r="298" spans="1:5" x14ac:dyDescent="0.35">
      <c r="A298" s="35">
        <v>43831</v>
      </c>
      <c r="B298" s="63">
        <f>VLOOKUP(A298,Database!A:L,MATCH($A$1,Database!$A$1:$L$1,),)</f>
        <v>113.119</v>
      </c>
      <c r="C298" s="37">
        <f t="shared" si="9"/>
        <v>4.6360027354192881E-3</v>
      </c>
      <c r="D298" s="36">
        <f t="shared" si="11"/>
        <v>1.6982828373640166E-2</v>
      </c>
      <c r="E298" s="36">
        <f t="shared" si="10"/>
        <v>1.8673365089334037E-2</v>
      </c>
    </row>
    <row r="299" spans="1:5" x14ac:dyDescent="0.35">
      <c r="A299" s="35">
        <v>43922</v>
      </c>
      <c r="B299" s="63">
        <f>VLOOKUP(A299,Database!A:L,MATCH($A$1,Database!$A$1:$L$1,),)</f>
        <v>112.846</v>
      </c>
      <c r="C299" s="37">
        <f t="shared" si="9"/>
        <v>-2.4133876713902714E-3</v>
      </c>
      <c r="D299" s="36">
        <f t="shared" si="11"/>
        <v>9.2837721808814808E-3</v>
      </c>
      <c r="E299" s="36">
        <f t="shared" si="10"/>
        <v>-9.6186602378500741E-3</v>
      </c>
    </row>
    <row r="300" spans="1:5" x14ac:dyDescent="0.35">
      <c r="A300" s="35">
        <v>44013</v>
      </c>
      <c r="B300" s="63">
        <f>VLOOKUP(A300,Database!A:L,MATCH($A$1,Database!$A$1:$L$1,),)</f>
        <v>113.729</v>
      </c>
      <c r="C300" s="37">
        <f t="shared" si="9"/>
        <v>7.8248232103928853E-3</v>
      </c>
      <c r="D300" s="36">
        <f t="shared" si="11"/>
        <v>1.3130818226359661E-2</v>
      </c>
      <c r="E300" s="36">
        <f t="shared" si="10"/>
        <v>3.1668580128731305E-2</v>
      </c>
    </row>
    <row r="301" spans="1:5" x14ac:dyDescent="0.35">
      <c r="A301" s="35">
        <v>44105</v>
      </c>
      <c r="B301" s="63">
        <f>VLOOKUP(A301,Database!A:L,MATCH($A$1,Database!$A$1:$L$1,),)</f>
        <v>114.163</v>
      </c>
      <c r="C301" s="37">
        <f t="shared" si="9"/>
        <v>3.8160891241459743E-3</v>
      </c>
      <c r="D301" s="36">
        <f t="shared" si="11"/>
        <v>1.3908008206257738E-2</v>
      </c>
      <c r="E301" s="36">
        <f t="shared" si="10"/>
        <v>1.5351954213615571E-2</v>
      </c>
    </row>
    <row r="302" spans="1:5" x14ac:dyDescent="0.35">
      <c r="A302" s="35">
        <v>44197</v>
      </c>
      <c r="B302" s="63">
        <f>VLOOKUP(A302,Database!A:L,MATCH($A$1,Database!$A$1:$L$1,),)</f>
        <v>115.072</v>
      </c>
      <c r="C302" s="37">
        <f t="shared" si="9"/>
        <v>7.9622995191086961E-3</v>
      </c>
      <c r="D302" s="36">
        <f t="shared" si="11"/>
        <v>1.7265004110715292E-2</v>
      </c>
      <c r="E302" s="36">
        <f t="shared" si="10"/>
        <v>3.2231610559823709E-2</v>
      </c>
    </row>
    <row r="303" spans="1:5" x14ac:dyDescent="0.35">
      <c r="A303" s="35">
        <v>44287</v>
      </c>
      <c r="B303" s="63">
        <f>VLOOKUP(A303,Database!A:L,MATCH($A$1,Database!$A$1:$L$1,),)</f>
        <v>116.774</v>
      </c>
      <c r="C303" s="37">
        <f t="shared" si="9"/>
        <v>1.4790739710789751E-2</v>
      </c>
      <c r="D303" s="36">
        <f t="shared" si="11"/>
        <v>3.4808500079754681E-2</v>
      </c>
      <c r="E303" s="36">
        <f t="shared" si="10"/>
        <v>6.0488545431609309E-2</v>
      </c>
    </row>
    <row r="304" spans="1:5" x14ac:dyDescent="0.35">
      <c r="A304" s="53">
        <v>44378</v>
      </c>
      <c r="B304" s="64">
        <f>VLOOKUP(A304,Database!A:L,MATCH($A$1,Database!$A$1:$L$1,),)</f>
        <v>118.152</v>
      </c>
      <c r="C304" s="54">
        <f t="shared" si="9"/>
        <v>1.1800572045147038E-2</v>
      </c>
      <c r="D304" s="55">
        <f t="shared" si="11"/>
        <v>3.8890696304372689E-2</v>
      </c>
      <c r="E304" s="55">
        <f t="shared" si="10"/>
        <v>4.8044401659546931E-2</v>
      </c>
    </row>
    <row r="305" spans="1:5" x14ac:dyDescent="0.35">
      <c r="A305" s="35">
        <v>44470</v>
      </c>
      <c r="B305" s="63">
        <f>VLOOKUP(A305,Database!A:L,MATCH($A$1,Database!$A$1:$L$1,),)</f>
        <v>119.55500000000001</v>
      </c>
      <c r="C305" s="37">
        <f t="shared" si="9"/>
        <v>1.1874534497934913E-2</v>
      </c>
      <c r="D305" s="36">
        <f t="shared" si="11"/>
        <v>4.7230713979135183E-2</v>
      </c>
      <c r="E305" s="36">
        <f t="shared" si="10"/>
        <v>4.8350882745786139E-2</v>
      </c>
    </row>
    <row r="306" spans="1:5" x14ac:dyDescent="0.35">
      <c r="A306" s="35">
        <v>44562</v>
      </c>
      <c r="B306" s="63">
        <f>VLOOKUP(A306,Database!A:L,MATCH($A$1,Database!$A$1:$L$1,),)</f>
        <v>121.206</v>
      </c>
      <c r="C306" s="37">
        <f t="shared" si="9"/>
        <v>1.3809543724645528E-2</v>
      </c>
      <c r="D306" s="36">
        <f t="shared" si="11"/>
        <v>5.3305756395995552E-2</v>
      </c>
      <c r="E306" s="36">
        <f t="shared" si="10"/>
        <v>5.6392966366873409E-2</v>
      </c>
    </row>
    <row r="307" spans="1:5" x14ac:dyDescent="0.35">
      <c r="A307" s="35">
        <v>44652</v>
      </c>
      <c r="B307" s="63">
        <f>VLOOKUP(A307,Database!A:L,MATCH($A$1,Database!$A$1:$L$1,),)</f>
        <v>122.592</v>
      </c>
      <c r="C307" s="37">
        <f t="shared" si="9"/>
        <v>1.143507747141227E-2</v>
      </c>
      <c r="D307" s="36">
        <f t="shared" si="11"/>
        <v>4.9822734512819614E-2</v>
      </c>
      <c r="E307" s="36">
        <f t="shared" si="10"/>
        <v>4.6530874013263945E-2</v>
      </c>
    </row>
    <row r="308" spans="1:5" x14ac:dyDescent="0.35">
      <c r="A308" s="35">
        <v>44743</v>
      </c>
      <c r="B308" s="63">
        <f>VLOOKUP(A308,Database!A:L,MATCH($A$1,Database!$A$1:$L$1,),)</f>
        <v>123.997</v>
      </c>
      <c r="C308" s="37">
        <f t="shared" si="9"/>
        <v>1.1460780475071793E-2</v>
      </c>
      <c r="D308" s="36">
        <f t="shared" si="11"/>
        <v>4.9470174013135609E-2</v>
      </c>
      <c r="E308" s="36">
        <f t="shared" si="10"/>
        <v>4.6637257558202139E-2</v>
      </c>
    </row>
    <row r="309" spans="1:5" x14ac:dyDescent="0.35">
      <c r="A309" s="35">
        <v>44835</v>
      </c>
      <c r="B309" s="63">
        <f>VLOOKUP(A309,Database!A:L,MATCH($A$1,Database!$A$1:$L$1,),)</f>
        <v>125.19</v>
      </c>
      <c r="C309" s="37">
        <f t="shared" si="9"/>
        <v>9.6212005129156179E-3</v>
      </c>
      <c r="D309" s="36">
        <f t="shared" si="11"/>
        <v>4.7133118648320781E-2</v>
      </c>
      <c r="E309" s="36">
        <f t="shared" si="10"/>
        <v>3.9043778058150513E-2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B6303-4CBC-4DBE-809D-9F7897C1E445}">
  <sheetPr codeName="Sheet13"/>
  <dimension ref="A1:O309"/>
  <sheetViews>
    <sheetView tabSelected="1" zoomScale="110" zoomScaleNormal="110" workbookViewId="0">
      <pane ySplit="5" topLeftCell="A264" activePane="bottomLeft" state="frozen"/>
      <selection activeCell="I311" sqref="I311"/>
      <selection pane="bottomLeft" activeCell="M189" sqref="M189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25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1" t="s">
        <v>72</v>
      </c>
      <c r="M1" s="76"/>
      <c r="N1" s="76"/>
      <c r="O1" s="76"/>
    </row>
    <row r="2" spans="1:15" x14ac:dyDescent="0.35">
      <c r="A2" s="48" t="s">
        <v>71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31</v>
      </c>
      <c r="B5" s="62" t="s">
        <v>32</v>
      </c>
      <c r="C5" s="50" t="s">
        <v>56</v>
      </c>
      <c r="D5" s="51" t="s">
        <v>57</v>
      </c>
      <c r="E5" s="52" t="s">
        <v>58</v>
      </c>
    </row>
    <row r="6" spans="1:15" x14ac:dyDescent="0.35">
      <c r="A6" s="35">
        <v>17168</v>
      </c>
      <c r="B6" s="63"/>
      <c r="C6" s="36"/>
      <c r="D6" s="36"/>
      <c r="E6" s="36"/>
    </row>
    <row r="7" spans="1:15" x14ac:dyDescent="0.35">
      <c r="A7" s="35">
        <v>17258</v>
      </c>
      <c r="B7" s="63"/>
      <c r="C7" s="37"/>
      <c r="D7" s="36"/>
      <c r="E7" s="36"/>
    </row>
    <row r="8" spans="1:15" x14ac:dyDescent="0.35">
      <c r="A8" s="35">
        <v>17349</v>
      </c>
      <c r="B8" s="63"/>
      <c r="C8" s="37"/>
      <c r="D8" s="36"/>
      <c r="E8" s="36"/>
    </row>
    <row r="9" spans="1:15" x14ac:dyDescent="0.35">
      <c r="A9" s="35">
        <v>17441</v>
      </c>
      <c r="B9" s="63"/>
      <c r="C9" s="37"/>
      <c r="D9" s="36"/>
      <c r="E9" s="36"/>
    </row>
    <row r="10" spans="1:15" x14ac:dyDescent="0.35">
      <c r="A10" s="35">
        <v>17533</v>
      </c>
      <c r="B10" s="63"/>
      <c r="C10" s="37"/>
      <c r="D10" s="36"/>
      <c r="E10" s="36"/>
    </row>
    <row r="11" spans="1:15" x14ac:dyDescent="0.35">
      <c r="A11" s="35">
        <v>17624</v>
      </c>
      <c r="B11" s="63"/>
      <c r="C11" s="37"/>
      <c r="D11" s="36"/>
      <c r="E11" s="36"/>
    </row>
    <row r="12" spans="1:15" x14ac:dyDescent="0.35">
      <c r="A12" s="35">
        <v>17715</v>
      </c>
      <c r="B12" s="63"/>
      <c r="C12" s="37"/>
      <c r="D12" s="36"/>
      <c r="E12" s="36"/>
    </row>
    <row r="13" spans="1:15" x14ac:dyDescent="0.35">
      <c r="A13" s="35">
        <v>17807</v>
      </c>
      <c r="B13" s="63"/>
      <c r="C13" s="37"/>
      <c r="D13" s="36"/>
      <c r="E13" s="36"/>
    </row>
    <row r="14" spans="1:15" x14ac:dyDescent="0.35">
      <c r="A14" s="35">
        <v>17899</v>
      </c>
      <c r="B14" s="63"/>
      <c r="C14" s="37"/>
      <c r="D14" s="36"/>
      <c r="E14" s="36"/>
    </row>
    <row r="15" spans="1:15" x14ac:dyDescent="0.35">
      <c r="A15" s="35">
        <v>17989</v>
      </c>
      <c r="B15" s="63"/>
      <c r="C15" s="37"/>
      <c r="D15" s="36"/>
      <c r="E15" s="36"/>
    </row>
    <row r="16" spans="1:15" x14ac:dyDescent="0.35">
      <c r="A16" s="35">
        <v>18080</v>
      </c>
      <c r="B16" s="63"/>
      <c r="C16" s="37"/>
      <c r="D16" s="36"/>
      <c r="E16" s="36"/>
    </row>
    <row r="17" spans="1:5" x14ac:dyDescent="0.35">
      <c r="A17" s="35">
        <v>18172</v>
      </c>
      <c r="B17" s="63"/>
      <c r="C17" s="37"/>
      <c r="D17" s="36"/>
      <c r="E17" s="36"/>
    </row>
    <row r="18" spans="1:5" x14ac:dyDescent="0.35">
      <c r="A18" s="35">
        <v>18264</v>
      </c>
      <c r="B18" s="63"/>
      <c r="C18" s="37"/>
      <c r="D18" s="36"/>
      <c r="E18" s="36"/>
    </row>
    <row r="19" spans="1:5" x14ac:dyDescent="0.35">
      <c r="A19" s="35">
        <v>18354</v>
      </c>
      <c r="B19" s="63"/>
      <c r="C19" s="37"/>
      <c r="D19" s="36"/>
      <c r="E19" s="36"/>
    </row>
    <row r="20" spans="1:5" x14ac:dyDescent="0.35">
      <c r="A20" s="35">
        <v>18445</v>
      </c>
      <c r="B20" s="63"/>
      <c r="C20" s="37"/>
      <c r="D20" s="36"/>
      <c r="E20" s="36"/>
    </row>
    <row r="21" spans="1:5" x14ac:dyDescent="0.35">
      <c r="A21" s="35">
        <v>18537</v>
      </c>
      <c r="B21" s="63"/>
      <c r="C21" s="37"/>
      <c r="D21" s="36"/>
      <c r="E21" s="36"/>
    </row>
    <row r="22" spans="1:5" x14ac:dyDescent="0.35">
      <c r="A22" s="35">
        <v>18629</v>
      </c>
      <c r="B22" s="63"/>
      <c r="C22" s="37"/>
      <c r="D22" s="36"/>
      <c r="E22" s="36"/>
    </row>
    <row r="23" spans="1:5" x14ac:dyDescent="0.35">
      <c r="A23" s="35">
        <v>18719</v>
      </c>
      <c r="B23" s="63"/>
      <c r="C23" s="37"/>
      <c r="D23" s="36"/>
      <c r="E23" s="36"/>
    </row>
    <row r="24" spans="1:5" x14ac:dyDescent="0.35">
      <c r="A24" s="35">
        <v>18810</v>
      </c>
      <c r="B24" s="63"/>
      <c r="C24" s="37"/>
      <c r="D24" s="36"/>
      <c r="E24" s="36"/>
    </row>
    <row r="25" spans="1:5" x14ac:dyDescent="0.35">
      <c r="A25" s="35">
        <v>18902</v>
      </c>
      <c r="B25" s="63"/>
      <c r="C25" s="37"/>
      <c r="D25" s="36"/>
      <c r="E25" s="36"/>
    </row>
    <row r="26" spans="1:5" x14ac:dyDescent="0.35">
      <c r="A26" s="35">
        <v>18994</v>
      </c>
      <c r="B26" s="63"/>
      <c r="C26" s="37"/>
      <c r="D26" s="36"/>
      <c r="E26" s="36"/>
    </row>
    <row r="27" spans="1:5" x14ac:dyDescent="0.35">
      <c r="A27" s="35">
        <v>19085</v>
      </c>
      <c r="B27" s="63"/>
      <c r="C27" s="37"/>
      <c r="D27" s="36"/>
      <c r="E27" s="36"/>
    </row>
    <row r="28" spans="1:5" x14ac:dyDescent="0.35">
      <c r="A28" s="35">
        <v>19176</v>
      </c>
      <c r="B28" s="63"/>
      <c r="C28" s="37"/>
      <c r="D28" s="36"/>
      <c r="E28" s="36"/>
    </row>
    <row r="29" spans="1:5" x14ac:dyDescent="0.35">
      <c r="A29" s="35">
        <v>19268</v>
      </c>
      <c r="B29" s="63"/>
      <c r="C29" s="37"/>
      <c r="D29" s="36"/>
      <c r="E29" s="36"/>
    </row>
    <row r="30" spans="1:5" x14ac:dyDescent="0.35">
      <c r="A30" s="35">
        <v>19360</v>
      </c>
      <c r="B30" s="63"/>
      <c r="C30" s="37"/>
      <c r="D30" s="36"/>
      <c r="E30" s="36"/>
    </row>
    <row r="31" spans="1:5" x14ac:dyDescent="0.35">
      <c r="A31" s="35">
        <v>19450</v>
      </c>
      <c r="B31" s="63"/>
      <c r="C31" s="37"/>
      <c r="D31" s="36"/>
      <c r="E31" s="36"/>
    </row>
    <row r="32" spans="1:5" x14ac:dyDescent="0.35">
      <c r="A32" s="35">
        <v>19541</v>
      </c>
      <c r="B32" s="63"/>
      <c r="C32" s="37"/>
      <c r="D32" s="36"/>
      <c r="E32" s="36"/>
    </row>
    <row r="33" spans="1:5" x14ac:dyDescent="0.35">
      <c r="A33" s="35">
        <v>19633</v>
      </c>
      <c r="B33" s="63"/>
      <c r="C33" s="37"/>
      <c r="D33" s="36"/>
      <c r="E33" s="36"/>
    </row>
    <row r="34" spans="1:5" x14ac:dyDescent="0.35">
      <c r="A34" s="35">
        <v>19725</v>
      </c>
      <c r="B34" s="63"/>
      <c r="C34" s="37"/>
      <c r="D34" s="36"/>
      <c r="E34" s="36"/>
    </row>
    <row r="35" spans="1:5" x14ac:dyDescent="0.35">
      <c r="A35" s="35">
        <v>19815</v>
      </c>
      <c r="B35" s="63"/>
      <c r="C35" s="37"/>
      <c r="D35" s="36"/>
      <c r="E35" s="36"/>
    </row>
    <row r="36" spans="1:5" x14ac:dyDescent="0.35">
      <c r="A36" s="35">
        <v>19906</v>
      </c>
      <c r="B36" s="63"/>
      <c r="C36" s="37"/>
      <c r="D36" s="36"/>
      <c r="E36" s="36"/>
    </row>
    <row r="37" spans="1:5" x14ac:dyDescent="0.35">
      <c r="A37" s="35">
        <v>19998</v>
      </c>
      <c r="B37" s="63"/>
      <c r="C37" s="37"/>
      <c r="D37" s="36"/>
      <c r="E37" s="36"/>
    </row>
    <row r="38" spans="1:5" x14ac:dyDescent="0.35">
      <c r="A38" s="35">
        <v>20090</v>
      </c>
      <c r="B38" s="63"/>
      <c r="C38" s="37"/>
      <c r="D38" s="36"/>
      <c r="E38" s="36"/>
    </row>
    <row r="39" spans="1:5" x14ac:dyDescent="0.35">
      <c r="A39" s="35">
        <v>20180</v>
      </c>
      <c r="B39" s="63"/>
      <c r="C39" s="37"/>
      <c r="D39" s="36"/>
      <c r="E39" s="36"/>
    </row>
    <row r="40" spans="1:5" x14ac:dyDescent="0.35">
      <c r="A40" s="35">
        <v>20271</v>
      </c>
      <c r="B40" s="63"/>
      <c r="C40" s="37"/>
      <c r="D40" s="36"/>
      <c r="E40" s="36"/>
    </row>
    <row r="41" spans="1:5" x14ac:dyDescent="0.35">
      <c r="A41" s="35">
        <v>20363</v>
      </c>
      <c r="B41" s="63"/>
      <c r="C41" s="37"/>
      <c r="D41" s="36"/>
      <c r="E41" s="36"/>
    </row>
    <row r="42" spans="1:5" x14ac:dyDescent="0.35">
      <c r="A42" s="35">
        <v>20455</v>
      </c>
      <c r="B42" s="63"/>
      <c r="C42" s="37"/>
      <c r="D42" s="36"/>
      <c r="E42" s="36"/>
    </row>
    <row r="43" spans="1:5" x14ac:dyDescent="0.35">
      <c r="A43" s="35">
        <v>20546</v>
      </c>
      <c r="B43" s="63"/>
      <c r="C43" s="37"/>
      <c r="D43" s="36"/>
      <c r="E43" s="36"/>
    </row>
    <row r="44" spans="1:5" x14ac:dyDescent="0.35">
      <c r="A44" s="35">
        <v>20637</v>
      </c>
      <c r="B44" s="63"/>
      <c r="C44" s="37"/>
      <c r="D44" s="36"/>
      <c r="E44" s="36"/>
    </row>
    <row r="45" spans="1:5" x14ac:dyDescent="0.35">
      <c r="A45" s="35">
        <v>20729</v>
      </c>
      <c r="B45" s="63"/>
      <c r="C45" s="37"/>
      <c r="D45" s="36"/>
      <c r="E45" s="36"/>
    </row>
    <row r="46" spans="1:5" x14ac:dyDescent="0.35">
      <c r="A46" s="35">
        <v>20821</v>
      </c>
      <c r="B46" s="63"/>
      <c r="C46" s="37"/>
      <c r="D46" s="36"/>
      <c r="E46" s="36"/>
    </row>
    <row r="47" spans="1:5" x14ac:dyDescent="0.35">
      <c r="A47" s="35">
        <v>20911</v>
      </c>
      <c r="B47" s="63"/>
      <c r="C47" s="37"/>
      <c r="D47" s="36"/>
      <c r="E47" s="36"/>
    </row>
    <row r="48" spans="1:5" x14ac:dyDescent="0.35">
      <c r="A48" s="35">
        <v>21002</v>
      </c>
      <c r="B48" s="63"/>
      <c r="C48" s="37"/>
      <c r="D48" s="36"/>
      <c r="E48" s="36"/>
    </row>
    <row r="49" spans="1:5" x14ac:dyDescent="0.35">
      <c r="A49" s="35">
        <v>21094</v>
      </c>
      <c r="B49" s="63"/>
      <c r="C49" s="37"/>
      <c r="D49" s="36"/>
      <c r="E49" s="36"/>
    </row>
    <row r="50" spans="1:5" x14ac:dyDescent="0.35">
      <c r="A50" s="35">
        <v>21186</v>
      </c>
      <c r="B50" s="63"/>
      <c r="C50" s="37"/>
      <c r="D50" s="36"/>
      <c r="E50" s="36"/>
    </row>
    <row r="51" spans="1:5" x14ac:dyDescent="0.35">
      <c r="A51" s="35">
        <v>21276</v>
      </c>
      <c r="B51" s="63"/>
      <c r="C51" s="37"/>
      <c r="D51" s="36"/>
      <c r="E51" s="36"/>
    </row>
    <row r="52" spans="1:5" x14ac:dyDescent="0.35">
      <c r="A52" s="35">
        <v>21367</v>
      </c>
      <c r="B52" s="63"/>
      <c r="C52" s="37"/>
      <c r="D52" s="36"/>
      <c r="E52" s="36"/>
    </row>
    <row r="53" spans="1:5" x14ac:dyDescent="0.35">
      <c r="A53" s="35">
        <v>21459</v>
      </c>
      <c r="B53" s="63"/>
      <c r="C53" s="37"/>
      <c r="D53" s="36"/>
      <c r="E53" s="36"/>
    </row>
    <row r="54" spans="1:5" x14ac:dyDescent="0.35">
      <c r="A54" s="35">
        <v>21551</v>
      </c>
      <c r="B54" s="63">
        <f>VLOOKUP(A54,Database!A:L,MATCH($A$1,Database!$A$1:$L$1,),)</f>
        <v>10.7</v>
      </c>
      <c r="C54" s="37"/>
      <c r="D54" s="36"/>
      <c r="E54" s="36"/>
    </row>
    <row r="55" spans="1:5" x14ac:dyDescent="0.35">
      <c r="A55" s="35">
        <v>21641</v>
      </c>
      <c r="B55" s="63">
        <f>VLOOKUP(A55,Database!A:L,MATCH($A$1,Database!$A$1:$L$1,),)</f>
        <v>10.8</v>
      </c>
      <c r="C55" s="37">
        <f t="shared" ref="C55:C118" si="0">(B55-B54)/B54</f>
        <v>9.3457943925234974E-3</v>
      </c>
      <c r="D55" s="36"/>
      <c r="E55" s="36">
        <f t="shared" ref="E55:E118" si="1">((1+C55)^4)-1</f>
        <v>3.7910513627517517E-2</v>
      </c>
    </row>
    <row r="56" spans="1:5" x14ac:dyDescent="0.35">
      <c r="A56" s="35">
        <v>21732</v>
      </c>
      <c r="B56" s="63">
        <f>VLOOKUP(A56,Database!A:L,MATCH($A$1,Database!$A$1:$L$1,),)</f>
        <v>9.6999999999999993</v>
      </c>
      <c r="C56" s="37">
        <f t="shared" si="0"/>
        <v>-0.10185185185185197</v>
      </c>
      <c r="D56" s="36"/>
      <c r="E56" s="36">
        <f t="shared" si="1"/>
        <v>-0.3492833561839418</v>
      </c>
    </row>
    <row r="57" spans="1:5" x14ac:dyDescent="0.35">
      <c r="A57" s="35">
        <v>21824</v>
      </c>
      <c r="B57" s="63">
        <f>VLOOKUP(A57,Database!A:L,MATCH($A$1,Database!$A$1:$L$1,),)</f>
        <v>10.199999999999999</v>
      </c>
      <c r="C57" s="37">
        <f t="shared" si="0"/>
        <v>5.1546391752577324E-2</v>
      </c>
      <c r="D57" s="36"/>
      <c r="E57" s="36">
        <f t="shared" si="1"/>
        <v>0.22268265117842811</v>
      </c>
    </row>
    <row r="58" spans="1:5" x14ac:dyDescent="0.35">
      <c r="A58" s="35">
        <v>21916</v>
      </c>
      <c r="B58" s="63">
        <f>VLOOKUP(A58,Database!A:L,MATCH($A$1,Database!$A$1:$L$1,),)</f>
        <v>10.3</v>
      </c>
      <c r="C58" s="37">
        <f t="shared" si="0"/>
        <v>9.8039215686275914E-3</v>
      </c>
      <c r="D58" s="36">
        <f t="shared" ref="D58:D121" si="2">(B58-B54)/B54</f>
        <v>-3.738317757009333E-2</v>
      </c>
      <c r="E58" s="36">
        <f t="shared" si="1"/>
        <v>3.9796166071045747E-2</v>
      </c>
    </row>
    <row r="59" spans="1:5" x14ac:dyDescent="0.35">
      <c r="A59" s="35">
        <v>22007</v>
      </c>
      <c r="B59" s="63">
        <f>VLOOKUP(A59,Database!A:L,MATCH($A$1,Database!$A$1:$L$1,),)</f>
        <v>9.6999999999999993</v>
      </c>
      <c r="C59" s="37">
        <f t="shared" si="0"/>
        <v>-5.8252427184466153E-2</v>
      </c>
      <c r="D59" s="36">
        <f t="shared" si="2"/>
        <v>-0.10185185185185197</v>
      </c>
      <c r="E59" s="36">
        <f t="shared" si="1"/>
        <v>-0.21342880470211545</v>
      </c>
    </row>
    <row r="60" spans="1:5" x14ac:dyDescent="0.35">
      <c r="A60" s="35">
        <v>22098</v>
      </c>
      <c r="B60" s="63">
        <f>VLOOKUP(A60,Database!A:L,MATCH($A$1,Database!$A$1:$L$1,),)</f>
        <v>10.199999999999999</v>
      </c>
      <c r="C60" s="37">
        <f t="shared" si="0"/>
        <v>5.1546391752577324E-2</v>
      </c>
      <c r="D60" s="36">
        <f t="shared" si="2"/>
        <v>5.1546391752577324E-2</v>
      </c>
      <c r="E60" s="36">
        <f t="shared" si="1"/>
        <v>0.22268265117842811</v>
      </c>
    </row>
    <row r="61" spans="1:5" x14ac:dyDescent="0.35">
      <c r="A61" s="35">
        <v>22190</v>
      </c>
      <c r="B61" s="63">
        <f>VLOOKUP(A61,Database!A:L,MATCH($A$1,Database!$A$1:$L$1,),)</f>
        <v>10</v>
      </c>
      <c r="C61" s="37">
        <f t="shared" si="0"/>
        <v>-1.9607843137254832E-2</v>
      </c>
      <c r="D61" s="36">
        <f t="shared" si="2"/>
        <v>-1.9607843137254832E-2</v>
      </c>
      <c r="E61" s="36">
        <f t="shared" si="1"/>
        <v>-7.6154573973485462E-2</v>
      </c>
    </row>
    <row r="62" spans="1:5" x14ac:dyDescent="0.35">
      <c r="A62" s="35">
        <v>22282</v>
      </c>
      <c r="B62" s="63">
        <f>VLOOKUP(A62,Database!A:L,MATCH($A$1,Database!$A$1:$L$1,),)</f>
        <v>10.9</v>
      </c>
      <c r="C62" s="37">
        <f t="shared" si="0"/>
        <v>9.0000000000000038E-2</v>
      </c>
      <c r="D62" s="36">
        <f t="shared" si="2"/>
        <v>5.825242718446598E-2</v>
      </c>
      <c r="E62" s="36">
        <f t="shared" si="1"/>
        <v>0.41158161000000026</v>
      </c>
    </row>
    <row r="63" spans="1:5" x14ac:dyDescent="0.35">
      <c r="A63" s="35">
        <v>22372</v>
      </c>
      <c r="B63" s="63">
        <f>VLOOKUP(A63,Database!A:L,MATCH($A$1,Database!$A$1:$L$1,),)</f>
        <v>10.9</v>
      </c>
      <c r="C63" s="37">
        <f t="shared" si="0"/>
        <v>0</v>
      </c>
      <c r="D63" s="36">
        <f t="shared" si="2"/>
        <v>0.12371134020618568</v>
      </c>
      <c r="E63" s="36">
        <f t="shared" si="1"/>
        <v>0</v>
      </c>
    </row>
    <row r="64" spans="1:5" x14ac:dyDescent="0.35">
      <c r="A64" s="35">
        <v>22463</v>
      </c>
      <c r="B64" s="63">
        <f>VLOOKUP(A64,Database!A:L,MATCH($A$1,Database!$A$1:$L$1,),)</f>
        <v>11.7</v>
      </c>
      <c r="C64" s="37">
        <f t="shared" si="0"/>
        <v>7.339449541284393E-2</v>
      </c>
      <c r="D64" s="36">
        <f t="shared" si="2"/>
        <v>0.14705882352941177</v>
      </c>
      <c r="E64" s="36">
        <f t="shared" si="1"/>
        <v>0.32750894225662242</v>
      </c>
    </row>
    <row r="65" spans="1:5" x14ac:dyDescent="0.35">
      <c r="A65" s="35">
        <v>22555</v>
      </c>
      <c r="B65" s="63">
        <f>VLOOKUP(A65,Database!A:L,MATCH($A$1,Database!$A$1:$L$1,),)</f>
        <v>11.6</v>
      </c>
      <c r="C65" s="37">
        <f t="shared" si="0"/>
        <v>-8.5470085470085166E-3</v>
      </c>
      <c r="D65" s="36">
        <f t="shared" si="2"/>
        <v>0.15999999999999998</v>
      </c>
      <c r="E65" s="36">
        <f t="shared" si="1"/>
        <v>-3.3752218203143558E-2</v>
      </c>
    </row>
    <row r="66" spans="1:5" x14ac:dyDescent="0.35">
      <c r="A66" s="35">
        <v>22647</v>
      </c>
      <c r="B66" s="63">
        <f>VLOOKUP(A66,Database!A:L,MATCH($A$1,Database!$A$1:$L$1,),)</f>
        <v>11.6</v>
      </c>
      <c r="C66" s="37">
        <f t="shared" si="0"/>
        <v>0</v>
      </c>
      <c r="D66" s="36">
        <f t="shared" si="2"/>
        <v>6.4220183486238466E-2</v>
      </c>
      <c r="E66" s="36">
        <f t="shared" si="1"/>
        <v>0</v>
      </c>
    </row>
    <row r="67" spans="1:5" x14ac:dyDescent="0.35">
      <c r="A67" s="35">
        <v>22737</v>
      </c>
      <c r="B67" s="63">
        <f>VLOOKUP(A67,Database!A:L,MATCH($A$1,Database!$A$1:$L$1,),)</f>
        <v>11.4</v>
      </c>
      <c r="C67" s="37">
        <f t="shared" si="0"/>
        <v>-1.7241379310344768E-2</v>
      </c>
      <c r="D67" s="36">
        <f t="shared" si="2"/>
        <v>4.5871559633027519E-2</v>
      </c>
      <c r="E67" s="36">
        <f t="shared" si="1"/>
        <v>-6.72023389572175E-2</v>
      </c>
    </row>
    <row r="68" spans="1:5" x14ac:dyDescent="0.35">
      <c r="A68" s="35">
        <v>22828</v>
      </c>
      <c r="B68" s="63">
        <f>VLOOKUP(A68,Database!A:L,MATCH($A$1,Database!$A$1:$L$1,),)</f>
        <v>11.1</v>
      </c>
      <c r="C68" s="37">
        <f t="shared" si="0"/>
        <v>-2.6315789473684272E-2</v>
      </c>
      <c r="D68" s="36">
        <f t="shared" si="2"/>
        <v>-5.1282051282051253E-2</v>
      </c>
      <c r="E68" s="36">
        <f t="shared" si="1"/>
        <v>-0.10118045057972258</v>
      </c>
    </row>
    <row r="69" spans="1:5" x14ac:dyDescent="0.35">
      <c r="A69" s="35">
        <v>22920</v>
      </c>
      <c r="B69" s="63">
        <f>VLOOKUP(A69,Database!A:L,MATCH($A$1,Database!$A$1:$L$1,),)</f>
        <v>10.7</v>
      </c>
      <c r="C69" s="37">
        <f t="shared" si="0"/>
        <v>-3.603603603603607E-2</v>
      </c>
      <c r="D69" s="36">
        <f t="shared" si="2"/>
        <v>-7.7586206896551754E-2</v>
      </c>
      <c r="E69" s="36">
        <f t="shared" si="1"/>
        <v>-0.13653806742732078</v>
      </c>
    </row>
    <row r="70" spans="1:5" x14ac:dyDescent="0.35">
      <c r="A70" s="35">
        <v>23012</v>
      </c>
      <c r="B70" s="63">
        <f>VLOOKUP(A70,Database!A:L,MATCH($A$1,Database!$A$1:$L$1,),)</f>
        <v>10.8</v>
      </c>
      <c r="C70" s="37">
        <f t="shared" si="0"/>
        <v>9.3457943925234974E-3</v>
      </c>
      <c r="D70" s="36">
        <f t="shared" si="2"/>
        <v>-6.8965517241379226E-2</v>
      </c>
      <c r="E70" s="36">
        <f t="shared" si="1"/>
        <v>3.7910513627517517E-2</v>
      </c>
    </row>
    <row r="71" spans="1:5" x14ac:dyDescent="0.35">
      <c r="A71" s="35">
        <v>23102</v>
      </c>
      <c r="B71" s="63">
        <f>VLOOKUP(A71,Database!A:L,MATCH($A$1,Database!$A$1:$L$1,),)</f>
        <v>10.7</v>
      </c>
      <c r="C71" s="37">
        <f t="shared" si="0"/>
        <v>-9.2592592592593906E-3</v>
      </c>
      <c r="D71" s="36">
        <f t="shared" si="2"/>
        <v>-6.1403508771929918E-2</v>
      </c>
      <c r="E71" s="36">
        <f t="shared" si="1"/>
        <v>-3.6525801723522155E-2</v>
      </c>
    </row>
    <row r="72" spans="1:5" x14ac:dyDescent="0.35">
      <c r="A72" s="35">
        <v>23193</v>
      </c>
      <c r="B72" s="63">
        <f>VLOOKUP(A72,Database!A:L,MATCH($A$1,Database!$A$1:$L$1,),)</f>
        <v>10.4</v>
      </c>
      <c r="C72" s="37">
        <f t="shared" si="0"/>
        <v>-2.8037383177569996E-2</v>
      </c>
      <c r="D72" s="36">
        <f t="shared" si="2"/>
        <v>-6.3063063063063002E-2</v>
      </c>
      <c r="E72" s="36">
        <f t="shared" si="1"/>
        <v>-0.10752050580318706</v>
      </c>
    </row>
    <row r="73" spans="1:5" x14ac:dyDescent="0.35">
      <c r="A73" s="35">
        <v>23285</v>
      </c>
      <c r="B73" s="63">
        <f>VLOOKUP(A73,Database!A:L,MATCH($A$1,Database!$A$1:$L$1,),)</f>
        <v>11.1</v>
      </c>
      <c r="C73" s="37">
        <f t="shared" si="0"/>
        <v>6.7307692307692235E-2</v>
      </c>
      <c r="D73" s="36">
        <f t="shared" si="2"/>
        <v>3.7383177570093497E-2</v>
      </c>
      <c r="E73" s="36">
        <f t="shared" si="1"/>
        <v>0.29765294874621406</v>
      </c>
    </row>
    <row r="74" spans="1:5" x14ac:dyDescent="0.35">
      <c r="A74" s="35">
        <v>23377</v>
      </c>
      <c r="B74" s="63">
        <f>VLOOKUP(A74,Database!A:L,MATCH($A$1,Database!$A$1:$L$1,),)</f>
        <v>11.1</v>
      </c>
      <c r="C74" s="37">
        <f t="shared" si="0"/>
        <v>0</v>
      </c>
      <c r="D74" s="36">
        <f t="shared" si="2"/>
        <v>2.7777777777777676E-2</v>
      </c>
      <c r="E74" s="36">
        <f t="shared" si="1"/>
        <v>0</v>
      </c>
    </row>
    <row r="75" spans="1:5" x14ac:dyDescent="0.35">
      <c r="A75" s="35">
        <v>23468</v>
      </c>
      <c r="B75" s="63">
        <f>VLOOKUP(A75,Database!A:L,MATCH($A$1,Database!$A$1:$L$1,),)</f>
        <v>11.9</v>
      </c>
      <c r="C75" s="37">
        <f t="shared" si="0"/>
        <v>7.2072072072072141E-2</v>
      </c>
      <c r="D75" s="36">
        <f t="shared" si="2"/>
        <v>0.11214953271028048</v>
      </c>
      <c r="E75" s="36">
        <f t="shared" si="1"/>
        <v>0.32097905129446591</v>
      </c>
    </row>
    <row r="76" spans="1:5" x14ac:dyDescent="0.35">
      <c r="A76" s="35">
        <v>23559</v>
      </c>
      <c r="B76" s="63">
        <f>VLOOKUP(A76,Database!A:L,MATCH($A$1,Database!$A$1:$L$1,),)</f>
        <v>11.4</v>
      </c>
      <c r="C76" s="37">
        <f t="shared" si="0"/>
        <v>-4.2016806722689072E-2</v>
      </c>
      <c r="D76" s="36">
        <f t="shared" si="2"/>
        <v>9.6153846153846145E-2</v>
      </c>
      <c r="E76" s="36">
        <f t="shared" si="1"/>
        <v>-0.15776834583511667</v>
      </c>
    </row>
    <row r="77" spans="1:5" x14ac:dyDescent="0.35">
      <c r="A77" s="35">
        <v>23651</v>
      </c>
      <c r="B77" s="63">
        <f>VLOOKUP(A77,Database!A:L,MATCH($A$1,Database!$A$1:$L$1,),)</f>
        <v>12.1</v>
      </c>
      <c r="C77" s="37">
        <f t="shared" si="0"/>
        <v>6.1403508771929759E-2</v>
      </c>
      <c r="D77" s="36">
        <f t="shared" si="2"/>
        <v>9.00900900900901E-2</v>
      </c>
      <c r="E77" s="36">
        <f t="shared" si="1"/>
        <v>0.26917665719243455</v>
      </c>
    </row>
    <row r="78" spans="1:5" x14ac:dyDescent="0.35">
      <c r="A78" s="35">
        <v>23743</v>
      </c>
      <c r="B78" s="63">
        <f>VLOOKUP(A78,Database!A:L,MATCH($A$1,Database!$A$1:$L$1,),)</f>
        <v>11.2</v>
      </c>
      <c r="C78" s="37">
        <f t="shared" si="0"/>
        <v>-7.4380165289256228E-2</v>
      </c>
      <c r="D78" s="36">
        <f t="shared" si="2"/>
        <v>9.0090090090089777E-3</v>
      </c>
      <c r="E78" s="36">
        <f t="shared" si="1"/>
        <v>-0.26594160565710345</v>
      </c>
    </row>
    <row r="79" spans="1:5" x14ac:dyDescent="0.35">
      <c r="A79" s="35">
        <v>23833</v>
      </c>
      <c r="B79" s="63">
        <f>VLOOKUP(A79,Database!A:L,MATCH($A$1,Database!$A$1:$L$1,),)</f>
        <v>11.2</v>
      </c>
      <c r="C79" s="37">
        <f t="shared" si="0"/>
        <v>0</v>
      </c>
      <c r="D79" s="36">
        <f t="shared" si="2"/>
        <v>-5.8823529411764795E-2</v>
      </c>
      <c r="E79" s="36">
        <f t="shared" si="1"/>
        <v>0</v>
      </c>
    </row>
    <row r="80" spans="1:5" x14ac:dyDescent="0.35">
      <c r="A80" s="35">
        <v>23924</v>
      </c>
      <c r="B80" s="63">
        <f>VLOOKUP(A80,Database!A:L,MATCH($A$1,Database!$A$1:$L$1,),)</f>
        <v>12</v>
      </c>
      <c r="C80" s="37">
        <f t="shared" si="0"/>
        <v>7.1428571428571494E-2</v>
      </c>
      <c r="D80" s="36">
        <f t="shared" si="2"/>
        <v>5.263157894736839E-2</v>
      </c>
      <c r="E80" s="36">
        <f t="shared" si="1"/>
        <v>0.31781028738025796</v>
      </c>
    </row>
    <row r="81" spans="1:5" x14ac:dyDescent="0.35">
      <c r="A81" s="35">
        <v>24016</v>
      </c>
      <c r="B81" s="63">
        <f>VLOOKUP(A81,Database!A:L,MATCH($A$1,Database!$A$1:$L$1,),)</f>
        <v>11.4</v>
      </c>
      <c r="C81" s="37">
        <f t="shared" si="0"/>
        <v>-4.9999999999999968E-2</v>
      </c>
      <c r="D81" s="36">
        <f t="shared" si="2"/>
        <v>-5.7851239669421434E-2</v>
      </c>
      <c r="E81" s="36">
        <f t="shared" si="1"/>
        <v>-0.1854937499999999</v>
      </c>
    </row>
    <row r="82" spans="1:5" x14ac:dyDescent="0.35">
      <c r="A82" s="35">
        <v>24108</v>
      </c>
      <c r="B82" s="63">
        <f>VLOOKUP(A82,Database!A:L,MATCH($A$1,Database!$A$1:$L$1,),)</f>
        <v>11</v>
      </c>
      <c r="C82" s="37">
        <f t="shared" si="0"/>
        <v>-3.5087719298245647E-2</v>
      </c>
      <c r="D82" s="36">
        <f t="shared" si="2"/>
        <v>-1.7857142857142794E-2</v>
      </c>
      <c r="E82" s="36">
        <f t="shared" si="1"/>
        <v>-0.13313526590230529</v>
      </c>
    </row>
    <row r="83" spans="1:5" x14ac:dyDescent="0.35">
      <c r="A83" s="35">
        <v>24198</v>
      </c>
      <c r="B83" s="63">
        <f>VLOOKUP(A83,Database!A:L,MATCH($A$1,Database!$A$1:$L$1,),)</f>
        <v>11</v>
      </c>
      <c r="C83" s="37">
        <f t="shared" si="0"/>
        <v>0</v>
      </c>
      <c r="D83" s="36">
        <f t="shared" si="2"/>
        <v>-1.7857142857142794E-2</v>
      </c>
      <c r="E83" s="36">
        <f t="shared" si="1"/>
        <v>0</v>
      </c>
    </row>
    <row r="84" spans="1:5" x14ac:dyDescent="0.35">
      <c r="A84" s="35">
        <v>24289</v>
      </c>
      <c r="B84" s="63">
        <f>VLOOKUP(A84,Database!A:L,MATCH($A$1,Database!$A$1:$L$1,),)</f>
        <v>11</v>
      </c>
      <c r="C84" s="37">
        <f t="shared" si="0"/>
        <v>0</v>
      </c>
      <c r="D84" s="36">
        <f t="shared" si="2"/>
        <v>-8.3333333333333329E-2</v>
      </c>
      <c r="E84" s="36">
        <f t="shared" si="1"/>
        <v>0</v>
      </c>
    </row>
    <row r="85" spans="1:5" x14ac:dyDescent="0.35">
      <c r="A85" s="35">
        <v>24381</v>
      </c>
      <c r="B85" s="63">
        <f>VLOOKUP(A85,Database!A:L,MATCH($A$1,Database!$A$1:$L$1,),)</f>
        <v>11.7</v>
      </c>
      <c r="C85" s="37">
        <f t="shared" si="0"/>
        <v>6.3636363636363574E-2</v>
      </c>
      <c r="D85" s="36">
        <f t="shared" si="2"/>
        <v>2.6315789473684115E-2</v>
      </c>
      <c r="E85" s="36">
        <f t="shared" si="1"/>
        <v>0.2798901782665113</v>
      </c>
    </row>
    <row r="86" spans="1:5" x14ac:dyDescent="0.35">
      <c r="A86" s="35">
        <v>24473</v>
      </c>
      <c r="B86" s="63">
        <f>VLOOKUP(A86,Database!A:L,MATCH($A$1,Database!$A$1:$L$1,),)</f>
        <v>12.5</v>
      </c>
      <c r="C86" s="37">
        <f t="shared" si="0"/>
        <v>6.8376068376068438E-2</v>
      </c>
      <c r="D86" s="36">
        <f t="shared" si="2"/>
        <v>0.13636363636363635</v>
      </c>
      <c r="E86" s="36">
        <f t="shared" si="1"/>
        <v>0.30285656306923592</v>
      </c>
    </row>
    <row r="87" spans="1:5" x14ac:dyDescent="0.35">
      <c r="A87" s="35">
        <v>24563</v>
      </c>
      <c r="B87" s="63">
        <f>VLOOKUP(A87,Database!A:L,MATCH($A$1,Database!$A$1:$L$1,),)</f>
        <v>11.9</v>
      </c>
      <c r="C87" s="37">
        <f t="shared" si="0"/>
        <v>-4.7999999999999973E-2</v>
      </c>
      <c r="D87" s="36">
        <f t="shared" si="2"/>
        <v>8.1818181818181845E-2</v>
      </c>
      <c r="E87" s="36">
        <f t="shared" si="1"/>
        <v>-0.17861305958399976</v>
      </c>
    </row>
    <row r="88" spans="1:5" x14ac:dyDescent="0.35">
      <c r="A88" s="35">
        <v>24654</v>
      </c>
      <c r="B88" s="63">
        <f>VLOOKUP(A88,Database!A:L,MATCH($A$1,Database!$A$1:$L$1,),)</f>
        <v>12.4</v>
      </c>
      <c r="C88" s="37">
        <f t="shared" si="0"/>
        <v>4.2016806722689072E-2</v>
      </c>
      <c r="D88" s="36">
        <f t="shared" si="2"/>
        <v>0.12727272727272732</v>
      </c>
      <c r="E88" s="36">
        <f t="shared" si="1"/>
        <v>0.17895952376057123</v>
      </c>
    </row>
    <row r="89" spans="1:5" x14ac:dyDescent="0.35">
      <c r="A89" s="35">
        <v>24746</v>
      </c>
      <c r="B89" s="63">
        <f>VLOOKUP(A89,Database!A:L,MATCH($A$1,Database!$A$1:$L$1,),)</f>
        <v>12.5</v>
      </c>
      <c r="C89" s="37">
        <f t="shared" si="0"/>
        <v>8.0645161290322284E-3</v>
      </c>
      <c r="D89" s="36">
        <f t="shared" si="2"/>
        <v>6.8376068376068438E-2</v>
      </c>
      <c r="E89" s="36">
        <f t="shared" si="1"/>
        <v>3.2650385217282363E-2</v>
      </c>
    </row>
    <row r="90" spans="1:5" x14ac:dyDescent="0.35">
      <c r="A90" s="35">
        <v>24838</v>
      </c>
      <c r="B90" s="63">
        <f>VLOOKUP(A90,Database!A:L,MATCH($A$1,Database!$A$1:$L$1,),)</f>
        <v>11.9</v>
      </c>
      <c r="C90" s="37">
        <f t="shared" si="0"/>
        <v>-4.7999999999999973E-2</v>
      </c>
      <c r="D90" s="36">
        <f t="shared" si="2"/>
        <v>-4.7999999999999973E-2</v>
      </c>
      <c r="E90" s="36">
        <f t="shared" si="1"/>
        <v>-0.17861305958399976</v>
      </c>
    </row>
    <row r="91" spans="1:5" x14ac:dyDescent="0.35">
      <c r="A91" s="35">
        <v>24929</v>
      </c>
      <c r="B91" s="63">
        <f>VLOOKUP(A91,Database!A:L,MATCH($A$1,Database!$A$1:$L$1,),)</f>
        <v>12</v>
      </c>
      <c r="C91" s="37">
        <f t="shared" si="0"/>
        <v>8.4033613445377853E-3</v>
      </c>
      <c r="D91" s="36">
        <f t="shared" si="2"/>
        <v>8.4033613445377853E-3</v>
      </c>
      <c r="E91" s="36">
        <f t="shared" si="1"/>
        <v>3.4039522919416587E-2</v>
      </c>
    </row>
    <row r="92" spans="1:5" x14ac:dyDescent="0.35">
      <c r="A92" s="35">
        <v>25020</v>
      </c>
      <c r="B92" s="63">
        <f>VLOOKUP(A92,Database!A:L,MATCH($A$1,Database!$A$1:$L$1,),)</f>
        <v>10.6</v>
      </c>
      <c r="C92" s="37">
        <f t="shared" si="0"/>
        <v>-0.1166666666666667</v>
      </c>
      <c r="D92" s="36">
        <f t="shared" si="2"/>
        <v>-0.14516129032258071</v>
      </c>
      <c r="E92" s="36">
        <f t="shared" si="1"/>
        <v>-0.39116658950617289</v>
      </c>
    </row>
    <row r="93" spans="1:5" x14ac:dyDescent="0.35">
      <c r="A93" s="35">
        <v>25112</v>
      </c>
      <c r="B93" s="63">
        <f>VLOOKUP(A93,Database!A:L,MATCH($A$1,Database!$A$1:$L$1,),)</f>
        <v>10.9</v>
      </c>
      <c r="C93" s="37">
        <f t="shared" si="0"/>
        <v>2.8301886792452897E-2</v>
      </c>
      <c r="D93" s="36">
        <f t="shared" si="2"/>
        <v>-0.12799999999999997</v>
      </c>
      <c r="E93" s="36">
        <f t="shared" si="1"/>
        <v>0.11810484842432323</v>
      </c>
    </row>
    <row r="94" spans="1:5" x14ac:dyDescent="0.35">
      <c r="A94" s="35">
        <v>25204</v>
      </c>
      <c r="B94" s="63">
        <f>VLOOKUP(A94,Database!A:L,MATCH($A$1,Database!$A$1:$L$1,),)</f>
        <v>10.1</v>
      </c>
      <c r="C94" s="37">
        <f t="shared" si="0"/>
        <v>-7.3394495412844096E-2</v>
      </c>
      <c r="D94" s="36">
        <f t="shared" si="2"/>
        <v>-0.15126050420168072</v>
      </c>
      <c r="E94" s="36">
        <f t="shared" si="1"/>
        <v>-0.26280988458046006</v>
      </c>
    </row>
    <row r="95" spans="1:5" x14ac:dyDescent="0.35">
      <c r="A95" s="35">
        <v>25294</v>
      </c>
      <c r="B95" s="63">
        <f>VLOOKUP(A95,Database!A:L,MATCH($A$1,Database!$A$1:$L$1,),)</f>
        <v>10.3</v>
      </c>
      <c r="C95" s="37">
        <f t="shared" si="0"/>
        <v>1.980198019801991E-2</v>
      </c>
      <c r="D95" s="36">
        <f t="shared" si="2"/>
        <v>-0.14166666666666661</v>
      </c>
      <c r="E95" s="36">
        <f t="shared" si="1"/>
        <v>8.1591843952244725E-2</v>
      </c>
    </row>
    <row r="96" spans="1:5" x14ac:dyDescent="0.35">
      <c r="A96" s="35">
        <v>25385</v>
      </c>
      <c r="B96" s="63">
        <f>VLOOKUP(A96,Database!A:L,MATCH($A$1,Database!$A$1:$L$1,),)</f>
        <v>11.7</v>
      </c>
      <c r="C96" s="37">
        <f t="shared" si="0"/>
        <v>0.13592233009708724</v>
      </c>
      <c r="D96" s="36">
        <f t="shared" si="2"/>
        <v>0.10377358490566034</v>
      </c>
      <c r="E96" s="36">
        <f t="shared" si="1"/>
        <v>0.66492451533986618</v>
      </c>
    </row>
    <row r="97" spans="1:5" x14ac:dyDescent="0.35">
      <c r="A97" s="35">
        <v>25477</v>
      </c>
      <c r="B97" s="63">
        <f>VLOOKUP(A97,Database!A:L,MATCH($A$1,Database!$A$1:$L$1,),)</f>
        <v>11.6</v>
      </c>
      <c r="C97" s="37">
        <f t="shared" si="0"/>
        <v>-8.5470085470085166E-3</v>
      </c>
      <c r="D97" s="36">
        <f t="shared" si="2"/>
        <v>6.4220183486238466E-2</v>
      </c>
      <c r="E97" s="36">
        <f t="shared" si="1"/>
        <v>-3.3752218203143558E-2</v>
      </c>
    </row>
    <row r="98" spans="1:5" x14ac:dyDescent="0.35">
      <c r="A98" s="35">
        <v>25569</v>
      </c>
      <c r="B98" s="63">
        <f>VLOOKUP(A98,Database!A:L,MATCH($A$1,Database!$A$1:$L$1,),)</f>
        <v>12</v>
      </c>
      <c r="C98" s="37">
        <f t="shared" si="0"/>
        <v>3.4482758620689689E-2</v>
      </c>
      <c r="D98" s="36">
        <f t="shared" si="2"/>
        <v>0.18811881188118815</v>
      </c>
      <c r="E98" s="36">
        <f t="shared" si="1"/>
        <v>0.14523082056495262</v>
      </c>
    </row>
    <row r="99" spans="1:5" x14ac:dyDescent="0.35">
      <c r="A99" s="35">
        <v>25659</v>
      </c>
      <c r="B99" s="63">
        <f>VLOOKUP(A99,Database!A:L,MATCH($A$1,Database!$A$1:$L$1,),)</f>
        <v>12.6</v>
      </c>
      <c r="C99" s="37">
        <f t="shared" si="0"/>
        <v>4.9999999999999968E-2</v>
      </c>
      <c r="D99" s="36">
        <f t="shared" si="2"/>
        <v>0.22330097087378628</v>
      </c>
      <c r="E99" s="36">
        <f t="shared" si="1"/>
        <v>0.21550625000000001</v>
      </c>
    </row>
    <row r="100" spans="1:5" x14ac:dyDescent="0.35">
      <c r="A100" s="35">
        <v>25750</v>
      </c>
      <c r="B100" s="63">
        <f>VLOOKUP(A100,Database!A:L,MATCH($A$1,Database!$A$1:$L$1,),)</f>
        <v>13.3</v>
      </c>
      <c r="C100" s="37">
        <f t="shared" si="0"/>
        <v>5.5555555555555643E-2</v>
      </c>
      <c r="D100" s="36">
        <f t="shared" si="2"/>
        <v>0.13675213675213688</v>
      </c>
      <c r="E100" s="36">
        <f t="shared" si="1"/>
        <v>0.24143613778387452</v>
      </c>
    </row>
    <row r="101" spans="1:5" x14ac:dyDescent="0.35">
      <c r="A101" s="35">
        <v>25842</v>
      </c>
      <c r="B101" s="63">
        <f>VLOOKUP(A101,Database!A:L,MATCH($A$1,Database!$A$1:$L$1,),)</f>
        <v>13.3</v>
      </c>
      <c r="C101" s="37">
        <f t="shared" si="0"/>
        <v>0</v>
      </c>
      <c r="D101" s="36">
        <f t="shared" si="2"/>
        <v>0.14655172413793113</v>
      </c>
      <c r="E101" s="36">
        <f t="shared" si="1"/>
        <v>0</v>
      </c>
    </row>
    <row r="102" spans="1:5" x14ac:dyDescent="0.35">
      <c r="A102" s="35">
        <v>25934</v>
      </c>
      <c r="B102" s="63">
        <f>VLOOKUP(A102,Database!A:L,MATCH($A$1,Database!$A$1:$L$1,),)</f>
        <v>13.4</v>
      </c>
      <c r="C102" s="37">
        <f t="shared" si="0"/>
        <v>7.5187969924811757E-3</v>
      </c>
      <c r="D102" s="36">
        <f t="shared" si="2"/>
        <v>0.1166666666666667</v>
      </c>
      <c r="E102" s="36">
        <f t="shared" si="1"/>
        <v>3.0416085234907797E-2</v>
      </c>
    </row>
    <row r="103" spans="1:5" x14ac:dyDescent="0.35">
      <c r="A103" s="35">
        <v>26024</v>
      </c>
      <c r="B103" s="63">
        <f>VLOOKUP(A103,Database!A:L,MATCH($A$1,Database!$A$1:$L$1,),)</f>
        <v>13.8</v>
      </c>
      <c r="C103" s="37">
        <f t="shared" si="0"/>
        <v>2.9850746268656744E-2</v>
      </c>
      <c r="D103" s="36">
        <f t="shared" si="2"/>
        <v>9.523809523809533E-2</v>
      </c>
      <c r="E103" s="36">
        <f t="shared" si="1"/>
        <v>0.12485657745789958</v>
      </c>
    </row>
    <row r="104" spans="1:5" x14ac:dyDescent="0.35">
      <c r="A104" s="35">
        <v>26115</v>
      </c>
      <c r="B104" s="63">
        <f>VLOOKUP(A104,Database!A:L,MATCH($A$1,Database!$A$1:$L$1,),)</f>
        <v>13.6</v>
      </c>
      <c r="C104" s="37">
        <f t="shared" si="0"/>
        <v>-1.4492753623188482E-2</v>
      </c>
      <c r="D104" s="36">
        <f t="shared" si="2"/>
        <v>2.2556390977443528E-2</v>
      </c>
      <c r="E104" s="36">
        <f t="shared" si="1"/>
        <v>-5.6722907157023106E-2</v>
      </c>
    </row>
    <row r="105" spans="1:5" x14ac:dyDescent="0.35">
      <c r="A105" s="35">
        <v>26207</v>
      </c>
      <c r="B105" s="63">
        <f>VLOOKUP(A105,Database!A:L,MATCH($A$1,Database!$A$1:$L$1,),)</f>
        <v>13.1</v>
      </c>
      <c r="C105" s="37">
        <f t="shared" si="0"/>
        <v>-3.6764705882352942E-2</v>
      </c>
      <c r="D105" s="36">
        <f t="shared" si="2"/>
        <v>-1.5037593984962485E-2</v>
      </c>
      <c r="E105" s="36">
        <f t="shared" si="1"/>
        <v>-0.13914590611474198</v>
      </c>
    </row>
    <row r="106" spans="1:5" x14ac:dyDescent="0.35">
      <c r="A106" s="35">
        <v>26299</v>
      </c>
      <c r="B106" s="63">
        <f>VLOOKUP(A106,Database!A:L,MATCH($A$1,Database!$A$1:$L$1,),)</f>
        <v>12.4</v>
      </c>
      <c r="C106" s="37">
        <f t="shared" si="0"/>
        <v>-5.3435114503816744E-2</v>
      </c>
      <c r="D106" s="36">
        <f t="shared" si="2"/>
        <v>-7.4626865671641784E-2</v>
      </c>
      <c r="E106" s="36">
        <f t="shared" si="1"/>
        <v>-0.1972107320191776</v>
      </c>
    </row>
    <row r="107" spans="1:5" x14ac:dyDescent="0.35">
      <c r="A107" s="35">
        <v>26390</v>
      </c>
      <c r="B107" s="63">
        <f>VLOOKUP(A107,Database!A:L,MATCH($A$1,Database!$A$1:$L$1,),)</f>
        <v>11.6</v>
      </c>
      <c r="C107" s="37">
        <f t="shared" si="0"/>
        <v>-6.4516129032258118E-2</v>
      </c>
      <c r="D107" s="36">
        <f t="shared" si="2"/>
        <v>-0.15942028985507253</v>
      </c>
      <c r="E107" s="36">
        <f t="shared" si="1"/>
        <v>-0.23414735560967237</v>
      </c>
    </row>
    <row r="108" spans="1:5" x14ac:dyDescent="0.35">
      <c r="A108" s="35">
        <v>26481</v>
      </c>
      <c r="B108" s="63">
        <f>VLOOKUP(A108,Database!A:L,MATCH($A$1,Database!$A$1:$L$1,),)</f>
        <v>12</v>
      </c>
      <c r="C108" s="37">
        <f t="shared" si="0"/>
        <v>3.4482758620689689E-2</v>
      </c>
      <c r="D108" s="36">
        <f t="shared" si="2"/>
        <v>-0.11764705882352938</v>
      </c>
      <c r="E108" s="36">
        <f t="shared" si="1"/>
        <v>0.14523082056495262</v>
      </c>
    </row>
    <row r="109" spans="1:5" x14ac:dyDescent="0.35">
      <c r="A109" s="35">
        <v>26573</v>
      </c>
      <c r="B109" s="63">
        <f>VLOOKUP(A109,Database!A:L,MATCH($A$1,Database!$A$1:$L$1,),)</f>
        <v>13.4</v>
      </c>
      <c r="C109" s="37">
        <f t="shared" si="0"/>
        <v>0.1166666666666667</v>
      </c>
      <c r="D109" s="36">
        <f t="shared" si="2"/>
        <v>2.2900763358778681E-2</v>
      </c>
      <c r="E109" s="36">
        <f t="shared" si="1"/>
        <v>0.55487044753086412</v>
      </c>
    </row>
    <row r="110" spans="1:5" x14ac:dyDescent="0.35">
      <c r="A110" s="35">
        <v>26665</v>
      </c>
      <c r="B110" s="63">
        <f>VLOOKUP(A110,Database!A:L,MATCH($A$1,Database!$A$1:$L$1,),)</f>
        <v>12.6</v>
      </c>
      <c r="C110" s="37">
        <f t="shared" si="0"/>
        <v>-5.9701492537313487E-2</v>
      </c>
      <c r="D110" s="36">
        <f t="shared" si="2"/>
        <v>1.6129032258064457E-2</v>
      </c>
      <c r="E110" s="36">
        <f t="shared" si="1"/>
        <v>-0.21825882540231889</v>
      </c>
    </row>
    <row r="111" spans="1:5" x14ac:dyDescent="0.35">
      <c r="A111" s="35">
        <v>26755</v>
      </c>
      <c r="B111" s="63">
        <f>VLOOKUP(A111,Database!A:L,MATCH($A$1,Database!$A$1:$L$1,),)</f>
        <v>13.3</v>
      </c>
      <c r="C111" s="37">
        <f t="shared" si="0"/>
        <v>5.5555555555555643E-2</v>
      </c>
      <c r="D111" s="36">
        <f t="shared" si="2"/>
        <v>0.14655172413793113</v>
      </c>
      <c r="E111" s="36">
        <f t="shared" si="1"/>
        <v>0.24143613778387452</v>
      </c>
    </row>
    <row r="112" spans="1:5" x14ac:dyDescent="0.35">
      <c r="A112" s="35">
        <v>26846</v>
      </c>
      <c r="B112" s="63">
        <f>VLOOKUP(A112,Database!A:L,MATCH($A$1,Database!$A$1:$L$1,),)</f>
        <v>13.4</v>
      </c>
      <c r="C112" s="37">
        <f t="shared" si="0"/>
        <v>7.5187969924811757E-3</v>
      </c>
      <c r="D112" s="36">
        <f t="shared" si="2"/>
        <v>0.1166666666666667</v>
      </c>
      <c r="E112" s="36">
        <f t="shared" si="1"/>
        <v>3.0416085234907797E-2</v>
      </c>
    </row>
    <row r="113" spans="1:5" x14ac:dyDescent="0.35">
      <c r="A113" s="35">
        <v>26938</v>
      </c>
      <c r="B113" s="63">
        <f>VLOOKUP(A113,Database!A:L,MATCH($A$1,Database!$A$1:$L$1,),)</f>
        <v>14.5</v>
      </c>
      <c r="C113" s="37">
        <f t="shared" si="0"/>
        <v>8.2089552238805943E-2</v>
      </c>
      <c r="D113" s="36">
        <f t="shared" si="2"/>
        <v>8.2089552238805943E-2</v>
      </c>
      <c r="E113" s="36">
        <f t="shared" si="1"/>
        <v>0.37104849216577018</v>
      </c>
    </row>
    <row r="114" spans="1:5" x14ac:dyDescent="0.35">
      <c r="A114" s="35">
        <v>27030</v>
      </c>
      <c r="B114" s="63">
        <f>VLOOKUP(A114,Database!A:L,MATCH($A$1,Database!$A$1:$L$1,),)</f>
        <v>14</v>
      </c>
      <c r="C114" s="37">
        <f t="shared" si="0"/>
        <v>-3.4482758620689655E-2</v>
      </c>
      <c r="D114" s="36">
        <f t="shared" si="2"/>
        <v>0.11111111111111115</v>
      </c>
      <c r="E114" s="36">
        <f t="shared" si="1"/>
        <v>-0.13095926512941791</v>
      </c>
    </row>
    <row r="115" spans="1:5" x14ac:dyDescent="0.35">
      <c r="A115" s="35">
        <v>27120</v>
      </c>
      <c r="B115" s="63">
        <f>VLOOKUP(A115,Database!A:L,MATCH($A$1,Database!$A$1:$L$1,),)</f>
        <v>12.9</v>
      </c>
      <c r="C115" s="37">
        <f t="shared" si="0"/>
        <v>-7.8571428571428542E-2</v>
      </c>
      <c r="D115" s="36">
        <f t="shared" si="2"/>
        <v>-3.0075187969924838E-2</v>
      </c>
      <c r="E115" s="36">
        <f t="shared" si="1"/>
        <v>-0.27914701947105358</v>
      </c>
    </row>
    <row r="116" spans="1:5" x14ac:dyDescent="0.35">
      <c r="A116" s="35">
        <v>27211</v>
      </c>
      <c r="B116" s="63">
        <f>VLOOKUP(A116,Database!A:L,MATCH($A$1,Database!$A$1:$L$1,),)</f>
        <v>12.6</v>
      </c>
      <c r="C116" s="37">
        <f t="shared" si="0"/>
        <v>-2.3255813953488427E-2</v>
      </c>
      <c r="D116" s="36">
        <f t="shared" si="2"/>
        <v>-5.9701492537313487E-2</v>
      </c>
      <c r="E116" s="36">
        <f t="shared" si="1"/>
        <v>-8.9828276053505407E-2</v>
      </c>
    </row>
    <row r="117" spans="1:5" x14ac:dyDescent="0.35">
      <c r="A117" s="35">
        <v>27303</v>
      </c>
      <c r="B117" s="63">
        <f>VLOOKUP(A117,Database!A:L,MATCH($A$1,Database!$A$1:$L$1,),)</f>
        <v>13.7</v>
      </c>
      <c r="C117" s="37">
        <f t="shared" si="0"/>
        <v>8.7301587301587269E-2</v>
      </c>
      <c r="D117" s="36">
        <f t="shared" si="2"/>
        <v>-5.5172413793103496E-2</v>
      </c>
      <c r="E117" s="36">
        <f t="shared" si="1"/>
        <v>0.39765534000242853</v>
      </c>
    </row>
    <row r="118" spans="1:5" x14ac:dyDescent="0.35">
      <c r="A118" s="35">
        <v>27395</v>
      </c>
      <c r="B118" s="63">
        <f>VLOOKUP(A118,Database!A:L,MATCH($A$1,Database!$A$1:$L$1,),)</f>
        <v>12.8</v>
      </c>
      <c r="C118" s="37">
        <f t="shared" si="0"/>
        <v>-6.5693430656934212E-2</v>
      </c>
      <c r="D118" s="36">
        <f t="shared" si="2"/>
        <v>-8.571428571428566E-2</v>
      </c>
      <c r="E118" s="36">
        <f t="shared" si="1"/>
        <v>-0.23799537033190321</v>
      </c>
    </row>
    <row r="119" spans="1:5" x14ac:dyDescent="0.35">
      <c r="A119" s="35">
        <v>27485</v>
      </c>
      <c r="B119" s="63">
        <f>VLOOKUP(A119,Database!A:L,MATCH($A$1,Database!$A$1:$L$1,),)</f>
        <v>15.3</v>
      </c>
      <c r="C119" s="37">
        <f t="shared" ref="C119:C182" si="3">(B119-B118)/B118</f>
        <v>0.1953125</v>
      </c>
      <c r="D119" s="36">
        <f t="shared" si="2"/>
        <v>0.186046511627907</v>
      </c>
      <c r="E119" s="36">
        <f t="shared" ref="E119:E182" si="4">((1+C119)^4)-1</f>
        <v>1.041389349848032</v>
      </c>
    </row>
    <row r="120" spans="1:5" x14ac:dyDescent="0.35">
      <c r="A120" s="35">
        <v>27576</v>
      </c>
      <c r="B120" s="63">
        <f>VLOOKUP(A120,Database!A:L,MATCH($A$1,Database!$A$1:$L$1,),)</f>
        <v>12.9</v>
      </c>
      <c r="C120" s="37">
        <f t="shared" si="3"/>
        <v>-0.15686274509803924</v>
      </c>
      <c r="D120" s="36">
        <f t="shared" si="2"/>
        <v>2.3809523809523867E-2</v>
      </c>
      <c r="E120" s="36">
        <f t="shared" si="4"/>
        <v>-0.49464901338482037</v>
      </c>
    </row>
    <row r="121" spans="1:5" x14ac:dyDescent="0.35">
      <c r="A121" s="35">
        <v>27668</v>
      </c>
      <c r="B121" s="63">
        <f>VLOOKUP(A121,Database!A:L,MATCH($A$1,Database!$A$1:$L$1,),)</f>
        <v>12.7</v>
      </c>
      <c r="C121" s="37">
        <f t="shared" si="3"/>
        <v>-1.5503875968992331E-2</v>
      </c>
      <c r="D121" s="36">
        <f t="shared" si="2"/>
        <v>-7.2992700729927015E-2</v>
      </c>
      <c r="E121" s="36">
        <f t="shared" si="4"/>
        <v>-6.0588131754992336E-2</v>
      </c>
    </row>
    <row r="122" spans="1:5" x14ac:dyDescent="0.35">
      <c r="A122" s="35">
        <v>27760</v>
      </c>
      <c r="B122" s="63">
        <f>VLOOKUP(A122,Database!A:L,MATCH($A$1,Database!$A$1:$L$1,),)</f>
        <v>12.1</v>
      </c>
      <c r="C122" s="37">
        <f t="shared" si="3"/>
        <v>-4.7244094488188948E-2</v>
      </c>
      <c r="D122" s="36">
        <f t="shared" ref="D122:D185" si="5">(B122-B118)/B118</f>
        <v>-5.4687500000000083E-2</v>
      </c>
      <c r="E122" s="36">
        <f t="shared" si="4"/>
        <v>-0.17600116544395739</v>
      </c>
    </row>
    <row r="123" spans="1:5" x14ac:dyDescent="0.35">
      <c r="A123" s="35">
        <v>27851</v>
      </c>
      <c r="B123" s="63">
        <f>VLOOKUP(A123,Database!A:L,MATCH($A$1,Database!$A$1:$L$1,),)</f>
        <v>11.8</v>
      </c>
      <c r="C123" s="37">
        <f t="shared" si="3"/>
        <v>-2.479338842975198E-2</v>
      </c>
      <c r="D123" s="36">
        <f t="shared" si="5"/>
        <v>-0.22875816993464052</v>
      </c>
      <c r="E123" s="36">
        <f t="shared" si="4"/>
        <v>-9.5545866373504373E-2</v>
      </c>
    </row>
    <row r="124" spans="1:5" x14ac:dyDescent="0.35">
      <c r="A124" s="35">
        <v>27942</v>
      </c>
      <c r="B124" s="63">
        <f>VLOOKUP(A124,Database!A:L,MATCH($A$1,Database!$A$1:$L$1,),)</f>
        <v>11.6</v>
      </c>
      <c r="C124" s="37">
        <f t="shared" si="3"/>
        <v>-1.6949152542372972E-2</v>
      </c>
      <c r="D124" s="36">
        <f t="shared" si="5"/>
        <v>-0.10077519379844967</v>
      </c>
      <c r="E124" s="36">
        <f t="shared" si="4"/>
        <v>-6.6092361199769689E-2</v>
      </c>
    </row>
    <row r="125" spans="1:5" x14ac:dyDescent="0.35">
      <c r="A125" s="35">
        <v>28034</v>
      </c>
      <c r="B125" s="63">
        <f>VLOOKUP(A125,Database!A:L,MATCH($A$1,Database!$A$1:$L$1,),)</f>
        <v>11</v>
      </c>
      <c r="C125" s="37">
        <f t="shared" si="3"/>
        <v>-5.1724137931034454E-2</v>
      </c>
      <c r="D125" s="36">
        <f t="shared" si="5"/>
        <v>-0.13385826771653539</v>
      </c>
      <c r="E125" s="36">
        <f t="shared" si="4"/>
        <v>-0.19139060359319704</v>
      </c>
    </row>
    <row r="126" spans="1:5" x14ac:dyDescent="0.35">
      <c r="A126" s="35">
        <v>28126</v>
      </c>
      <c r="B126" s="63">
        <f>VLOOKUP(A126,Database!A:L,MATCH($A$1,Database!$A$1:$L$1,),)</f>
        <v>10.1</v>
      </c>
      <c r="C126" s="37">
        <f t="shared" si="3"/>
        <v>-8.1818181818181845E-2</v>
      </c>
      <c r="D126" s="36">
        <f t="shared" si="5"/>
        <v>-0.16528925619834711</v>
      </c>
      <c r="E126" s="36">
        <f t="shared" si="4"/>
        <v>-0.28925345946315129</v>
      </c>
    </row>
    <row r="127" spans="1:5" x14ac:dyDescent="0.35">
      <c r="A127" s="35">
        <v>28216</v>
      </c>
      <c r="B127" s="63">
        <f>VLOOKUP(A127,Database!A:L,MATCH($A$1,Database!$A$1:$L$1,),)</f>
        <v>10.5</v>
      </c>
      <c r="C127" s="37">
        <f t="shared" si="3"/>
        <v>3.9603960396039639E-2</v>
      </c>
      <c r="D127" s="36">
        <f t="shared" si="5"/>
        <v>-0.11016949152542378</v>
      </c>
      <c r="E127" s="36">
        <f t="shared" si="4"/>
        <v>0.16807761484601635</v>
      </c>
    </row>
    <row r="128" spans="1:5" x14ac:dyDescent="0.35">
      <c r="A128" s="35">
        <v>28307</v>
      </c>
      <c r="B128" s="63">
        <f>VLOOKUP(A128,Database!A:L,MATCH($A$1,Database!$A$1:$L$1,),)</f>
        <v>10.8</v>
      </c>
      <c r="C128" s="37">
        <f t="shared" si="3"/>
        <v>2.857142857142864E-2</v>
      </c>
      <c r="D128" s="36">
        <f t="shared" si="5"/>
        <v>-6.8965517241379226E-2</v>
      </c>
      <c r="E128" s="36">
        <f t="shared" si="4"/>
        <v>0.11927763431903426</v>
      </c>
    </row>
    <row r="129" spans="1:5" x14ac:dyDescent="0.35">
      <c r="A129" s="35">
        <v>28399</v>
      </c>
      <c r="B129" s="63">
        <f>VLOOKUP(A129,Database!A:L,MATCH($A$1,Database!$A$1:$L$1,),)</f>
        <v>11.2</v>
      </c>
      <c r="C129" s="37">
        <f t="shared" si="3"/>
        <v>3.7037037037036903E-2</v>
      </c>
      <c r="D129" s="36">
        <f t="shared" si="5"/>
        <v>1.8181818181818118E-2</v>
      </c>
      <c r="E129" s="36">
        <f t="shared" si="4"/>
        <v>0.1565837035531692</v>
      </c>
    </row>
    <row r="130" spans="1:5" x14ac:dyDescent="0.35">
      <c r="A130" s="35">
        <v>28491</v>
      </c>
      <c r="B130" s="63">
        <f>VLOOKUP(A130,Database!A:L,MATCH($A$1,Database!$A$1:$L$1,),)</f>
        <v>11.3</v>
      </c>
      <c r="C130" s="37">
        <f t="shared" si="3"/>
        <v>8.9285714285715564E-3</v>
      </c>
      <c r="D130" s="36">
        <f t="shared" si="5"/>
        <v>0.11881188118811892</v>
      </c>
      <c r="E130" s="36">
        <f t="shared" si="4"/>
        <v>3.6195455516988995E-2</v>
      </c>
    </row>
    <row r="131" spans="1:5" x14ac:dyDescent="0.35">
      <c r="A131" s="35">
        <v>28581</v>
      </c>
      <c r="B131" s="63">
        <f>VLOOKUP(A131,Database!A:L,MATCH($A$1,Database!$A$1:$L$1,),)</f>
        <v>10.4</v>
      </c>
      <c r="C131" s="37">
        <f t="shared" si="3"/>
        <v>-7.9646017699115071E-2</v>
      </c>
      <c r="D131" s="36">
        <f t="shared" si="5"/>
        <v>-9.52380952380949E-3</v>
      </c>
      <c r="E131" s="36">
        <f t="shared" si="4"/>
        <v>-0.28250383641597254</v>
      </c>
    </row>
    <row r="132" spans="1:5" x14ac:dyDescent="0.35">
      <c r="A132" s="35">
        <v>28672</v>
      </c>
      <c r="B132" s="63">
        <f>VLOOKUP(A132,Database!A:L,MATCH($A$1,Database!$A$1:$L$1,),)</f>
        <v>10.7</v>
      </c>
      <c r="C132" s="37">
        <f t="shared" si="3"/>
        <v>2.8846153846153744E-2</v>
      </c>
      <c r="D132" s="36">
        <f t="shared" si="5"/>
        <v>-9.2592592592593906E-3</v>
      </c>
      <c r="E132" s="36">
        <f t="shared" si="4"/>
        <v>0.12047392293304204</v>
      </c>
    </row>
    <row r="133" spans="1:5" x14ac:dyDescent="0.35">
      <c r="A133" s="35">
        <v>28764</v>
      </c>
      <c r="B133" s="63">
        <f>VLOOKUP(A133,Database!A:L,MATCH($A$1,Database!$A$1:$L$1,),)</f>
        <v>10.5</v>
      </c>
      <c r="C133" s="37">
        <f t="shared" si="3"/>
        <v>-1.8691588785046665E-2</v>
      </c>
      <c r="D133" s="36">
        <f t="shared" si="5"/>
        <v>-6.2499999999999938E-2</v>
      </c>
      <c r="E133" s="36">
        <f t="shared" si="4"/>
        <v>-7.2696101661157364E-2</v>
      </c>
    </row>
    <row r="134" spans="1:5" x14ac:dyDescent="0.35">
      <c r="A134" s="35">
        <v>28856</v>
      </c>
      <c r="B134" s="63">
        <f>VLOOKUP(A134,Database!A:L,MATCH($A$1,Database!$A$1:$L$1,),)</f>
        <v>11.1</v>
      </c>
      <c r="C134" s="37">
        <f t="shared" si="3"/>
        <v>5.7142857142857106E-2</v>
      </c>
      <c r="D134" s="36">
        <f t="shared" si="5"/>
        <v>-1.7699115044247881E-2</v>
      </c>
      <c r="E134" s="36">
        <f t="shared" si="4"/>
        <v>0.24892028321532722</v>
      </c>
    </row>
    <row r="135" spans="1:5" x14ac:dyDescent="0.35">
      <c r="A135" s="35">
        <v>28946</v>
      </c>
      <c r="B135" s="63">
        <f>VLOOKUP(A135,Database!A:L,MATCH($A$1,Database!$A$1:$L$1,),)</f>
        <v>10.4</v>
      </c>
      <c r="C135" s="37">
        <f t="shared" si="3"/>
        <v>-6.3063063063063002E-2</v>
      </c>
      <c r="D135" s="36">
        <f t="shared" si="5"/>
        <v>0</v>
      </c>
      <c r="E135" s="36">
        <f t="shared" si="4"/>
        <v>-0.22937793115933236</v>
      </c>
    </row>
    <row r="136" spans="1:5" x14ac:dyDescent="0.35">
      <c r="A136" s="35">
        <v>29037</v>
      </c>
      <c r="B136" s="63">
        <f>VLOOKUP(A136,Database!A:L,MATCH($A$1,Database!$A$1:$L$1,),)</f>
        <v>9.9</v>
      </c>
      <c r="C136" s="37">
        <f t="shared" si="3"/>
        <v>-4.8076923076923073E-2</v>
      </c>
      <c r="D136" s="36">
        <f t="shared" si="5"/>
        <v>-7.4766355140186827E-2</v>
      </c>
      <c r="E136" s="36">
        <f t="shared" si="4"/>
        <v>-0.17887850476556777</v>
      </c>
    </row>
    <row r="137" spans="1:5" x14ac:dyDescent="0.35">
      <c r="A137" s="35">
        <v>29129</v>
      </c>
      <c r="B137" s="63">
        <f>VLOOKUP(A137,Database!A:L,MATCH($A$1,Database!$A$1:$L$1,),)</f>
        <v>9.8000000000000007</v>
      </c>
      <c r="C137" s="37">
        <f t="shared" si="3"/>
        <v>-1.0101010101010065E-2</v>
      </c>
      <c r="D137" s="36">
        <f t="shared" si="5"/>
        <v>-6.6666666666666596E-2</v>
      </c>
      <c r="E137" s="36">
        <f t="shared" si="4"/>
        <v>-3.9795970004080861E-2</v>
      </c>
    </row>
    <row r="138" spans="1:5" x14ac:dyDescent="0.35">
      <c r="A138" s="35">
        <v>29221</v>
      </c>
      <c r="B138" s="63">
        <f>VLOOKUP(A138,Database!A:L,MATCH($A$1,Database!$A$1:$L$1,),)</f>
        <v>10.1</v>
      </c>
      <c r="C138" s="37">
        <f t="shared" si="3"/>
        <v>3.0612244897959072E-2</v>
      </c>
      <c r="D138" s="36">
        <f t="shared" si="5"/>
        <v>-9.00900900900901E-2</v>
      </c>
      <c r="E138" s="36">
        <f t="shared" si="4"/>
        <v>0.12818726309893402</v>
      </c>
    </row>
    <row r="139" spans="1:5" x14ac:dyDescent="0.35">
      <c r="A139" s="35">
        <v>29312</v>
      </c>
      <c r="B139" s="63">
        <f>VLOOKUP(A139,Database!A:L,MATCH($A$1,Database!$A$1:$L$1,),)</f>
        <v>11.3</v>
      </c>
      <c r="C139" s="37">
        <f t="shared" si="3"/>
        <v>0.11881188118811892</v>
      </c>
      <c r="D139" s="36">
        <f t="shared" si="5"/>
        <v>8.6538461538461564E-2</v>
      </c>
      <c r="E139" s="36">
        <f t="shared" si="4"/>
        <v>0.56685309140794171</v>
      </c>
    </row>
    <row r="140" spans="1:5" x14ac:dyDescent="0.35">
      <c r="A140" s="35">
        <v>29403</v>
      </c>
      <c r="B140" s="63">
        <f>VLOOKUP(A140,Database!A:L,MATCH($A$1,Database!$A$1:$L$1,),)</f>
        <v>11.4</v>
      </c>
      <c r="C140" s="37">
        <f t="shared" si="3"/>
        <v>8.8495575221238625E-3</v>
      </c>
      <c r="D140" s="36">
        <f t="shared" si="5"/>
        <v>0.15151515151515152</v>
      </c>
      <c r="E140" s="36">
        <f t="shared" si="4"/>
        <v>3.5870896432356414E-2</v>
      </c>
    </row>
    <row r="141" spans="1:5" x14ac:dyDescent="0.35">
      <c r="A141" s="35">
        <v>29495</v>
      </c>
      <c r="B141" s="63">
        <f>VLOOKUP(A141,Database!A:L,MATCH($A$1,Database!$A$1:$L$1,),)</f>
        <v>11.4</v>
      </c>
      <c r="C141" s="37">
        <f t="shared" si="3"/>
        <v>0</v>
      </c>
      <c r="D141" s="36">
        <f t="shared" si="5"/>
        <v>0.16326530612244894</v>
      </c>
      <c r="E141" s="36">
        <f t="shared" si="4"/>
        <v>0</v>
      </c>
    </row>
    <row r="142" spans="1:5" x14ac:dyDescent="0.35">
      <c r="A142" s="35">
        <v>29587</v>
      </c>
      <c r="B142" s="63">
        <f>VLOOKUP(A142,Database!A:L,MATCH($A$1,Database!$A$1:$L$1,),)</f>
        <v>10.9</v>
      </c>
      <c r="C142" s="37">
        <f t="shared" si="3"/>
        <v>-4.3859649122807015E-2</v>
      </c>
      <c r="D142" s="36">
        <f t="shared" si="5"/>
        <v>7.9207920792079278E-2</v>
      </c>
      <c r="E142" s="36">
        <f t="shared" si="4"/>
        <v>-0.16423036882054109</v>
      </c>
    </row>
    <row r="143" spans="1:5" x14ac:dyDescent="0.35">
      <c r="A143" s="35">
        <v>29677</v>
      </c>
      <c r="B143" s="63">
        <f>VLOOKUP(A143,Database!A:L,MATCH($A$1,Database!$A$1:$L$1,),)</f>
        <v>10.9</v>
      </c>
      <c r="C143" s="37">
        <f t="shared" si="3"/>
        <v>0</v>
      </c>
      <c r="D143" s="36">
        <f t="shared" si="5"/>
        <v>-3.5398230088495602E-2</v>
      </c>
      <c r="E143" s="36">
        <f t="shared" si="4"/>
        <v>0</v>
      </c>
    </row>
    <row r="144" spans="1:5" x14ac:dyDescent="0.35">
      <c r="A144" s="35">
        <v>29768</v>
      </c>
      <c r="B144" s="63">
        <f>VLOOKUP(A144,Database!A:L,MATCH($A$1,Database!$A$1:$L$1,),)</f>
        <v>12.3</v>
      </c>
      <c r="C144" s="37">
        <f t="shared" si="3"/>
        <v>0.1284403669724771</v>
      </c>
      <c r="D144" s="36">
        <f t="shared" si="5"/>
        <v>7.8947368421052655E-2</v>
      </c>
      <c r="E144" s="36">
        <f t="shared" si="4"/>
        <v>0.62149066960428967</v>
      </c>
    </row>
    <row r="145" spans="1:5" x14ac:dyDescent="0.35">
      <c r="A145" s="35">
        <v>29860</v>
      </c>
      <c r="B145" s="63">
        <f>VLOOKUP(A145,Database!A:L,MATCH($A$1,Database!$A$1:$L$1,),)</f>
        <v>12.9</v>
      </c>
      <c r="C145" s="37">
        <f t="shared" si="3"/>
        <v>4.8780487804878016E-2</v>
      </c>
      <c r="D145" s="36">
        <f t="shared" si="5"/>
        <v>0.13157894736842105</v>
      </c>
      <c r="E145" s="36">
        <f t="shared" si="4"/>
        <v>0.20986912905939348</v>
      </c>
    </row>
    <row r="146" spans="1:5" x14ac:dyDescent="0.35">
      <c r="A146" s="35">
        <v>29952</v>
      </c>
      <c r="B146" s="63">
        <f>VLOOKUP(A146,Database!A:L,MATCH($A$1,Database!$A$1:$L$1,),)</f>
        <v>12.3</v>
      </c>
      <c r="C146" s="37">
        <f t="shared" si="3"/>
        <v>-4.6511627906976716E-2</v>
      </c>
      <c r="D146" s="36">
        <f t="shared" si="5"/>
        <v>0.1284403669724771</v>
      </c>
      <c r="E146" s="36">
        <f t="shared" si="4"/>
        <v>-0.17346432272600831</v>
      </c>
    </row>
    <row r="147" spans="1:5" x14ac:dyDescent="0.35">
      <c r="A147" s="35">
        <v>30042</v>
      </c>
      <c r="B147" s="63">
        <f>VLOOKUP(A147,Database!A:L,MATCH($A$1,Database!$A$1:$L$1,),)</f>
        <v>12.5</v>
      </c>
      <c r="C147" s="37">
        <f t="shared" si="3"/>
        <v>1.6260162601625959E-2</v>
      </c>
      <c r="D147" s="36">
        <f t="shared" si="5"/>
        <v>0.14678899082568803</v>
      </c>
      <c r="E147" s="36">
        <f t="shared" si="4"/>
        <v>6.6644273922478181E-2</v>
      </c>
    </row>
    <row r="148" spans="1:5" x14ac:dyDescent="0.35">
      <c r="A148" s="35">
        <v>30133</v>
      </c>
      <c r="B148" s="63">
        <f>VLOOKUP(A148,Database!A:L,MATCH($A$1,Database!$A$1:$L$1,),)</f>
        <v>12.3</v>
      </c>
      <c r="C148" s="37">
        <f t="shared" si="3"/>
        <v>-1.5999999999999945E-2</v>
      </c>
      <c r="D148" s="36">
        <f t="shared" si="5"/>
        <v>0</v>
      </c>
      <c r="E148" s="36">
        <f t="shared" si="4"/>
        <v>-6.2480318463999596E-2</v>
      </c>
    </row>
    <row r="149" spans="1:5" x14ac:dyDescent="0.35">
      <c r="A149" s="35">
        <v>30225</v>
      </c>
      <c r="B149" s="63">
        <f>VLOOKUP(A149,Database!A:L,MATCH($A$1,Database!$A$1:$L$1,),)</f>
        <v>11</v>
      </c>
      <c r="C149" s="37">
        <f t="shared" si="3"/>
        <v>-0.10569105691056915</v>
      </c>
      <c r="D149" s="36">
        <f t="shared" si="5"/>
        <v>-0.14728682170542637</v>
      </c>
      <c r="E149" s="36">
        <f t="shared" si="4"/>
        <v>-0.36033837815812064</v>
      </c>
    </row>
    <row r="150" spans="1:5" x14ac:dyDescent="0.35">
      <c r="A150" s="35">
        <v>30317</v>
      </c>
      <c r="B150" s="63">
        <f>VLOOKUP(A150,Database!A:L,MATCH($A$1,Database!$A$1:$L$1,),)</f>
        <v>11</v>
      </c>
      <c r="C150" s="37">
        <f t="shared" si="3"/>
        <v>0</v>
      </c>
      <c r="D150" s="36">
        <f t="shared" si="5"/>
        <v>-0.10569105691056915</v>
      </c>
      <c r="E150" s="36">
        <f t="shared" si="4"/>
        <v>0</v>
      </c>
    </row>
    <row r="151" spans="1:5" x14ac:dyDescent="0.35">
      <c r="A151" s="35">
        <v>30407</v>
      </c>
      <c r="B151" s="63">
        <f>VLOOKUP(A151,Database!A:L,MATCH($A$1,Database!$A$1:$L$1,),)</f>
        <v>9.8000000000000007</v>
      </c>
      <c r="C151" s="37">
        <f t="shared" si="3"/>
        <v>-0.10909090909090903</v>
      </c>
      <c r="D151" s="36">
        <f t="shared" si="5"/>
        <v>-0.21599999999999994</v>
      </c>
      <c r="E151" s="36">
        <f t="shared" si="4"/>
        <v>-0.37001013591967735</v>
      </c>
    </row>
    <row r="152" spans="1:5" x14ac:dyDescent="0.35">
      <c r="A152" s="35">
        <v>30498</v>
      </c>
      <c r="B152" s="63">
        <f>VLOOKUP(A152,Database!A:L,MATCH($A$1,Database!$A$1:$L$1,),)</f>
        <v>9.5</v>
      </c>
      <c r="C152" s="37">
        <f t="shared" si="3"/>
        <v>-3.0612244897959252E-2</v>
      </c>
      <c r="D152" s="36">
        <f t="shared" si="5"/>
        <v>-0.22764227642276427</v>
      </c>
      <c r="E152" s="36">
        <f t="shared" si="4"/>
        <v>-0.11694019229805164</v>
      </c>
    </row>
    <row r="153" spans="1:5" x14ac:dyDescent="0.35">
      <c r="A153" s="35">
        <v>30590</v>
      </c>
      <c r="B153" s="63">
        <f>VLOOKUP(A153,Database!A:L,MATCH($A$1,Database!$A$1:$L$1,),)</f>
        <v>10</v>
      </c>
      <c r="C153" s="37">
        <f t="shared" si="3"/>
        <v>5.2631578947368418E-2</v>
      </c>
      <c r="D153" s="36">
        <f t="shared" si="5"/>
        <v>-9.0909090909090912E-2</v>
      </c>
      <c r="E153" s="36">
        <f t="shared" si="4"/>
        <v>0.22773766315482513</v>
      </c>
    </row>
    <row r="154" spans="1:5" x14ac:dyDescent="0.35">
      <c r="A154" s="35">
        <v>30682</v>
      </c>
      <c r="B154" s="63">
        <f>VLOOKUP(A154,Database!A:L,MATCH($A$1,Database!$A$1:$L$1,),)</f>
        <v>11.1</v>
      </c>
      <c r="C154" s="37">
        <f t="shared" si="3"/>
        <v>0.10999999999999996</v>
      </c>
      <c r="D154" s="36">
        <f t="shared" si="5"/>
        <v>9.0909090909090592E-3</v>
      </c>
      <c r="E154" s="36">
        <f t="shared" si="4"/>
        <v>0.51807040999999932</v>
      </c>
    </row>
    <row r="155" spans="1:5" x14ac:dyDescent="0.35">
      <c r="A155" s="35">
        <v>30773</v>
      </c>
      <c r="B155" s="63">
        <f>VLOOKUP(A155,Database!A:L,MATCH($A$1,Database!$A$1:$L$1,),)</f>
        <v>11.3</v>
      </c>
      <c r="C155" s="37">
        <f t="shared" si="3"/>
        <v>1.8018018018018115E-2</v>
      </c>
      <c r="D155" s="36">
        <f t="shared" si="5"/>
        <v>0.15306122448979589</v>
      </c>
      <c r="E155" s="36">
        <f t="shared" si="4"/>
        <v>7.4043469433015208E-2</v>
      </c>
    </row>
    <row r="156" spans="1:5" x14ac:dyDescent="0.35">
      <c r="A156" s="35">
        <v>30864</v>
      </c>
      <c r="B156" s="63">
        <f>VLOOKUP(A156,Database!A:L,MATCH($A$1,Database!$A$1:$L$1,),)</f>
        <v>11.7</v>
      </c>
      <c r="C156" s="37">
        <f t="shared" si="3"/>
        <v>3.539823008849545E-2</v>
      </c>
      <c r="D156" s="36">
        <f t="shared" si="5"/>
        <v>0.23157894736842097</v>
      </c>
      <c r="E156" s="36">
        <f t="shared" si="4"/>
        <v>0.14929011945185611</v>
      </c>
    </row>
    <row r="157" spans="1:5" x14ac:dyDescent="0.35">
      <c r="A157" s="35">
        <v>30956</v>
      </c>
      <c r="B157" s="63">
        <f>VLOOKUP(A157,Database!A:L,MATCH($A$1,Database!$A$1:$L$1,),)</f>
        <v>11.3</v>
      </c>
      <c r="C157" s="37">
        <f t="shared" si="3"/>
        <v>-3.4188034188034067E-2</v>
      </c>
      <c r="D157" s="36">
        <f t="shared" si="5"/>
        <v>0.13000000000000006</v>
      </c>
      <c r="E157" s="36">
        <f t="shared" si="4"/>
        <v>-0.12989767938060637</v>
      </c>
    </row>
    <row r="158" spans="1:5" x14ac:dyDescent="0.35">
      <c r="A158" s="35">
        <v>31048</v>
      </c>
      <c r="B158" s="63">
        <f>VLOOKUP(A158,Database!A:L,MATCH($A$1,Database!$A$1:$L$1,),)</f>
        <v>9.3000000000000007</v>
      </c>
      <c r="C158" s="37">
        <f t="shared" si="3"/>
        <v>-0.17699115044247787</v>
      </c>
      <c r="D158" s="36">
        <f t="shared" si="5"/>
        <v>-0.16216216216216206</v>
      </c>
      <c r="E158" s="36">
        <f t="shared" si="4"/>
        <v>-0.54120569298879984</v>
      </c>
    </row>
    <row r="159" spans="1:5" x14ac:dyDescent="0.35">
      <c r="A159" s="35">
        <v>31138</v>
      </c>
      <c r="B159" s="63">
        <f>VLOOKUP(A159,Database!A:L,MATCH($A$1,Database!$A$1:$L$1,),)</f>
        <v>10.199999999999999</v>
      </c>
      <c r="C159" s="37">
        <f t="shared" si="3"/>
        <v>9.6774193548386941E-2</v>
      </c>
      <c r="D159" s="36">
        <f t="shared" si="5"/>
        <v>-9.7345132743362955E-2</v>
      </c>
      <c r="E159" s="36">
        <f t="shared" si="4"/>
        <v>0.44700120517021258</v>
      </c>
    </row>
    <row r="160" spans="1:5" x14ac:dyDescent="0.35">
      <c r="A160" s="35">
        <v>31229</v>
      </c>
      <c r="B160" s="63">
        <f>VLOOKUP(A160,Database!A:L,MATCH($A$1,Database!$A$1:$L$1,),)</f>
        <v>8.1999999999999993</v>
      </c>
      <c r="C160" s="37">
        <f t="shared" si="3"/>
        <v>-0.19607843137254904</v>
      </c>
      <c r="D160" s="36">
        <f t="shared" si="5"/>
        <v>-0.29914529914529914</v>
      </c>
      <c r="E160" s="36">
        <f t="shared" si="4"/>
        <v>-0.58230938001694255</v>
      </c>
    </row>
    <row r="161" spans="1:5" x14ac:dyDescent="0.35">
      <c r="A161" s="35">
        <v>31321</v>
      </c>
      <c r="B161" s="63">
        <f>VLOOKUP(A161,Database!A:L,MATCH($A$1,Database!$A$1:$L$1,),)</f>
        <v>8.9</v>
      </c>
      <c r="C161" s="37">
        <f t="shared" si="3"/>
        <v>8.5365853658536717E-2</v>
      </c>
      <c r="D161" s="36">
        <f t="shared" si="5"/>
        <v>-0.21238938053097348</v>
      </c>
      <c r="E161" s="36">
        <f t="shared" si="4"/>
        <v>0.38772884985672906</v>
      </c>
    </row>
    <row r="162" spans="1:5" x14ac:dyDescent="0.35">
      <c r="A162" s="35">
        <v>31413</v>
      </c>
      <c r="B162" s="63">
        <f>VLOOKUP(A162,Database!A:L,MATCH($A$1,Database!$A$1:$L$1,),)</f>
        <v>9.3000000000000007</v>
      </c>
      <c r="C162" s="37">
        <f t="shared" si="3"/>
        <v>4.4943820224719142E-2</v>
      </c>
      <c r="D162" s="36">
        <f t="shared" si="5"/>
        <v>0</v>
      </c>
      <c r="E162" s="36">
        <f t="shared" si="4"/>
        <v>0.19226217947809743</v>
      </c>
    </row>
    <row r="163" spans="1:5" x14ac:dyDescent="0.35">
      <c r="A163" s="35">
        <v>31503</v>
      </c>
      <c r="B163" s="63">
        <f>VLOOKUP(A163,Database!A:L,MATCH($A$1,Database!$A$1:$L$1,),)</f>
        <v>9.5</v>
      </c>
      <c r="C163" s="37">
        <f t="shared" si="3"/>
        <v>2.1505376344085943E-2</v>
      </c>
      <c r="D163" s="36">
        <f t="shared" si="5"/>
        <v>-6.8627450980392093E-2</v>
      </c>
      <c r="E163" s="36">
        <f t="shared" si="4"/>
        <v>8.8836389865458498E-2</v>
      </c>
    </row>
    <row r="164" spans="1:5" x14ac:dyDescent="0.35">
      <c r="A164" s="35">
        <v>31594</v>
      </c>
      <c r="B164" s="63">
        <f>VLOOKUP(A164,Database!A:L,MATCH($A$1,Database!$A$1:$L$1,),)</f>
        <v>8.5</v>
      </c>
      <c r="C164" s="37">
        <f t="shared" si="3"/>
        <v>-0.10526315789473684</v>
      </c>
      <c r="D164" s="36">
        <f t="shared" si="5"/>
        <v>3.6585365853658625E-2</v>
      </c>
      <c r="E164" s="36">
        <f t="shared" si="4"/>
        <v>-0.35911326647278641</v>
      </c>
    </row>
    <row r="165" spans="1:5" x14ac:dyDescent="0.35">
      <c r="A165" s="35">
        <v>31686</v>
      </c>
      <c r="B165" s="63">
        <f>VLOOKUP(A165,Database!A:L,MATCH($A$1,Database!$A$1:$L$1,),)</f>
        <v>8.1</v>
      </c>
      <c r="C165" s="37">
        <f t="shared" si="3"/>
        <v>-4.7058823529411806E-2</v>
      </c>
      <c r="D165" s="36">
        <f t="shared" si="5"/>
        <v>-8.9887640449438283E-2</v>
      </c>
      <c r="E165" s="36">
        <f t="shared" si="4"/>
        <v>-0.17536004597646115</v>
      </c>
    </row>
    <row r="166" spans="1:5" x14ac:dyDescent="0.35">
      <c r="A166" s="35">
        <v>31778</v>
      </c>
      <c r="B166" s="63">
        <f>VLOOKUP(A166,Database!A:L,MATCH($A$1,Database!$A$1:$L$1,),)</f>
        <v>8.9</v>
      </c>
      <c r="C166" s="37">
        <f t="shared" si="3"/>
        <v>9.8765432098765524E-2</v>
      </c>
      <c r="D166" s="36">
        <f t="shared" si="5"/>
        <v>-4.3010752688172081E-2</v>
      </c>
      <c r="E166" s="36">
        <f t="shared" si="4"/>
        <v>0.45753821760314795</v>
      </c>
    </row>
    <row r="167" spans="1:5" x14ac:dyDescent="0.35">
      <c r="A167" s="35">
        <v>31868</v>
      </c>
      <c r="B167" s="63">
        <f>VLOOKUP(A167,Database!A:L,MATCH($A$1,Database!$A$1:$L$1,),)</f>
        <v>6.8</v>
      </c>
      <c r="C167" s="37">
        <f t="shared" si="3"/>
        <v>-0.23595505617977533</v>
      </c>
      <c r="D167" s="36">
        <f t="shared" si="5"/>
        <v>-0.28421052631578947</v>
      </c>
      <c r="E167" s="36">
        <f t="shared" si="4"/>
        <v>-0.65921880284766998</v>
      </c>
    </row>
    <row r="168" spans="1:5" x14ac:dyDescent="0.35">
      <c r="A168" s="35">
        <v>31959</v>
      </c>
      <c r="B168" s="63">
        <f>VLOOKUP(A168,Database!A:L,MATCH($A$1,Database!$A$1:$L$1,),)</f>
        <v>7.5</v>
      </c>
      <c r="C168" s="37">
        <f t="shared" si="3"/>
        <v>0.10294117647058826</v>
      </c>
      <c r="D168" s="36">
        <f t="shared" si="5"/>
        <v>-0.11764705882352941</v>
      </c>
      <c r="E168" s="36">
        <f t="shared" si="4"/>
        <v>0.47982173832030339</v>
      </c>
    </row>
    <row r="169" spans="1:5" x14ac:dyDescent="0.35">
      <c r="A169" s="35">
        <v>32051</v>
      </c>
      <c r="B169" s="63">
        <f>VLOOKUP(A169,Database!A:L,MATCH($A$1,Database!$A$1:$L$1,),)</f>
        <v>8.5</v>
      </c>
      <c r="C169" s="37">
        <f t="shared" si="3"/>
        <v>0.13333333333333333</v>
      </c>
      <c r="D169" s="36">
        <f t="shared" si="5"/>
        <v>4.9382716049382762E-2</v>
      </c>
      <c r="E169" s="36">
        <f t="shared" si="4"/>
        <v>0.649797530864197</v>
      </c>
    </row>
    <row r="170" spans="1:5" x14ac:dyDescent="0.35">
      <c r="A170" s="35">
        <v>32143</v>
      </c>
      <c r="B170" s="63">
        <f>VLOOKUP(A170,Database!A:L,MATCH($A$1,Database!$A$1:$L$1,),)</f>
        <v>8.3000000000000007</v>
      </c>
      <c r="C170" s="37">
        <f t="shared" si="3"/>
        <v>-2.3529411764705799E-2</v>
      </c>
      <c r="D170" s="36">
        <f t="shared" si="5"/>
        <v>-6.7415730337078608E-2</v>
      </c>
      <c r="E170" s="36">
        <f t="shared" si="4"/>
        <v>-9.0847647896935779E-2</v>
      </c>
    </row>
    <row r="171" spans="1:5" x14ac:dyDescent="0.35">
      <c r="A171" s="35">
        <v>32234</v>
      </c>
      <c r="B171" s="63">
        <f>VLOOKUP(A171,Database!A:L,MATCH($A$1,Database!$A$1:$L$1,),)</f>
        <v>8.6</v>
      </c>
      <c r="C171" s="37">
        <f t="shared" si="3"/>
        <v>3.6144578313252879E-2</v>
      </c>
      <c r="D171" s="36">
        <f t="shared" si="5"/>
        <v>0.26470588235294118</v>
      </c>
      <c r="E171" s="36">
        <f t="shared" si="4"/>
        <v>0.15260748478649222</v>
      </c>
    </row>
    <row r="172" spans="1:5" x14ac:dyDescent="0.35">
      <c r="A172" s="35">
        <v>32325</v>
      </c>
      <c r="B172" s="63">
        <f>VLOOKUP(A172,Database!A:L,MATCH($A$1,Database!$A$1:$L$1,),)</f>
        <v>8.6</v>
      </c>
      <c r="C172" s="37">
        <f t="shared" si="3"/>
        <v>0</v>
      </c>
      <c r="D172" s="36">
        <f t="shared" si="5"/>
        <v>0.14666666666666661</v>
      </c>
      <c r="E172" s="36">
        <f t="shared" si="4"/>
        <v>0</v>
      </c>
    </row>
    <row r="173" spans="1:5" x14ac:dyDescent="0.35">
      <c r="A173" s="35">
        <v>32417</v>
      </c>
      <c r="B173" s="63">
        <f>VLOOKUP(A173,Database!A:L,MATCH($A$1,Database!$A$1:$L$1,),)</f>
        <v>8.5</v>
      </c>
      <c r="C173" s="37">
        <f t="shared" si="3"/>
        <v>-1.1627906976744146E-2</v>
      </c>
      <c r="D173" s="36">
        <f t="shared" si="5"/>
        <v>0</v>
      </c>
      <c r="E173" s="36">
        <f t="shared" si="4"/>
        <v>-4.5706649056203807E-2</v>
      </c>
    </row>
    <row r="174" spans="1:5" x14ac:dyDescent="0.35">
      <c r="A174" s="35">
        <v>32509</v>
      </c>
      <c r="B174" s="63">
        <f>VLOOKUP(A174,Database!A:L,MATCH($A$1,Database!$A$1:$L$1,),)</f>
        <v>9</v>
      </c>
      <c r="C174" s="37">
        <f t="shared" si="3"/>
        <v>5.8823529411764705E-2</v>
      </c>
      <c r="D174" s="36">
        <f t="shared" si="5"/>
        <v>8.4337349397590272E-2</v>
      </c>
      <c r="E174" s="36">
        <f t="shared" si="4"/>
        <v>0.25688150285556954</v>
      </c>
    </row>
    <row r="175" spans="1:5" x14ac:dyDescent="0.35">
      <c r="A175" s="35">
        <v>32599</v>
      </c>
      <c r="B175" s="63">
        <f>VLOOKUP(A175,Database!A:L,MATCH($A$1,Database!$A$1:$L$1,),)</f>
        <v>8.3000000000000007</v>
      </c>
      <c r="C175" s="37">
        <f t="shared" si="3"/>
        <v>-7.7777777777777696E-2</v>
      </c>
      <c r="D175" s="36">
        <f t="shared" si="5"/>
        <v>-3.4883720930232433E-2</v>
      </c>
      <c r="E175" s="36">
        <f t="shared" si="4"/>
        <v>-0.27666024996189587</v>
      </c>
    </row>
    <row r="176" spans="1:5" x14ac:dyDescent="0.35">
      <c r="A176" s="35">
        <v>32690</v>
      </c>
      <c r="B176" s="63">
        <f>VLOOKUP(A176,Database!A:L,MATCH($A$1,Database!$A$1:$L$1,),)</f>
        <v>8</v>
      </c>
      <c r="C176" s="37">
        <f t="shared" si="3"/>
        <v>-3.6144578313253094E-2</v>
      </c>
      <c r="D176" s="36">
        <f t="shared" si="5"/>
        <v>-6.9767441860465074E-2</v>
      </c>
      <c r="E176" s="36">
        <f t="shared" si="4"/>
        <v>-0.13692690476765967</v>
      </c>
    </row>
    <row r="177" spans="1:5" x14ac:dyDescent="0.35">
      <c r="A177" s="35">
        <v>32782</v>
      </c>
      <c r="B177" s="63">
        <f>VLOOKUP(A177,Database!A:L,MATCH($A$1,Database!$A$1:$L$1,),)</f>
        <v>8.3000000000000007</v>
      </c>
      <c r="C177" s="37">
        <f t="shared" si="3"/>
        <v>3.7500000000000089E-2</v>
      </c>
      <c r="D177" s="36">
        <f t="shared" si="5"/>
        <v>-2.3529411764705799E-2</v>
      </c>
      <c r="E177" s="36">
        <f t="shared" si="4"/>
        <v>0.15865041503906308</v>
      </c>
    </row>
    <row r="178" spans="1:5" x14ac:dyDescent="0.35">
      <c r="A178" s="35">
        <v>32874</v>
      </c>
      <c r="B178" s="63">
        <f>VLOOKUP(A178,Database!A:L,MATCH($A$1,Database!$A$1:$L$1,),)</f>
        <v>8.3000000000000007</v>
      </c>
      <c r="C178" s="37">
        <f t="shared" si="3"/>
        <v>0</v>
      </c>
      <c r="D178" s="36">
        <f t="shared" si="5"/>
        <v>-7.7777777777777696E-2</v>
      </c>
      <c r="E178" s="36">
        <f t="shared" si="4"/>
        <v>0</v>
      </c>
    </row>
    <row r="179" spans="1:5" x14ac:dyDescent="0.35">
      <c r="A179" s="35">
        <v>32964</v>
      </c>
      <c r="B179" s="63">
        <f>VLOOKUP(A179,Database!A:L,MATCH($A$1,Database!$A$1:$L$1,),)</f>
        <v>8.6999999999999993</v>
      </c>
      <c r="C179" s="37">
        <f t="shared" si="3"/>
        <v>4.8192771084337171E-2</v>
      </c>
      <c r="D179" s="36">
        <f t="shared" si="5"/>
        <v>4.8192771084337171E-2</v>
      </c>
      <c r="E179" s="36">
        <f t="shared" si="4"/>
        <v>0.20715945682106907</v>
      </c>
    </row>
    <row r="180" spans="1:5" x14ac:dyDescent="0.35">
      <c r="A180" s="35">
        <v>33055</v>
      </c>
      <c r="B180" s="63">
        <f>VLOOKUP(A180,Database!A:L,MATCH($A$1,Database!$A$1:$L$1,),)</f>
        <v>8.3000000000000007</v>
      </c>
      <c r="C180" s="37">
        <f t="shared" si="3"/>
        <v>-4.5977011494252713E-2</v>
      </c>
      <c r="D180" s="36">
        <f t="shared" si="5"/>
        <v>3.7500000000000089E-2</v>
      </c>
      <c r="E180" s="36">
        <f t="shared" si="4"/>
        <v>-0.17160902451661419</v>
      </c>
    </row>
    <row r="181" spans="1:5" x14ac:dyDescent="0.35">
      <c r="A181" s="35">
        <v>33147</v>
      </c>
      <c r="B181" s="63">
        <f>VLOOKUP(A181,Database!A:L,MATCH($A$1,Database!$A$1:$L$1,),)</f>
        <v>8.1999999999999993</v>
      </c>
      <c r="C181" s="37">
        <f t="shared" si="3"/>
        <v>-1.2048192771084508E-2</v>
      </c>
      <c r="D181" s="36">
        <f t="shared" si="5"/>
        <v>-1.2048192771084508E-2</v>
      </c>
      <c r="E181" s="36">
        <f t="shared" si="4"/>
        <v>-4.7328791930924541E-2</v>
      </c>
    </row>
    <row r="182" spans="1:5" x14ac:dyDescent="0.35">
      <c r="A182" s="35">
        <v>33239</v>
      </c>
      <c r="B182" s="63">
        <f>VLOOKUP(A182,Database!A:L,MATCH($A$1,Database!$A$1:$L$1,),)</f>
        <v>8.6999999999999993</v>
      </c>
      <c r="C182" s="37">
        <f t="shared" si="3"/>
        <v>6.0975609756097567E-2</v>
      </c>
      <c r="D182" s="36">
        <f t="shared" si="5"/>
        <v>4.8192771084337171E-2</v>
      </c>
      <c r="E182" s="36">
        <f t="shared" si="4"/>
        <v>0.26713124800717414</v>
      </c>
    </row>
    <row r="183" spans="1:5" x14ac:dyDescent="0.35">
      <c r="A183" s="35">
        <v>33329</v>
      </c>
      <c r="B183" s="63">
        <f>VLOOKUP(A183,Database!A:L,MATCH($A$1,Database!$A$1:$L$1,),)</f>
        <v>8.6</v>
      </c>
      <c r="C183" s="37">
        <f t="shared" ref="C183:C246" si="6">(B183-B182)/B182</f>
        <v>-1.1494252873563178E-2</v>
      </c>
      <c r="D183" s="36">
        <f t="shared" si="5"/>
        <v>-1.1494252873563178E-2</v>
      </c>
      <c r="E183" s="36">
        <f t="shared" ref="E183:E246" si="7">((1+C183)^4)-1</f>
        <v>-4.5190361328266038E-2</v>
      </c>
    </row>
    <row r="184" spans="1:5" x14ac:dyDescent="0.35">
      <c r="A184" s="35">
        <v>33420</v>
      </c>
      <c r="B184" s="63">
        <f>VLOOKUP(A184,Database!A:L,MATCH($A$1,Database!$A$1:$L$1,),)</f>
        <v>8.6</v>
      </c>
      <c r="C184" s="37">
        <f t="shared" si="6"/>
        <v>0</v>
      </c>
      <c r="D184" s="36">
        <f t="shared" si="5"/>
        <v>3.6144578313252879E-2</v>
      </c>
      <c r="E184" s="36">
        <f t="shared" si="7"/>
        <v>0</v>
      </c>
    </row>
    <row r="185" spans="1:5" x14ac:dyDescent="0.35">
      <c r="A185" s="35">
        <v>33512</v>
      </c>
      <c r="B185" s="63">
        <f>VLOOKUP(A185,Database!A:L,MATCH($A$1,Database!$A$1:$L$1,),)</f>
        <v>9.4</v>
      </c>
      <c r="C185" s="37">
        <f t="shared" si="6"/>
        <v>9.302325581395357E-2</v>
      </c>
      <c r="D185" s="36">
        <f t="shared" si="5"/>
        <v>0.14634146341463428</v>
      </c>
      <c r="E185" s="36">
        <f t="shared" si="7"/>
        <v>0.42730770232020054</v>
      </c>
    </row>
    <row r="186" spans="1:5" x14ac:dyDescent="0.35">
      <c r="A186" s="35">
        <v>33604</v>
      </c>
      <c r="B186" s="63">
        <f>VLOOKUP(A186,Database!A:L,MATCH($A$1,Database!$A$1:$L$1,),)</f>
        <v>9.6</v>
      </c>
      <c r="C186" s="37">
        <f t="shared" si="6"/>
        <v>2.1276595744680774E-2</v>
      </c>
      <c r="D186" s="36">
        <f t="shared" ref="D186:D249" si="8">(B186-B182)/B182</f>
        <v>0.10344827586206902</v>
      </c>
      <c r="E186" s="36">
        <f t="shared" si="7"/>
        <v>8.7861276177684244E-2</v>
      </c>
    </row>
    <row r="187" spans="1:5" x14ac:dyDescent="0.35">
      <c r="A187" s="35">
        <v>33695</v>
      </c>
      <c r="B187" s="63">
        <f>VLOOKUP(A187,Database!A:L,MATCH($A$1,Database!$A$1:$L$1,),)</f>
        <v>9.9</v>
      </c>
      <c r="C187" s="37">
        <f t="shared" si="6"/>
        <v>3.1250000000000076E-2</v>
      </c>
      <c r="D187" s="36">
        <f t="shared" si="8"/>
        <v>0.15116279069767452</v>
      </c>
      <c r="E187" s="36">
        <f t="shared" si="7"/>
        <v>0.13098239898681641</v>
      </c>
    </row>
    <row r="188" spans="1:5" x14ac:dyDescent="0.35">
      <c r="A188" s="35">
        <v>33786</v>
      </c>
      <c r="B188" s="63">
        <f>VLOOKUP(A188,Database!A:L,MATCH($A$1,Database!$A$1:$L$1,),)</f>
        <v>9.3000000000000007</v>
      </c>
      <c r="C188" s="37">
        <f t="shared" si="6"/>
        <v>-6.0606060606060566E-2</v>
      </c>
      <c r="D188" s="36">
        <f t="shared" si="8"/>
        <v>8.1395348837209433E-2</v>
      </c>
      <c r="E188" s="36">
        <f t="shared" si="7"/>
        <v>-0.2212626304787586</v>
      </c>
    </row>
    <row r="189" spans="1:5" x14ac:dyDescent="0.35">
      <c r="A189" s="35">
        <v>33878</v>
      </c>
      <c r="B189" s="63">
        <f>VLOOKUP(A189,Database!A:L,MATCH($A$1,Database!$A$1:$L$1,),)</f>
        <v>8.9</v>
      </c>
      <c r="C189" s="37">
        <f t="shared" si="6"/>
        <v>-4.3010752688172081E-2</v>
      </c>
      <c r="D189" s="36">
        <f t="shared" si="8"/>
        <v>-5.3191489361702128E-2</v>
      </c>
      <c r="E189" s="36">
        <f t="shared" si="7"/>
        <v>-0.16125830609024117</v>
      </c>
    </row>
    <row r="190" spans="1:5" x14ac:dyDescent="0.35">
      <c r="A190" s="35">
        <v>33970</v>
      </c>
      <c r="B190" s="63">
        <f>VLOOKUP(A190,Database!A:L,MATCH($A$1,Database!$A$1:$L$1,),)</f>
        <v>8.8000000000000007</v>
      </c>
      <c r="C190" s="37">
        <f t="shared" si="6"/>
        <v>-1.1235955056179735E-2</v>
      </c>
      <c r="D190" s="36">
        <f t="shared" si="8"/>
        <v>-8.3333333333333232E-2</v>
      </c>
      <c r="E190" s="36">
        <f t="shared" si="7"/>
        <v>-4.4191998178706782E-2</v>
      </c>
    </row>
    <row r="191" spans="1:5" x14ac:dyDescent="0.35">
      <c r="A191" s="35">
        <v>34060</v>
      </c>
      <c r="B191" s="63">
        <f>VLOOKUP(A191,Database!A:L,MATCH($A$1,Database!$A$1:$L$1,),)</f>
        <v>8.3000000000000007</v>
      </c>
      <c r="C191" s="37">
        <f t="shared" si="6"/>
        <v>-5.6818181818181816E-2</v>
      </c>
      <c r="D191" s="36">
        <f t="shared" si="8"/>
        <v>-0.16161616161616157</v>
      </c>
      <c r="E191" s="36">
        <f t="shared" si="7"/>
        <v>-0.20862617646399639</v>
      </c>
    </row>
    <row r="192" spans="1:5" x14ac:dyDescent="0.35">
      <c r="A192" s="35">
        <v>34151</v>
      </c>
      <c r="B192" s="63">
        <f>VLOOKUP(A192,Database!A:L,MATCH($A$1,Database!$A$1:$L$1,),)</f>
        <v>7.4</v>
      </c>
      <c r="C192" s="37">
        <f t="shared" si="6"/>
        <v>-0.10843373493975907</v>
      </c>
      <c r="D192" s="36">
        <f t="shared" si="8"/>
        <v>-0.20430107526881722</v>
      </c>
      <c r="E192" s="36">
        <f t="shared" si="7"/>
        <v>-0.3681492440493207</v>
      </c>
    </row>
    <row r="193" spans="1:5" x14ac:dyDescent="0.35">
      <c r="A193" s="35">
        <v>34243</v>
      </c>
      <c r="B193" s="63">
        <f>VLOOKUP(A193,Database!A:L,MATCH($A$1,Database!$A$1:$L$1,),)</f>
        <v>7.3</v>
      </c>
      <c r="C193" s="37">
        <f t="shared" si="6"/>
        <v>-1.3513513513513585E-2</v>
      </c>
      <c r="D193" s="36">
        <f t="shared" si="8"/>
        <v>-0.17977528089887646</v>
      </c>
      <c r="E193" s="36">
        <f t="shared" si="7"/>
        <v>-5.2968201504566825E-2</v>
      </c>
    </row>
    <row r="194" spans="1:5" x14ac:dyDescent="0.35">
      <c r="A194" s="35">
        <v>34335</v>
      </c>
      <c r="B194" s="63">
        <f>VLOOKUP(A194,Database!A:L,MATCH($A$1,Database!$A$1:$L$1,),)</f>
        <v>6.8</v>
      </c>
      <c r="C194" s="37">
        <f t="shared" si="6"/>
        <v>-6.8493150684931503E-2</v>
      </c>
      <c r="D194" s="36">
        <f t="shared" si="8"/>
        <v>-0.22727272727272735</v>
      </c>
      <c r="E194" s="36">
        <f t="shared" si="7"/>
        <v>-0.24708801506403177</v>
      </c>
    </row>
    <row r="195" spans="1:5" x14ac:dyDescent="0.35">
      <c r="A195" s="35">
        <v>34425</v>
      </c>
      <c r="B195" s="63">
        <f>VLOOKUP(A195,Database!A:L,MATCH($A$1,Database!$A$1:$L$1,),)</f>
        <v>7</v>
      </c>
      <c r="C195" s="37">
        <f t="shared" si="6"/>
        <v>2.941176470588238E-2</v>
      </c>
      <c r="D195" s="36">
        <f t="shared" si="8"/>
        <v>-0.15662650602409645</v>
      </c>
      <c r="E195" s="36">
        <f t="shared" si="7"/>
        <v>0.12293988936914113</v>
      </c>
    </row>
    <row r="196" spans="1:5" x14ac:dyDescent="0.35">
      <c r="A196" s="35">
        <v>34516</v>
      </c>
      <c r="B196" s="63">
        <f>VLOOKUP(A196,Database!A:L,MATCH($A$1,Database!$A$1:$L$1,),)</f>
        <v>6.8</v>
      </c>
      <c r="C196" s="37">
        <f t="shared" si="6"/>
        <v>-2.8571428571428598E-2</v>
      </c>
      <c r="D196" s="36">
        <f t="shared" si="8"/>
        <v>-8.1081081081081155E-2</v>
      </c>
      <c r="E196" s="36">
        <f t="shared" si="7"/>
        <v>-0.1094803831736777</v>
      </c>
    </row>
    <row r="197" spans="1:5" x14ac:dyDescent="0.35">
      <c r="A197" s="35">
        <v>34608</v>
      </c>
      <c r="B197" s="63">
        <f>VLOOKUP(A197,Database!A:L,MATCH($A$1,Database!$A$1:$L$1,),)</f>
        <v>7.1</v>
      </c>
      <c r="C197" s="37">
        <f t="shared" si="6"/>
        <v>4.4117647058823505E-2</v>
      </c>
      <c r="D197" s="36">
        <f t="shared" si="8"/>
        <v>-2.7397260273972629E-2</v>
      </c>
      <c r="E197" s="36">
        <f t="shared" si="7"/>
        <v>0.18849605376192868</v>
      </c>
    </row>
    <row r="198" spans="1:5" x14ac:dyDescent="0.35">
      <c r="A198" s="35">
        <v>34700</v>
      </c>
      <c r="B198" s="63">
        <f>VLOOKUP(A198,Database!A:L,MATCH($A$1,Database!$A$1:$L$1,),)</f>
        <v>7.6</v>
      </c>
      <c r="C198" s="37">
        <f t="shared" si="6"/>
        <v>7.0422535211267609E-2</v>
      </c>
      <c r="D198" s="36">
        <f t="shared" si="8"/>
        <v>0.11764705882352938</v>
      </c>
      <c r="E198" s="36">
        <f t="shared" si="7"/>
        <v>0.31286773196940354</v>
      </c>
    </row>
    <row r="199" spans="1:5" x14ac:dyDescent="0.35">
      <c r="A199" s="35">
        <v>34790</v>
      </c>
      <c r="B199" s="63">
        <f>VLOOKUP(A199,Database!A:L,MATCH($A$1,Database!$A$1:$L$1,),)</f>
        <v>6.9</v>
      </c>
      <c r="C199" s="37">
        <f t="shared" si="6"/>
        <v>-9.2105263157894648E-2</v>
      </c>
      <c r="D199" s="36">
        <f t="shared" si="8"/>
        <v>-1.4285714285714235E-2</v>
      </c>
      <c r="E199" s="36">
        <f t="shared" si="7"/>
        <v>-0.32057426350127749</v>
      </c>
    </row>
    <row r="200" spans="1:5" x14ac:dyDescent="0.35">
      <c r="A200" s="35">
        <v>34881</v>
      </c>
      <c r="B200" s="63">
        <f>VLOOKUP(A200,Database!A:L,MATCH($A$1,Database!$A$1:$L$1,),)</f>
        <v>6.8</v>
      </c>
      <c r="C200" s="37">
        <f t="shared" si="6"/>
        <v>-1.4492753623188482E-2</v>
      </c>
      <c r="D200" s="36">
        <f t="shared" si="8"/>
        <v>0</v>
      </c>
      <c r="E200" s="36">
        <f t="shared" si="7"/>
        <v>-5.6722907157023106E-2</v>
      </c>
    </row>
    <row r="201" spans="1:5" x14ac:dyDescent="0.35">
      <c r="A201" s="35">
        <v>34973</v>
      </c>
      <c r="B201" s="63">
        <f>VLOOKUP(A201,Database!A:L,MATCH($A$1,Database!$A$1:$L$1,),)</f>
        <v>6.6</v>
      </c>
      <c r="C201" s="37">
        <f t="shared" si="6"/>
        <v>-2.941176470588238E-2</v>
      </c>
      <c r="D201" s="36">
        <f t="shared" si="8"/>
        <v>-7.0422535211267609E-2</v>
      </c>
      <c r="E201" s="36">
        <f t="shared" si="7"/>
        <v>-0.11255776990218036</v>
      </c>
    </row>
    <row r="202" spans="1:5" x14ac:dyDescent="0.35">
      <c r="A202" s="35">
        <v>35065</v>
      </c>
      <c r="B202" s="63">
        <f>VLOOKUP(A202,Database!A:L,MATCH($A$1,Database!$A$1:$L$1,),)</f>
        <v>6.7</v>
      </c>
      <c r="C202" s="37">
        <f t="shared" si="6"/>
        <v>1.5151515151515233E-2</v>
      </c>
      <c r="D202" s="36">
        <f t="shared" si="8"/>
        <v>-0.11842105263157889</v>
      </c>
      <c r="E202" s="36">
        <f t="shared" si="7"/>
        <v>6.1997437013089574E-2</v>
      </c>
    </row>
    <row r="203" spans="1:5" x14ac:dyDescent="0.35">
      <c r="A203" s="35">
        <v>35156</v>
      </c>
      <c r="B203" s="63">
        <f>VLOOKUP(A203,Database!A:L,MATCH($A$1,Database!$A$1:$L$1,),)</f>
        <v>6.5</v>
      </c>
      <c r="C203" s="37">
        <f t="shared" si="6"/>
        <v>-2.9850746268656744E-2</v>
      </c>
      <c r="D203" s="36">
        <f t="shared" si="8"/>
        <v>-5.7971014492753672E-2</v>
      </c>
      <c r="E203" s="36">
        <f t="shared" si="7"/>
        <v>-0.11416218482336526</v>
      </c>
    </row>
    <row r="204" spans="1:5" x14ac:dyDescent="0.35">
      <c r="A204" s="35">
        <v>35247</v>
      </c>
      <c r="B204" s="63">
        <f>VLOOKUP(A204,Database!A:L,MATCH($A$1,Database!$A$1:$L$1,),)</f>
        <v>6.6</v>
      </c>
      <c r="C204" s="37">
        <f t="shared" si="6"/>
        <v>1.538461538461533E-2</v>
      </c>
      <c r="D204" s="36">
        <f t="shared" si="8"/>
        <v>-2.941176470588238E-2</v>
      </c>
      <c r="E204" s="36">
        <f t="shared" si="7"/>
        <v>6.2973201218444519E-2</v>
      </c>
    </row>
    <row r="205" spans="1:5" x14ac:dyDescent="0.35">
      <c r="A205" s="35">
        <v>35339</v>
      </c>
      <c r="B205" s="63">
        <f>VLOOKUP(A205,Database!A:L,MATCH($A$1,Database!$A$1:$L$1,),)</f>
        <v>6.4</v>
      </c>
      <c r="C205" s="37">
        <f t="shared" si="6"/>
        <v>-3.0303030303030196E-2</v>
      </c>
      <c r="D205" s="36">
        <f t="shared" si="8"/>
        <v>-3.0303030303030196E-2</v>
      </c>
      <c r="E205" s="36">
        <f t="shared" si="7"/>
        <v>-0.11581294200878411</v>
      </c>
    </row>
    <row r="206" spans="1:5" x14ac:dyDescent="0.35">
      <c r="A206" s="35">
        <v>35431</v>
      </c>
      <c r="B206" s="63">
        <f>VLOOKUP(A206,Database!A:L,MATCH($A$1,Database!$A$1:$L$1,),)</f>
        <v>6.3</v>
      </c>
      <c r="C206" s="37">
        <f t="shared" si="6"/>
        <v>-1.5625000000000083E-2</v>
      </c>
      <c r="D206" s="36">
        <f t="shared" si="8"/>
        <v>-5.9701492537313487E-2</v>
      </c>
      <c r="E206" s="36">
        <f t="shared" si="7"/>
        <v>-6.1050355434418169E-2</v>
      </c>
    </row>
    <row r="207" spans="1:5" x14ac:dyDescent="0.35">
      <c r="A207" s="35">
        <v>35521</v>
      </c>
      <c r="B207" s="63">
        <f>VLOOKUP(A207,Database!A:L,MATCH($A$1,Database!$A$1:$L$1,),)</f>
        <v>6.6</v>
      </c>
      <c r="C207" s="37">
        <f t="shared" si="6"/>
        <v>4.7619047619047596E-2</v>
      </c>
      <c r="D207" s="36">
        <f t="shared" si="8"/>
        <v>1.538461538461533E-2</v>
      </c>
      <c r="E207" s="36">
        <f t="shared" si="7"/>
        <v>0.20451869334279449</v>
      </c>
    </row>
    <row r="208" spans="1:5" x14ac:dyDescent="0.35">
      <c r="A208" s="35">
        <v>35612</v>
      </c>
      <c r="B208" s="63">
        <f>VLOOKUP(A208,Database!A:L,MATCH($A$1,Database!$A$1:$L$1,),)</f>
        <v>6.1</v>
      </c>
      <c r="C208" s="37">
        <f t="shared" si="6"/>
        <v>-7.575757575757576E-2</v>
      </c>
      <c r="D208" s="36">
        <f t="shared" si="8"/>
        <v>-7.575757575757576E-2</v>
      </c>
      <c r="E208" s="36">
        <f t="shared" si="7"/>
        <v>-0.27030125741933919</v>
      </c>
    </row>
    <row r="209" spans="1:5" x14ac:dyDescent="0.35">
      <c r="A209" s="35">
        <v>35704</v>
      </c>
      <c r="B209" s="63">
        <f>VLOOKUP(A209,Database!A:L,MATCH($A$1,Database!$A$1:$L$1,),)</f>
        <v>6.3</v>
      </c>
      <c r="C209" s="37">
        <f t="shared" si="6"/>
        <v>3.2786885245901669E-2</v>
      </c>
      <c r="D209" s="36">
        <f t="shared" si="8"/>
        <v>-1.5625000000000083E-2</v>
      </c>
      <c r="E209" s="36">
        <f t="shared" si="7"/>
        <v>0.1377395565932038</v>
      </c>
    </row>
    <row r="210" spans="1:5" x14ac:dyDescent="0.35">
      <c r="A210" s="35">
        <v>35796</v>
      </c>
      <c r="B210" s="63">
        <f>VLOOKUP(A210,Database!A:L,MATCH($A$1,Database!$A$1:$L$1,),)</f>
        <v>7.4</v>
      </c>
      <c r="C210" s="37">
        <f t="shared" si="6"/>
        <v>0.1746031746031747</v>
      </c>
      <c r="D210" s="36">
        <f t="shared" si="8"/>
        <v>0.1746031746031747</v>
      </c>
      <c r="E210" s="36">
        <f t="shared" si="7"/>
        <v>0.90355171957830671</v>
      </c>
    </row>
    <row r="211" spans="1:5" x14ac:dyDescent="0.35">
      <c r="A211" s="35">
        <v>35886</v>
      </c>
      <c r="B211" s="63">
        <f>VLOOKUP(A211,Database!A:L,MATCH($A$1,Database!$A$1:$L$1,),)</f>
        <v>7</v>
      </c>
      <c r="C211" s="37">
        <f t="shared" si="6"/>
        <v>-5.4054054054054099E-2</v>
      </c>
      <c r="D211" s="36">
        <f t="shared" si="8"/>
        <v>6.0606060606060663E-2</v>
      </c>
      <c r="E211" s="36">
        <f t="shared" si="7"/>
        <v>-0.19930838385816374</v>
      </c>
    </row>
    <row r="212" spans="1:5" x14ac:dyDescent="0.35">
      <c r="A212" s="35">
        <v>35977</v>
      </c>
      <c r="B212" s="63">
        <f>VLOOKUP(A212,Database!A:L,MATCH($A$1,Database!$A$1:$L$1,),)</f>
        <v>6.7</v>
      </c>
      <c r="C212" s="37">
        <f t="shared" si="6"/>
        <v>-4.285714285714283E-2</v>
      </c>
      <c r="D212" s="36">
        <f t="shared" si="8"/>
        <v>9.8360655737705013E-2</v>
      </c>
      <c r="E212" s="36">
        <f t="shared" si="7"/>
        <v>-0.16071965847563496</v>
      </c>
    </row>
    <row r="213" spans="1:5" x14ac:dyDescent="0.35">
      <c r="A213" s="35">
        <v>36069</v>
      </c>
      <c r="B213" s="63">
        <f>VLOOKUP(A213,Database!A:L,MATCH($A$1,Database!$A$1:$L$1,),)</f>
        <v>6.1</v>
      </c>
      <c r="C213" s="37">
        <f t="shared" si="6"/>
        <v>-8.9552238805970227E-2</v>
      </c>
      <c r="D213" s="36">
        <f t="shared" si="8"/>
        <v>-3.1746031746031772E-2</v>
      </c>
      <c r="E213" s="36">
        <f t="shared" si="7"/>
        <v>-0.31289971411516027</v>
      </c>
    </row>
    <row r="214" spans="1:5" x14ac:dyDescent="0.35">
      <c r="A214" s="35">
        <v>36161</v>
      </c>
      <c r="B214" s="63">
        <f>VLOOKUP(A214,Database!A:L,MATCH($A$1,Database!$A$1:$L$1,),)</f>
        <v>6.2</v>
      </c>
      <c r="C214" s="37">
        <f t="shared" si="6"/>
        <v>1.6393442622950907E-2</v>
      </c>
      <c r="D214" s="36">
        <f t="shared" si="8"/>
        <v>-0.16216216216216217</v>
      </c>
      <c r="E214" s="36">
        <f t="shared" si="7"/>
        <v>6.720393510224465E-2</v>
      </c>
    </row>
    <row r="215" spans="1:5" x14ac:dyDescent="0.35">
      <c r="A215" s="35">
        <v>36251</v>
      </c>
      <c r="B215" s="63">
        <f>VLOOKUP(A215,Database!A:L,MATCH($A$1,Database!$A$1:$L$1,),)</f>
        <v>4.8</v>
      </c>
      <c r="C215" s="37">
        <f t="shared" si="6"/>
        <v>-0.22580645161290328</v>
      </c>
      <c r="D215" s="36">
        <f t="shared" si="8"/>
        <v>-0.31428571428571433</v>
      </c>
      <c r="E215" s="36">
        <f t="shared" si="7"/>
        <v>-0.64074882975048753</v>
      </c>
    </row>
    <row r="216" spans="1:5" x14ac:dyDescent="0.35">
      <c r="A216" s="35">
        <v>36342</v>
      </c>
      <c r="B216" s="63">
        <f>VLOOKUP(A216,Database!A:L,MATCH($A$1,Database!$A$1:$L$1,),)</f>
        <v>4.5</v>
      </c>
      <c r="C216" s="37">
        <f t="shared" si="6"/>
        <v>-6.2499999999999965E-2</v>
      </c>
      <c r="D216" s="36">
        <f t="shared" si="8"/>
        <v>-0.32835820895522388</v>
      </c>
      <c r="E216" s="36">
        <f t="shared" si="7"/>
        <v>-0.2275238037109375</v>
      </c>
    </row>
    <row r="217" spans="1:5" x14ac:dyDescent="0.35">
      <c r="A217" s="35">
        <v>36434</v>
      </c>
      <c r="B217" s="63">
        <f>VLOOKUP(A217,Database!A:L,MATCH($A$1,Database!$A$1:$L$1,),)</f>
        <v>4.4000000000000004</v>
      </c>
      <c r="C217" s="37">
        <f t="shared" si="6"/>
        <v>-2.2222222222222143E-2</v>
      </c>
      <c r="D217" s="36">
        <f t="shared" si="8"/>
        <v>-0.27868852459016386</v>
      </c>
      <c r="E217" s="36">
        <f t="shared" si="7"/>
        <v>-8.5969577808260644E-2</v>
      </c>
    </row>
    <row r="218" spans="1:5" x14ac:dyDescent="0.35">
      <c r="A218" s="35">
        <v>36526</v>
      </c>
      <c r="B218" s="63">
        <f>VLOOKUP(A218,Database!A:L,MATCH($A$1,Database!$A$1:$L$1,),)</f>
        <v>4.5999999999999996</v>
      </c>
      <c r="C218" s="37">
        <f t="shared" si="6"/>
        <v>4.5454545454545289E-2</v>
      </c>
      <c r="D218" s="36">
        <f t="shared" si="8"/>
        <v>-0.25806451612903236</v>
      </c>
      <c r="E218" s="36">
        <f t="shared" si="7"/>
        <v>0.1945948022676034</v>
      </c>
    </row>
    <row r="219" spans="1:5" x14ac:dyDescent="0.35">
      <c r="A219" s="35">
        <v>36617</v>
      </c>
      <c r="B219" s="63">
        <f>VLOOKUP(A219,Database!A:L,MATCH($A$1,Database!$A$1:$L$1,),)</f>
        <v>4.8</v>
      </c>
      <c r="C219" s="37">
        <f t="shared" si="6"/>
        <v>4.3478260869565258E-2</v>
      </c>
      <c r="D219" s="36">
        <f t="shared" si="8"/>
        <v>0</v>
      </c>
      <c r="E219" s="36">
        <f t="shared" si="7"/>
        <v>0.18558753006171358</v>
      </c>
    </row>
    <row r="220" spans="1:5" x14ac:dyDescent="0.35">
      <c r="A220" s="35">
        <v>36708</v>
      </c>
      <c r="B220" s="63">
        <f>VLOOKUP(A220,Database!A:L,MATCH($A$1,Database!$A$1:$L$1,),)</f>
        <v>5</v>
      </c>
      <c r="C220" s="37">
        <f t="shared" si="6"/>
        <v>4.1666666666666706E-2</v>
      </c>
      <c r="D220" s="36">
        <f t="shared" si="8"/>
        <v>0.1111111111111111</v>
      </c>
      <c r="E220" s="36">
        <f t="shared" si="7"/>
        <v>0.17737569926697572</v>
      </c>
    </row>
    <row r="221" spans="1:5" x14ac:dyDescent="0.35">
      <c r="A221" s="35">
        <v>36800</v>
      </c>
      <c r="B221" s="63">
        <f>VLOOKUP(A221,Database!A:L,MATCH($A$1,Database!$A$1:$L$1,),)</f>
        <v>4.5999999999999996</v>
      </c>
      <c r="C221" s="37">
        <f t="shared" si="6"/>
        <v>-8.0000000000000071E-2</v>
      </c>
      <c r="D221" s="36">
        <f t="shared" si="8"/>
        <v>4.5454545454545289E-2</v>
      </c>
      <c r="E221" s="36">
        <f t="shared" si="7"/>
        <v>-0.28360704000000025</v>
      </c>
    </row>
    <row r="222" spans="1:5" x14ac:dyDescent="0.35">
      <c r="A222" s="35">
        <v>36892</v>
      </c>
      <c r="B222" s="63">
        <f>VLOOKUP(A222,Database!A:L,MATCH($A$1,Database!$A$1:$L$1,),)</f>
        <v>5.0999999999999996</v>
      </c>
      <c r="C222" s="37">
        <f t="shared" si="6"/>
        <v>0.10869565217391305</v>
      </c>
      <c r="D222" s="36">
        <f t="shared" si="8"/>
        <v>0.10869565217391305</v>
      </c>
      <c r="E222" s="36">
        <f t="shared" si="7"/>
        <v>0.51094751126532567</v>
      </c>
    </row>
    <row r="223" spans="1:5" x14ac:dyDescent="0.35">
      <c r="A223" s="35">
        <v>36982</v>
      </c>
      <c r="B223" s="63">
        <f>VLOOKUP(A223,Database!A:L,MATCH($A$1,Database!$A$1:$L$1,),)</f>
        <v>4.7</v>
      </c>
      <c r="C223" s="37">
        <f t="shared" si="6"/>
        <v>-7.843137254901951E-2</v>
      </c>
      <c r="D223" s="36">
        <f t="shared" si="8"/>
        <v>-2.0833333333333259E-2</v>
      </c>
      <c r="E223" s="36">
        <f t="shared" si="7"/>
        <v>-0.27870864442904197</v>
      </c>
    </row>
    <row r="224" spans="1:5" x14ac:dyDescent="0.35">
      <c r="A224" s="35">
        <v>37073</v>
      </c>
      <c r="B224" s="63">
        <f>VLOOKUP(A224,Database!A:L,MATCH($A$1,Database!$A$1:$L$1,),)</f>
        <v>6.4</v>
      </c>
      <c r="C224" s="37">
        <f t="shared" si="6"/>
        <v>0.36170212765957449</v>
      </c>
      <c r="D224" s="36">
        <f t="shared" si="8"/>
        <v>0.28000000000000008</v>
      </c>
      <c r="E224" s="36">
        <f t="shared" si="7"/>
        <v>2.4381788481665092</v>
      </c>
    </row>
    <row r="225" spans="1:5" x14ac:dyDescent="0.35">
      <c r="A225" s="35">
        <v>37165</v>
      </c>
      <c r="B225" s="63">
        <f>VLOOKUP(A225,Database!A:L,MATCH($A$1,Database!$A$1:$L$1,),)</f>
        <v>3.5</v>
      </c>
      <c r="C225" s="37">
        <f t="shared" si="6"/>
        <v>-0.45312500000000006</v>
      </c>
      <c r="D225" s="36">
        <f t="shared" si="8"/>
        <v>-0.23913043478260865</v>
      </c>
      <c r="E225" s="36">
        <f t="shared" si="7"/>
        <v>-0.91055577993392944</v>
      </c>
    </row>
    <row r="226" spans="1:5" x14ac:dyDescent="0.35">
      <c r="A226" s="35">
        <v>37257</v>
      </c>
      <c r="B226" s="63">
        <f>VLOOKUP(A226,Database!A:L,MATCH($A$1,Database!$A$1:$L$1,),)</f>
        <v>5.6</v>
      </c>
      <c r="C226" s="37">
        <f t="shared" si="6"/>
        <v>0.59999999999999987</v>
      </c>
      <c r="D226" s="36">
        <f t="shared" si="8"/>
        <v>9.8039215686274522E-2</v>
      </c>
      <c r="E226" s="36">
        <f t="shared" si="7"/>
        <v>5.5535999999999976</v>
      </c>
    </row>
    <row r="227" spans="1:5" x14ac:dyDescent="0.35">
      <c r="A227" s="35">
        <v>37347</v>
      </c>
      <c r="B227" s="63">
        <f>VLOOKUP(A227,Database!A:L,MATCH($A$1,Database!$A$1:$L$1,),)</f>
        <v>6</v>
      </c>
      <c r="C227" s="37">
        <f t="shared" si="6"/>
        <v>7.1428571428571494E-2</v>
      </c>
      <c r="D227" s="36">
        <f t="shared" si="8"/>
        <v>0.27659574468085102</v>
      </c>
      <c r="E227" s="36">
        <f t="shared" si="7"/>
        <v>0.31781028738025796</v>
      </c>
    </row>
    <row r="228" spans="1:5" x14ac:dyDescent="0.35">
      <c r="A228" s="35">
        <v>37438</v>
      </c>
      <c r="B228" s="63">
        <f>VLOOKUP(A228,Database!A:L,MATCH($A$1,Database!$A$1:$L$1,),)</f>
        <v>5.6</v>
      </c>
      <c r="C228" s="37">
        <f t="shared" si="6"/>
        <v>-6.6666666666666721E-2</v>
      </c>
      <c r="D228" s="36">
        <f t="shared" si="8"/>
        <v>-0.12500000000000011</v>
      </c>
      <c r="E228" s="36">
        <f t="shared" si="7"/>
        <v>-0.24116543209876573</v>
      </c>
    </row>
    <row r="229" spans="1:5" x14ac:dyDescent="0.35">
      <c r="A229" s="35">
        <v>37530</v>
      </c>
      <c r="B229" s="63">
        <f>VLOOKUP(A229,Database!A:L,MATCH($A$1,Database!$A$1:$L$1,),)</f>
        <v>5.7</v>
      </c>
      <c r="C229" s="37">
        <f t="shared" si="6"/>
        <v>1.7857142857142953E-2</v>
      </c>
      <c r="D229" s="36">
        <f t="shared" si="8"/>
        <v>0.62857142857142867</v>
      </c>
      <c r="E229" s="36">
        <f t="shared" si="7"/>
        <v>7.3364715385517032E-2</v>
      </c>
    </row>
    <row r="230" spans="1:5" x14ac:dyDescent="0.35">
      <c r="A230" s="35">
        <v>37622</v>
      </c>
      <c r="B230" s="63">
        <f>VLOOKUP(A230,Database!A:L,MATCH($A$1,Database!$A$1:$L$1,),)</f>
        <v>5.2</v>
      </c>
      <c r="C230" s="37">
        <f t="shared" si="6"/>
        <v>-8.771929824561403E-2</v>
      </c>
      <c r="D230" s="36">
        <f t="shared" si="8"/>
        <v>-7.1428571428571341E-2</v>
      </c>
      <c r="E230" s="36">
        <f t="shared" si="7"/>
        <v>-0.30734981931130934</v>
      </c>
    </row>
    <row r="231" spans="1:5" x14ac:dyDescent="0.35">
      <c r="A231" s="35">
        <v>37712</v>
      </c>
      <c r="B231" s="63">
        <f>VLOOKUP(A231,Database!A:L,MATCH($A$1,Database!$A$1:$L$1,),)</f>
        <v>5.3</v>
      </c>
      <c r="C231" s="37">
        <f t="shared" si="6"/>
        <v>1.9230769230769162E-2</v>
      </c>
      <c r="D231" s="36">
        <f t="shared" si="8"/>
        <v>-0.1166666666666667</v>
      </c>
      <c r="E231" s="36">
        <f t="shared" si="7"/>
        <v>7.9170596486467293E-2</v>
      </c>
    </row>
    <row r="232" spans="1:5" x14ac:dyDescent="0.35">
      <c r="A232" s="35">
        <v>37803</v>
      </c>
      <c r="B232" s="63">
        <f>VLOOKUP(A232,Database!A:L,MATCH($A$1,Database!$A$1:$L$1,),)</f>
        <v>5.7</v>
      </c>
      <c r="C232" s="37">
        <f t="shared" si="6"/>
        <v>7.5471698113207614E-2</v>
      </c>
      <c r="D232" s="36">
        <f t="shared" si="8"/>
        <v>1.7857142857142953E-2</v>
      </c>
      <c r="E232" s="36">
        <f t="shared" si="7"/>
        <v>0.33781464019747331</v>
      </c>
    </row>
    <row r="233" spans="1:5" x14ac:dyDescent="0.35">
      <c r="A233" s="35">
        <v>37895</v>
      </c>
      <c r="B233" s="63">
        <f>VLOOKUP(A233,Database!A:L,MATCH($A$1,Database!$A$1:$L$1,),)</f>
        <v>5.3</v>
      </c>
      <c r="C233" s="37">
        <f t="shared" si="6"/>
        <v>-7.0175438596491294E-2</v>
      </c>
      <c r="D233" s="36">
        <f t="shared" si="8"/>
        <v>-7.0175438596491294E-2</v>
      </c>
      <c r="E233" s="36">
        <f t="shared" si="7"/>
        <v>-0.2525122913497263</v>
      </c>
    </row>
    <row r="234" spans="1:5" x14ac:dyDescent="0.35">
      <c r="A234" s="35">
        <v>37987</v>
      </c>
      <c r="B234" s="63">
        <f>VLOOKUP(A234,Database!A:L,MATCH($A$1,Database!$A$1:$L$1,),)</f>
        <v>4.8</v>
      </c>
      <c r="C234" s="37">
        <f t="shared" si="6"/>
        <v>-9.4339622641509441E-2</v>
      </c>
      <c r="D234" s="36">
        <f t="shared" si="8"/>
        <v>-7.6923076923076983E-2</v>
      </c>
      <c r="E234" s="36">
        <f t="shared" si="7"/>
        <v>-0.32723797193098869</v>
      </c>
    </row>
    <row r="235" spans="1:5" x14ac:dyDescent="0.35">
      <c r="A235" s="35">
        <v>38078</v>
      </c>
      <c r="B235" s="63">
        <f>VLOOKUP(A235,Database!A:L,MATCH($A$1,Database!$A$1:$L$1,),)</f>
        <v>5.3</v>
      </c>
      <c r="C235" s="37">
        <f t="shared" si="6"/>
        <v>0.10416666666666667</v>
      </c>
      <c r="D235" s="36">
        <f t="shared" si="8"/>
        <v>0</v>
      </c>
      <c r="E235" s="36">
        <f t="shared" si="7"/>
        <v>0.48640969358844544</v>
      </c>
    </row>
    <row r="236" spans="1:5" x14ac:dyDescent="0.35">
      <c r="A236" s="35">
        <v>38169</v>
      </c>
      <c r="B236" s="63">
        <f>VLOOKUP(A236,Database!A:L,MATCH($A$1,Database!$A$1:$L$1,),)</f>
        <v>4.8</v>
      </c>
      <c r="C236" s="37">
        <f t="shared" si="6"/>
        <v>-9.4339622641509441E-2</v>
      </c>
      <c r="D236" s="36">
        <f t="shared" si="8"/>
        <v>-0.15789473684210531</v>
      </c>
      <c r="E236" s="36">
        <f t="shared" si="7"/>
        <v>-0.32723797193098869</v>
      </c>
    </row>
    <row r="237" spans="1:5" x14ac:dyDescent="0.35">
      <c r="A237" s="35">
        <v>38261</v>
      </c>
      <c r="B237" s="63">
        <f>VLOOKUP(A237,Database!A:L,MATCH($A$1,Database!$A$1:$L$1,),)</f>
        <v>4.9000000000000004</v>
      </c>
      <c r="C237" s="37">
        <f t="shared" si="6"/>
        <v>2.0833333333333447E-2</v>
      </c>
      <c r="D237" s="36">
        <f t="shared" si="8"/>
        <v>-7.5471698113207447E-2</v>
      </c>
      <c r="E237" s="36">
        <f t="shared" si="7"/>
        <v>8.5973857361593797E-2</v>
      </c>
    </row>
    <row r="238" spans="1:5" x14ac:dyDescent="0.35">
      <c r="A238" s="35">
        <v>38353</v>
      </c>
      <c r="B238" s="63">
        <f>VLOOKUP(A238,Database!A:L,MATCH($A$1,Database!$A$1:$L$1,),)</f>
        <v>3.1</v>
      </c>
      <c r="C238" s="37">
        <f t="shared" si="6"/>
        <v>-0.36734693877551022</v>
      </c>
      <c r="D238" s="36">
        <f t="shared" si="8"/>
        <v>-0.35416666666666663</v>
      </c>
      <c r="E238" s="36">
        <f t="shared" si="7"/>
        <v>-0.8398000208506764</v>
      </c>
    </row>
    <row r="239" spans="1:5" x14ac:dyDescent="0.35">
      <c r="A239" s="35">
        <v>38443</v>
      </c>
      <c r="B239" s="63">
        <f>VLOOKUP(A239,Database!A:L,MATCH($A$1,Database!$A$1:$L$1,),)</f>
        <v>2.9</v>
      </c>
      <c r="C239" s="37">
        <f t="shared" si="6"/>
        <v>-6.4516129032258118E-2</v>
      </c>
      <c r="D239" s="36">
        <f t="shared" si="8"/>
        <v>-0.45283018867924529</v>
      </c>
      <c r="E239" s="36">
        <f t="shared" si="7"/>
        <v>-0.23414735560967237</v>
      </c>
    </row>
    <row r="240" spans="1:5" x14ac:dyDescent="0.35">
      <c r="A240" s="35">
        <v>38534</v>
      </c>
      <c r="B240" s="63">
        <f>VLOOKUP(A240,Database!A:L,MATCH($A$1,Database!$A$1:$L$1,),)</f>
        <v>2.4</v>
      </c>
      <c r="C240" s="37">
        <f t="shared" si="6"/>
        <v>-0.17241379310344829</v>
      </c>
      <c r="D240" s="36">
        <f t="shared" si="8"/>
        <v>-0.5</v>
      </c>
      <c r="E240" s="36">
        <f t="shared" si="7"/>
        <v>-0.53091345589659555</v>
      </c>
    </row>
    <row r="241" spans="1:5" x14ac:dyDescent="0.35">
      <c r="A241" s="35">
        <v>38626</v>
      </c>
      <c r="B241" s="63">
        <f>VLOOKUP(A241,Database!A:L,MATCH($A$1,Database!$A$1:$L$1,),)</f>
        <v>3</v>
      </c>
      <c r="C241" s="37">
        <f t="shared" si="6"/>
        <v>0.25000000000000006</v>
      </c>
      <c r="D241" s="36">
        <f t="shared" si="8"/>
        <v>-0.38775510204081637</v>
      </c>
      <c r="E241" s="36">
        <f t="shared" si="7"/>
        <v>1.44140625</v>
      </c>
    </row>
    <row r="242" spans="1:5" x14ac:dyDescent="0.35">
      <c r="A242" s="35">
        <v>38718</v>
      </c>
      <c r="B242" s="63">
        <f>VLOOKUP(A242,Database!A:L,MATCH($A$1,Database!$A$1:$L$1,),)</f>
        <v>3.9</v>
      </c>
      <c r="C242" s="37">
        <f t="shared" si="6"/>
        <v>0.3</v>
      </c>
      <c r="D242" s="36">
        <f t="shared" si="8"/>
        <v>0.2580645161290322</v>
      </c>
      <c r="E242" s="36">
        <f t="shared" si="7"/>
        <v>1.8561000000000005</v>
      </c>
    </row>
    <row r="243" spans="1:5" x14ac:dyDescent="0.35">
      <c r="A243" s="35">
        <v>38808</v>
      </c>
      <c r="B243" s="63">
        <f>VLOOKUP(A243,Database!A:L,MATCH($A$1,Database!$A$1:$L$1,),)</f>
        <v>3.7</v>
      </c>
      <c r="C243" s="37">
        <f t="shared" si="6"/>
        <v>-5.1282051282051218E-2</v>
      </c>
      <c r="D243" s="36">
        <f t="shared" si="8"/>
        <v>0.27586206896551735</v>
      </c>
      <c r="E243" s="36">
        <f t="shared" si="7"/>
        <v>-0.18988165248216815</v>
      </c>
    </row>
    <row r="244" spans="1:5" x14ac:dyDescent="0.35">
      <c r="A244" s="35">
        <v>38899</v>
      </c>
      <c r="B244" s="63">
        <f>VLOOKUP(A244,Database!A:L,MATCH($A$1,Database!$A$1:$L$1,),)</f>
        <v>3.2</v>
      </c>
      <c r="C244" s="37">
        <f t="shared" si="6"/>
        <v>-0.13513513513513511</v>
      </c>
      <c r="D244" s="36">
        <f t="shared" si="8"/>
        <v>0.33333333333333348</v>
      </c>
      <c r="E244" s="36">
        <f t="shared" si="7"/>
        <v>-0.44050911314449492</v>
      </c>
    </row>
    <row r="245" spans="1:5" x14ac:dyDescent="0.35">
      <c r="A245" s="35">
        <v>38991</v>
      </c>
      <c r="B245" s="63">
        <f>VLOOKUP(A245,Database!A:L,MATCH($A$1,Database!$A$1:$L$1,),)</f>
        <v>3.4</v>
      </c>
      <c r="C245" s="37">
        <f t="shared" si="6"/>
        <v>6.2499999999999917E-2</v>
      </c>
      <c r="D245" s="36">
        <f t="shared" si="8"/>
        <v>0.1333333333333333</v>
      </c>
      <c r="E245" s="36">
        <f t="shared" si="7"/>
        <v>0.2744293212890625</v>
      </c>
    </row>
    <row r="246" spans="1:5" x14ac:dyDescent="0.35">
      <c r="A246" s="35">
        <v>39083</v>
      </c>
      <c r="B246" s="63">
        <f>VLOOKUP(A246,Database!A:L,MATCH($A$1,Database!$A$1:$L$1,),)</f>
        <v>3.6</v>
      </c>
      <c r="C246" s="37">
        <f t="shared" si="6"/>
        <v>5.8823529411764761E-2</v>
      </c>
      <c r="D246" s="36">
        <f t="shared" si="8"/>
        <v>-7.6923076923076886E-2</v>
      </c>
      <c r="E246" s="36">
        <f t="shared" si="7"/>
        <v>0.25688150285556954</v>
      </c>
    </row>
    <row r="247" spans="1:5" x14ac:dyDescent="0.35">
      <c r="A247" s="35">
        <v>39173</v>
      </c>
      <c r="B247" s="63">
        <f>VLOOKUP(A247,Database!A:L,MATCH($A$1,Database!$A$1:$L$1,),)</f>
        <v>3.6</v>
      </c>
      <c r="C247" s="37">
        <f t="shared" ref="C247:C310" si="9">(B247-B246)/B246</f>
        <v>0</v>
      </c>
      <c r="D247" s="36">
        <f t="shared" si="8"/>
        <v>-2.7027027027027049E-2</v>
      </c>
      <c r="E247" s="36">
        <f t="shared" ref="E247:E309" si="10">((1+C247)^4)-1</f>
        <v>0</v>
      </c>
    </row>
    <row r="248" spans="1:5" x14ac:dyDescent="0.35">
      <c r="A248" s="35">
        <v>39264</v>
      </c>
      <c r="B248" s="63">
        <f>VLOOKUP(A248,Database!A:L,MATCH($A$1,Database!$A$1:$L$1,),)</f>
        <v>3.2</v>
      </c>
      <c r="C248" s="37">
        <f t="shared" si="9"/>
        <v>-0.11111111111111108</v>
      </c>
      <c r="D248" s="36">
        <f t="shared" si="8"/>
        <v>0</v>
      </c>
      <c r="E248" s="36">
        <f t="shared" si="10"/>
        <v>-0.37570492303002578</v>
      </c>
    </row>
    <row r="249" spans="1:5" x14ac:dyDescent="0.35">
      <c r="A249" s="35">
        <v>39356</v>
      </c>
      <c r="B249" s="63">
        <f>VLOOKUP(A249,Database!A:L,MATCH($A$1,Database!$A$1:$L$1,),)</f>
        <v>3</v>
      </c>
      <c r="C249" s="37">
        <f t="shared" si="9"/>
        <v>-6.2500000000000056E-2</v>
      </c>
      <c r="D249" s="36">
        <f t="shared" si="8"/>
        <v>-0.11764705882352938</v>
      </c>
      <c r="E249" s="36">
        <f t="shared" si="10"/>
        <v>-0.2275238037109375</v>
      </c>
    </row>
    <row r="250" spans="1:5" x14ac:dyDescent="0.35">
      <c r="A250" s="35">
        <v>39448</v>
      </c>
      <c r="B250" s="63">
        <f>VLOOKUP(A250,Database!A:L,MATCH($A$1,Database!$A$1:$L$1,),)</f>
        <v>3.4</v>
      </c>
      <c r="C250" s="37">
        <f t="shared" si="9"/>
        <v>0.1333333333333333</v>
      </c>
      <c r="D250" s="36">
        <f t="shared" ref="D250:D309" si="11">(B250-B246)/B246</f>
        <v>-5.5555555555555601E-2</v>
      </c>
      <c r="E250" s="36">
        <f t="shared" si="10"/>
        <v>0.649797530864197</v>
      </c>
    </row>
    <row r="251" spans="1:5" x14ac:dyDescent="0.35">
      <c r="A251" s="35">
        <v>39539</v>
      </c>
      <c r="B251" s="63">
        <f>VLOOKUP(A251,Database!A:L,MATCH($A$1,Database!$A$1:$L$1,),)</f>
        <v>5.0999999999999996</v>
      </c>
      <c r="C251" s="37">
        <f t="shared" si="9"/>
        <v>0.49999999999999994</v>
      </c>
      <c r="D251" s="36">
        <f t="shared" si="11"/>
        <v>0.41666666666666652</v>
      </c>
      <c r="E251" s="36">
        <f t="shared" si="10"/>
        <v>4.0625</v>
      </c>
    </row>
    <row r="252" spans="1:5" x14ac:dyDescent="0.35">
      <c r="A252" s="35">
        <v>39630</v>
      </c>
      <c r="B252" s="63">
        <f>VLOOKUP(A252,Database!A:L,MATCH($A$1,Database!$A$1:$L$1,),)</f>
        <v>3.9</v>
      </c>
      <c r="C252" s="37">
        <f t="shared" si="9"/>
        <v>-0.23529411764705879</v>
      </c>
      <c r="D252" s="36">
        <f t="shared" si="11"/>
        <v>0.21874999999999992</v>
      </c>
      <c r="E252" s="36">
        <f t="shared" si="10"/>
        <v>-0.65803809820284709</v>
      </c>
    </row>
    <row r="253" spans="1:5" x14ac:dyDescent="0.35">
      <c r="A253" s="35">
        <v>39722</v>
      </c>
      <c r="B253" s="63">
        <f>VLOOKUP(A253,Database!A:L,MATCH($A$1,Database!$A$1:$L$1,),)</f>
        <v>5.9</v>
      </c>
      <c r="C253" s="37">
        <f t="shared" si="9"/>
        <v>0.512820512820513</v>
      </c>
      <c r="D253" s="36">
        <f t="shared" si="11"/>
        <v>0.96666666666666679</v>
      </c>
      <c r="E253" s="36">
        <f t="shared" si="10"/>
        <v>4.2378085285079692</v>
      </c>
    </row>
    <row r="254" spans="1:5" x14ac:dyDescent="0.35">
      <c r="A254" s="35">
        <v>39814</v>
      </c>
      <c r="B254" s="63">
        <f>VLOOKUP(A254,Database!A:L,MATCH($A$1,Database!$A$1:$L$1,),)</f>
        <v>5.9</v>
      </c>
      <c r="C254" s="37">
        <f t="shared" si="9"/>
        <v>0</v>
      </c>
      <c r="D254" s="36">
        <f t="shared" si="11"/>
        <v>0.73529411764705899</v>
      </c>
      <c r="E254" s="36">
        <f t="shared" si="10"/>
        <v>0</v>
      </c>
    </row>
    <row r="255" spans="1:5" x14ac:dyDescent="0.35">
      <c r="A255" s="35">
        <v>39904</v>
      </c>
      <c r="B255" s="63">
        <f>VLOOKUP(A255,Database!A:L,MATCH($A$1,Database!$A$1:$L$1,),)</f>
        <v>6.9</v>
      </c>
      <c r="C255" s="37">
        <f t="shared" si="9"/>
        <v>0.16949152542372881</v>
      </c>
      <c r="D255" s="36">
        <f t="shared" si="11"/>
        <v>0.35294117647058842</v>
      </c>
      <c r="E255" s="36">
        <f t="shared" si="10"/>
        <v>0.87063181496367092</v>
      </c>
    </row>
    <row r="256" spans="1:5" x14ac:dyDescent="0.35">
      <c r="A256" s="35">
        <v>39995</v>
      </c>
      <c r="B256" s="63">
        <f>VLOOKUP(A256,Database!A:L,MATCH($A$1,Database!$A$1:$L$1,),)</f>
        <v>5.2</v>
      </c>
      <c r="C256" s="37">
        <f t="shared" si="9"/>
        <v>-0.24637681159420291</v>
      </c>
      <c r="D256" s="36">
        <f t="shared" si="11"/>
        <v>0.33333333333333343</v>
      </c>
      <c r="E256" s="36">
        <f t="shared" si="10"/>
        <v>-0.67743517140972598</v>
      </c>
    </row>
    <row r="257" spans="1:5" x14ac:dyDescent="0.35">
      <c r="A257" s="35">
        <v>40087</v>
      </c>
      <c r="B257" s="63">
        <f>VLOOKUP(A257,Database!A:L,MATCH($A$1,Database!$A$1:$L$1,),)</f>
        <v>5.5</v>
      </c>
      <c r="C257" s="37">
        <f t="shared" si="9"/>
        <v>5.7692307692307654E-2</v>
      </c>
      <c r="D257" s="36">
        <f t="shared" si="11"/>
        <v>-6.7796610169491581E-2</v>
      </c>
      <c r="E257" s="36">
        <f t="shared" si="10"/>
        <v>0.25151881608662152</v>
      </c>
    </row>
    <row r="258" spans="1:5" x14ac:dyDescent="0.35">
      <c r="A258" s="35">
        <v>40179</v>
      </c>
      <c r="B258" s="63">
        <f>VLOOKUP(A258,Database!A:L,MATCH($A$1,Database!$A$1:$L$1,),)</f>
        <v>5.7</v>
      </c>
      <c r="C258" s="37">
        <f t="shared" si="9"/>
        <v>3.6363636363636397E-2</v>
      </c>
      <c r="D258" s="36">
        <f t="shared" si="11"/>
        <v>-3.389830508474579E-2</v>
      </c>
      <c r="E258" s="36">
        <f t="shared" si="10"/>
        <v>0.15358251485554275</v>
      </c>
    </row>
    <row r="259" spans="1:5" x14ac:dyDescent="0.35">
      <c r="A259" s="35">
        <v>40269</v>
      </c>
      <c r="B259" s="63">
        <f>VLOOKUP(A259,Database!A:L,MATCH($A$1,Database!$A$1:$L$1,),)</f>
        <v>6.5</v>
      </c>
      <c r="C259" s="37">
        <f t="shared" si="9"/>
        <v>0.14035087719298242</v>
      </c>
      <c r="D259" s="36">
        <f t="shared" si="11"/>
        <v>-5.7971014492753672E-2</v>
      </c>
      <c r="E259" s="36">
        <f t="shared" si="10"/>
        <v>0.69104048019699893</v>
      </c>
    </row>
    <row r="260" spans="1:5" x14ac:dyDescent="0.35">
      <c r="A260" s="35">
        <v>40360</v>
      </c>
      <c r="B260" s="63">
        <f>VLOOKUP(A260,Database!A:L,MATCH($A$1,Database!$A$1:$L$1,),)</f>
        <v>6.5</v>
      </c>
      <c r="C260" s="37">
        <f t="shared" si="9"/>
        <v>0</v>
      </c>
      <c r="D260" s="36">
        <f t="shared" si="11"/>
        <v>0.24999999999999994</v>
      </c>
      <c r="E260" s="36">
        <f t="shared" si="10"/>
        <v>0</v>
      </c>
    </row>
    <row r="261" spans="1:5" x14ac:dyDescent="0.35">
      <c r="A261" s="35">
        <v>40452</v>
      </c>
      <c r="B261" s="63">
        <f>VLOOKUP(A261,Database!A:L,MATCH($A$1,Database!$A$1:$L$1,),)</f>
        <v>6.3</v>
      </c>
      <c r="C261" s="37">
        <f t="shared" si="9"/>
        <v>-3.0769230769230795E-2</v>
      </c>
      <c r="D261" s="36">
        <f t="shared" si="11"/>
        <v>0.14545454545454542</v>
      </c>
      <c r="E261" s="36">
        <f t="shared" si="10"/>
        <v>-0.1175120759077064</v>
      </c>
    </row>
    <row r="262" spans="1:5" x14ac:dyDescent="0.35">
      <c r="A262" s="35">
        <v>40544</v>
      </c>
      <c r="B262" s="63">
        <f>VLOOKUP(A262,Database!A:L,MATCH($A$1,Database!$A$1:$L$1,),)</f>
        <v>6.9</v>
      </c>
      <c r="C262" s="37">
        <f t="shared" si="9"/>
        <v>9.523809523809533E-2</v>
      </c>
      <c r="D262" s="36">
        <f t="shared" si="11"/>
        <v>0.2105263157894737</v>
      </c>
      <c r="E262" s="36">
        <f t="shared" si="10"/>
        <v>0.43891177030146933</v>
      </c>
    </row>
    <row r="263" spans="1:5" x14ac:dyDescent="0.35">
      <c r="A263" s="35">
        <v>40634</v>
      </c>
      <c r="B263" s="63">
        <f>VLOOKUP(A263,Database!A:L,MATCH($A$1,Database!$A$1:$L$1,),)</f>
        <v>6.6</v>
      </c>
      <c r="C263" s="37">
        <f t="shared" si="9"/>
        <v>-4.347826086956532E-2</v>
      </c>
      <c r="D263" s="36">
        <f t="shared" si="11"/>
        <v>1.538461538461533E-2</v>
      </c>
      <c r="E263" s="36">
        <f t="shared" si="10"/>
        <v>-0.16289607312724041</v>
      </c>
    </row>
    <row r="264" spans="1:5" x14ac:dyDescent="0.35">
      <c r="A264" s="35">
        <v>40725</v>
      </c>
      <c r="B264" s="63">
        <f>VLOOKUP(A264,Database!A:L,MATCH($A$1,Database!$A$1:$L$1,),)</f>
        <v>6.8</v>
      </c>
      <c r="C264" s="37">
        <f t="shared" si="9"/>
        <v>3.0303030303030332E-2</v>
      </c>
      <c r="D264" s="36">
        <f t="shared" si="11"/>
        <v>4.6153846153846129E-2</v>
      </c>
      <c r="E264" s="36">
        <f t="shared" si="10"/>
        <v>0.1268339122083173</v>
      </c>
    </row>
    <row r="265" spans="1:5" x14ac:dyDescent="0.35">
      <c r="A265" s="35">
        <v>40817</v>
      </c>
      <c r="B265" s="63">
        <f>VLOOKUP(A265,Database!A:L,MATCH($A$1,Database!$A$1:$L$1,),)</f>
        <v>6.9</v>
      </c>
      <c r="C265" s="37">
        <f t="shared" si="9"/>
        <v>1.4705882352941256E-2</v>
      </c>
      <c r="D265" s="36">
        <f t="shared" si="11"/>
        <v>9.523809523809533E-2</v>
      </c>
      <c r="E265" s="36">
        <f t="shared" si="10"/>
        <v>6.0133875387627711E-2</v>
      </c>
    </row>
    <row r="266" spans="1:5" x14ac:dyDescent="0.35">
      <c r="A266" s="35">
        <v>40909</v>
      </c>
      <c r="B266" s="63">
        <f>VLOOKUP(A266,Database!A:L,MATCH($A$1,Database!$A$1:$L$1,),)</f>
        <v>7.9</v>
      </c>
      <c r="C266" s="37">
        <f t="shared" si="9"/>
        <v>0.14492753623188406</v>
      </c>
      <c r="D266" s="36">
        <f t="shared" si="11"/>
        <v>0.14492753623188406</v>
      </c>
      <c r="E266" s="36">
        <f t="shared" si="10"/>
        <v>0.71835148363129098</v>
      </c>
    </row>
    <row r="267" spans="1:5" x14ac:dyDescent="0.35">
      <c r="A267" s="35">
        <v>41000</v>
      </c>
      <c r="B267" s="63">
        <f>VLOOKUP(A267,Database!A:L,MATCH($A$1,Database!$A$1:$L$1,),)</f>
        <v>8.6</v>
      </c>
      <c r="C267" s="37">
        <f t="shared" si="9"/>
        <v>8.8607594936708764E-2</v>
      </c>
      <c r="D267" s="36">
        <f t="shared" si="11"/>
        <v>0.30303030303030304</v>
      </c>
      <c r="E267" s="36">
        <f t="shared" si="10"/>
        <v>0.40438259935839338</v>
      </c>
    </row>
    <row r="268" spans="1:5" x14ac:dyDescent="0.35">
      <c r="A268" s="35">
        <v>41091</v>
      </c>
      <c r="B268" s="63">
        <f>VLOOKUP(A268,Database!A:L,MATCH($A$1,Database!$A$1:$L$1,),)</f>
        <v>7.8</v>
      </c>
      <c r="C268" s="37">
        <f t="shared" si="9"/>
        <v>-9.3023255813953473E-2</v>
      </c>
      <c r="D268" s="36">
        <f t="shared" si="11"/>
        <v>0.14705882352941177</v>
      </c>
      <c r="E268" s="36">
        <f t="shared" si="10"/>
        <v>-0.32331802874750515</v>
      </c>
    </row>
    <row r="269" spans="1:5" x14ac:dyDescent="0.35">
      <c r="A269" s="35">
        <v>41183</v>
      </c>
      <c r="B269" s="63">
        <f>VLOOKUP(A269,Database!A:L,MATCH($A$1,Database!$A$1:$L$1,),)</f>
        <v>10</v>
      </c>
      <c r="C269" s="37">
        <f t="shared" si="9"/>
        <v>0.2820512820512821</v>
      </c>
      <c r="D269" s="36">
        <f t="shared" si="11"/>
        <v>0.44927536231884052</v>
      </c>
      <c r="E269" s="36">
        <f t="shared" si="10"/>
        <v>1.7016033691803694</v>
      </c>
    </row>
    <row r="270" spans="1:5" x14ac:dyDescent="0.35">
      <c r="A270" s="35">
        <v>41275</v>
      </c>
      <c r="B270" s="63">
        <f>VLOOKUP(A270,Database!A:L,MATCH($A$1,Database!$A$1:$L$1,),)</f>
        <v>5.8</v>
      </c>
      <c r="C270" s="37">
        <f t="shared" si="9"/>
        <v>-0.42000000000000004</v>
      </c>
      <c r="D270" s="36">
        <f t="shared" si="11"/>
        <v>-0.26582278481012661</v>
      </c>
      <c r="E270" s="36">
        <f t="shared" si="10"/>
        <v>-0.88683504000000002</v>
      </c>
    </row>
    <row r="271" spans="1:5" x14ac:dyDescent="0.35">
      <c r="A271" s="35">
        <v>41365</v>
      </c>
      <c r="B271" s="63">
        <f>VLOOKUP(A271,Database!A:L,MATCH($A$1,Database!$A$1:$L$1,),)</f>
        <v>6.4</v>
      </c>
      <c r="C271" s="37">
        <f t="shared" si="9"/>
        <v>0.10344827586206906</v>
      </c>
      <c r="D271" s="36">
        <f t="shared" si="11"/>
        <v>-0.25581395348837205</v>
      </c>
      <c r="E271" s="36">
        <f t="shared" si="10"/>
        <v>0.48254512704285824</v>
      </c>
    </row>
    <row r="272" spans="1:5" x14ac:dyDescent="0.35">
      <c r="A272" s="35">
        <v>41456</v>
      </c>
      <c r="B272" s="63">
        <f>VLOOKUP(A272,Database!A:L,MATCH($A$1,Database!$A$1:$L$1,),)</f>
        <v>6.4</v>
      </c>
      <c r="C272" s="37">
        <f t="shared" si="9"/>
        <v>0</v>
      </c>
      <c r="D272" s="36">
        <f t="shared" si="11"/>
        <v>-0.17948717948717943</v>
      </c>
      <c r="E272" s="36">
        <f t="shared" si="10"/>
        <v>0</v>
      </c>
    </row>
    <row r="273" spans="1:5" x14ac:dyDescent="0.35">
      <c r="A273" s="35">
        <v>41548</v>
      </c>
      <c r="B273" s="63">
        <f>VLOOKUP(A273,Database!A:L,MATCH($A$1,Database!$A$1:$L$1,),)</f>
        <v>5.9</v>
      </c>
      <c r="C273" s="37">
        <f t="shared" si="9"/>
        <v>-7.8125E-2</v>
      </c>
      <c r="D273" s="36">
        <f t="shared" si="11"/>
        <v>-0.41</v>
      </c>
      <c r="E273" s="36">
        <f t="shared" si="10"/>
        <v>-0.27774900197982788</v>
      </c>
    </row>
    <row r="274" spans="1:5" x14ac:dyDescent="0.35">
      <c r="A274" s="35">
        <v>41640</v>
      </c>
      <c r="B274" s="63">
        <f>VLOOKUP(A274,Database!A:L,MATCH($A$1,Database!$A$1:$L$1,),)</f>
        <v>6.7</v>
      </c>
      <c r="C274" s="37">
        <f t="shared" si="9"/>
        <v>0.13559322033898302</v>
      </c>
      <c r="D274" s="36">
        <f t="shared" si="11"/>
        <v>0.15517241379310351</v>
      </c>
      <c r="E274" s="36">
        <f t="shared" si="10"/>
        <v>0.66299584538250556</v>
      </c>
    </row>
    <row r="275" spans="1:5" x14ac:dyDescent="0.35">
      <c r="A275" s="35">
        <v>41730</v>
      </c>
      <c r="B275" s="63">
        <f>VLOOKUP(A275,Database!A:L,MATCH($A$1,Database!$A$1:$L$1,),)</f>
        <v>7</v>
      </c>
      <c r="C275" s="37">
        <f t="shared" si="9"/>
        <v>4.4776119402985044E-2</v>
      </c>
      <c r="D275" s="36">
        <f t="shared" si="11"/>
        <v>9.3749999999999944E-2</v>
      </c>
      <c r="E275" s="36">
        <f t="shared" si="10"/>
        <v>0.19149698917494429</v>
      </c>
    </row>
    <row r="276" spans="1:5" x14ac:dyDescent="0.35">
      <c r="A276" s="35">
        <v>41821</v>
      </c>
      <c r="B276" s="63">
        <f>VLOOKUP(A276,Database!A:L,MATCH($A$1,Database!$A$1:$L$1,),)</f>
        <v>7.1</v>
      </c>
      <c r="C276" s="37">
        <f t="shared" si="9"/>
        <v>1.4285714285714235E-2</v>
      </c>
      <c r="D276" s="36">
        <f t="shared" si="11"/>
        <v>0.10937499999999989</v>
      </c>
      <c r="E276" s="36">
        <f t="shared" si="10"/>
        <v>5.8379050395668042E-2</v>
      </c>
    </row>
    <row r="277" spans="1:5" x14ac:dyDescent="0.35">
      <c r="A277" s="35">
        <v>41913</v>
      </c>
      <c r="B277" s="63">
        <f>VLOOKUP(A277,Database!A:L,MATCH($A$1,Database!$A$1:$L$1,),)</f>
        <v>7.3</v>
      </c>
      <c r="C277" s="37">
        <f t="shared" si="9"/>
        <v>2.8169014084507067E-2</v>
      </c>
      <c r="D277" s="36">
        <f t="shared" si="11"/>
        <v>0.23728813559322023</v>
      </c>
      <c r="E277" s="36">
        <f t="shared" si="10"/>
        <v>0.11752705379860506</v>
      </c>
    </row>
    <row r="278" spans="1:5" x14ac:dyDescent="0.35">
      <c r="A278" s="35">
        <v>42005</v>
      </c>
      <c r="B278" s="63">
        <f>VLOOKUP(A278,Database!A:L,MATCH($A$1,Database!$A$1:$L$1,),)</f>
        <v>7.9</v>
      </c>
      <c r="C278" s="37">
        <f t="shared" si="9"/>
        <v>8.2191780821917887E-2</v>
      </c>
      <c r="D278" s="36">
        <f t="shared" si="11"/>
        <v>0.17910447761194032</v>
      </c>
      <c r="E278" s="36">
        <f t="shared" si="10"/>
        <v>0.37156667555571521</v>
      </c>
    </row>
    <row r="279" spans="1:5" x14ac:dyDescent="0.35">
      <c r="A279" s="35">
        <v>42095</v>
      </c>
      <c r="B279" s="63">
        <f>VLOOKUP(A279,Database!A:L,MATCH($A$1,Database!$A$1:$L$1,),)</f>
        <v>7.5</v>
      </c>
      <c r="C279" s="37">
        <f t="shared" si="9"/>
        <v>-5.0632911392405104E-2</v>
      </c>
      <c r="D279" s="36">
        <f t="shared" si="11"/>
        <v>7.1428571428571425E-2</v>
      </c>
      <c r="E279" s="36">
        <f t="shared" si="10"/>
        <v>-0.18766215145996756</v>
      </c>
    </row>
    <row r="280" spans="1:5" x14ac:dyDescent="0.35">
      <c r="A280" s="35">
        <v>42186</v>
      </c>
      <c r="B280" s="63">
        <f>VLOOKUP(A280,Database!A:L,MATCH($A$1,Database!$A$1:$L$1,),)</f>
        <v>7.3</v>
      </c>
      <c r="C280" s="37">
        <f t="shared" si="9"/>
        <v>-2.6666666666666689E-2</v>
      </c>
      <c r="D280" s="36">
        <f t="shared" si="11"/>
        <v>2.8169014084507067E-2</v>
      </c>
      <c r="E280" s="36">
        <f t="shared" si="10"/>
        <v>-0.10247534617283971</v>
      </c>
    </row>
    <row r="281" spans="1:5" x14ac:dyDescent="0.35">
      <c r="A281" s="35">
        <v>42278</v>
      </c>
      <c r="B281" s="63">
        <f>VLOOKUP(A281,Database!A:L,MATCH($A$1,Database!$A$1:$L$1,),)</f>
        <v>7.4</v>
      </c>
      <c r="C281" s="37">
        <f t="shared" si="9"/>
        <v>1.3698630136986375E-2</v>
      </c>
      <c r="D281" s="36">
        <f t="shared" si="11"/>
        <v>1.3698630136986375E-2</v>
      </c>
      <c r="E281" s="36">
        <f t="shared" si="10"/>
        <v>5.5930752894167046E-2</v>
      </c>
    </row>
    <row r="282" spans="1:5" x14ac:dyDescent="0.35">
      <c r="A282" s="35">
        <v>42370</v>
      </c>
      <c r="B282" s="63">
        <f>VLOOKUP(A282,Database!A:L,MATCH($A$1,Database!$A$1:$L$1,),)</f>
        <v>7.5</v>
      </c>
      <c r="C282" s="37">
        <f t="shared" si="9"/>
        <v>1.3513513513513466E-2</v>
      </c>
      <c r="D282" s="36">
        <f t="shared" si="11"/>
        <v>-5.0632911392405104E-2</v>
      </c>
      <c r="E282" s="36">
        <f t="shared" si="10"/>
        <v>5.5159648770836123E-2</v>
      </c>
    </row>
    <row r="283" spans="1:5" x14ac:dyDescent="0.35">
      <c r="A283" s="35">
        <v>42461</v>
      </c>
      <c r="B283" s="63">
        <f>VLOOKUP(A283,Database!A:L,MATCH($A$1,Database!$A$1:$L$1,),)</f>
        <v>6.9</v>
      </c>
      <c r="C283" s="37">
        <f t="shared" si="9"/>
        <v>-7.9999999999999946E-2</v>
      </c>
      <c r="D283" s="36">
        <f t="shared" si="11"/>
        <v>-7.9999999999999946E-2</v>
      </c>
      <c r="E283" s="36">
        <f t="shared" si="10"/>
        <v>-0.28360703999999992</v>
      </c>
    </row>
    <row r="284" spans="1:5" x14ac:dyDescent="0.35">
      <c r="A284" s="35">
        <v>42552</v>
      </c>
      <c r="B284" s="63">
        <f>VLOOKUP(A284,Database!A:L,MATCH($A$1,Database!$A$1:$L$1,),)</f>
        <v>6.8</v>
      </c>
      <c r="C284" s="37">
        <f t="shared" si="9"/>
        <v>-1.4492753623188482E-2</v>
      </c>
      <c r="D284" s="36">
        <f t="shared" si="11"/>
        <v>-6.8493150684931503E-2</v>
      </c>
      <c r="E284" s="36">
        <f t="shared" si="10"/>
        <v>-5.6722907157023106E-2</v>
      </c>
    </row>
    <row r="285" spans="1:5" x14ac:dyDescent="0.35">
      <c r="A285" s="35">
        <v>42644</v>
      </c>
      <c r="B285" s="63">
        <f>VLOOKUP(A285,Database!A:L,MATCH($A$1,Database!$A$1:$L$1,),)</f>
        <v>6.8</v>
      </c>
      <c r="C285" s="37">
        <f t="shared" si="9"/>
        <v>0</v>
      </c>
      <c r="D285" s="36">
        <f t="shared" si="11"/>
        <v>-8.1081081081081155E-2</v>
      </c>
      <c r="E285" s="36">
        <f t="shared" si="10"/>
        <v>0</v>
      </c>
    </row>
    <row r="286" spans="1:5" x14ac:dyDescent="0.35">
      <c r="A286" s="35">
        <v>42736</v>
      </c>
      <c r="B286" s="63">
        <f>VLOOKUP(A286,Database!A:L,MATCH($A$1,Database!$A$1:$L$1,),)</f>
        <v>7.1</v>
      </c>
      <c r="C286" s="37">
        <f t="shared" si="9"/>
        <v>4.4117647058823505E-2</v>
      </c>
      <c r="D286" s="36">
        <f t="shared" si="11"/>
        <v>-5.3333333333333378E-2</v>
      </c>
      <c r="E286" s="36">
        <f t="shared" si="10"/>
        <v>0.18849605376192868</v>
      </c>
    </row>
    <row r="287" spans="1:5" x14ac:dyDescent="0.35">
      <c r="A287" s="35">
        <v>42826</v>
      </c>
      <c r="B287" s="63">
        <f>VLOOKUP(A287,Database!A:L,MATCH($A$1,Database!$A$1:$L$1,),)</f>
        <v>7.6</v>
      </c>
      <c r="C287" s="37">
        <f t="shared" si="9"/>
        <v>7.0422535211267609E-2</v>
      </c>
      <c r="D287" s="36">
        <f t="shared" si="11"/>
        <v>0.10144927536231874</v>
      </c>
      <c r="E287" s="36">
        <f t="shared" si="10"/>
        <v>0.31286773196940354</v>
      </c>
    </row>
    <row r="288" spans="1:5" x14ac:dyDescent="0.35">
      <c r="A288" s="35">
        <v>42917</v>
      </c>
      <c r="B288" s="63">
        <f>VLOOKUP(A288,Database!A:L,MATCH($A$1,Database!$A$1:$L$1,),)</f>
        <v>7.5</v>
      </c>
      <c r="C288" s="37">
        <f t="shared" si="9"/>
        <v>-1.3157894736842059E-2</v>
      </c>
      <c r="D288" s="36">
        <f t="shared" si="11"/>
        <v>0.10294117647058826</v>
      </c>
      <c r="E288" s="36">
        <f t="shared" si="10"/>
        <v>-5.1601879925337824E-2</v>
      </c>
    </row>
    <row r="289" spans="1:5" x14ac:dyDescent="0.35">
      <c r="A289" s="35">
        <v>43009</v>
      </c>
      <c r="B289" s="63">
        <f>VLOOKUP(A289,Database!A:L,MATCH($A$1,Database!$A$1:$L$1,),)</f>
        <v>6.9</v>
      </c>
      <c r="C289" s="37">
        <f t="shared" si="9"/>
        <v>-7.9999999999999946E-2</v>
      </c>
      <c r="D289" s="36">
        <f t="shared" si="11"/>
        <v>1.4705882352941256E-2</v>
      </c>
      <c r="E289" s="36">
        <f t="shared" si="10"/>
        <v>-0.28360703999999992</v>
      </c>
    </row>
    <row r="290" spans="1:5" x14ac:dyDescent="0.35">
      <c r="A290" s="35">
        <v>43101</v>
      </c>
      <c r="B290" s="63">
        <f>VLOOKUP(A290,Database!A:L,MATCH($A$1,Database!$A$1:$L$1,),)</f>
        <v>7.2</v>
      </c>
      <c r="C290" s="37">
        <f t="shared" si="9"/>
        <v>4.3478260869565188E-2</v>
      </c>
      <c r="D290" s="36">
        <f t="shared" si="11"/>
        <v>1.4084507042253596E-2</v>
      </c>
      <c r="E290" s="36">
        <f t="shared" si="10"/>
        <v>0.18558753006171358</v>
      </c>
    </row>
    <row r="291" spans="1:5" x14ac:dyDescent="0.35">
      <c r="A291" s="35">
        <v>43191</v>
      </c>
      <c r="B291" s="63">
        <f>VLOOKUP(A291,Database!A:L,MATCH($A$1,Database!$A$1:$L$1,),)</f>
        <v>7.3</v>
      </c>
      <c r="C291" s="37">
        <f t="shared" si="9"/>
        <v>1.388888888888884E-2</v>
      </c>
      <c r="D291" s="36">
        <f t="shared" si="11"/>
        <v>-3.9473684210526293E-2</v>
      </c>
      <c r="E291" s="36">
        <f t="shared" si="10"/>
        <v>5.6723716909102606E-2</v>
      </c>
    </row>
    <row r="292" spans="1:5" x14ac:dyDescent="0.35">
      <c r="A292" s="35">
        <v>43282</v>
      </c>
      <c r="B292" s="63">
        <f>VLOOKUP(A292,Database!A:L,MATCH($A$1,Database!$A$1:$L$1,),)</f>
        <v>7.6</v>
      </c>
      <c r="C292" s="37">
        <f t="shared" si="9"/>
        <v>4.1095890410958881E-2</v>
      </c>
      <c r="D292" s="36">
        <f t="shared" si="11"/>
        <v>1.3333333333333286E-2</v>
      </c>
      <c r="E292" s="36">
        <f t="shared" si="10"/>
        <v>0.17479727001401235</v>
      </c>
    </row>
    <row r="293" spans="1:5" x14ac:dyDescent="0.35">
      <c r="A293" s="35">
        <v>43374</v>
      </c>
      <c r="B293" s="63">
        <f>VLOOKUP(A293,Database!A:L,MATCH($A$1,Database!$A$1:$L$1,),)</f>
        <v>8.1999999999999993</v>
      </c>
      <c r="C293" s="37">
        <f t="shared" si="9"/>
        <v>7.8947368421052586E-2</v>
      </c>
      <c r="D293" s="36">
        <f t="shared" si="11"/>
        <v>0.18840579710144911</v>
      </c>
      <c r="E293" s="36">
        <f t="shared" si="10"/>
        <v>0.35519265889611074</v>
      </c>
    </row>
    <row r="294" spans="1:5" x14ac:dyDescent="0.35">
      <c r="A294" s="35">
        <v>43466</v>
      </c>
      <c r="B294" s="63">
        <f>VLOOKUP(A294,Database!A:L,MATCH($A$1,Database!$A$1:$L$1,),)</f>
        <v>9.3000000000000007</v>
      </c>
      <c r="C294" s="37">
        <f t="shared" si="9"/>
        <v>0.13414634146341481</v>
      </c>
      <c r="D294" s="36">
        <f t="shared" si="11"/>
        <v>0.29166666666666674</v>
      </c>
      <c r="E294" s="36">
        <f t="shared" si="10"/>
        <v>0.65453662305481664</v>
      </c>
    </row>
    <row r="295" spans="1:5" x14ac:dyDescent="0.35">
      <c r="A295" s="35">
        <v>43556</v>
      </c>
      <c r="B295" s="63">
        <f>VLOOKUP(A295,Database!A:L,MATCH($A$1,Database!$A$1:$L$1,),)</f>
        <v>8.6999999999999993</v>
      </c>
      <c r="C295" s="37">
        <f t="shared" si="9"/>
        <v>-6.4516129032258215E-2</v>
      </c>
      <c r="D295" s="36">
        <f t="shared" si="11"/>
        <v>0.19178082191780815</v>
      </c>
      <c r="E295" s="36">
        <f t="shared" si="10"/>
        <v>-0.23414735560967259</v>
      </c>
    </row>
    <row r="296" spans="1:5" x14ac:dyDescent="0.35">
      <c r="A296" s="35">
        <v>43647</v>
      </c>
      <c r="B296" s="63">
        <f>VLOOKUP(A296,Database!A:L,MATCH($A$1,Database!$A$1:$L$1,),)</f>
        <v>8.6</v>
      </c>
      <c r="C296" s="37">
        <f t="shared" si="9"/>
        <v>-1.1494252873563178E-2</v>
      </c>
      <c r="D296" s="36">
        <f t="shared" si="11"/>
        <v>0.13157894736842105</v>
      </c>
      <c r="E296" s="36">
        <f t="shared" si="10"/>
        <v>-4.5190361328266038E-2</v>
      </c>
    </row>
    <row r="297" spans="1:5" x14ac:dyDescent="0.35">
      <c r="A297" s="35">
        <v>43739</v>
      </c>
      <c r="B297" s="63">
        <f>VLOOKUP(A297,Database!A:L,MATCH($A$1,Database!$A$1:$L$1,),)</f>
        <v>8.6999999999999993</v>
      </c>
      <c r="C297" s="37">
        <f t="shared" si="9"/>
        <v>1.1627906976744146E-2</v>
      </c>
      <c r="D297" s="36">
        <f t="shared" si="11"/>
        <v>6.0975609756097567E-2</v>
      </c>
      <c r="E297" s="36">
        <f t="shared" si="10"/>
        <v>4.7329184266647895E-2</v>
      </c>
    </row>
    <row r="298" spans="1:5" x14ac:dyDescent="0.35">
      <c r="A298" s="35">
        <v>43831</v>
      </c>
      <c r="B298" s="63">
        <f>VLOOKUP(A298,Database!A:L,MATCH($A$1,Database!$A$1:$L$1,),)</f>
        <v>10.7</v>
      </c>
      <c r="C298" s="37">
        <f t="shared" si="9"/>
        <v>0.22988505747126439</v>
      </c>
      <c r="D298" s="36">
        <f t="shared" si="11"/>
        <v>0.15053763440860199</v>
      </c>
      <c r="E298" s="36">
        <f t="shared" si="10"/>
        <v>1.2880109588867019</v>
      </c>
    </row>
    <row r="299" spans="1:5" x14ac:dyDescent="0.35">
      <c r="A299" s="35">
        <v>43922</v>
      </c>
      <c r="B299" s="63">
        <f>VLOOKUP(A299,Database!A:L,MATCH($A$1,Database!$A$1:$L$1,),)</f>
        <v>26.4</v>
      </c>
      <c r="C299" s="37">
        <f t="shared" si="9"/>
        <v>1.4672897196261683</v>
      </c>
      <c r="D299" s="36">
        <f t="shared" si="11"/>
        <v>2.0344827586206899</v>
      </c>
      <c r="E299" s="36">
        <f t="shared" si="10"/>
        <v>36.057882225320498</v>
      </c>
    </row>
    <row r="300" spans="1:5" x14ac:dyDescent="0.35">
      <c r="A300" s="35">
        <v>44013</v>
      </c>
      <c r="B300" s="63">
        <f>VLOOKUP(A300,Database!A:L,MATCH($A$1,Database!$A$1:$L$1,),)</f>
        <v>16.399999999999999</v>
      </c>
      <c r="C300" s="37">
        <f t="shared" si="9"/>
        <v>-0.37878787878787878</v>
      </c>
      <c r="D300" s="36">
        <f t="shared" si="11"/>
        <v>0.90697674418604646</v>
      </c>
      <c r="E300" s="36">
        <f t="shared" si="10"/>
        <v>-0.85107771723411596</v>
      </c>
    </row>
    <row r="301" spans="1:5" x14ac:dyDescent="0.35">
      <c r="A301" s="35">
        <v>44105</v>
      </c>
      <c r="B301" s="63">
        <f>VLOOKUP(A301,Database!A:L,MATCH($A$1,Database!$A$1:$L$1,),)</f>
        <v>13.7</v>
      </c>
      <c r="C301" s="37">
        <f t="shared" si="9"/>
        <v>-0.16463414634146339</v>
      </c>
      <c r="D301" s="36">
        <f t="shared" si="11"/>
        <v>0.57471264367816099</v>
      </c>
      <c r="E301" s="36">
        <f t="shared" si="10"/>
        <v>-0.51302476433560706</v>
      </c>
    </row>
    <row r="302" spans="1:5" x14ac:dyDescent="0.35">
      <c r="A302" s="35">
        <v>44197</v>
      </c>
      <c r="B302" s="63">
        <f>VLOOKUP(A302,Database!A:L,MATCH($A$1,Database!$A$1:$L$1,),)</f>
        <v>20.399999999999999</v>
      </c>
      <c r="C302" s="37">
        <f t="shared" si="9"/>
        <v>0.48905109489051091</v>
      </c>
      <c r="D302" s="36">
        <f t="shared" si="11"/>
        <v>0.90654205607476634</v>
      </c>
      <c r="E302" s="36">
        <f t="shared" si="10"/>
        <v>3.9163002802231182</v>
      </c>
    </row>
    <row r="303" spans="1:5" x14ac:dyDescent="0.35">
      <c r="A303" s="35">
        <v>44287</v>
      </c>
      <c r="B303" s="63">
        <f>VLOOKUP(A303,Database!A:L,MATCH($A$1,Database!$A$1:$L$1,),)</f>
        <v>10.8</v>
      </c>
      <c r="C303" s="37">
        <f t="shared" si="9"/>
        <v>-0.47058823529411759</v>
      </c>
      <c r="D303" s="36">
        <f t="shared" si="11"/>
        <v>-0.59090909090909083</v>
      </c>
      <c r="E303" s="36">
        <f t="shared" si="10"/>
        <v>-0.92144490607152685</v>
      </c>
    </row>
    <row r="304" spans="1:5" x14ac:dyDescent="0.35">
      <c r="A304" s="53">
        <v>44378</v>
      </c>
      <c r="B304" s="64">
        <f>VLOOKUP(A304,Database!A:L,MATCH($A$1,Database!$A$1:$L$1,),)</f>
        <v>9.1</v>
      </c>
      <c r="C304" s="54">
        <f t="shared" si="9"/>
        <v>-0.1574074074074075</v>
      </c>
      <c r="D304" s="55">
        <f t="shared" si="11"/>
        <v>-0.44512195121951215</v>
      </c>
      <c r="E304" s="55">
        <f t="shared" si="10"/>
        <v>-0.49595356510647481</v>
      </c>
    </row>
    <row r="305" spans="1:5" x14ac:dyDescent="0.35">
      <c r="A305" s="35">
        <v>44470</v>
      </c>
      <c r="B305" s="63">
        <f>VLOOKUP(A305,Database!A:L,MATCH($A$1,Database!$A$1:$L$1,),)</f>
        <v>7.3</v>
      </c>
      <c r="C305" s="37">
        <f t="shared" si="9"/>
        <v>-0.19780219780219779</v>
      </c>
      <c r="D305" s="36">
        <f t="shared" si="11"/>
        <v>-0.46715328467153283</v>
      </c>
      <c r="E305" s="36">
        <f t="shared" si="10"/>
        <v>-0.58588031861950307</v>
      </c>
    </row>
    <row r="306" spans="1:5" x14ac:dyDescent="0.35">
      <c r="A306" s="35">
        <v>44562</v>
      </c>
      <c r="B306" s="63">
        <f>VLOOKUP(A306,Database!A:L,MATCH($A$1,Database!$A$1:$L$1,),)</f>
        <v>4.3</v>
      </c>
      <c r="C306" s="37">
        <f t="shared" si="9"/>
        <v>-0.41095890410958907</v>
      </c>
      <c r="D306" s="36">
        <f t="shared" si="11"/>
        <v>-0.78921568627450978</v>
      </c>
      <c r="E306" s="36">
        <f t="shared" si="10"/>
        <v>-0.87961222668685723</v>
      </c>
    </row>
    <row r="307" spans="1:5" x14ac:dyDescent="0.35">
      <c r="A307" s="35">
        <v>44652</v>
      </c>
      <c r="B307" s="63">
        <f>VLOOKUP(A307,Database!A:L,MATCH($A$1,Database!$A$1:$L$1,),)</f>
        <v>3.2</v>
      </c>
      <c r="C307" s="37">
        <f t="shared" si="9"/>
        <v>-0.25581395348837205</v>
      </c>
      <c r="D307" s="36">
        <f t="shared" si="11"/>
        <v>-0.70370370370370372</v>
      </c>
      <c r="E307" s="36">
        <f t="shared" si="10"/>
        <v>-0.69329130300359698</v>
      </c>
    </row>
    <row r="308" spans="1:5" x14ac:dyDescent="0.35">
      <c r="A308" s="35">
        <v>44743</v>
      </c>
      <c r="B308" s="63">
        <f>VLOOKUP(A308,Database!A:L,MATCH($A$1,Database!$A$1:$L$1,),)</f>
        <v>2.7</v>
      </c>
      <c r="C308" s="37">
        <f t="shared" si="9"/>
        <v>-0.15625</v>
      </c>
      <c r="D308" s="36">
        <f t="shared" si="11"/>
        <v>-0.70329670329670324</v>
      </c>
      <c r="E308" s="36">
        <f t="shared" si="10"/>
        <v>-0.49317836761474609</v>
      </c>
    </row>
    <row r="309" spans="1:5" x14ac:dyDescent="0.35">
      <c r="A309" s="35">
        <v>44835</v>
      </c>
      <c r="B309" s="63">
        <f>VLOOKUP(A309,Database!A:L,MATCH($A$1,Database!$A$1:$L$1,),)</f>
        <v>2.9</v>
      </c>
      <c r="C309" s="37">
        <f t="shared" si="9"/>
        <v>7.4074074074073973E-2</v>
      </c>
      <c r="D309" s="36">
        <f t="shared" si="11"/>
        <v>-0.60273972602739734</v>
      </c>
      <c r="E309" s="36">
        <f t="shared" si="10"/>
        <v>0.33087398224826425</v>
      </c>
    </row>
  </sheetData>
  <hyperlinks>
    <hyperlink ref="L1" r:id="rId1" xr:uid="{29E06C16-888B-4D98-A851-ADD5CE73C74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  <vt:lpstr>PersonalSaving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2023-02-02T15:57:22Z</dcterms:modified>
</cp:coreProperties>
</file>