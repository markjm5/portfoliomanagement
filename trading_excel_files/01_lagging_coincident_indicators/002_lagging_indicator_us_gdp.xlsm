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1_Lagging_Coincident_Indicators\"/>
    </mc:Choice>
  </mc:AlternateContent>
  <xr:revisionPtr revIDLastSave="0" documentId="13_ncr:1_{E214FD91-ADE3-4ED4-97FC-0556AB9F027F}" xr6:coauthVersionLast="47" xr6:coauthVersionMax="47" xr10:uidLastSave="{00000000-0000-0000-0000-000000000000}"/>
  <bookViews>
    <workbookView xWindow="-110" yWindow="-110" windowWidth="19420" windowHeight="11500" firstSheet="6" activeTab="11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8" i="12" l="1"/>
  <c r="B307" i="12"/>
  <c r="B306" i="12"/>
  <c r="B305" i="12"/>
  <c r="B304" i="12"/>
  <c r="C303" i="12"/>
  <c r="E303" i="12" s="1"/>
  <c r="B303" i="12"/>
  <c r="C302" i="12"/>
  <c r="E302" i="12" s="1"/>
  <c r="B302" i="12"/>
  <c r="C301" i="12"/>
  <c r="E301" i="12" s="1"/>
  <c r="B301" i="12"/>
  <c r="B300" i="12"/>
  <c r="B299" i="12"/>
  <c r="B298" i="12"/>
  <c r="D302" i="12" s="1"/>
  <c r="B297" i="12"/>
  <c r="D296" i="12"/>
  <c r="B296" i="12"/>
  <c r="B295" i="12"/>
  <c r="B294" i="12"/>
  <c r="B293" i="12"/>
  <c r="E292" i="12"/>
  <c r="C292" i="12"/>
  <c r="B292" i="12"/>
  <c r="B291" i="12"/>
  <c r="B290" i="12"/>
  <c r="B289" i="12"/>
  <c r="D289" i="12" s="1"/>
  <c r="B288" i="12"/>
  <c r="B287" i="12"/>
  <c r="B286" i="12"/>
  <c r="E285" i="12"/>
  <c r="C285" i="12"/>
  <c r="B285" i="12"/>
  <c r="C284" i="12"/>
  <c r="E284" i="12" s="1"/>
  <c r="B284" i="12"/>
  <c r="B283" i="12"/>
  <c r="B282" i="12"/>
  <c r="B281" i="12"/>
  <c r="B280" i="12"/>
  <c r="E279" i="12"/>
  <c r="C279" i="12"/>
  <c r="B279" i="12"/>
  <c r="D278" i="12"/>
  <c r="C278" i="12"/>
  <c r="E278" i="12" s="1"/>
  <c r="B278" i="12"/>
  <c r="C277" i="12"/>
  <c r="E277" i="12" s="1"/>
  <c r="B277" i="12"/>
  <c r="D277" i="12" s="1"/>
  <c r="C276" i="12"/>
  <c r="E276" i="12" s="1"/>
  <c r="B276" i="12"/>
  <c r="D275" i="12"/>
  <c r="C275" i="12"/>
  <c r="E275" i="12" s="1"/>
  <c r="B275" i="12"/>
  <c r="E274" i="12"/>
  <c r="C274" i="12"/>
  <c r="B274" i="12"/>
  <c r="B273" i="12"/>
  <c r="B272" i="12"/>
  <c r="B271" i="12"/>
  <c r="D271" i="12" s="1"/>
  <c r="B270" i="12"/>
  <c r="C269" i="12"/>
  <c r="E269" i="12" s="1"/>
  <c r="B269" i="12"/>
  <c r="D269" i="12" s="1"/>
  <c r="C268" i="12"/>
  <c r="E268" i="12" s="1"/>
  <c r="B268" i="12"/>
  <c r="C267" i="12"/>
  <c r="E267" i="12" s="1"/>
  <c r="B267" i="12"/>
  <c r="B266" i="12"/>
  <c r="B265" i="12"/>
  <c r="C264" i="12"/>
  <c r="E264" i="12" s="1"/>
  <c r="B264" i="12"/>
  <c r="D264" i="12" s="1"/>
  <c r="B263" i="12"/>
  <c r="B262" i="12"/>
  <c r="B261" i="12"/>
  <c r="D260" i="12"/>
  <c r="B260" i="12"/>
  <c r="B259" i="12"/>
  <c r="B258" i="12"/>
  <c r="C257" i="12"/>
  <c r="E257" i="12" s="1"/>
  <c r="B257" i="12"/>
  <c r="E256" i="12"/>
  <c r="C256" i="12"/>
  <c r="B256" i="12"/>
  <c r="E255" i="12"/>
  <c r="C255" i="12"/>
  <c r="B255" i="12"/>
  <c r="B254" i="12"/>
  <c r="B253" i="12"/>
  <c r="D253" i="12" s="1"/>
  <c r="B252" i="12"/>
  <c r="E251" i="12"/>
  <c r="C251" i="12"/>
  <c r="B251" i="12"/>
  <c r="B250" i="12"/>
  <c r="C249" i="12"/>
  <c r="E249" i="12" s="1"/>
  <c r="B249" i="12"/>
  <c r="D248" i="12"/>
  <c r="C248" i="12"/>
  <c r="E248" i="12" s="1"/>
  <c r="B248" i="12"/>
  <c r="E247" i="12"/>
  <c r="C247" i="12"/>
  <c r="B247" i="12"/>
  <c r="B246" i="12"/>
  <c r="D246" i="12" s="1"/>
  <c r="B245" i="12"/>
  <c r="B244" i="12"/>
  <c r="B243" i="12"/>
  <c r="E242" i="12"/>
  <c r="D242" i="12"/>
  <c r="C242" i="12"/>
  <c r="B242" i="12"/>
  <c r="B241" i="12"/>
  <c r="D241" i="12" s="1"/>
  <c r="B240" i="12"/>
  <c r="B239" i="12"/>
  <c r="E238" i="12"/>
  <c r="C238" i="12"/>
  <c r="B238" i="12"/>
  <c r="B237" i="12"/>
  <c r="C236" i="12"/>
  <c r="E236" i="12" s="1"/>
  <c r="B236" i="12"/>
  <c r="B235" i="12"/>
  <c r="B234" i="12"/>
  <c r="C233" i="12"/>
  <c r="E233" i="12" s="1"/>
  <c r="B233" i="12"/>
  <c r="B232" i="12"/>
  <c r="C231" i="12"/>
  <c r="E231" i="12" s="1"/>
  <c r="B231" i="12"/>
  <c r="D230" i="12"/>
  <c r="B230" i="12"/>
  <c r="C229" i="12"/>
  <c r="E229" i="12" s="1"/>
  <c r="B229" i="12"/>
  <c r="B228" i="12"/>
  <c r="B227" i="12"/>
  <c r="B226" i="12"/>
  <c r="B225" i="12"/>
  <c r="D224" i="12"/>
  <c r="B224" i="12"/>
  <c r="B223" i="12"/>
  <c r="B222" i="12"/>
  <c r="E221" i="12"/>
  <c r="B221" i="12"/>
  <c r="C221" i="12" s="1"/>
  <c r="E220" i="12"/>
  <c r="C220" i="12"/>
  <c r="B220" i="12"/>
  <c r="B219" i="12"/>
  <c r="D218" i="12"/>
  <c r="C218" i="12"/>
  <c r="E218" i="12" s="1"/>
  <c r="B218" i="12"/>
  <c r="C219" i="12" s="1"/>
  <c r="E219" i="12" s="1"/>
  <c r="C217" i="12"/>
  <c r="E217" i="12" s="1"/>
  <c r="B217" i="12"/>
  <c r="D217" i="12" s="1"/>
  <c r="B216" i="12"/>
  <c r="B215" i="12"/>
  <c r="B214" i="12"/>
  <c r="C213" i="12"/>
  <c r="E213" i="12" s="1"/>
  <c r="B213" i="12"/>
  <c r="D212" i="12"/>
  <c r="C212" i="12"/>
  <c r="E212" i="12" s="1"/>
  <c r="B212" i="12"/>
  <c r="B211" i="12"/>
  <c r="B210" i="12"/>
  <c r="D210" i="12" s="1"/>
  <c r="B209" i="12"/>
  <c r="B208" i="12"/>
  <c r="C207" i="12"/>
  <c r="E207" i="12" s="1"/>
  <c r="B207" i="12"/>
  <c r="D206" i="12"/>
  <c r="B206" i="12"/>
  <c r="B205" i="12"/>
  <c r="C204" i="12"/>
  <c r="E204" i="12" s="1"/>
  <c r="B204" i="12"/>
  <c r="E203" i="12"/>
  <c r="D203" i="12"/>
  <c r="C203" i="12"/>
  <c r="B203" i="12"/>
  <c r="E202" i="12"/>
  <c r="C202" i="12"/>
  <c r="B202" i="12"/>
  <c r="B201" i="12"/>
  <c r="B200" i="12"/>
  <c r="B199" i="12"/>
  <c r="D199" i="12" s="1"/>
  <c r="B198" i="12"/>
  <c r="B197" i="12"/>
  <c r="C196" i="12"/>
  <c r="E196" i="12" s="1"/>
  <c r="B196" i="12"/>
  <c r="E195" i="12"/>
  <c r="C195" i="12"/>
  <c r="B195" i="12"/>
  <c r="B194" i="12"/>
  <c r="B193" i="12"/>
  <c r="B192" i="12"/>
  <c r="D192" i="12" s="1"/>
  <c r="B191" i="12"/>
  <c r="B190" i="12"/>
  <c r="C189" i="12"/>
  <c r="E189" i="12" s="1"/>
  <c r="B189" i="12"/>
  <c r="D188" i="12"/>
  <c r="C188" i="12"/>
  <c r="E188" i="12" s="1"/>
  <c r="B188" i="12"/>
  <c r="B187" i="12"/>
  <c r="B186" i="12"/>
  <c r="D186" i="12" s="1"/>
  <c r="B185" i="12"/>
  <c r="E184" i="12"/>
  <c r="C184" i="12"/>
  <c r="B184" i="12"/>
  <c r="E183" i="12"/>
  <c r="C183" i="12"/>
  <c r="B183" i="12"/>
  <c r="D182" i="12"/>
  <c r="B182" i="12"/>
  <c r="B181" i="12"/>
  <c r="D181" i="12" s="1"/>
  <c r="B180" i="12"/>
  <c r="B179" i="12"/>
  <c r="B178" i="12"/>
  <c r="C177" i="12"/>
  <c r="E177" i="12" s="1"/>
  <c r="B177" i="12"/>
  <c r="D176" i="12"/>
  <c r="C176" i="12"/>
  <c r="E176" i="12" s="1"/>
  <c r="B176" i="12"/>
  <c r="C175" i="12"/>
  <c r="E175" i="12" s="1"/>
  <c r="B175" i="12"/>
  <c r="C174" i="12"/>
  <c r="E174" i="12" s="1"/>
  <c r="B174" i="12"/>
  <c r="D174" i="12" s="1"/>
  <c r="B173" i="12"/>
  <c r="B172" i="12"/>
  <c r="C171" i="12"/>
  <c r="E171" i="12" s="1"/>
  <c r="B171" i="12"/>
  <c r="D171" i="12" s="1"/>
  <c r="B170" i="12"/>
  <c r="D170" i="12" s="1"/>
  <c r="B169" i="12"/>
  <c r="D169" i="12" s="1"/>
  <c r="C168" i="12"/>
  <c r="E168" i="12" s="1"/>
  <c r="B168" i="12"/>
  <c r="D167" i="12"/>
  <c r="B167" i="12"/>
  <c r="C167" i="12" s="1"/>
  <c r="E167" i="12" s="1"/>
  <c r="C166" i="12"/>
  <c r="E166" i="12" s="1"/>
  <c r="B166" i="12"/>
  <c r="B165" i="12"/>
  <c r="B164" i="12"/>
  <c r="B163" i="12"/>
  <c r="B162" i="12"/>
  <c r="B161" i="12"/>
  <c r="E160" i="12"/>
  <c r="C160" i="12"/>
  <c r="B160" i="12"/>
  <c r="B159" i="12"/>
  <c r="C158" i="12"/>
  <c r="E158" i="12" s="1"/>
  <c r="B158" i="12"/>
  <c r="B157" i="12"/>
  <c r="D157" i="12" s="1"/>
  <c r="B156" i="12"/>
  <c r="B155" i="12"/>
  <c r="C155" i="12" s="1"/>
  <c r="E155" i="12" s="1"/>
  <c r="B154" i="12"/>
  <c r="C153" i="12"/>
  <c r="E153" i="12" s="1"/>
  <c r="B153" i="12"/>
  <c r="B152" i="12"/>
  <c r="D152" i="12" s="1"/>
  <c r="B151" i="12"/>
  <c r="C150" i="12"/>
  <c r="E150" i="12" s="1"/>
  <c r="B150" i="12"/>
  <c r="E149" i="12"/>
  <c r="D149" i="12"/>
  <c r="C149" i="12"/>
  <c r="B149" i="12"/>
  <c r="C148" i="12"/>
  <c r="E148" i="12" s="1"/>
  <c r="B148" i="12"/>
  <c r="B147" i="12"/>
  <c r="B146" i="12"/>
  <c r="B145" i="12"/>
  <c r="D145" i="12" s="1"/>
  <c r="B144" i="12"/>
  <c r="B143" i="12"/>
  <c r="B142" i="12"/>
  <c r="E141" i="12"/>
  <c r="C141" i="12"/>
  <c r="B141" i="12"/>
  <c r="C140" i="12"/>
  <c r="E140" i="12" s="1"/>
  <c r="B140" i="12"/>
  <c r="E139" i="12"/>
  <c r="C139" i="12"/>
  <c r="B139" i="12"/>
  <c r="B138" i="12"/>
  <c r="B137" i="12"/>
  <c r="B136" i="12"/>
  <c r="B135" i="12"/>
  <c r="D134" i="12"/>
  <c r="B134" i="12"/>
  <c r="B133" i="12"/>
  <c r="B132" i="12"/>
  <c r="D131" i="12"/>
  <c r="B131" i="12"/>
  <c r="C131" i="12" s="1"/>
  <c r="E131" i="12" s="1"/>
  <c r="C130" i="12"/>
  <c r="E130" i="12" s="1"/>
  <c r="B130" i="12"/>
  <c r="B129" i="12"/>
  <c r="B128" i="12"/>
  <c r="C127" i="12"/>
  <c r="E127" i="12" s="1"/>
  <c r="B127" i="12"/>
  <c r="D127" i="12" s="1"/>
  <c r="B126" i="12"/>
  <c r="D125" i="12"/>
  <c r="C125" i="12"/>
  <c r="E125" i="12" s="1"/>
  <c r="B125" i="12"/>
  <c r="B124" i="12"/>
  <c r="B123" i="12"/>
  <c r="B122" i="12"/>
  <c r="E121" i="12"/>
  <c r="C121" i="12"/>
  <c r="B121" i="12"/>
  <c r="C120" i="12"/>
  <c r="E120" i="12" s="1"/>
  <c r="B120" i="12"/>
  <c r="D119" i="12"/>
  <c r="B119" i="12"/>
  <c r="B118" i="12"/>
  <c r="B117" i="12"/>
  <c r="D116" i="12"/>
  <c r="C116" i="12"/>
  <c r="E116" i="12" s="1"/>
  <c r="B116" i="12"/>
  <c r="C117" i="12" s="1"/>
  <c r="E117" i="12" s="1"/>
  <c r="B115" i="12"/>
  <c r="D115" i="12" s="1"/>
  <c r="B114" i="12"/>
  <c r="D113" i="12"/>
  <c r="B113" i="12"/>
  <c r="C113" i="12" s="1"/>
  <c r="E113" i="12" s="1"/>
  <c r="E112" i="12"/>
  <c r="C112" i="12"/>
  <c r="B112" i="12"/>
  <c r="C111" i="12"/>
  <c r="E111" i="12" s="1"/>
  <c r="B111" i="12"/>
  <c r="D111" i="12" s="1"/>
  <c r="C110" i="12"/>
  <c r="E110" i="12" s="1"/>
  <c r="B110" i="12"/>
  <c r="D110" i="12" s="1"/>
  <c r="B109" i="12"/>
  <c r="B108" i="12"/>
  <c r="D107" i="12"/>
  <c r="C107" i="12"/>
  <c r="E107" i="12" s="1"/>
  <c r="B107" i="12"/>
  <c r="B106" i="12"/>
  <c r="B105" i="12"/>
  <c r="D104" i="12"/>
  <c r="B104" i="12"/>
  <c r="C104" i="12" s="1"/>
  <c r="E104" i="12" s="1"/>
  <c r="B103" i="12"/>
  <c r="B102" i="12"/>
  <c r="B101" i="12"/>
  <c r="B100" i="12"/>
  <c r="D100" i="12" s="1"/>
  <c r="C99" i="12"/>
  <c r="E99" i="12" s="1"/>
  <c r="B99" i="12"/>
  <c r="D98" i="12"/>
  <c r="C98" i="12"/>
  <c r="E98" i="12" s="1"/>
  <c r="B98" i="12"/>
  <c r="B97" i="12"/>
  <c r="B96" i="12"/>
  <c r="B95" i="12"/>
  <c r="E94" i="12"/>
  <c r="C94" i="12"/>
  <c r="B94" i="12"/>
  <c r="C93" i="12"/>
  <c r="E93" i="12" s="1"/>
  <c r="B93" i="12"/>
  <c r="B92" i="12"/>
  <c r="C91" i="12"/>
  <c r="E91" i="12" s="1"/>
  <c r="B91" i="12"/>
  <c r="B90" i="12"/>
  <c r="B89" i="12"/>
  <c r="D89" i="12" s="1"/>
  <c r="E88" i="12"/>
  <c r="C88" i="12"/>
  <c r="B88" i="12"/>
  <c r="B87" i="12"/>
  <c r="D86" i="12"/>
  <c r="B86" i="12"/>
  <c r="B85" i="12"/>
  <c r="B84" i="12"/>
  <c r="D83" i="12"/>
  <c r="B83" i="12"/>
  <c r="C83" i="12" s="1"/>
  <c r="E83" i="12" s="1"/>
  <c r="B82" i="12"/>
  <c r="B81" i="12"/>
  <c r="D80" i="12"/>
  <c r="C80" i="12"/>
  <c r="E80" i="12" s="1"/>
  <c r="B80" i="12"/>
  <c r="B79" i="12"/>
  <c r="B78" i="12"/>
  <c r="E77" i="12"/>
  <c r="D77" i="12"/>
  <c r="B77" i="12"/>
  <c r="C77" i="12" s="1"/>
  <c r="C76" i="12"/>
  <c r="E76" i="12" s="1"/>
  <c r="B76" i="12"/>
  <c r="B75" i="12"/>
  <c r="D75" i="12" s="1"/>
  <c r="C74" i="12"/>
  <c r="E74" i="12" s="1"/>
  <c r="B74" i="12"/>
  <c r="C73" i="12"/>
  <c r="E73" i="12" s="1"/>
  <c r="B73" i="12"/>
  <c r="B72" i="12"/>
  <c r="E71" i="12"/>
  <c r="D71" i="12"/>
  <c r="C71" i="12"/>
  <c r="B71" i="12"/>
  <c r="B70" i="12"/>
  <c r="C69" i="12"/>
  <c r="E69" i="12" s="1"/>
  <c r="B69" i="12"/>
  <c r="B68" i="12"/>
  <c r="B67" i="12"/>
  <c r="B66" i="12"/>
  <c r="B65" i="12"/>
  <c r="B64" i="12"/>
  <c r="C63" i="12"/>
  <c r="E63" i="12" s="1"/>
  <c r="B63" i="12"/>
  <c r="D62" i="12"/>
  <c r="B62" i="12"/>
  <c r="B61" i="12"/>
  <c r="B60" i="12"/>
  <c r="D59" i="12"/>
  <c r="B59" i="12"/>
  <c r="E58" i="12"/>
  <c r="D58" i="12"/>
  <c r="B58" i="12"/>
  <c r="C58" i="12" s="1"/>
  <c r="C57" i="12"/>
  <c r="E57" i="12" s="1"/>
  <c r="B57" i="12"/>
  <c r="C56" i="12"/>
  <c r="E56" i="12" s="1"/>
  <c r="B56" i="12"/>
  <c r="B55" i="12"/>
  <c r="C55" i="12" s="1"/>
  <c r="E55" i="12" s="1"/>
  <c r="B54" i="12"/>
  <c r="B308" i="11"/>
  <c r="D308" i="11" s="1"/>
  <c r="B307" i="11"/>
  <c r="C307" i="11" s="1"/>
  <c r="E307" i="11" s="1"/>
  <c r="D306" i="11"/>
  <c r="B306" i="11"/>
  <c r="B305" i="11"/>
  <c r="D304" i="11"/>
  <c r="C304" i="11"/>
  <c r="E304" i="11" s="1"/>
  <c r="B304" i="11"/>
  <c r="E303" i="11"/>
  <c r="C303" i="11"/>
  <c r="B303" i="11"/>
  <c r="B302" i="11"/>
  <c r="B301" i="11"/>
  <c r="D300" i="11"/>
  <c r="B300" i="11"/>
  <c r="B299" i="11"/>
  <c r="D298" i="11"/>
  <c r="B298" i="11"/>
  <c r="C298" i="11" s="1"/>
  <c r="E298" i="11" s="1"/>
  <c r="E297" i="11"/>
  <c r="C297" i="11"/>
  <c r="B297" i="11"/>
  <c r="D297" i="11" s="1"/>
  <c r="B296" i="11"/>
  <c r="D295" i="11"/>
  <c r="B295" i="11"/>
  <c r="C295" i="11" s="1"/>
  <c r="E295" i="11" s="1"/>
  <c r="E294" i="11"/>
  <c r="B294" i="11"/>
  <c r="C294" i="11" s="1"/>
  <c r="D293" i="11"/>
  <c r="C293" i="11"/>
  <c r="E293" i="11" s="1"/>
  <c r="B293" i="11"/>
  <c r="D292" i="11"/>
  <c r="B292" i="11"/>
  <c r="D296" i="11" s="1"/>
  <c r="B291" i="11"/>
  <c r="B290" i="11"/>
  <c r="C289" i="11"/>
  <c r="E289" i="11" s="1"/>
  <c r="B289" i="11"/>
  <c r="D288" i="11"/>
  <c r="C288" i="11"/>
  <c r="E288" i="11" s="1"/>
  <c r="B288" i="11"/>
  <c r="C287" i="11"/>
  <c r="E287" i="11" s="1"/>
  <c r="B287" i="11"/>
  <c r="B286" i="11"/>
  <c r="B285" i="11"/>
  <c r="B284" i="11"/>
  <c r="D283" i="11"/>
  <c r="B283" i="11"/>
  <c r="B282" i="11"/>
  <c r="B281" i="11"/>
  <c r="C280" i="11"/>
  <c r="B280" i="11"/>
  <c r="D279" i="11"/>
  <c r="B279" i="11"/>
  <c r="C279" i="11" s="1"/>
  <c r="E279" i="11" s="1"/>
  <c r="B278" i="11"/>
  <c r="B277" i="11"/>
  <c r="C276" i="11"/>
  <c r="E276" i="11" s="1"/>
  <c r="B276" i="11"/>
  <c r="B275" i="11"/>
  <c r="C275" i="11" s="1"/>
  <c r="E275" i="11" s="1"/>
  <c r="B274" i="11"/>
  <c r="B273" i="11"/>
  <c r="B272" i="11"/>
  <c r="D272" i="11" s="1"/>
  <c r="B271" i="11"/>
  <c r="E270" i="11"/>
  <c r="B270" i="11"/>
  <c r="C270" i="11" s="1"/>
  <c r="B269" i="11"/>
  <c r="C269" i="11" s="1"/>
  <c r="E269" i="11" s="1"/>
  <c r="E268" i="11"/>
  <c r="C268" i="11"/>
  <c r="B268" i="11"/>
  <c r="D267" i="11"/>
  <c r="C267" i="11"/>
  <c r="B267" i="11"/>
  <c r="B266" i="11"/>
  <c r="B265" i="11"/>
  <c r="D265" i="11" s="1"/>
  <c r="B264" i="11"/>
  <c r="D268" i="11" s="1"/>
  <c r="B263" i="11"/>
  <c r="B262" i="11"/>
  <c r="C263" i="11" s="1"/>
  <c r="E263" i="11" s="1"/>
  <c r="B261" i="11"/>
  <c r="B260" i="11"/>
  <c r="B259" i="11"/>
  <c r="B258" i="11"/>
  <c r="C258" i="11" s="1"/>
  <c r="E258" i="11" s="1"/>
  <c r="B257" i="11"/>
  <c r="B256" i="11"/>
  <c r="B255" i="11"/>
  <c r="B254" i="11"/>
  <c r="D254" i="11" s="1"/>
  <c r="B253" i="11"/>
  <c r="B252" i="11"/>
  <c r="B251" i="11"/>
  <c r="B250" i="11"/>
  <c r="B249" i="11"/>
  <c r="D248" i="11"/>
  <c r="B248" i="11"/>
  <c r="D247" i="11"/>
  <c r="B247" i="11"/>
  <c r="D246" i="11"/>
  <c r="C246" i="11"/>
  <c r="E246" i="11" s="1"/>
  <c r="B246" i="11"/>
  <c r="C245" i="11"/>
  <c r="E245" i="11" s="1"/>
  <c r="B245" i="11"/>
  <c r="D244" i="11"/>
  <c r="B244" i="11"/>
  <c r="C243" i="11"/>
  <c r="E243" i="11" s="1"/>
  <c r="B243" i="11"/>
  <c r="D242" i="11"/>
  <c r="C242" i="11"/>
  <c r="E242" i="11" s="1"/>
  <c r="B242" i="11"/>
  <c r="B241" i="11"/>
  <c r="B240" i="11"/>
  <c r="D239" i="11"/>
  <c r="C239" i="11"/>
  <c r="E239" i="11" s="1"/>
  <c r="B239" i="11"/>
  <c r="B238" i="11"/>
  <c r="B237" i="11"/>
  <c r="D236" i="11"/>
  <c r="C236" i="11"/>
  <c r="E236" i="11" s="1"/>
  <c r="B236" i="11"/>
  <c r="D235" i="11"/>
  <c r="B235" i="11"/>
  <c r="C235" i="11" s="1"/>
  <c r="E235" i="11" s="1"/>
  <c r="B234" i="11"/>
  <c r="B233" i="11"/>
  <c r="C233" i="11" s="1"/>
  <c r="E233" i="11" s="1"/>
  <c r="E232" i="11"/>
  <c r="C232" i="11"/>
  <c r="B232" i="11"/>
  <c r="B231" i="11"/>
  <c r="B230" i="11"/>
  <c r="C229" i="11"/>
  <c r="E229" i="11" s="1"/>
  <c r="B229" i="11"/>
  <c r="B228" i="11"/>
  <c r="D232" i="11" s="1"/>
  <c r="B227" i="11"/>
  <c r="B226" i="11"/>
  <c r="B225" i="11"/>
  <c r="B224" i="11"/>
  <c r="D223" i="11"/>
  <c r="C223" i="11"/>
  <c r="E223" i="11" s="1"/>
  <c r="B223" i="11"/>
  <c r="D222" i="11"/>
  <c r="B222" i="11"/>
  <c r="C222" i="11" s="1"/>
  <c r="E222" i="11" s="1"/>
  <c r="B221" i="11"/>
  <c r="B220" i="11"/>
  <c r="B219" i="11"/>
  <c r="B218" i="11"/>
  <c r="B217" i="11"/>
  <c r="B216" i="11"/>
  <c r="B215" i="11"/>
  <c r="B214" i="11"/>
  <c r="B213" i="11"/>
  <c r="D212" i="11"/>
  <c r="B212" i="11"/>
  <c r="B211" i="11"/>
  <c r="B210" i="11"/>
  <c r="C210" i="11" s="1"/>
  <c r="E210" i="11" s="1"/>
  <c r="C209" i="11"/>
  <c r="E209" i="11" s="1"/>
  <c r="B209" i="11"/>
  <c r="B208" i="11"/>
  <c r="B207" i="11"/>
  <c r="C208" i="11" s="1"/>
  <c r="E208" i="11" s="1"/>
  <c r="D206" i="11"/>
  <c r="C206" i="11"/>
  <c r="E206" i="11" s="1"/>
  <c r="B206" i="11"/>
  <c r="B205" i="11"/>
  <c r="B204" i="11"/>
  <c r="B203" i="11"/>
  <c r="B202" i="11"/>
  <c r="B201" i="11"/>
  <c r="D200" i="11"/>
  <c r="C200" i="11"/>
  <c r="E200" i="11" s="1"/>
  <c r="B200" i="11"/>
  <c r="D199" i="11"/>
  <c r="B199" i="11"/>
  <c r="B198" i="11"/>
  <c r="B197" i="11"/>
  <c r="C197" i="11" s="1"/>
  <c r="E197" i="11" s="1"/>
  <c r="E196" i="11"/>
  <c r="C196" i="11"/>
  <c r="B196" i="11"/>
  <c r="D195" i="11"/>
  <c r="C195" i="11"/>
  <c r="E195" i="11" s="1"/>
  <c r="B195" i="11"/>
  <c r="B194" i="11"/>
  <c r="C194" i="11" s="1"/>
  <c r="E194" i="11" s="1"/>
  <c r="B193" i="11"/>
  <c r="D193" i="11" s="1"/>
  <c r="B192" i="11"/>
  <c r="B191" i="11"/>
  <c r="D190" i="11"/>
  <c r="C190" i="11"/>
  <c r="E190" i="11" s="1"/>
  <c r="B190" i="11"/>
  <c r="B189" i="11"/>
  <c r="B188" i="11"/>
  <c r="B187" i="11"/>
  <c r="E186" i="11"/>
  <c r="D186" i="11"/>
  <c r="B186" i="11"/>
  <c r="C186" i="11" s="1"/>
  <c r="D185" i="11"/>
  <c r="B185" i="11"/>
  <c r="B184" i="11"/>
  <c r="E183" i="11"/>
  <c r="D183" i="11"/>
  <c r="C183" i="11"/>
  <c r="B183" i="11"/>
  <c r="D182" i="11"/>
  <c r="C182" i="11"/>
  <c r="E182" i="11" s="1"/>
  <c r="B182" i="11"/>
  <c r="D181" i="11"/>
  <c r="C181" i="11"/>
  <c r="E181" i="11" s="1"/>
  <c r="B181" i="11"/>
  <c r="E180" i="11"/>
  <c r="D180" i="11"/>
  <c r="C180" i="11"/>
  <c r="B180" i="11"/>
  <c r="B179" i="11"/>
  <c r="B178" i="11"/>
  <c r="D177" i="11"/>
  <c r="C177" i="11"/>
  <c r="E177" i="11" s="1"/>
  <c r="B177" i="11"/>
  <c r="D176" i="11"/>
  <c r="C176" i="11"/>
  <c r="E176" i="11" s="1"/>
  <c r="B176" i="11"/>
  <c r="B175" i="11"/>
  <c r="E174" i="11"/>
  <c r="D174" i="11"/>
  <c r="C174" i="11"/>
  <c r="B174" i="11"/>
  <c r="D173" i="11"/>
  <c r="C173" i="11"/>
  <c r="E173" i="11" s="1"/>
  <c r="B173" i="11"/>
  <c r="E172" i="11"/>
  <c r="D172" i="11"/>
  <c r="B172" i="11"/>
  <c r="C172" i="11" s="1"/>
  <c r="E171" i="11"/>
  <c r="D171" i="11"/>
  <c r="C171" i="11"/>
  <c r="B171" i="11"/>
  <c r="C170" i="11"/>
  <c r="E170" i="11" s="1"/>
  <c r="B170" i="11"/>
  <c r="E169" i="11"/>
  <c r="D169" i="11"/>
  <c r="C169" i="11"/>
  <c r="B169" i="11"/>
  <c r="D168" i="11"/>
  <c r="C168" i="11"/>
  <c r="E168" i="11" s="1"/>
  <c r="B168" i="11"/>
  <c r="D167" i="11"/>
  <c r="C167" i="11"/>
  <c r="E167" i="11" s="1"/>
  <c r="B167" i="11"/>
  <c r="C166" i="11"/>
  <c r="E166" i="11" s="1"/>
  <c r="B166" i="11"/>
  <c r="D165" i="11"/>
  <c r="C165" i="11"/>
  <c r="E165" i="11" s="1"/>
  <c r="B165" i="11"/>
  <c r="B164" i="11"/>
  <c r="B163" i="11"/>
  <c r="E162" i="11"/>
  <c r="D162" i="11"/>
  <c r="C162" i="11"/>
  <c r="B162" i="11"/>
  <c r="B161" i="11"/>
  <c r="C160" i="11"/>
  <c r="E160" i="11" s="1"/>
  <c r="B160" i="11"/>
  <c r="E159" i="11"/>
  <c r="D159" i="11"/>
  <c r="C159" i="11"/>
  <c r="B159" i="11"/>
  <c r="D158" i="11"/>
  <c r="B158" i="11"/>
  <c r="B157" i="11"/>
  <c r="D161" i="11" s="1"/>
  <c r="D156" i="11"/>
  <c r="C156" i="11"/>
  <c r="E156" i="11" s="1"/>
  <c r="B156" i="11"/>
  <c r="C155" i="11"/>
  <c r="E155" i="11" s="1"/>
  <c r="B155" i="11"/>
  <c r="D154" i="11"/>
  <c r="C154" i="11"/>
  <c r="E154" i="11" s="1"/>
  <c r="B154" i="11"/>
  <c r="D153" i="11"/>
  <c r="C153" i="11"/>
  <c r="E153" i="11" s="1"/>
  <c r="B153" i="11"/>
  <c r="B152" i="11"/>
  <c r="B151" i="11"/>
  <c r="D150" i="11"/>
  <c r="C150" i="11"/>
  <c r="E150" i="11" s="1"/>
  <c r="B150" i="11"/>
  <c r="D149" i="11"/>
  <c r="B149" i="11"/>
  <c r="B148" i="11"/>
  <c r="D147" i="11"/>
  <c r="C147" i="11"/>
  <c r="E147" i="11" s="1"/>
  <c r="B147" i="11"/>
  <c r="D146" i="11"/>
  <c r="C146" i="11"/>
  <c r="E146" i="11" s="1"/>
  <c r="B146" i="11"/>
  <c r="B145" i="11"/>
  <c r="B144" i="11"/>
  <c r="C143" i="11"/>
  <c r="E143" i="11" s="1"/>
  <c r="B143" i="11"/>
  <c r="B142" i="11"/>
  <c r="D142" i="11" s="1"/>
  <c r="B141" i="11"/>
  <c r="D140" i="11"/>
  <c r="B140" i="11"/>
  <c r="B139" i="11"/>
  <c r="D143" i="11" s="1"/>
  <c r="E138" i="11"/>
  <c r="C138" i="11"/>
  <c r="B138" i="11"/>
  <c r="D137" i="11"/>
  <c r="B137" i="11"/>
  <c r="C137" i="11" s="1"/>
  <c r="E137" i="11" s="1"/>
  <c r="D136" i="11"/>
  <c r="B136" i="11"/>
  <c r="B135" i="11"/>
  <c r="B134" i="11"/>
  <c r="D134" i="11" s="1"/>
  <c r="E133" i="11"/>
  <c r="C133" i="11"/>
  <c r="B133" i="11"/>
  <c r="D132" i="11"/>
  <c r="B132" i="11"/>
  <c r="B131" i="11"/>
  <c r="C132" i="11" s="1"/>
  <c r="E132" i="11" s="1"/>
  <c r="D130" i="11"/>
  <c r="C130" i="11"/>
  <c r="E130" i="11" s="1"/>
  <c r="B130" i="11"/>
  <c r="B129" i="11"/>
  <c r="C128" i="11"/>
  <c r="E128" i="11" s="1"/>
  <c r="B128" i="11"/>
  <c r="E127" i="11"/>
  <c r="D127" i="11"/>
  <c r="C127" i="11"/>
  <c r="B127" i="11"/>
  <c r="B126" i="11"/>
  <c r="B125" i="11"/>
  <c r="D124" i="11"/>
  <c r="C124" i="11"/>
  <c r="E124" i="11" s="1"/>
  <c r="B124" i="11"/>
  <c r="B123" i="11"/>
  <c r="C123" i="11" s="1"/>
  <c r="E123" i="11" s="1"/>
  <c r="C122" i="11"/>
  <c r="E122" i="11" s="1"/>
  <c r="B122" i="11"/>
  <c r="B121" i="11"/>
  <c r="B120" i="11"/>
  <c r="B119" i="11"/>
  <c r="D118" i="11"/>
  <c r="B118" i="11"/>
  <c r="C118" i="11" s="1"/>
  <c r="E118" i="11" s="1"/>
  <c r="C117" i="11"/>
  <c r="E117" i="11" s="1"/>
  <c r="B117" i="11"/>
  <c r="D117" i="11" s="1"/>
  <c r="B116" i="11"/>
  <c r="B115" i="11"/>
  <c r="D115" i="11" s="1"/>
  <c r="B114" i="11"/>
  <c r="D113" i="11"/>
  <c r="B113" i="11"/>
  <c r="D112" i="11"/>
  <c r="B112" i="11"/>
  <c r="C111" i="11"/>
  <c r="E111" i="11" s="1"/>
  <c r="B111" i="11"/>
  <c r="D110" i="11"/>
  <c r="C110" i="11"/>
  <c r="E110" i="11" s="1"/>
  <c r="B110" i="11"/>
  <c r="B109" i="11"/>
  <c r="C108" i="11"/>
  <c r="E108" i="11" s="1"/>
  <c r="B108" i="11"/>
  <c r="B107" i="11"/>
  <c r="C106" i="11"/>
  <c r="E106" i="11" s="1"/>
  <c r="B106" i="11"/>
  <c r="D106" i="11" s="1"/>
  <c r="B105" i="11"/>
  <c r="B104" i="11"/>
  <c r="B103" i="11"/>
  <c r="C102" i="11"/>
  <c r="E102" i="11" s="1"/>
  <c r="B102" i="11"/>
  <c r="D101" i="11"/>
  <c r="B101" i="11"/>
  <c r="C101" i="11" s="1"/>
  <c r="E101" i="11" s="1"/>
  <c r="D100" i="11"/>
  <c r="B100" i="11"/>
  <c r="B99" i="11"/>
  <c r="B98" i="11"/>
  <c r="D98" i="11" s="1"/>
  <c r="E97" i="11"/>
  <c r="C97" i="11"/>
  <c r="B97" i="11"/>
  <c r="D96" i="11"/>
  <c r="B96" i="11"/>
  <c r="B95" i="11"/>
  <c r="C96" i="11" s="1"/>
  <c r="E96" i="11" s="1"/>
  <c r="D94" i="11"/>
  <c r="C94" i="11"/>
  <c r="E94" i="11" s="1"/>
  <c r="B94" i="11"/>
  <c r="B93" i="11"/>
  <c r="B92" i="11"/>
  <c r="E91" i="11"/>
  <c r="C91" i="11"/>
  <c r="B91" i="11"/>
  <c r="B90" i="11"/>
  <c r="B89" i="11"/>
  <c r="D88" i="11"/>
  <c r="C88" i="11"/>
  <c r="E88" i="11" s="1"/>
  <c r="B88" i="11"/>
  <c r="E87" i="11"/>
  <c r="B87" i="11"/>
  <c r="C87" i="11" s="1"/>
  <c r="B86" i="11"/>
  <c r="B85" i="11"/>
  <c r="C84" i="11"/>
  <c r="E84" i="11" s="1"/>
  <c r="B84" i="11"/>
  <c r="B83" i="11"/>
  <c r="D82" i="11"/>
  <c r="B82" i="11"/>
  <c r="C81" i="11"/>
  <c r="E81" i="11" s="1"/>
  <c r="B81" i="11"/>
  <c r="D81" i="11" s="1"/>
  <c r="B80" i="11"/>
  <c r="B79" i="11"/>
  <c r="D79" i="11" s="1"/>
  <c r="B78" i="11"/>
  <c r="D77" i="11"/>
  <c r="B77" i="11"/>
  <c r="B76" i="11"/>
  <c r="E75" i="11"/>
  <c r="C75" i="11"/>
  <c r="B75" i="11"/>
  <c r="D74" i="11"/>
  <c r="C74" i="11"/>
  <c r="E74" i="11" s="1"/>
  <c r="B74" i="11"/>
  <c r="B73" i="11"/>
  <c r="B72" i="11"/>
  <c r="D71" i="11"/>
  <c r="C71" i="11"/>
  <c r="E71" i="11" s="1"/>
  <c r="B71" i="11"/>
  <c r="D75" i="11" s="1"/>
  <c r="C70" i="11"/>
  <c r="E70" i="11" s="1"/>
  <c r="B70" i="11"/>
  <c r="B69" i="11"/>
  <c r="B68" i="11"/>
  <c r="B67" i="11"/>
  <c r="C66" i="11"/>
  <c r="E66" i="11" s="1"/>
  <c r="B66" i="11"/>
  <c r="D65" i="11"/>
  <c r="B65" i="11"/>
  <c r="C65" i="11" s="1"/>
  <c r="E65" i="11" s="1"/>
  <c r="D64" i="11"/>
  <c r="B64" i="11"/>
  <c r="B63" i="11"/>
  <c r="D62" i="11"/>
  <c r="C62" i="11"/>
  <c r="E62" i="11" s="1"/>
  <c r="B62" i="11"/>
  <c r="E61" i="11"/>
  <c r="C61" i="11"/>
  <c r="B61" i="11"/>
  <c r="D60" i="11"/>
  <c r="B60" i="11"/>
  <c r="B59" i="11"/>
  <c r="D63" i="11" s="1"/>
  <c r="D58" i="11"/>
  <c r="B58" i="11"/>
  <c r="B57" i="11"/>
  <c r="C56" i="11"/>
  <c r="E56" i="11" s="1"/>
  <c r="B56" i="11"/>
  <c r="B55" i="11"/>
  <c r="B54" i="11"/>
  <c r="D53" i="11"/>
  <c r="B53" i="11"/>
  <c r="D52" i="11"/>
  <c r="C52" i="11"/>
  <c r="E52" i="11" s="1"/>
  <c r="B52" i="11"/>
  <c r="E51" i="11"/>
  <c r="D51" i="11"/>
  <c r="B51" i="11"/>
  <c r="C51" i="11" s="1"/>
  <c r="C50" i="11"/>
  <c r="E50" i="11" s="1"/>
  <c r="B50" i="11"/>
  <c r="B49" i="11"/>
  <c r="B48" i="11"/>
  <c r="B47" i="11"/>
  <c r="D46" i="11"/>
  <c r="B46" i="11"/>
  <c r="C45" i="11"/>
  <c r="E45" i="11" s="1"/>
  <c r="B45" i="11"/>
  <c r="D45" i="11" s="1"/>
  <c r="B44" i="11"/>
  <c r="B43" i="11"/>
  <c r="B42" i="11"/>
  <c r="D41" i="11"/>
  <c r="B41" i="11"/>
  <c r="B40" i="11"/>
  <c r="B39" i="11"/>
  <c r="D39" i="11" s="1"/>
  <c r="D38" i="11"/>
  <c r="C38" i="11"/>
  <c r="E38" i="11" s="1"/>
  <c r="B38" i="11"/>
  <c r="B37" i="11"/>
  <c r="B36" i="11"/>
  <c r="D40" i="11" s="1"/>
  <c r="B35" i="11"/>
  <c r="D35" i="11" s="1"/>
  <c r="C34" i="11"/>
  <c r="E34" i="11" s="1"/>
  <c r="B34" i="11"/>
  <c r="D34" i="11" s="1"/>
  <c r="B33" i="11"/>
  <c r="B32" i="11"/>
  <c r="C32" i="11" s="1"/>
  <c r="E32" i="11" s="1"/>
  <c r="B31" i="11"/>
  <c r="E30" i="11"/>
  <c r="C30" i="11"/>
  <c r="B30" i="11"/>
  <c r="D29" i="11"/>
  <c r="B29" i="11"/>
  <c r="C29" i="11" s="1"/>
  <c r="E29" i="11" s="1"/>
  <c r="D28" i="11"/>
  <c r="B28" i="11"/>
  <c r="D27" i="11"/>
  <c r="B27" i="11"/>
  <c r="B26" i="11"/>
  <c r="E25" i="11"/>
  <c r="C25" i="11"/>
  <c r="B25" i="11"/>
  <c r="D24" i="11"/>
  <c r="B24" i="11"/>
  <c r="C23" i="11"/>
  <c r="E23" i="11" s="1"/>
  <c r="B23" i="11"/>
  <c r="C24" i="11" s="1"/>
  <c r="E24" i="11" s="1"/>
  <c r="D22" i="11"/>
  <c r="C22" i="11"/>
  <c r="E22" i="11" s="1"/>
  <c r="B22" i="11"/>
  <c r="B21" i="11"/>
  <c r="C20" i="11"/>
  <c r="E20" i="11" s="1"/>
  <c r="B20" i="11"/>
  <c r="E19" i="11"/>
  <c r="D19" i="11"/>
  <c r="B19" i="11"/>
  <c r="C19" i="11" s="1"/>
  <c r="B18" i="11"/>
  <c r="B17" i="11"/>
  <c r="D16" i="11"/>
  <c r="C16" i="11"/>
  <c r="E16" i="11" s="1"/>
  <c r="B16" i="11"/>
  <c r="D15" i="11"/>
  <c r="B15" i="11"/>
  <c r="C15" i="11" s="1"/>
  <c r="E15" i="11" s="1"/>
  <c r="D14" i="11"/>
  <c r="C14" i="11"/>
  <c r="E14" i="11" s="1"/>
  <c r="B14" i="11"/>
  <c r="B13" i="11"/>
  <c r="D12" i="11"/>
  <c r="B12" i="11"/>
  <c r="B11" i="11"/>
  <c r="B10" i="11"/>
  <c r="B9" i="11"/>
  <c r="C9" i="11" s="1"/>
  <c r="E9" i="11" s="1"/>
  <c r="B8" i="11"/>
  <c r="C7" i="11"/>
  <c r="E7" i="11" s="1"/>
  <c r="B7" i="11"/>
  <c r="E6" i="11"/>
  <c r="B6" i="11"/>
  <c r="D308" i="10"/>
  <c r="C308" i="10"/>
  <c r="E308" i="10" s="1"/>
  <c r="B308" i="10"/>
  <c r="C307" i="10"/>
  <c r="E307" i="10" s="1"/>
  <c r="B307" i="10"/>
  <c r="B306" i="10"/>
  <c r="D305" i="10"/>
  <c r="B305" i="10"/>
  <c r="B304" i="10"/>
  <c r="B303" i="10"/>
  <c r="B302" i="10"/>
  <c r="B301" i="10"/>
  <c r="B300" i="10"/>
  <c r="B299" i="10"/>
  <c r="B298" i="10"/>
  <c r="D297" i="10"/>
  <c r="B297" i="10"/>
  <c r="C297" i="10" s="1"/>
  <c r="E297" i="10" s="1"/>
  <c r="AE35" i="4" s="1"/>
  <c r="B296" i="10"/>
  <c r="B295" i="10"/>
  <c r="E294" i="10"/>
  <c r="C294" i="10"/>
  <c r="B294" i="10"/>
  <c r="C293" i="10"/>
  <c r="E293" i="10" s="1"/>
  <c r="B293" i="10"/>
  <c r="C292" i="10"/>
  <c r="E292" i="10" s="1"/>
  <c r="B292" i="10"/>
  <c r="B291" i="10"/>
  <c r="C290" i="10"/>
  <c r="E290" i="10" s="1"/>
  <c r="B290" i="10"/>
  <c r="B289" i="10"/>
  <c r="D293" i="10" s="1"/>
  <c r="E288" i="10"/>
  <c r="D288" i="10"/>
  <c r="C288" i="10"/>
  <c r="B288" i="10"/>
  <c r="B287" i="10"/>
  <c r="B286" i="10"/>
  <c r="B285" i="10"/>
  <c r="D284" i="10"/>
  <c r="B284" i="10"/>
  <c r="C284" i="10" s="1"/>
  <c r="E284" i="10" s="1"/>
  <c r="B283" i="10"/>
  <c r="C282" i="10"/>
  <c r="E282" i="10" s="1"/>
  <c r="AE20" i="4" s="1"/>
  <c r="B282" i="10"/>
  <c r="D281" i="10"/>
  <c r="C281" i="10"/>
  <c r="E281" i="10" s="1"/>
  <c r="B281" i="10"/>
  <c r="B280" i="10"/>
  <c r="B279" i="10"/>
  <c r="D278" i="10"/>
  <c r="C278" i="10"/>
  <c r="E278" i="10" s="1"/>
  <c r="AE16" i="4" s="1"/>
  <c r="B278" i="10"/>
  <c r="B277" i="10"/>
  <c r="B276" i="10"/>
  <c r="D276" i="10" s="1"/>
  <c r="B275" i="10"/>
  <c r="B274" i="10"/>
  <c r="D274" i="10" s="1"/>
  <c r="D273" i="10"/>
  <c r="B273" i="10"/>
  <c r="C273" i="10" s="1"/>
  <c r="E273" i="10" s="1"/>
  <c r="E272" i="10"/>
  <c r="AE10" i="4" s="1"/>
  <c r="D272" i="10"/>
  <c r="C272" i="10"/>
  <c r="B272" i="10"/>
  <c r="C271" i="10"/>
  <c r="E271" i="10" s="1"/>
  <c r="B271" i="10"/>
  <c r="B270" i="10"/>
  <c r="B269" i="10"/>
  <c r="B268" i="10"/>
  <c r="B267" i="10"/>
  <c r="C266" i="10"/>
  <c r="B266" i="10"/>
  <c r="C265" i="10"/>
  <c r="E265" i="10" s="1"/>
  <c r="B265" i="10"/>
  <c r="D265" i="10" s="1"/>
  <c r="B264" i="10"/>
  <c r="B263" i="10"/>
  <c r="B262" i="10"/>
  <c r="D261" i="10"/>
  <c r="B261" i="10"/>
  <c r="C261" i="10" s="1"/>
  <c r="E261" i="10" s="1"/>
  <c r="B260" i="10"/>
  <c r="B259" i="10"/>
  <c r="E258" i="10"/>
  <c r="C258" i="10"/>
  <c r="B258" i="10"/>
  <c r="E257" i="10"/>
  <c r="D257" i="10"/>
  <c r="C257" i="10"/>
  <c r="B257" i="10"/>
  <c r="B256" i="10"/>
  <c r="B255" i="10"/>
  <c r="C254" i="10"/>
  <c r="E254" i="10" s="1"/>
  <c r="B254" i="10"/>
  <c r="D258" i="10" s="1"/>
  <c r="B253" i="10"/>
  <c r="B252" i="10"/>
  <c r="B251" i="10"/>
  <c r="B250" i="10"/>
  <c r="B249" i="10"/>
  <c r="D249" i="10" s="1"/>
  <c r="B248" i="10"/>
  <c r="E247" i="10"/>
  <c r="B247" i="10"/>
  <c r="C246" i="10"/>
  <c r="E246" i="10" s="1"/>
  <c r="B246" i="10"/>
  <c r="C247" i="10" s="1"/>
  <c r="D245" i="10"/>
  <c r="B245" i="10"/>
  <c r="C244" i="10"/>
  <c r="E244" i="10" s="1"/>
  <c r="B244" i="10"/>
  <c r="D243" i="10"/>
  <c r="B243" i="10"/>
  <c r="B242" i="10"/>
  <c r="C242" i="10" s="1"/>
  <c r="E242" i="10" s="1"/>
  <c r="B241" i="10"/>
  <c r="C240" i="10"/>
  <c r="E240" i="10" s="1"/>
  <c r="B240" i="10"/>
  <c r="E239" i="10"/>
  <c r="D239" i="10"/>
  <c r="B239" i="10"/>
  <c r="C239" i="10" s="1"/>
  <c r="B238" i="10"/>
  <c r="B237" i="10"/>
  <c r="E236" i="10"/>
  <c r="D236" i="10"/>
  <c r="B236" i="10"/>
  <c r="C236" i="10" s="1"/>
  <c r="C235" i="10"/>
  <c r="E235" i="10" s="1"/>
  <c r="B235" i="10"/>
  <c r="D234" i="10"/>
  <c r="C234" i="10"/>
  <c r="E234" i="10" s="1"/>
  <c r="B234" i="10"/>
  <c r="D233" i="10"/>
  <c r="C233" i="10"/>
  <c r="E233" i="10" s="1"/>
  <c r="B233" i="10"/>
  <c r="C232" i="10"/>
  <c r="E232" i="10" s="1"/>
  <c r="B232" i="10"/>
  <c r="D231" i="10"/>
  <c r="C231" i="10"/>
  <c r="E231" i="10" s="1"/>
  <c r="B231" i="10"/>
  <c r="D230" i="10"/>
  <c r="B230" i="10"/>
  <c r="C230" i="10" s="1"/>
  <c r="E230" i="10" s="1"/>
  <c r="B229" i="10"/>
  <c r="B228" i="10"/>
  <c r="B227" i="10"/>
  <c r="B226" i="10"/>
  <c r="D226" i="10" s="1"/>
  <c r="D225" i="10"/>
  <c r="B225" i="10"/>
  <c r="D224" i="10"/>
  <c r="B224" i="10"/>
  <c r="B223" i="10"/>
  <c r="D223" i="10" s="1"/>
  <c r="E222" i="10"/>
  <c r="C222" i="10"/>
  <c r="B222" i="10"/>
  <c r="C221" i="10"/>
  <c r="E221" i="10" s="1"/>
  <c r="B221" i="10"/>
  <c r="C220" i="10"/>
  <c r="E220" i="10" s="1"/>
  <c r="B220" i="10"/>
  <c r="D219" i="10"/>
  <c r="B219" i="10"/>
  <c r="C219" i="10" s="1"/>
  <c r="E219" i="10" s="1"/>
  <c r="B218" i="10"/>
  <c r="D222" i="10" s="1"/>
  <c r="C217" i="10"/>
  <c r="E217" i="10" s="1"/>
  <c r="B217" i="10"/>
  <c r="B216" i="10"/>
  <c r="D216" i="10" s="1"/>
  <c r="B215" i="10"/>
  <c r="D215" i="10" s="1"/>
  <c r="B214" i="10"/>
  <c r="D218" i="10" s="1"/>
  <c r="B213" i="10"/>
  <c r="B212" i="10"/>
  <c r="B211" i="10"/>
  <c r="B210" i="10"/>
  <c r="E209" i="10"/>
  <c r="C209" i="10"/>
  <c r="B209" i="10"/>
  <c r="B208" i="10"/>
  <c r="B207" i="10"/>
  <c r="D206" i="10"/>
  <c r="C206" i="10"/>
  <c r="E206" i="10" s="1"/>
  <c r="B206" i="10"/>
  <c r="C205" i="10"/>
  <c r="E205" i="10" s="1"/>
  <c r="B205" i="10"/>
  <c r="C204" i="10"/>
  <c r="E204" i="10" s="1"/>
  <c r="B204" i="10"/>
  <c r="D203" i="10"/>
  <c r="B203" i="10"/>
  <c r="B202" i="10"/>
  <c r="E201" i="10"/>
  <c r="D201" i="10"/>
  <c r="B201" i="10"/>
  <c r="C201" i="10" s="1"/>
  <c r="B200" i="10"/>
  <c r="C200" i="10" s="1"/>
  <c r="E200" i="10" s="1"/>
  <c r="E199" i="10"/>
  <c r="C199" i="10"/>
  <c r="B199" i="10"/>
  <c r="D198" i="10"/>
  <c r="C198" i="10"/>
  <c r="E198" i="10" s="1"/>
  <c r="B198" i="10"/>
  <c r="D197" i="10"/>
  <c r="B197" i="10"/>
  <c r="C196" i="10"/>
  <c r="E196" i="10" s="1"/>
  <c r="B196" i="10"/>
  <c r="B195" i="10"/>
  <c r="D194" i="10"/>
  <c r="C194" i="10"/>
  <c r="E194" i="10" s="1"/>
  <c r="B194" i="10"/>
  <c r="C193" i="10"/>
  <c r="E193" i="10" s="1"/>
  <c r="B193" i="10"/>
  <c r="B192" i="10"/>
  <c r="B191" i="10"/>
  <c r="D191" i="10" s="1"/>
  <c r="B190" i="10"/>
  <c r="D189" i="10"/>
  <c r="B189" i="10"/>
  <c r="B188" i="10"/>
  <c r="C188" i="10" s="1"/>
  <c r="E188" i="10" s="1"/>
  <c r="B187" i="10"/>
  <c r="E186" i="10"/>
  <c r="D186" i="10"/>
  <c r="C186" i="10"/>
  <c r="B186" i="10"/>
  <c r="B185" i="10"/>
  <c r="B184" i="10"/>
  <c r="G184" i="5" s="1"/>
  <c r="B183" i="10"/>
  <c r="C183" i="10" s="1"/>
  <c r="E183" i="10" s="1"/>
  <c r="D182" i="10"/>
  <c r="B182" i="10"/>
  <c r="B181" i="10"/>
  <c r="B180" i="10"/>
  <c r="D180" i="10" s="1"/>
  <c r="E179" i="10"/>
  <c r="C179" i="10"/>
  <c r="B179" i="10"/>
  <c r="D179" i="10" s="1"/>
  <c r="B178" i="10"/>
  <c r="B177" i="10"/>
  <c r="D177" i="10" s="1"/>
  <c r="B176" i="10"/>
  <c r="C175" i="10"/>
  <c r="E175" i="10" s="1"/>
  <c r="B175" i="10"/>
  <c r="B174" i="10"/>
  <c r="C174" i="10" s="1"/>
  <c r="E174" i="10" s="1"/>
  <c r="B173" i="10"/>
  <c r="B172" i="10"/>
  <c r="D171" i="10"/>
  <c r="B171" i="10"/>
  <c r="C170" i="10"/>
  <c r="E170" i="10" s="1"/>
  <c r="B170" i="10"/>
  <c r="B169" i="10"/>
  <c r="B168" i="10"/>
  <c r="E167" i="10"/>
  <c r="D167" i="10"/>
  <c r="C167" i="10"/>
  <c r="B167" i="10"/>
  <c r="B166" i="10"/>
  <c r="B165" i="10"/>
  <c r="D164" i="10"/>
  <c r="B164" i="10"/>
  <c r="C164" i="10" s="1"/>
  <c r="E164" i="10" s="1"/>
  <c r="E163" i="10"/>
  <c r="C163" i="10"/>
  <c r="B163" i="10"/>
  <c r="D162" i="10"/>
  <c r="C162" i="10"/>
  <c r="E162" i="10" s="1"/>
  <c r="B162" i="10"/>
  <c r="B161" i="10"/>
  <c r="B160" i="10"/>
  <c r="B159" i="10"/>
  <c r="B158" i="10"/>
  <c r="B157" i="10"/>
  <c r="E156" i="10"/>
  <c r="C156" i="10"/>
  <c r="B156" i="10"/>
  <c r="B155" i="10"/>
  <c r="B154" i="10"/>
  <c r="B153" i="10"/>
  <c r="D152" i="10"/>
  <c r="B152" i="10"/>
  <c r="B151" i="10"/>
  <c r="D150" i="10"/>
  <c r="B150" i="10"/>
  <c r="B149" i="10"/>
  <c r="C149" i="10" s="1"/>
  <c r="E149" i="10" s="1"/>
  <c r="D148" i="10"/>
  <c r="B148" i="10"/>
  <c r="C148" i="10" s="1"/>
  <c r="E148" i="10" s="1"/>
  <c r="D147" i="10"/>
  <c r="B147" i="10"/>
  <c r="B146" i="10"/>
  <c r="D145" i="10"/>
  <c r="B145" i="10"/>
  <c r="B144" i="10"/>
  <c r="B143" i="10"/>
  <c r="E142" i="10"/>
  <c r="B142" i="10"/>
  <c r="C142" i="10" s="1"/>
  <c r="D141" i="10"/>
  <c r="B141" i="10"/>
  <c r="B140" i="10"/>
  <c r="B139" i="10"/>
  <c r="D139" i="10" s="1"/>
  <c r="B138" i="10"/>
  <c r="B137" i="10"/>
  <c r="D136" i="10"/>
  <c r="B136" i="10"/>
  <c r="C136" i="10" s="1"/>
  <c r="E136" i="10" s="1"/>
  <c r="D135" i="10"/>
  <c r="B135" i="10"/>
  <c r="B134" i="10"/>
  <c r="B133" i="10"/>
  <c r="B132" i="10"/>
  <c r="C132" i="10" s="1"/>
  <c r="E132" i="10" s="1"/>
  <c r="E131" i="10"/>
  <c r="D131" i="10"/>
  <c r="B131" i="10"/>
  <c r="C131" i="10" s="1"/>
  <c r="E130" i="10"/>
  <c r="B130" i="10"/>
  <c r="C130" i="10" s="1"/>
  <c r="B129" i="10"/>
  <c r="B128" i="10"/>
  <c r="D127" i="10"/>
  <c r="B127" i="10"/>
  <c r="B126" i="10"/>
  <c r="B125" i="10"/>
  <c r="C124" i="10"/>
  <c r="E124" i="10" s="1"/>
  <c r="B124" i="10"/>
  <c r="D123" i="10"/>
  <c r="B123" i="10"/>
  <c r="B122" i="10"/>
  <c r="B121" i="10"/>
  <c r="D121" i="10" s="1"/>
  <c r="E120" i="10"/>
  <c r="D120" i="10"/>
  <c r="B120" i="10"/>
  <c r="C120" i="10" s="1"/>
  <c r="B119" i="10"/>
  <c r="D118" i="10"/>
  <c r="B118" i="10"/>
  <c r="D117" i="10"/>
  <c r="B117" i="10"/>
  <c r="B116" i="10"/>
  <c r="C116" i="10" s="1"/>
  <c r="E116" i="10" s="1"/>
  <c r="C115" i="10"/>
  <c r="E115" i="10" s="1"/>
  <c r="B115" i="10"/>
  <c r="D115" i="10" s="1"/>
  <c r="B114" i="10"/>
  <c r="B113" i="10"/>
  <c r="D112" i="10"/>
  <c r="B112" i="10"/>
  <c r="C112" i="10" s="1"/>
  <c r="E112" i="10" s="1"/>
  <c r="D111" i="10"/>
  <c r="B111" i="10"/>
  <c r="B110" i="10"/>
  <c r="B109" i="10"/>
  <c r="D109" i="10" s="1"/>
  <c r="B108" i="10"/>
  <c r="B107" i="10"/>
  <c r="E106" i="10"/>
  <c r="D106" i="10"/>
  <c r="B106" i="10"/>
  <c r="C106" i="10" s="1"/>
  <c r="D105" i="10"/>
  <c r="B105" i="10"/>
  <c r="B104" i="10"/>
  <c r="B103" i="10"/>
  <c r="D103" i="10" s="1"/>
  <c r="E102" i="10"/>
  <c r="D102" i="10"/>
  <c r="B102" i="10"/>
  <c r="C102" i="10" s="1"/>
  <c r="B101" i="10"/>
  <c r="B100" i="10"/>
  <c r="D99" i="10"/>
  <c r="B99" i="10"/>
  <c r="B98" i="10"/>
  <c r="C98" i="10" s="1"/>
  <c r="E98" i="10" s="1"/>
  <c r="B97" i="10"/>
  <c r="D97" i="10" s="1"/>
  <c r="B96" i="10"/>
  <c r="B95" i="10"/>
  <c r="D94" i="10"/>
  <c r="B94" i="10"/>
  <c r="C94" i="10" s="1"/>
  <c r="E94" i="10" s="1"/>
  <c r="B93" i="10"/>
  <c r="D92" i="10"/>
  <c r="B92" i="10"/>
  <c r="B91" i="10"/>
  <c r="D91" i="10" s="1"/>
  <c r="B90" i="10"/>
  <c r="B89" i="10"/>
  <c r="B88" i="10"/>
  <c r="D87" i="10"/>
  <c r="B87" i="10"/>
  <c r="B86" i="10"/>
  <c r="D85" i="10"/>
  <c r="B85" i="10"/>
  <c r="C85" i="10" s="1"/>
  <c r="E85" i="10" s="1"/>
  <c r="E84" i="10"/>
  <c r="B84" i="10"/>
  <c r="C84" i="10" s="1"/>
  <c r="B83" i="10"/>
  <c r="B82" i="10"/>
  <c r="B81" i="10"/>
  <c r="D80" i="10"/>
  <c r="B80" i="10"/>
  <c r="B79" i="10"/>
  <c r="D78" i="10"/>
  <c r="B78" i="10"/>
  <c r="B77" i="10"/>
  <c r="C77" i="10" s="1"/>
  <c r="E77" i="10" s="1"/>
  <c r="B76" i="10"/>
  <c r="C76" i="10" s="1"/>
  <c r="E76" i="10" s="1"/>
  <c r="B75" i="10"/>
  <c r="D74" i="10"/>
  <c r="B74" i="10"/>
  <c r="B73" i="10"/>
  <c r="D73" i="10" s="1"/>
  <c r="B72" i="10"/>
  <c r="D76" i="10" s="1"/>
  <c r="B71" i="10"/>
  <c r="B70" i="10"/>
  <c r="D70" i="10" s="1"/>
  <c r="D69" i="10"/>
  <c r="B69" i="10"/>
  <c r="D68" i="10"/>
  <c r="B68" i="10"/>
  <c r="C68" i="10" s="1"/>
  <c r="E68" i="10" s="1"/>
  <c r="B67" i="10"/>
  <c r="D67" i="10" s="1"/>
  <c r="B66" i="10"/>
  <c r="B65" i="10"/>
  <c r="D64" i="10"/>
  <c r="B64" i="10"/>
  <c r="B63" i="10"/>
  <c r="C63" i="10" s="1"/>
  <c r="E63" i="10" s="1"/>
  <c r="B62" i="10"/>
  <c r="B61" i="10"/>
  <c r="B60" i="10"/>
  <c r="B59" i="10"/>
  <c r="E58" i="10"/>
  <c r="D58" i="10"/>
  <c r="B58" i="10"/>
  <c r="C58" i="10" s="1"/>
  <c r="D57" i="10"/>
  <c r="B57" i="10"/>
  <c r="B56" i="10"/>
  <c r="B55" i="10"/>
  <c r="B54" i="10"/>
  <c r="B53" i="10"/>
  <c r="C52" i="10"/>
  <c r="E52" i="10" s="1"/>
  <c r="B52" i="10"/>
  <c r="D51" i="10"/>
  <c r="B51" i="10"/>
  <c r="B50" i="10"/>
  <c r="C49" i="10"/>
  <c r="E49" i="10" s="1"/>
  <c r="B49" i="10"/>
  <c r="D48" i="10"/>
  <c r="B48" i="10"/>
  <c r="B47" i="10"/>
  <c r="B46" i="10"/>
  <c r="B45" i="10"/>
  <c r="D49" i="10" s="1"/>
  <c r="B44" i="10"/>
  <c r="B43" i="10"/>
  <c r="D43" i="10" s="1"/>
  <c r="B42" i="10"/>
  <c r="E41" i="10"/>
  <c r="B41" i="10"/>
  <c r="C41" i="10" s="1"/>
  <c r="E40" i="10"/>
  <c r="D40" i="10"/>
  <c r="B40" i="10"/>
  <c r="C40" i="10" s="1"/>
  <c r="D39" i="10"/>
  <c r="B39" i="10"/>
  <c r="B38" i="10"/>
  <c r="C38" i="10" s="1"/>
  <c r="E38" i="10" s="1"/>
  <c r="D37" i="10"/>
  <c r="C37" i="10"/>
  <c r="E37" i="10" s="1"/>
  <c r="B37" i="10"/>
  <c r="D41" i="10" s="1"/>
  <c r="B36" i="10"/>
  <c r="B35" i="10"/>
  <c r="B34" i="10"/>
  <c r="D33" i="10"/>
  <c r="B33" i="10"/>
  <c r="B32" i="10"/>
  <c r="C32" i="10" s="1"/>
  <c r="E32" i="10" s="1"/>
  <c r="D31" i="10"/>
  <c r="B31" i="10"/>
  <c r="C31" i="10" s="1"/>
  <c r="E31" i="10" s="1"/>
  <c r="E30" i="10"/>
  <c r="D30" i="10"/>
  <c r="B30" i="10"/>
  <c r="C30" i="10" s="1"/>
  <c r="B29" i="10"/>
  <c r="E28" i="10"/>
  <c r="D28" i="10"/>
  <c r="B28" i="10"/>
  <c r="C28" i="10" s="1"/>
  <c r="B27" i="10"/>
  <c r="D26" i="10"/>
  <c r="B26" i="10"/>
  <c r="B25" i="10"/>
  <c r="D24" i="10"/>
  <c r="B24" i="10"/>
  <c r="B23" i="10"/>
  <c r="E22" i="10"/>
  <c r="B22" i="10"/>
  <c r="C22" i="10" s="1"/>
  <c r="B21" i="10"/>
  <c r="B20" i="10"/>
  <c r="D19" i="10"/>
  <c r="B19" i="10"/>
  <c r="C19" i="10" s="1"/>
  <c r="E19" i="10" s="1"/>
  <c r="B18" i="10"/>
  <c r="B17" i="10"/>
  <c r="E16" i="10"/>
  <c r="C16" i="10"/>
  <c r="B16" i="10"/>
  <c r="D15" i="10"/>
  <c r="B15" i="10"/>
  <c r="B14" i="10"/>
  <c r="B13" i="10"/>
  <c r="B12" i="10"/>
  <c r="B11" i="10"/>
  <c r="E10" i="10"/>
  <c r="B10" i="10"/>
  <c r="C10" i="10" s="1"/>
  <c r="B9" i="10"/>
  <c r="C9" i="10" s="1"/>
  <c r="E9" i="10" s="1"/>
  <c r="C8" i="10"/>
  <c r="E8" i="10" s="1"/>
  <c r="B8" i="10"/>
  <c r="B7" i="10"/>
  <c r="E6" i="10"/>
  <c r="B6" i="10"/>
  <c r="D308" i="9"/>
  <c r="C308" i="9"/>
  <c r="E308" i="9" s="1"/>
  <c r="B308" i="9"/>
  <c r="E307" i="9"/>
  <c r="C307" i="9"/>
  <c r="B307" i="9"/>
  <c r="B306" i="9"/>
  <c r="B305" i="9"/>
  <c r="C306" i="9" s="1"/>
  <c r="E306" i="9" s="1"/>
  <c r="D304" i="9"/>
  <c r="C304" i="9"/>
  <c r="E304" i="9" s="1"/>
  <c r="B304" i="9"/>
  <c r="B303" i="9"/>
  <c r="C302" i="9"/>
  <c r="E302" i="9" s="1"/>
  <c r="Z40" i="4" s="1"/>
  <c r="B302" i="9"/>
  <c r="B301" i="9"/>
  <c r="D301" i="9" s="1"/>
  <c r="C300" i="9"/>
  <c r="E300" i="9" s="1"/>
  <c r="B300" i="9"/>
  <c r="D299" i="9"/>
  <c r="B299" i="9"/>
  <c r="B298" i="9"/>
  <c r="B297" i="9"/>
  <c r="D296" i="9"/>
  <c r="B296" i="9"/>
  <c r="B295" i="9"/>
  <c r="C294" i="9"/>
  <c r="E294" i="9" s="1"/>
  <c r="B294" i="9"/>
  <c r="B293" i="9"/>
  <c r="D292" i="9"/>
  <c r="C292" i="9"/>
  <c r="E292" i="9" s="1"/>
  <c r="B292" i="9"/>
  <c r="B291" i="9"/>
  <c r="C290" i="9"/>
  <c r="E290" i="9" s="1"/>
  <c r="Z28" i="4" s="1"/>
  <c r="B290" i="9"/>
  <c r="B289" i="9"/>
  <c r="B288" i="9"/>
  <c r="B287" i="9"/>
  <c r="D286" i="9"/>
  <c r="B286" i="9"/>
  <c r="C285" i="9"/>
  <c r="E285" i="9" s="1"/>
  <c r="Z23" i="4" s="1"/>
  <c r="B285" i="9"/>
  <c r="B284" i="9"/>
  <c r="B283" i="9"/>
  <c r="C282" i="9"/>
  <c r="E282" i="9" s="1"/>
  <c r="B282" i="9"/>
  <c r="B281" i="9"/>
  <c r="D281" i="9" s="1"/>
  <c r="B280" i="9"/>
  <c r="D280" i="9" s="1"/>
  <c r="B279" i="9"/>
  <c r="C278" i="9"/>
  <c r="E278" i="9" s="1"/>
  <c r="Z16" i="4" s="1"/>
  <c r="B278" i="9"/>
  <c r="D277" i="9"/>
  <c r="C277" i="9"/>
  <c r="B277" i="9"/>
  <c r="C276" i="9"/>
  <c r="E276" i="9" s="1"/>
  <c r="B276" i="9"/>
  <c r="B275" i="9"/>
  <c r="B274" i="9"/>
  <c r="C273" i="9"/>
  <c r="B273" i="9"/>
  <c r="D273" i="9" s="1"/>
  <c r="D272" i="9"/>
  <c r="C272" i="9"/>
  <c r="B272" i="9"/>
  <c r="B271" i="9"/>
  <c r="D275" i="9" s="1"/>
  <c r="B270" i="9"/>
  <c r="B269" i="9"/>
  <c r="B268" i="9"/>
  <c r="B267" i="9"/>
  <c r="D266" i="9"/>
  <c r="B266" i="9"/>
  <c r="D265" i="9"/>
  <c r="B265" i="9"/>
  <c r="B264" i="9"/>
  <c r="D263" i="9"/>
  <c r="B263" i="9"/>
  <c r="C263" i="9" s="1"/>
  <c r="E263" i="9" s="1"/>
  <c r="D262" i="9"/>
  <c r="B262" i="9"/>
  <c r="B261" i="9"/>
  <c r="D261" i="9" s="1"/>
  <c r="D260" i="9"/>
  <c r="B260" i="9"/>
  <c r="C260" i="9" s="1"/>
  <c r="E260" i="9" s="1"/>
  <c r="B259" i="9"/>
  <c r="C258" i="9"/>
  <c r="E258" i="9" s="1"/>
  <c r="B258" i="9"/>
  <c r="D257" i="9"/>
  <c r="C257" i="9"/>
  <c r="E257" i="9" s="1"/>
  <c r="B257" i="9"/>
  <c r="C256" i="9"/>
  <c r="E256" i="9" s="1"/>
  <c r="B256" i="9"/>
  <c r="B255" i="9"/>
  <c r="D254" i="9"/>
  <c r="C254" i="9"/>
  <c r="E254" i="9" s="1"/>
  <c r="B254" i="9"/>
  <c r="C253" i="9"/>
  <c r="E253" i="9" s="1"/>
  <c r="B253" i="9"/>
  <c r="B252" i="9"/>
  <c r="D252" i="9" s="1"/>
  <c r="D251" i="9"/>
  <c r="B251" i="9"/>
  <c r="B250" i="9"/>
  <c r="B249" i="9"/>
  <c r="C248" i="9"/>
  <c r="E248" i="9" s="1"/>
  <c r="B248" i="9"/>
  <c r="B247" i="9"/>
  <c r="B246" i="9"/>
  <c r="D245" i="9"/>
  <c r="B245" i="9"/>
  <c r="C244" i="9"/>
  <c r="E244" i="9" s="1"/>
  <c r="B244" i="9"/>
  <c r="D248" i="9" s="1"/>
  <c r="B243" i="9"/>
  <c r="B242" i="9"/>
  <c r="B241" i="9"/>
  <c r="C240" i="9"/>
  <c r="E240" i="9" s="1"/>
  <c r="B240" i="9"/>
  <c r="D239" i="9"/>
  <c r="B239" i="9"/>
  <c r="C239" i="9" s="1"/>
  <c r="E239" i="9" s="1"/>
  <c r="B238" i="9"/>
  <c r="C238" i="9" s="1"/>
  <c r="E238" i="9" s="1"/>
  <c r="C237" i="9"/>
  <c r="E237" i="9" s="1"/>
  <c r="B237" i="9"/>
  <c r="B236" i="9"/>
  <c r="D236" i="9" s="1"/>
  <c r="B235" i="9"/>
  <c r="C234" i="9"/>
  <c r="E234" i="9" s="1"/>
  <c r="B234" i="9"/>
  <c r="B233" i="9"/>
  <c r="D233" i="9" s="1"/>
  <c r="B232" i="9"/>
  <c r="D232" i="9" s="1"/>
  <c r="B231" i="9"/>
  <c r="D230" i="9"/>
  <c r="C230" i="9"/>
  <c r="E230" i="9" s="1"/>
  <c r="B230" i="9"/>
  <c r="B229" i="9"/>
  <c r="D229" i="9" s="1"/>
  <c r="C228" i="9"/>
  <c r="E228" i="9" s="1"/>
  <c r="B228" i="9"/>
  <c r="D227" i="9"/>
  <c r="B227" i="9"/>
  <c r="C227" i="9" s="1"/>
  <c r="E227" i="9" s="1"/>
  <c r="D226" i="9"/>
  <c r="B226" i="9"/>
  <c r="B225" i="9"/>
  <c r="B224" i="9"/>
  <c r="D224" i="9" s="1"/>
  <c r="B223" i="9"/>
  <c r="C222" i="9"/>
  <c r="E222" i="9" s="1"/>
  <c r="B222" i="9"/>
  <c r="C221" i="9"/>
  <c r="E221" i="9" s="1"/>
  <c r="B221" i="9"/>
  <c r="E220" i="9"/>
  <c r="C220" i="9"/>
  <c r="B220" i="9"/>
  <c r="B219" i="9"/>
  <c r="D218" i="9"/>
  <c r="B218" i="9"/>
  <c r="B217" i="9"/>
  <c r="C216" i="9"/>
  <c r="E216" i="9" s="1"/>
  <c r="B216" i="9"/>
  <c r="B215" i="9"/>
  <c r="D214" i="9"/>
  <c r="B214" i="9"/>
  <c r="B213" i="9"/>
  <c r="D213" i="9" s="1"/>
  <c r="D212" i="9"/>
  <c r="B212" i="9"/>
  <c r="C213" i="9" s="1"/>
  <c r="E213" i="9" s="1"/>
  <c r="B211" i="9"/>
  <c r="C210" i="9"/>
  <c r="E210" i="9" s="1"/>
  <c r="B210" i="9"/>
  <c r="D209" i="9"/>
  <c r="B209" i="9"/>
  <c r="B208" i="9"/>
  <c r="B207" i="9"/>
  <c r="C206" i="9"/>
  <c r="E206" i="9" s="1"/>
  <c r="B206" i="9"/>
  <c r="D205" i="9"/>
  <c r="B205" i="9"/>
  <c r="B204" i="9"/>
  <c r="D204" i="9" s="1"/>
  <c r="B203" i="9"/>
  <c r="B202" i="9"/>
  <c r="C201" i="9"/>
  <c r="E201" i="9" s="1"/>
  <c r="B201" i="9"/>
  <c r="C200" i="9"/>
  <c r="E200" i="9" s="1"/>
  <c r="B200" i="9"/>
  <c r="B199" i="9"/>
  <c r="D203" i="9" s="1"/>
  <c r="B198" i="9"/>
  <c r="C197" i="9"/>
  <c r="E197" i="9" s="1"/>
  <c r="B197" i="9"/>
  <c r="B196" i="9"/>
  <c r="B195" i="9"/>
  <c r="C194" i="9"/>
  <c r="E194" i="9" s="1"/>
  <c r="B194" i="9"/>
  <c r="D193" i="9"/>
  <c r="C193" i="9"/>
  <c r="E193" i="9" s="1"/>
  <c r="B193" i="9"/>
  <c r="C192" i="9"/>
  <c r="E192" i="9" s="1"/>
  <c r="B192" i="9"/>
  <c r="D191" i="9"/>
  <c r="B191" i="9"/>
  <c r="C191" i="9" s="1"/>
  <c r="E191" i="9" s="1"/>
  <c r="B190" i="9"/>
  <c r="C189" i="9"/>
  <c r="E189" i="9" s="1"/>
  <c r="B189" i="9"/>
  <c r="B188" i="9"/>
  <c r="D188" i="9" s="1"/>
  <c r="B187" i="9"/>
  <c r="B186" i="9"/>
  <c r="C185" i="9"/>
  <c r="E185" i="9" s="1"/>
  <c r="B185" i="9"/>
  <c r="C184" i="9"/>
  <c r="E184" i="9" s="1"/>
  <c r="B184" i="9"/>
  <c r="B183" i="9"/>
  <c r="D182" i="9"/>
  <c r="B182" i="9"/>
  <c r="B181" i="9"/>
  <c r="B180" i="9"/>
  <c r="C180" i="9" s="1"/>
  <c r="E180" i="9" s="1"/>
  <c r="B179" i="9"/>
  <c r="B178" i="9"/>
  <c r="B177" i="9"/>
  <c r="C176" i="9"/>
  <c r="E176" i="9" s="1"/>
  <c r="B176" i="9"/>
  <c r="D175" i="9"/>
  <c r="C175" i="9"/>
  <c r="E175" i="9" s="1"/>
  <c r="B175" i="9"/>
  <c r="C174" i="9"/>
  <c r="E174" i="9" s="1"/>
  <c r="B174" i="9"/>
  <c r="D173" i="9"/>
  <c r="C173" i="9"/>
  <c r="E173" i="9" s="1"/>
  <c r="B173" i="9"/>
  <c r="B172" i="9"/>
  <c r="C171" i="9"/>
  <c r="E171" i="9" s="1"/>
  <c r="B171" i="9"/>
  <c r="D170" i="9"/>
  <c r="C170" i="9"/>
  <c r="E170" i="9" s="1"/>
  <c r="B170" i="9"/>
  <c r="D169" i="9"/>
  <c r="C169" i="9"/>
  <c r="E169" i="9" s="1"/>
  <c r="B169" i="9"/>
  <c r="B168" i="9"/>
  <c r="B167" i="9"/>
  <c r="C166" i="9"/>
  <c r="E166" i="9" s="1"/>
  <c r="B166" i="9"/>
  <c r="C165" i="9"/>
  <c r="E165" i="9" s="1"/>
  <c r="B165" i="9"/>
  <c r="D164" i="9"/>
  <c r="B164" i="9"/>
  <c r="B163" i="9"/>
  <c r="C164" i="9" s="1"/>
  <c r="E164" i="9" s="1"/>
  <c r="C162" i="9"/>
  <c r="E162" i="9" s="1"/>
  <c r="B162" i="9"/>
  <c r="D162" i="9" s="1"/>
  <c r="B161" i="9"/>
  <c r="B160" i="9"/>
  <c r="C159" i="9"/>
  <c r="E159" i="9" s="1"/>
  <c r="B159" i="9"/>
  <c r="E158" i="9"/>
  <c r="C158" i="9"/>
  <c r="B158" i="9"/>
  <c r="D157" i="9"/>
  <c r="B157" i="9"/>
  <c r="B156" i="9"/>
  <c r="D155" i="9"/>
  <c r="B155" i="9"/>
  <c r="B154" i="9"/>
  <c r="C153" i="9"/>
  <c r="E153" i="9" s="1"/>
  <c r="B153" i="9"/>
  <c r="B152" i="9"/>
  <c r="D151" i="9"/>
  <c r="C151" i="9"/>
  <c r="E151" i="9" s="1"/>
  <c r="B151" i="9"/>
  <c r="B150" i="9"/>
  <c r="B149" i="9"/>
  <c r="B148" i="9"/>
  <c r="C147" i="9"/>
  <c r="E147" i="9" s="1"/>
  <c r="B147" i="9"/>
  <c r="C146" i="9"/>
  <c r="E146" i="9" s="1"/>
  <c r="B146" i="9"/>
  <c r="E145" i="9"/>
  <c r="D145" i="9"/>
  <c r="C145" i="9"/>
  <c r="B145" i="9"/>
  <c r="B144" i="9"/>
  <c r="D144" i="9" s="1"/>
  <c r="B143" i="9"/>
  <c r="B142" i="9"/>
  <c r="B141" i="9"/>
  <c r="E140" i="9"/>
  <c r="D140" i="9"/>
  <c r="C140" i="9"/>
  <c r="B140" i="9"/>
  <c r="D139" i="9"/>
  <c r="B139" i="9"/>
  <c r="B138" i="9"/>
  <c r="B137" i="9"/>
  <c r="D137" i="9" s="1"/>
  <c r="B136" i="9"/>
  <c r="B135" i="9"/>
  <c r="B134" i="9"/>
  <c r="D133" i="9"/>
  <c r="C133" i="9"/>
  <c r="E133" i="9" s="1"/>
  <c r="B133" i="9"/>
  <c r="B132" i="9"/>
  <c r="B131" i="9"/>
  <c r="B130" i="9"/>
  <c r="C129" i="9"/>
  <c r="E129" i="9" s="1"/>
  <c r="B129" i="9"/>
  <c r="B128" i="9"/>
  <c r="B127" i="9"/>
  <c r="B126" i="9"/>
  <c r="B125" i="9"/>
  <c r="B124" i="9"/>
  <c r="C123" i="9"/>
  <c r="E123" i="9" s="1"/>
  <c r="B123" i="9"/>
  <c r="D123" i="9" s="1"/>
  <c r="C122" i="9"/>
  <c r="E122" i="9" s="1"/>
  <c r="B122" i="9"/>
  <c r="D121" i="9"/>
  <c r="C121" i="9"/>
  <c r="E121" i="9" s="1"/>
  <c r="B121" i="9"/>
  <c r="B120" i="9"/>
  <c r="D119" i="9"/>
  <c r="B119" i="9"/>
  <c r="B118" i="9"/>
  <c r="B117" i="9"/>
  <c r="B116" i="9"/>
  <c r="D115" i="9"/>
  <c r="B115" i="9"/>
  <c r="B114" i="9"/>
  <c r="B113" i="9"/>
  <c r="C112" i="9"/>
  <c r="E112" i="9" s="1"/>
  <c r="B112" i="9"/>
  <c r="C111" i="9"/>
  <c r="E111" i="9" s="1"/>
  <c r="B111" i="9"/>
  <c r="D110" i="9"/>
  <c r="B110" i="9"/>
  <c r="B109" i="9"/>
  <c r="B108" i="9"/>
  <c r="B107" i="9"/>
  <c r="B106" i="9"/>
  <c r="B105" i="9"/>
  <c r="C104" i="9"/>
  <c r="E104" i="9" s="1"/>
  <c r="B104" i="9"/>
  <c r="D103" i="9"/>
  <c r="C103" i="9"/>
  <c r="E103" i="9" s="1"/>
  <c r="B103" i="9"/>
  <c r="C102" i="9"/>
  <c r="E102" i="9" s="1"/>
  <c r="B102" i="9"/>
  <c r="D101" i="9"/>
  <c r="C101" i="9"/>
  <c r="E101" i="9" s="1"/>
  <c r="B101" i="9"/>
  <c r="B100" i="9"/>
  <c r="C99" i="9"/>
  <c r="E99" i="9" s="1"/>
  <c r="B99" i="9"/>
  <c r="D98" i="9"/>
  <c r="C98" i="9"/>
  <c r="E98" i="9" s="1"/>
  <c r="B98" i="9"/>
  <c r="D97" i="9"/>
  <c r="C97" i="9"/>
  <c r="E97" i="9" s="1"/>
  <c r="B97" i="9"/>
  <c r="B96" i="9"/>
  <c r="B95" i="9"/>
  <c r="E94" i="9"/>
  <c r="C94" i="9"/>
  <c r="B94" i="9"/>
  <c r="C93" i="9"/>
  <c r="E93" i="9" s="1"/>
  <c r="B93" i="9"/>
  <c r="D92" i="9"/>
  <c r="B92" i="9"/>
  <c r="D91" i="9"/>
  <c r="B91" i="9"/>
  <c r="C92" i="9" s="1"/>
  <c r="E92" i="9" s="1"/>
  <c r="B90" i="9"/>
  <c r="D90" i="9" s="1"/>
  <c r="B89" i="9"/>
  <c r="C88" i="9"/>
  <c r="E88" i="9" s="1"/>
  <c r="B88" i="9"/>
  <c r="B87" i="9"/>
  <c r="D86" i="9"/>
  <c r="C86" i="9"/>
  <c r="E86" i="9" s="1"/>
  <c r="B86" i="9"/>
  <c r="D85" i="9"/>
  <c r="B85" i="9"/>
  <c r="B84" i="9"/>
  <c r="B83" i="9"/>
  <c r="B82" i="9"/>
  <c r="B81" i="9"/>
  <c r="B80" i="9"/>
  <c r="D79" i="9"/>
  <c r="B79" i="9"/>
  <c r="B78" i="9"/>
  <c r="C77" i="9"/>
  <c r="E77" i="9" s="1"/>
  <c r="B77" i="9"/>
  <c r="D77" i="9" s="1"/>
  <c r="B76" i="9"/>
  <c r="C75" i="9"/>
  <c r="E75" i="9" s="1"/>
  <c r="B75" i="9"/>
  <c r="C74" i="9"/>
  <c r="E74" i="9" s="1"/>
  <c r="B74" i="9"/>
  <c r="D73" i="9"/>
  <c r="C73" i="9"/>
  <c r="E73" i="9" s="1"/>
  <c r="B73" i="9"/>
  <c r="B72" i="9"/>
  <c r="D72" i="9" s="1"/>
  <c r="B71" i="9"/>
  <c r="B70" i="9"/>
  <c r="C69" i="9"/>
  <c r="E69" i="9" s="1"/>
  <c r="B69" i="9"/>
  <c r="E68" i="9"/>
  <c r="D68" i="9"/>
  <c r="C68" i="9"/>
  <c r="B68" i="9"/>
  <c r="D67" i="9"/>
  <c r="C67" i="9"/>
  <c r="E67" i="9" s="1"/>
  <c r="B67" i="9"/>
  <c r="C66" i="9"/>
  <c r="E66" i="9" s="1"/>
  <c r="B66" i="9"/>
  <c r="D65" i="9"/>
  <c r="B65" i="9"/>
  <c r="C65" i="9" s="1"/>
  <c r="E65" i="9" s="1"/>
  <c r="B64" i="9"/>
  <c r="B63" i="9"/>
  <c r="B62" i="9"/>
  <c r="E61" i="9"/>
  <c r="D61" i="9"/>
  <c r="C61" i="9"/>
  <c r="B61" i="9"/>
  <c r="B60" i="9"/>
  <c r="B59" i="9"/>
  <c r="C58" i="9"/>
  <c r="E58" i="9" s="1"/>
  <c r="B58" i="9"/>
  <c r="C57" i="9"/>
  <c r="E57" i="9" s="1"/>
  <c r="B57" i="9"/>
  <c r="D56" i="9"/>
  <c r="C56" i="9"/>
  <c r="E56" i="9" s="1"/>
  <c r="B56" i="9"/>
  <c r="B55" i="9"/>
  <c r="B54" i="9"/>
  <c r="B53" i="9"/>
  <c r="C52" i="9"/>
  <c r="E52" i="9" s="1"/>
  <c r="B52" i="9"/>
  <c r="C51" i="9"/>
  <c r="E51" i="9" s="1"/>
  <c r="B51" i="9"/>
  <c r="D51" i="9" s="1"/>
  <c r="C50" i="9"/>
  <c r="E50" i="9" s="1"/>
  <c r="B50" i="9"/>
  <c r="D49" i="9"/>
  <c r="C49" i="9"/>
  <c r="E49" i="9" s="1"/>
  <c r="B49" i="9"/>
  <c r="B48" i="9"/>
  <c r="D47" i="9"/>
  <c r="B47" i="9"/>
  <c r="B46" i="9"/>
  <c r="B45" i="9"/>
  <c r="B44" i="9"/>
  <c r="D43" i="9"/>
  <c r="B43" i="9"/>
  <c r="B42" i="9"/>
  <c r="B41" i="9"/>
  <c r="D40" i="9"/>
  <c r="B40" i="9"/>
  <c r="C40" i="9" s="1"/>
  <c r="E40" i="9" s="1"/>
  <c r="C39" i="9"/>
  <c r="E39" i="9" s="1"/>
  <c r="B39" i="9"/>
  <c r="D38" i="9"/>
  <c r="B38" i="9"/>
  <c r="B37" i="9"/>
  <c r="B36" i="9"/>
  <c r="B35" i="9"/>
  <c r="B34" i="9"/>
  <c r="B33" i="9"/>
  <c r="D32" i="9"/>
  <c r="C32" i="9"/>
  <c r="E32" i="9" s="1"/>
  <c r="B32" i="9"/>
  <c r="D31" i="9"/>
  <c r="C31" i="9"/>
  <c r="E31" i="9" s="1"/>
  <c r="B31" i="9"/>
  <c r="C30" i="9"/>
  <c r="E30" i="9" s="1"/>
  <c r="B30" i="9"/>
  <c r="D29" i="9"/>
  <c r="C29" i="9"/>
  <c r="E29" i="9" s="1"/>
  <c r="B29" i="9"/>
  <c r="B28" i="9"/>
  <c r="C27" i="9"/>
  <c r="E27" i="9" s="1"/>
  <c r="B27" i="9"/>
  <c r="E26" i="9"/>
  <c r="D26" i="9"/>
  <c r="C26" i="9"/>
  <c r="B26" i="9"/>
  <c r="D25" i="9"/>
  <c r="C25" i="9"/>
  <c r="E25" i="9" s="1"/>
  <c r="B25" i="9"/>
  <c r="B24" i="9"/>
  <c r="C23" i="9"/>
  <c r="E23" i="9" s="1"/>
  <c r="B23" i="9"/>
  <c r="C22" i="9"/>
  <c r="E22" i="9" s="1"/>
  <c r="B22" i="9"/>
  <c r="C21" i="9"/>
  <c r="E21" i="9" s="1"/>
  <c r="B21" i="9"/>
  <c r="D20" i="9"/>
  <c r="B20" i="9"/>
  <c r="D19" i="9"/>
  <c r="C19" i="9"/>
  <c r="E19" i="9" s="1"/>
  <c r="B19" i="9"/>
  <c r="C20" i="9" s="1"/>
  <c r="E20" i="9" s="1"/>
  <c r="B18" i="9"/>
  <c r="D18" i="9" s="1"/>
  <c r="B17" i="9"/>
  <c r="B16" i="9"/>
  <c r="B15" i="9"/>
  <c r="E14" i="9"/>
  <c r="D14" i="9"/>
  <c r="C14" i="9"/>
  <c r="B14" i="9"/>
  <c r="B13" i="9"/>
  <c r="B12" i="9"/>
  <c r="B11" i="9"/>
  <c r="B10" i="9"/>
  <c r="B9" i="9"/>
  <c r="C8" i="9"/>
  <c r="E8" i="9" s="1"/>
  <c r="B8" i="9"/>
  <c r="B7" i="9"/>
  <c r="C7" i="9" s="1"/>
  <c r="E7" i="9" s="1"/>
  <c r="E6" i="9"/>
  <c r="B6" i="9"/>
  <c r="B308" i="8"/>
  <c r="B307" i="8"/>
  <c r="D306" i="8"/>
  <c r="B306" i="8"/>
  <c r="B305" i="8"/>
  <c r="B304" i="8"/>
  <c r="D303" i="8"/>
  <c r="B303" i="8"/>
  <c r="B302" i="8"/>
  <c r="B301" i="8"/>
  <c r="D300" i="8"/>
  <c r="B300" i="8"/>
  <c r="B299" i="8"/>
  <c r="B298" i="8"/>
  <c r="C297" i="8"/>
  <c r="E297" i="8" s="1"/>
  <c r="B297" i="8"/>
  <c r="B296" i="8"/>
  <c r="E295" i="8"/>
  <c r="U33" i="4" s="1"/>
  <c r="D295" i="8"/>
  <c r="B295" i="8"/>
  <c r="C295" i="8" s="1"/>
  <c r="D294" i="8"/>
  <c r="B294" i="8"/>
  <c r="C294" i="8" s="1"/>
  <c r="E294" i="8" s="1"/>
  <c r="U32" i="4" s="1"/>
  <c r="B293" i="8"/>
  <c r="D292" i="8"/>
  <c r="B292" i="8"/>
  <c r="B291" i="8"/>
  <c r="B290" i="8"/>
  <c r="E289" i="8"/>
  <c r="U27" i="4" s="1"/>
  <c r="B289" i="8"/>
  <c r="C289" i="8" s="1"/>
  <c r="D288" i="8"/>
  <c r="B288" i="8"/>
  <c r="B287" i="8"/>
  <c r="B286" i="8"/>
  <c r="C285" i="8"/>
  <c r="B285" i="8"/>
  <c r="D285" i="8" s="1"/>
  <c r="B284" i="8"/>
  <c r="B283" i="8"/>
  <c r="D282" i="8"/>
  <c r="B282" i="8"/>
  <c r="B281" i="8"/>
  <c r="D280" i="8"/>
  <c r="C280" i="8"/>
  <c r="B280" i="8"/>
  <c r="C279" i="8"/>
  <c r="E279" i="8" s="1"/>
  <c r="B279" i="8"/>
  <c r="B278" i="8"/>
  <c r="B277" i="8"/>
  <c r="D276" i="8"/>
  <c r="B276" i="8"/>
  <c r="B275" i="8"/>
  <c r="D274" i="8"/>
  <c r="B274" i="8"/>
  <c r="B273" i="8"/>
  <c r="B272" i="8"/>
  <c r="D271" i="8"/>
  <c r="B271" i="8"/>
  <c r="B270" i="8"/>
  <c r="B269" i="8"/>
  <c r="B268" i="8"/>
  <c r="D267" i="8"/>
  <c r="B267" i="8"/>
  <c r="B266" i="8"/>
  <c r="D270" i="8" s="1"/>
  <c r="B265" i="8"/>
  <c r="D264" i="8"/>
  <c r="B264" i="8"/>
  <c r="B263" i="8"/>
  <c r="B262" i="8"/>
  <c r="C261" i="8"/>
  <c r="E261" i="8" s="1"/>
  <c r="B261" i="8"/>
  <c r="B260" i="8"/>
  <c r="B259" i="8"/>
  <c r="D258" i="8"/>
  <c r="B258" i="8"/>
  <c r="C258" i="8" s="1"/>
  <c r="E258" i="8" s="1"/>
  <c r="B257" i="8"/>
  <c r="D256" i="8"/>
  <c r="B256" i="8"/>
  <c r="D255" i="8"/>
  <c r="B255" i="8"/>
  <c r="B254" i="8"/>
  <c r="E253" i="8"/>
  <c r="B253" i="8"/>
  <c r="C253" i="8" s="1"/>
  <c r="D252" i="8"/>
  <c r="B252" i="8"/>
  <c r="B251" i="8"/>
  <c r="B250" i="8"/>
  <c r="C249" i="8"/>
  <c r="E249" i="8" s="1"/>
  <c r="B249" i="8"/>
  <c r="D249" i="8" s="1"/>
  <c r="B248" i="8"/>
  <c r="E247" i="8"/>
  <c r="B247" i="8"/>
  <c r="C247" i="8" s="1"/>
  <c r="D246" i="8"/>
  <c r="B246" i="8"/>
  <c r="B245" i="8"/>
  <c r="B244" i="8"/>
  <c r="C243" i="8"/>
  <c r="E243" i="8" s="1"/>
  <c r="B243" i="8"/>
  <c r="B242" i="8"/>
  <c r="B241" i="8"/>
  <c r="D240" i="8"/>
  <c r="B240" i="8"/>
  <c r="B239" i="8"/>
  <c r="D238" i="8"/>
  <c r="B238" i="8"/>
  <c r="B237" i="8"/>
  <c r="B236" i="8"/>
  <c r="E235" i="8"/>
  <c r="D235" i="8"/>
  <c r="B235" i="8"/>
  <c r="C235" i="8" s="1"/>
  <c r="B234" i="8"/>
  <c r="B233" i="8"/>
  <c r="B232" i="8"/>
  <c r="D231" i="8"/>
  <c r="B231" i="8"/>
  <c r="B230" i="8"/>
  <c r="E229" i="8"/>
  <c r="B229" i="8"/>
  <c r="C229" i="8" s="1"/>
  <c r="D228" i="8"/>
  <c r="B228" i="8"/>
  <c r="B227" i="8"/>
  <c r="B226" i="8"/>
  <c r="C225" i="8"/>
  <c r="E225" i="8" s="1"/>
  <c r="B225" i="8"/>
  <c r="B224" i="8"/>
  <c r="E223" i="8"/>
  <c r="B223" i="8"/>
  <c r="C223" i="8" s="1"/>
  <c r="D222" i="8"/>
  <c r="B222" i="8"/>
  <c r="C222" i="8" s="1"/>
  <c r="E222" i="8" s="1"/>
  <c r="B221" i="8"/>
  <c r="D220" i="8"/>
  <c r="B220" i="8"/>
  <c r="D219" i="8"/>
  <c r="B219" i="8"/>
  <c r="B218" i="8"/>
  <c r="E217" i="8"/>
  <c r="B217" i="8"/>
  <c r="C217" i="8" s="1"/>
  <c r="D216" i="8"/>
  <c r="B216" i="8"/>
  <c r="B215" i="8"/>
  <c r="B214" i="8"/>
  <c r="C213" i="8"/>
  <c r="E213" i="8" s="1"/>
  <c r="B213" i="8"/>
  <c r="B212" i="8"/>
  <c r="E211" i="8"/>
  <c r="B211" i="8"/>
  <c r="C211" i="8" s="1"/>
  <c r="D210" i="8"/>
  <c r="B210" i="8"/>
  <c r="B209" i="8"/>
  <c r="B208" i="8"/>
  <c r="C207" i="8"/>
  <c r="E207" i="8" s="1"/>
  <c r="B207" i="8"/>
  <c r="B206" i="8"/>
  <c r="B205" i="8"/>
  <c r="D204" i="8"/>
  <c r="B204" i="8"/>
  <c r="B203" i="8"/>
  <c r="D202" i="8"/>
  <c r="B202" i="8"/>
  <c r="B201" i="8"/>
  <c r="C201" i="8" s="1"/>
  <c r="E201" i="8" s="1"/>
  <c r="B200" i="8"/>
  <c r="B199" i="8"/>
  <c r="E198" i="8"/>
  <c r="B198" i="8"/>
  <c r="C198" i="8" s="1"/>
  <c r="B197" i="8"/>
  <c r="B196" i="8"/>
  <c r="D195" i="8"/>
  <c r="B195" i="8"/>
  <c r="B194" i="8"/>
  <c r="E193" i="8"/>
  <c r="B193" i="8"/>
  <c r="C193" i="8" s="1"/>
  <c r="D192" i="8"/>
  <c r="B192" i="8"/>
  <c r="B191" i="8"/>
  <c r="B190" i="8"/>
  <c r="C189" i="8"/>
  <c r="E189" i="8" s="1"/>
  <c r="B189" i="8"/>
  <c r="B188" i="8"/>
  <c r="B187" i="8"/>
  <c r="D186" i="8"/>
  <c r="B186" i="8"/>
  <c r="C186" i="8" s="1"/>
  <c r="E186" i="8" s="1"/>
  <c r="B185" i="8"/>
  <c r="D184" i="8"/>
  <c r="B184" i="8"/>
  <c r="C184" i="8" s="1"/>
  <c r="E184" i="8" s="1"/>
  <c r="B183" i="8"/>
  <c r="E183" i="5" s="1"/>
  <c r="J183" i="5" s="1"/>
  <c r="B182" i="8"/>
  <c r="E181" i="8"/>
  <c r="B181" i="8"/>
  <c r="C181" i="8" s="1"/>
  <c r="D180" i="8"/>
  <c r="B180" i="8"/>
  <c r="B179" i="8"/>
  <c r="B178" i="8"/>
  <c r="D177" i="8"/>
  <c r="C177" i="8"/>
  <c r="E177" i="8" s="1"/>
  <c r="B177" i="8"/>
  <c r="B176" i="8"/>
  <c r="E175" i="8"/>
  <c r="B175" i="8"/>
  <c r="C175" i="8" s="1"/>
  <c r="D174" i="8"/>
  <c r="B174" i="8"/>
  <c r="B173" i="8"/>
  <c r="D172" i="8"/>
  <c r="C172" i="8"/>
  <c r="E172" i="8" s="1"/>
  <c r="B172" i="8"/>
  <c r="C171" i="8"/>
  <c r="E171" i="8" s="1"/>
  <c r="B171" i="8"/>
  <c r="B170" i="8"/>
  <c r="B169" i="8"/>
  <c r="D168" i="8"/>
  <c r="B168" i="8"/>
  <c r="B167" i="8"/>
  <c r="D166" i="8"/>
  <c r="B166" i="8"/>
  <c r="B165" i="8"/>
  <c r="C165" i="8" s="1"/>
  <c r="E165" i="8" s="1"/>
  <c r="B164" i="8"/>
  <c r="E163" i="8"/>
  <c r="D163" i="8"/>
  <c r="B163" i="8"/>
  <c r="C163" i="8" s="1"/>
  <c r="E162" i="8"/>
  <c r="B162" i="8"/>
  <c r="C162" i="8" s="1"/>
  <c r="B161" i="8"/>
  <c r="B160" i="8"/>
  <c r="D159" i="8"/>
  <c r="B159" i="8"/>
  <c r="B158" i="8"/>
  <c r="E157" i="8"/>
  <c r="B157" i="8"/>
  <c r="C157" i="8" s="1"/>
  <c r="D156" i="8"/>
  <c r="B156" i="8"/>
  <c r="B155" i="8"/>
  <c r="B154" i="8"/>
  <c r="C153" i="8"/>
  <c r="E153" i="8" s="1"/>
  <c r="B153" i="8"/>
  <c r="B152" i="8"/>
  <c r="B151" i="8"/>
  <c r="E151" i="5" s="1"/>
  <c r="D150" i="8"/>
  <c r="B150" i="8"/>
  <c r="C150" i="8" s="1"/>
  <c r="E150" i="8" s="1"/>
  <c r="B149" i="8"/>
  <c r="D148" i="8"/>
  <c r="B148" i="8"/>
  <c r="B147" i="8"/>
  <c r="C147" i="8" s="1"/>
  <c r="E147" i="8" s="1"/>
  <c r="B146" i="8"/>
  <c r="E145" i="8"/>
  <c r="B145" i="8"/>
  <c r="C145" i="8" s="1"/>
  <c r="D144" i="8"/>
  <c r="B144" i="8"/>
  <c r="B143" i="8"/>
  <c r="B142" i="8"/>
  <c r="C141" i="8"/>
  <c r="E141" i="8" s="1"/>
  <c r="B141" i="8"/>
  <c r="D141" i="8" s="1"/>
  <c r="B140" i="8"/>
  <c r="E139" i="8"/>
  <c r="B139" i="8"/>
  <c r="C139" i="8" s="1"/>
  <c r="D138" i="8"/>
  <c r="B138" i="8"/>
  <c r="B137" i="8"/>
  <c r="B136" i="8"/>
  <c r="C135" i="8"/>
  <c r="E135" i="8" s="1"/>
  <c r="B135" i="8"/>
  <c r="B134" i="8"/>
  <c r="B133" i="8"/>
  <c r="D132" i="8"/>
  <c r="B132" i="8"/>
  <c r="C132" i="8" s="1"/>
  <c r="E132" i="8" s="1"/>
  <c r="B131" i="8"/>
  <c r="D130" i="8"/>
  <c r="B130" i="8"/>
  <c r="B129" i="8"/>
  <c r="C129" i="8" s="1"/>
  <c r="E129" i="8" s="1"/>
  <c r="B128" i="8"/>
  <c r="D127" i="8"/>
  <c r="B127" i="8"/>
  <c r="C127" i="8" s="1"/>
  <c r="E127" i="8" s="1"/>
  <c r="D126" i="8"/>
  <c r="B126" i="8"/>
  <c r="C126" i="8" s="1"/>
  <c r="E126" i="8" s="1"/>
  <c r="B125" i="8"/>
  <c r="B124" i="8"/>
  <c r="D123" i="8"/>
  <c r="B123" i="8"/>
  <c r="B122" i="8"/>
  <c r="E121" i="8"/>
  <c r="B121" i="8"/>
  <c r="C121" i="8" s="1"/>
  <c r="D120" i="8"/>
  <c r="B120" i="8"/>
  <c r="B119" i="8"/>
  <c r="B118" i="8"/>
  <c r="C117" i="8"/>
  <c r="E117" i="8" s="1"/>
  <c r="B117" i="8"/>
  <c r="B116" i="8"/>
  <c r="B115" i="8"/>
  <c r="D114" i="8"/>
  <c r="B114" i="8"/>
  <c r="C114" i="8" s="1"/>
  <c r="E114" i="8" s="1"/>
  <c r="B113" i="8"/>
  <c r="D112" i="8"/>
  <c r="B112" i="8"/>
  <c r="C112" i="8" s="1"/>
  <c r="E112" i="8" s="1"/>
  <c r="B111" i="8"/>
  <c r="B110" i="8"/>
  <c r="E109" i="8"/>
  <c r="B109" i="8"/>
  <c r="C109" i="8" s="1"/>
  <c r="D108" i="8"/>
  <c r="B108" i="8"/>
  <c r="B107" i="8"/>
  <c r="B106" i="8"/>
  <c r="D105" i="8"/>
  <c r="C105" i="8"/>
  <c r="E105" i="8" s="1"/>
  <c r="B105" i="8"/>
  <c r="B104" i="8"/>
  <c r="E103" i="8"/>
  <c r="B103" i="8"/>
  <c r="C103" i="8" s="1"/>
  <c r="D102" i="8"/>
  <c r="B102" i="8"/>
  <c r="B101" i="8"/>
  <c r="D100" i="8"/>
  <c r="C100" i="8"/>
  <c r="E100" i="8" s="1"/>
  <c r="B100" i="8"/>
  <c r="C99" i="8"/>
  <c r="E99" i="8" s="1"/>
  <c r="B99" i="8"/>
  <c r="B98" i="8"/>
  <c r="B97" i="8"/>
  <c r="D96" i="8"/>
  <c r="B96" i="8"/>
  <c r="C96" i="8" s="1"/>
  <c r="E96" i="8" s="1"/>
  <c r="B95" i="8"/>
  <c r="D94" i="8"/>
  <c r="B94" i="8"/>
  <c r="B93" i="8"/>
  <c r="C93" i="8" s="1"/>
  <c r="E93" i="8" s="1"/>
  <c r="B92" i="8"/>
  <c r="E91" i="8"/>
  <c r="D91" i="8"/>
  <c r="B91" i="8"/>
  <c r="C91" i="8" s="1"/>
  <c r="D90" i="8"/>
  <c r="B90" i="8"/>
  <c r="C90" i="8" s="1"/>
  <c r="E90" i="8" s="1"/>
  <c r="B89" i="8"/>
  <c r="B88" i="8"/>
  <c r="D87" i="8"/>
  <c r="B87" i="8"/>
  <c r="B86" i="8"/>
  <c r="E85" i="8"/>
  <c r="B85" i="8"/>
  <c r="C85" i="8" s="1"/>
  <c r="D84" i="8"/>
  <c r="B84" i="8"/>
  <c r="B83" i="8"/>
  <c r="B82" i="8"/>
  <c r="C81" i="8"/>
  <c r="E81" i="8" s="1"/>
  <c r="B81" i="8"/>
  <c r="B80" i="8"/>
  <c r="B79" i="8"/>
  <c r="D78" i="8"/>
  <c r="B78" i="8"/>
  <c r="C78" i="8" s="1"/>
  <c r="E78" i="8" s="1"/>
  <c r="B77" i="8"/>
  <c r="D76" i="8"/>
  <c r="B76" i="8"/>
  <c r="B75" i="8"/>
  <c r="B74" i="8"/>
  <c r="E73" i="8"/>
  <c r="B73" i="8"/>
  <c r="C73" i="8" s="1"/>
  <c r="D72" i="8"/>
  <c r="B72" i="8"/>
  <c r="B71" i="8"/>
  <c r="B70" i="8"/>
  <c r="D69" i="8"/>
  <c r="B69" i="8"/>
  <c r="C69" i="8" s="1"/>
  <c r="E69" i="8" s="1"/>
  <c r="B68" i="8"/>
  <c r="E67" i="8"/>
  <c r="B67" i="8"/>
  <c r="C67" i="8" s="1"/>
  <c r="D66" i="8"/>
  <c r="B66" i="8"/>
  <c r="B65" i="8"/>
  <c r="D64" i="8"/>
  <c r="B64" i="8"/>
  <c r="E64" i="5" s="1"/>
  <c r="C63" i="8"/>
  <c r="E63" i="8" s="1"/>
  <c r="B63" i="8"/>
  <c r="B62" i="8"/>
  <c r="B61" i="8"/>
  <c r="D60" i="8"/>
  <c r="B60" i="8"/>
  <c r="B59" i="8"/>
  <c r="E59" i="5" s="1"/>
  <c r="D58" i="8"/>
  <c r="B58" i="8"/>
  <c r="B57" i="8"/>
  <c r="C57" i="8" s="1"/>
  <c r="E57" i="8" s="1"/>
  <c r="B56" i="8"/>
  <c r="B55" i="8"/>
  <c r="C55" i="8" s="1"/>
  <c r="E55" i="8" s="1"/>
  <c r="B54" i="8"/>
  <c r="C54" i="8" s="1"/>
  <c r="E54" i="8" s="1"/>
  <c r="B53" i="8"/>
  <c r="B52" i="8"/>
  <c r="D51" i="8"/>
  <c r="B51" i="8"/>
  <c r="B50" i="8"/>
  <c r="D54" i="8" s="1"/>
  <c r="E49" i="8"/>
  <c r="B49" i="8"/>
  <c r="C49" i="8" s="1"/>
  <c r="D48" i="8"/>
  <c r="B48" i="8"/>
  <c r="B47" i="8"/>
  <c r="B46" i="8"/>
  <c r="C45" i="8"/>
  <c r="E45" i="8" s="1"/>
  <c r="B45" i="8"/>
  <c r="B44" i="8"/>
  <c r="B43" i="8"/>
  <c r="D42" i="8"/>
  <c r="B42" i="8"/>
  <c r="C42" i="8" s="1"/>
  <c r="E42" i="8" s="1"/>
  <c r="B41" i="8"/>
  <c r="D40" i="8"/>
  <c r="B40" i="8"/>
  <c r="C40" i="8" s="1"/>
  <c r="E40" i="8" s="1"/>
  <c r="E39" i="8"/>
  <c r="D39" i="8"/>
  <c r="B39" i="8"/>
  <c r="C39" i="8" s="1"/>
  <c r="B38" i="8"/>
  <c r="E37" i="8"/>
  <c r="B37" i="8"/>
  <c r="C37" i="8" s="1"/>
  <c r="D36" i="8"/>
  <c r="B36" i="8"/>
  <c r="B35" i="8"/>
  <c r="B34" i="8"/>
  <c r="D33" i="8"/>
  <c r="C33" i="8"/>
  <c r="E33" i="8" s="1"/>
  <c r="B33" i="8"/>
  <c r="B32" i="8"/>
  <c r="E31" i="8"/>
  <c r="B31" i="8"/>
  <c r="C31" i="8" s="1"/>
  <c r="B30" i="8"/>
  <c r="B29" i="8"/>
  <c r="D28" i="8"/>
  <c r="B28" i="8"/>
  <c r="B27" i="8"/>
  <c r="C26" i="8"/>
  <c r="E26" i="8" s="1"/>
  <c r="B26" i="8"/>
  <c r="D26" i="8" s="1"/>
  <c r="D25" i="8"/>
  <c r="B25" i="8"/>
  <c r="C25" i="8" s="1"/>
  <c r="E25" i="8" s="1"/>
  <c r="E24" i="8"/>
  <c r="B24" i="8"/>
  <c r="C24" i="8" s="1"/>
  <c r="D23" i="8"/>
  <c r="C23" i="8"/>
  <c r="E23" i="8" s="1"/>
  <c r="B23" i="8"/>
  <c r="D22" i="8"/>
  <c r="B22" i="8"/>
  <c r="B21" i="8"/>
  <c r="B20" i="8"/>
  <c r="B19" i="8"/>
  <c r="C19" i="8" s="1"/>
  <c r="E19" i="8" s="1"/>
  <c r="B18" i="8"/>
  <c r="C18" i="8" s="1"/>
  <c r="E18" i="8" s="1"/>
  <c r="D17" i="8"/>
  <c r="C17" i="8"/>
  <c r="E17" i="8" s="1"/>
  <c r="B17" i="8"/>
  <c r="D16" i="8"/>
  <c r="B16" i="8"/>
  <c r="B15" i="8"/>
  <c r="B14" i="8"/>
  <c r="D14" i="8" s="1"/>
  <c r="E13" i="8"/>
  <c r="D13" i="8"/>
  <c r="B13" i="8"/>
  <c r="C13" i="8" s="1"/>
  <c r="B12" i="8"/>
  <c r="E11" i="8"/>
  <c r="C11" i="8"/>
  <c r="B11" i="8"/>
  <c r="D10" i="8"/>
  <c r="B10" i="8"/>
  <c r="C10" i="8" s="1"/>
  <c r="E10" i="8" s="1"/>
  <c r="B9" i="8"/>
  <c r="B8" i="8"/>
  <c r="B7" i="8"/>
  <c r="E6" i="8"/>
  <c r="B6" i="8"/>
  <c r="D308" i="7"/>
  <c r="B308" i="7"/>
  <c r="D307" i="7"/>
  <c r="B307" i="7"/>
  <c r="D306" i="7"/>
  <c r="C306" i="7"/>
  <c r="E306" i="7" s="1"/>
  <c r="P44" i="4" s="1"/>
  <c r="B306" i="7"/>
  <c r="C305" i="7"/>
  <c r="E305" i="7" s="1"/>
  <c r="B305" i="7"/>
  <c r="D304" i="7"/>
  <c r="C304" i="7"/>
  <c r="E304" i="7" s="1"/>
  <c r="B304" i="7"/>
  <c r="D303" i="7"/>
  <c r="C303" i="7"/>
  <c r="E303" i="7" s="1"/>
  <c r="P41" i="4" s="1"/>
  <c r="B303" i="7"/>
  <c r="D302" i="7"/>
  <c r="C302" i="7"/>
  <c r="B302" i="7"/>
  <c r="B301" i="7"/>
  <c r="D300" i="7"/>
  <c r="C300" i="7"/>
  <c r="E300" i="7" s="1"/>
  <c r="B300" i="7"/>
  <c r="D299" i="7"/>
  <c r="B299" i="7"/>
  <c r="B298" i="7"/>
  <c r="D297" i="7"/>
  <c r="C297" i="7"/>
  <c r="E297" i="7" s="1"/>
  <c r="P35" i="4" s="1"/>
  <c r="B297" i="7"/>
  <c r="D296" i="7"/>
  <c r="C296" i="7"/>
  <c r="E296" i="7" s="1"/>
  <c r="B296" i="7"/>
  <c r="D295" i="7"/>
  <c r="B295" i="7"/>
  <c r="C295" i="7" s="1"/>
  <c r="E294" i="7"/>
  <c r="P32" i="4" s="1"/>
  <c r="D294" i="7"/>
  <c r="C294" i="7"/>
  <c r="B294" i="7"/>
  <c r="D293" i="7"/>
  <c r="C293" i="7"/>
  <c r="B293" i="7"/>
  <c r="D292" i="7"/>
  <c r="C292" i="7"/>
  <c r="E292" i="7" s="1"/>
  <c r="P30" i="4" s="1"/>
  <c r="B292" i="7"/>
  <c r="D291" i="7"/>
  <c r="C291" i="7"/>
  <c r="E291" i="7" s="1"/>
  <c r="B291" i="7"/>
  <c r="D290" i="7"/>
  <c r="C290" i="7"/>
  <c r="E290" i="7" s="1"/>
  <c r="B290" i="7"/>
  <c r="B289" i="7"/>
  <c r="D289" i="7" s="1"/>
  <c r="D288" i="7"/>
  <c r="C288" i="7"/>
  <c r="E288" i="7" s="1"/>
  <c r="B288" i="7"/>
  <c r="C287" i="7"/>
  <c r="B287" i="7"/>
  <c r="D286" i="7"/>
  <c r="C286" i="7"/>
  <c r="E286" i="7" s="1"/>
  <c r="P24" i="4" s="1"/>
  <c r="B286" i="7"/>
  <c r="E285" i="7"/>
  <c r="D285" i="7"/>
  <c r="C285" i="7"/>
  <c r="B285" i="7"/>
  <c r="B284" i="7"/>
  <c r="D283" i="7"/>
  <c r="B283" i="7"/>
  <c r="E282" i="7"/>
  <c r="D282" i="7"/>
  <c r="C282" i="7"/>
  <c r="B282" i="7"/>
  <c r="B281" i="7"/>
  <c r="D280" i="7"/>
  <c r="B280" i="7"/>
  <c r="E279" i="7"/>
  <c r="P17" i="4" s="1"/>
  <c r="D279" i="7"/>
  <c r="C279" i="7"/>
  <c r="B279" i="7"/>
  <c r="B278" i="7"/>
  <c r="B277" i="7"/>
  <c r="D276" i="7"/>
  <c r="C276" i="7"/>
  <c r="B276" i="7"/>
  <c r="B275" i="7"/>
  <c r="B274" i="7"/>
  <c r="E273" i="7"/>
  <c r="D273" i="7"/>
  <c r="C273" i="7"/>
  <c r="B273" i="7"/>
  <c r="D272" i="7"/>
  <c r="B272" i="7"/>
  <c r="B271" i="7"/>
  <c r="E270" i="7"/>
  <c r="D270" i="7"/>
  <c r="C270" i="7"/>
  <c r="B270" i="7"/>
  <c r="C269" i="7"/>
  <c r="E269" i="7" s="1"/>
  <c r="B269" i="7"/>
  <c r="D268" i="7"/>
  <c r="C268" i="7"/>
  <c r="E268" i="7" s="1"/>
  <c r="B268" i="7"/>
  <c r="D267" i="7"/>
  <c r="C267" i="7"/>
  <c r="B267" i="7"/>
  <c r="B266" i="7"/>
  <c r="B265" i="7"/>
  <c r="D264" i="7"/>
  <c r="C264" i="7"/>
  <c r="E264" i="7" s="1"/>
  <c r="B264" i="7"/>
  <c r="D263" i="7"/>
  <c r="C263" i="7"/>
  <c r="E263" i="7" s="1"/>
  <c r="B263" i="7"/>
  <c r="B262" i="7"/>
  <c r="E261" i="7"/>
  <c r="D261" i="7"/>
  <c r="C261" i="7"/>
  <c r="B261" i="7"/>
  <c r="D260" i="7"/>
  <c r="C260" i="7"/>
  <c r="E260" i="7" s="1"/>
  <c r="B260" i="7"/>
  <c r="E259" i="7"/>
  <c r="D259" i="7"/>
  <c r="B259" i="7"/>
  <c r="C259" i="7" s="1"/>
  <c r="E258" i="7"/>
  <c r="D258" i="7"/>
  <c r="C258" i="7"/>
  <c r="B258" i="7"/>
  <c r="C257" i="7"/>
  <c r="E257" i="7" s="1"/>
  <c r="B257" i="7"/>
  <c r="E256" i="7"/>
  <c r="D256" i="7"/>
  <c r="C256" i="7"/>
  <c r="B256" i="7"/>
  <c r="D255" i="7"/>
  <c r="C255" i="7"/>
  <c r="E255" i="7" s="1"/>
  <c r="B255" i="7"/>
  <c r="B254" i="7"/>
  <c r="E253" i="7"/>
  <c r="D253" i="7"/>
  <c r="C253" i="7"/>
  <c r="B253" i="7"/>
  <c r="D252" i="7"/>
  <c r="C252" i="7"/>
  <c r="E252" i="7" s="1"/>
  <c r="B252" i="7"/>
  <c r="B251" i="7"/>
  <c r="B250" i="7"/>
  <c r="E249" i="7"/>
  <c r="D249" i="7"/>
  <c r="C249" i="7"/>
  <c r="B249" i="7"/>
  <c r="D248" i="7"/>
  <c r="B248" i="7"/>
  <c r="B247" i="7"/>
  <c r="E246" i="7"/>
  <c r="D246" i="7"/>
  <c r="C246" i="7"/>
  <c r="B246" i="7"/>
  <c r="D245" i="7"/>
  <c r="C245" i="7"/>
  <c r="E245" i="7" s="1"/>
  <c r="B245" i="7"/>
  <c r="B244" i="7"/>
  <c r="D244" i="7" s="1"/>
  <c r="E243" i="7"/>
  <c r="D243" i="7"/>
  <c r="C243" i="7"/>
  <c r="B243" i="7"/>
  <c r="B242" i="7"/>
  <c r="D241" i="7"/>
  <c r="C241" i="7"/>
  <c r="E241" i="7" s="1"/>
  <c r="B241" i="7"/>
  <c r="C242" i="7" s="1"/>
  <c r="E242" i="7" s="1"/>
  <c r="D240" i="7"/>
  <c r="C240" i="7"/>
  <c r="E240" i="7" s="1"/>
  <c r="B240" i="7"/>
  <c r="B239" i="7"/>
  <c r="E238" i="7"/>
  <c r="C238" i="7"/>
  <c r="B238" i="7"/>
  <c r="D237" i="7"/>
  <c r="C237" i="7"/>
  <c r="E237" i="7" s="1"/>
  <c r="B237" i="7"/>
  <c r="D236" i="7"/>
  <c r="B236" i="7"/>
  <c r="D235" i="7"/>
  <c r="B235" i="7"/>
  <c r="D234" i="7"/>
  <c r="C234" i="7"/>
  <c r="E234" i="7" s="1"/>
  <c r="B234" i="7"/>
  <c r="C233" i="7"/>
  <c r="E233" i="7" s="1"/>
  <c r="B233" i="7"/>
  <c r="D232" i="7"/>
  <c r="C232" i="7"/>
  <c r="E232" i="7" s="1"/>
  <c r="B232" i="7"/>
  <c r="E231" i="7"/>
  <c r="D231" i="7"/>
  <c r="C231" i="7"/>
  <c r="B231" i="7"/>
  <c r="C230" i="7"/>
  <c r="E230" i="7" s="1"/>
  <c r="B230" i="7"/>
  <c r="B229" i="7"/>
  <c r="D228" i="7"/>
  <c r="C228" i="7"/>
  <c r="E228" i="7" s="1"/>
  <c r="B228" i="7"/>
  <c r="D227" i="7"/>
  <c r="B227" i="7"/>
  <c r="B226" i="7"/>
  <c r="E225" i="7"/>
  <c r="D225" i="7"/>
  <c r="C225" i="7"/>
  <c r="B225" i="7"/>
  <c r="D224" i="7"/>
  <c r="C224" i="7"/>
  <c r="E224" i="7" s="1"/>
  <c r="B224" i="7"/>
  <c r="E223" i="7"/>
  <c r="D223" i="7"/>
  <c r="B223" i="7"/>
  <c r="C223" i="7" s="1"/>
  <c r="E222" i="7"/>
  <c r="D222" i="7"/>
  <c r="C222" i="7"/>
  <c r="B222" i="7"/>
  <c r="D221" i="7"/>
  <c r="C221" i="7"/>
  <c r="E221" i="7" s="1"/>
  <c r="B221" i="7"/>
  <c r="D220" i="7"/>
  <c r="C220" i="7"/>
  <c r="E220" i="7" s="1"/>
  <c r="B220" i="7"/>
  <c r="D219" i="7"/>
  <c r="C219" i="7"/>
  <c r="E219" i="7" s="1"/>
  <c r="B219" i="7"/>
  <c r="D218" i="7"/>
  <c r="C218" i="7"/>
  <c r="E218" i="7" s="1"/>
  <c r="B218" i="7"/>
  <c r="B217" i="7"/>
  <c r="D217" i="7" s="1"/>
  <c r="D216" i="7"/>
  <c r="C216" i="7"/>
  <c r="E216" i="7" s="1"/>
  <c r="B216" i="7"/>
  <c r="B215" i="7"/>
  <c r="B214" i="7"/>
  <c r="E213" i="7"/>
  <c r="D213" i="7"/>
  <c r="C213" i="7"/>
  <c r="B213" i="7"/>
  <c r="B212" i="7"/>
  <c r="D211" i="7"/>
  <c r="B211" i="7"/>
  <c r="E210" i="7"/>
  <c r="D210" i="7"/>
  <c r="C210" i="7"/>
  <c r="B210" i="7"/>
  <c r="B209" i="7"/>
  <c r="D208" i="7"/>
  <c r="B208" i="7"/>
  <c r="E207" i="7"/>
  <c r="D207" i="7"/>
  <c r="C207" i="7"/>
  <c r="B207" i="7"/>
  <c r="B206" i="7"/>
  <c r="D205" i="7"/>
  <c r="B205" i="7"/>
  <c r="D204" i="7"/>
  <c r="C204" i="7"/>
  <c r="E204" i="7" s="1"/>
  <c r="B204" i="7"/>
  <c r="B203" i="7"/>
  <c r="B202" i="7"/>
  <c r="E201" i="7"/>
  <c r="D201" i="7"/>
  <c r="C201" i="7"/>
  <c r="B201" i="7"/>
  <c r="D200" i="7"/>
  <c r="B200" i="7"/>
  <c r="D199" i="7"/>
  <c r="B199" i="7"/>
  <c r="E198" i="7"/>
  <c r="D198" i="7"/>
  <c r="C198" i="7"/>
  <c r="B198" i="7"/>
  <c r="D197" i="7"/>
  <c r="C197" i="7"/>
  <c r="E197" i="7" s="1"/>
  <c r="B197" i="7"/>
  <c r="D196" i="7"/>
  <c r="C196" i="7"/>
  <c r="E196" i="7" s="1"/>
  <c r="B196" i="7"/>
  <c r="D195" i="7"/>
  <c r="C195" i="7"/>
  <c r="E195" i="7" s="1"/>
  <c r="B195" i="7"/>
  <c r="B194" i="7"/>
  <c r="B193" i="7"/>
  <c r="D192" i="7"/>
  <c r="C192" i="7"/>
  <c r="E192" i="7" s="1"/>
  <c r="B192" i="7"/>
  <c r="D191" i="7"/>
  <c r="C191" i="7"/>
  <c r="E191" i="7" s="1"/>
  <c r="B191" i="7"/>
  <c r="B190" i="7"/>
  <c r="E189" i="7"/>
  <c r="D189" i="7"/>
  <c r="C189" i="7"/>
  <c r="B189" i="7"/>
  <c r="D188" i="7"/>
  <c r="C188" i="7"/>
  <c r="E188" i="7" s="1"/>
  <c r="B188" i="7"/>
  <c r="E187" i="7"/>
  <c r="D187" i="7"/>
  <c r="B187" i="7"/>
  <c r="C187" i="7" s="1"/>
  <c r="E186" i="7"/>
  <c r="D186" i="7"/>
  <c r="C186" i="7"/>
  <c r="B186" i="7"/>
  <c r="C185" i="7"/>
  <c r="E185" i="7" s="1"/>
  <c r="B185" i="7"/>
  <c r="D184" i="7"/>
  <c r="C184" i="7"/>
  <c r="E184" i="7" s="1"/>
  <c r="B184" i="7"/>
  <c r="D183" i="7"/>
  <c r="C183" i="7"/>
  <c r="E183" i="7" s="1"/>
  <c r="B183" i="7"/>
  <c r="C182" i="7"/>
  <c r="E182" i="7" s="1"/>
  <c r="B182" i="7"/>
  <c r="D181" i="7"/>
  <c r="C181" i="7"/>
  <c r="E181" i="7" s="1"/>
  <c r="B181" i="7"/>
  <c r="D180" i="7"/>
  <c r="C180" i="7"/>
  <c r="E180" i="7" s="1"/>
  <c r="B180" i="7"/>
  <c r="B179" i="7"/>
  <c r="D178" i="7"/>
  <c r="B178" i="7"/>
  <c r="E177" i="7"/>
  <c r="D177" i="7"/>
  <c r="C177" i="7"/>
  <c r="B177" i="7"/>
  <c r="D176" i="7"/>
  <c r="B176" i="7"/>
  <c r="B175" i="7"/>
  <c r="E174" i="7"/>
  <c r="D174" i="7"/>
  <c r="C174" i="7"/>
  <c r="B174" i="7"/>
  <c r="C173" i="7"/>
  <c r="E173" i="7" s="1"/>
  <c r="B173" i="7"/>
  <c r="B172" i="7"/>
  <c r="D172" i="7" s="1"/>
  <c r="E171" i="7"/>
  <c r="D171" i="7"/>
  <c r="C171" i="7"/>
  <c r="B171" i="7"/>
  <c r="B170" i="7"/>
  <c r="D169" i="7"/>
  <c r="B169" i="7"/>
  <c r="D169" i="5" s="1"/>
  <c r="D168" i="7"/>
  <c r="C168" i="7"/>
  <c r="E168" i="7" s="1"/>
  <c r="B168" i="7"/>
  <c r="B167" i="7"/>
  <c r="B166" i="7"/>
  <c r="D166" i="5" s="1"/>
  <c r="D165" i="7"/>
  <c r="C165" i="7"/>
  <c r="E165" i="7" s="1"/>
  <c r="B165" i="7"/>
  <c r="D164" i="7"/>
  <c r="B164" i="7"/>
  <c r="D163" i="7"/>
  <c r="B163" i="7"/>
  <c r="D162" i="7"/>
  <c r="C162" i="7"/>
  <c r="E162" i="7" s="1"/>
  <c r="B162" i="7"/>
  <c r="D161" i="7"/>
  <c r="C161" i="7"/>
  <c r="E161" i="7" s="1"/>
  <c r="B161" i="7"/>
  <c r="D160" i="7"/>
  <c r="C160" i="7"/>
  <c r="E160" i="7" s="1"/>
  <c r="B160" i="7"/>
  <c r="E159" i="7"/>
  <c r="D159" i="7"/>
  <c r="C159" i="7"/>
  <c r="B159" i="7"/>
  <c r="D158" i="7"/>
  <c r="C158" i="7"/>
  <c r="E158" i="7" s="1"/>
  <c r="B158" i="7"/>
  <c r="B157" i="7"/>
  <c r="D156" i="7"/>
  <c r="C156" i="7"/>
  <c r="E156" i="7" s="1"/>
  <c r="B156" i="7"/>
  <c r="D155" i="7"/>
  <c r="B155" i="7"/>
  <c r="B154" i="7"/>
  <c r="D153" i="7"/>
  <c r="C153" i="7"/>
  <c r="E153" i="7" s="1"/>
  <c r="B153" i="7"/>
  <c r="D152" i="7"/>
  <c r="C152" i="7"/>
  <c r="E152" i="7" s="1"/>
  <c r="B152" i="7"/>
  <c r="D151" i="7"/>
  <c r="B151" i="7"/>
  <c r="C151" i="7" s="1"/>
  <c r="E151" i="7" s="1"/>
  <c r="E150" i="7"/>
  <c r="D150" i="7"/>
  <c r="C150" i="7"/>
  <c r="B150" i="7"/>
  <c r="D149" i="7"/>
  <c r="C149" i="7"/>
  <c r="E149" i="7" s="1"/>
  <c r="B149" i="7"/>
  <c r="D148" i="7"/>
  <c r="C148" i="7"/>
  <c r="E148" i="7" s="1"/>
  <c r="B148" i="7"/>
  <c r="D147" i="7"/>
  <c r="C147" i="7"/>
  <c r="E147" i="7" s="1"/>
  <c r="B147" i="7"/>
  <c r="D146" i="7"/>
  <c r="C146" i="7"/>
  <c r="E146" i="7" s="1"/>
  <c r="B146" i="7"/>
  <c r="B145" i="7"/>
  <c r="D145" i="7" s="1"/>
  <c r="C144" i="7"/>
  <c r="E144" i="7" s="1"/>
  <c r="B144" i="7"/>
  <c r="B143" i="7"/>
  <c r="B142" i="7"/>
  <c r="D141" i="7"/>
  <c r="B141" i="7"/>
  <c r="B140" i="7"/>
  <c r="D139" i="7"/>
  <c r="B139" i="7"/>
  <c r="E138" i="7"/>
  <c r="D138" i="7"/>
  <c r="C138" i="7"/>
  <c r="B138" i="7"/>
  <c r="B137" i="7"/>
  <c r="B136" i="7"/>
  <c r="D135" i="7"/>
  <c r="C135" i="7"/>
  <c r="E135" i="7" s="1"/>
  <c r="B135" i="7"/>
  <c r="B134" i="7"/>
  <c r="B133" i="7"/>
  <c r="D132" i="7"/>
  <c r="C132" i="7"/>
  <c r="E132" i="7" s="1"/>
  <c r="B132" i="7"/>
  <c r="B131" i="7"/>
  <c r="B130" i="7"/>
  <c r="D129" i="7"/>
  <c r="C129" i="7"/>
  <c r="E129" i="7" s="1"/>
  <c r="B129" i="7"/>
  <c r="D128" i="7"/>
  <c r="B128" i="7"/>
  <c r="B127" i="7"/>
  <c r="E126" i="7"/>
  <c r="D126" i="7"/>
  <c r="C126" i="7"/>
  <c r="B126" i="7"/>
  <c r="C125" i="7"/>
  <c r="E125" i="7" s="1"/>
  <c r="B125" i="7"/>
  <c r="C124" i="7"/>
  <c r="E124" i="7" s="1"/>
  <c r="B124" i="7"/>
  <c r="E123" i="7"/>
  <c r="C123" i="7"/>
  <c r="B123" i="7"/>
  <c r="B122" i="7"/>
  <c r="C122" i="7" s="1"/>
  <c r="E122" i="7" s="1"/>
  <c r="B121" i="7"/>
  <c r="B120" i="7"/>
  <c r="B119" i="7"/>
  <c r="B118" i="7"/>
  <c r="B117" i="7"/>
  <c r="D116" i="7"/>
  <c r="B116" i="7"/>
  <c r="C116" i="7" s="1"/>
  <c r="E116" i="7" s="1"/>
  <c r="D115" i="7"/>
  <c r="B115" i="7"/>
  <c r="C115" i="7" s="1"/>
  <c r="E115" i="7" s="1"/>
  <c r="E114" i="7"/>
  <c r="D114" i="7"/>
  <c r="B114" i="7"/>
  <c r="C114" i="7" s="1"/>
  <c r="B113" i="7"/>
  <c r="D113" i="7" s="1"/>
  <c r="C112" i="7"/>
  <c r="E112" i="7" s="1"/>
  <c r="B112" i="7"/>
  <c r="C111" i="7"/>
  <c r="E111" i="7" s="1"/>
  <c r="B111" i="7"/>
  <c r="D110" i="7"/>
  <c r="C110" i="7"/>
  <c r="E110" i="7" s="1"/>
  <c r="B110" i="7"/>
  <c r="C109" i="7"/>
  <c r="E109" i="7" s="1"/>
  <c r="B109" i="7"/>
  <c r="C108" i="7"/>
  <c r="E108" i="7" s="1"/>
  <c r="B108" i="7"/>
  <c r="B107" i="7"/>
  <c r="E106" i="7"/>
  <c r="D106" i="7"/>
  <c r="C106" i="7"/>
  <c r="B106" i="7"/>
  <c r="B105" i="7"/>
  <c r="B104" i="7"/>
  <c r="D103" i="7"/>
  <c r="C103" i="7"/>
  <c r="E103" i="7" s="1"/>
  <c r="B103" i="7"/>
  <c r="E102" i="7"/>
  <c r="D102" i="7"/>
  <c r="B102" i="7"/>
  <c r="C102" i="7" s="1"/>
  <c r="B101" i="7"/>
  <c r="C100" i="7"/>
  <c r="E100" i="7" s="1"/>
  <c r="B100" i="7"/>
  <c r="E99" i="7"/>
  <c r="C99" i="7"/>
  <c r="B99" i="7"/>
  <c r="C98" i="7"/>
  <c r="E98" i="7" s="1"/>
  <c r="B98" i="7"/>
  <c r="B97" i="7"/>
  <c r="D96" i="7"/>
  <c r="C96" i="7"/>
  <c r="E96" i="7" s="1"/>
  <c r="B96" i="7"/>
  <c r="B95" i="7"/>
  <c r="E94" i="7"/>
  <c r="C94" i="7"/>
  <c r="B94" i="7"/>
  <c r="D94" i="7" s="1"/>
  <c r="B93" i="7"/>
  <c r="D92" i="7"/>
  <c r="B92" i="7"/>
  <c r="B91" i="7"/>
  <c r="E90" i="7"/>
  <c r="D90" i="7"/>
  <c r="C90" i="7"/>
  <c r="B90" i="7"/>
  <c r="C89" i="7"/>
  <c r="E89" i="7" s="1"/>
  <c r="B89" i="7"/>
  <c r="B88" i="7"/>
  <c r="D87" i="7"/>
  <c r="B87" i="7"/>
  <c r="D86" i="7"/>
  <c r="B86" i="7"/>
  <c r="B85" i="7"/>
  <c r="B84" i="7"/>
  <c r="C84" i="7" s="1"/>
  <c r="E84" i="7" s="1"/>
  <c r="C83" i="7"/>
  <c r="E83" i="7" s="1"/>
  <c r="B83" i="7"/>
  <c r="D83" i="7" s="1"/>
  <c r="B82" i="7"/>
  <c r="B81" i="7"/>
  <c r="B80" i="7"/>
  <c r="D79" i="7"/>
  <c r="B79" i="7"/>
  <c r="B78" i="7"/>
  <c r="B77" i="7"/>
  <c r="D77" i="7" s="1"/>
  <c r="E76" i="7"/>
  <c r="C76" i="7"/>
  <c r="B76" i="7"/>
  <c r="D75" i="7"/>
  <c r="C75" i="7"/>
  <c r="E75" i="7" s="1"/>
  <c r="B75" i="7"/>
  <c r="D74" i="7"/>
  <c r="C74" i="7"/>
  <c r="E74" i="7" s="1"/>
  <c r="B74" i="7"/>
  <c r="B73" i="7"/>
  <c r="B72" i="7"/>
  <c r="C71" i="7"/>
  <c r="E71" i="7" s="1"/>
  <c r="B71" i="7"/>
  <c r="E70" i="7"/>
  <c r="D70" i="7"/>
  <c r="C70" i="7"/>
  <c r="B70" i="7"/>
  <c r="B69" i="7"/>
  <c r="B68" i="7"/>
  <c r="B67" i="7"/>
  <c r="D66" i="7"/>
  <c r="B66" i="7"/>
  <c r="C66" i="7" s="1"/>
  <c r="E66" i="7" s="1"/>
  <c r="B65" i="7"/>
  <c r="B64" i="7"/>
  <c r="C63" i="7"/>
  <c r="E63" i="7" s="1"/>
  <c r="B63" i="7"/>
  <c r="C62" i="7"/>
  <c r="E62" i="7" s="1"/>
  <c r="B62" i="7"/>
  <c r="B61" i="7"/>
  <c r="B60" i="7"/>
  <c r="B59" i="7"/>
  <c r="B58" i="7"/>
  <c r="B57" i="7"/>
  <c r="D56" i="7"/>
  <c r="B56" i="7"/>
  <c r="B55" i="7"/>
  <c r="D54" i="7"/>
  <c r="C54" i="7"/>
  <c r="E54" i="7" s="1"/>
  <c r="B54" i="7"/>
  <c r="C53" i="7"/>
  <c r="E53" i="7" s="1"/>
  <c r="B53" i="7"/>
  <c r="B52" i="7"/>
  <c r="D51" i="7"/>
  <c r="B51" i="7"/>
  <c r="D51" i="5" s="1"/>
  <c r="B50" i="7"/>
  <c r="C50" i="7" s="1"/>
  <c r="E50" i="7" s="1"/>
  <c r="B49" i="7"/>
  <c r="C48" i="7"/>
  <c r="E48" i="7" s="1"/>
  <c r="B48" i="7"/>
  <c r="D47" i="7"/>
  <c r="B47" i="7"/>
  <c r="B46" i="7"/>
  <c r="B45" i="7"/>
  <c r="D44" i="7"/>
  <c r="B44" i="7"/>
  <c r="C44" i="7" s="1"/>
  <c r="E44" i="7" s="1"/>
  <c r="D43" i="7"/>
  <c r="B43" i="7"/>
  <c r="C43" i="7" s="1"/>
  <c r="E43" i="7" s="1"/>
  <c r="D42" i="7"/>
  <c r="B42" i="7"/>
  <c r="B41" i="7"/>
  <c r="D41" i="7" s="1"/>
  <c r="E40" i="7"/>
  <c r="C40" i="7"/>
  <c r="B40" i="7"/>
  <c r="D39" i="7"/>
  <c r="C39" i="7"/>
  <c r="E39" i="7" s="1"/>
  <c r="B39" i="7"/>
  <c r="D38" i="7"/>
  <c r="C38" i="7"/>
  <c r="E38" i="7" s="1"/>
  <c r="B38" i="7"/>
  <c r="C37" i="7"/>
  <c r="E37" i="7" s="1"/>
  <c r="B37" i="7"/>
  <c r="B36" i="7"/>
  <c r="C35" i="7"/>
  <c r="E35" i="7" s="1"/>
  <c r="B35" i="7"/>
  <c r="D34" i="7"/>
  <c r="C34" i="7"/>
  <c r="E34" i="7" s="1"/>
  <c r="B34" i="7"/>
  <c r="B33" i="7"/>
  <c r="B32" i="7"/>
  <c r="E31" i="7"/>
  <c r="D31" i="7"/>
  <c r="B31" i="7"/>
  <c r="C31" i="7" s="1"/>
  <c r="E30" i="7"/>
  <c r="D30" i="7"/>
  <c r="B30" i="7"/>
  <c r="C30" i="7" s="1"/>
  <c r="B29" i="7"/>
  <c r="C28" i="7"/>
  <c r="E28" i="7" s="1"/>
  <c r="B28" i="7"/>
  <c r="D27" i="7"/>
  <c r="C27" i="7"/>
  <c r="E27" i="7" s="1"/>
  <c r="B27" i="7"/>
  <c r="C26" i="7"/>
  <c r="E26" i="7" s="1"/>
  <c r="B26" i="7"/>
  <c r="B25" i="7"/>
  <c r="B24" i="7"/>
  <c r="D24" i="7" s="1"/>
  <c r="B23" i="7"/>
  <c r="C22" i="7"/>
  <c r="E22" i="7" s="1"/>
  <c r="B22" i="7"/>
  <c r="D22" i="7" s="1"/>
  <c r="B21" i="7"/>
  <c r="D20" i="7"/>
  <c r="B20" i="7"/>
  <c r="C20" i="7" s="1"/>
  <c r="E20" i="7" s="1"/>
  <c r="E19" i="7"/>
  <c r="D19" i="7"/>
  <c r="B19" i="7"/>
  <c r="C19" i="7" s="1"/>
  <c r="E18" i="7"/>
  <c r="D18" i="7"/>
  <c r="C18" i="7"/>
  <c r="B18" i="7"/>
  <c r="C17" i="7"/>
  <c r="E17" i="7" s="1"/>
  <c r="B17" i="7"/>
  <c r="C16" i="7"/>
  <c r="E16" i="7" s="1"/>
  <c r="B16" i="7"/>
  <c r="C15" i="7"/>
  <c r="E15" i="7" s="1"/>
  <c r="B15" i="7"/>
  <c r="D14" i="7"/>
  <c r="B14" i="7"/>
  <c r="C14" i="7" s="1"/>
  <c r="E14" i="7" s="1"/>
  <c r="B13" i="7"/>
  <c r="B12" i="7"/>
  <c r="B11" i="7"/>
  <c r="B10" i="7"/>
  <c r="B9" i="7"/>
  <c r="B8" i="7"/>
  <c r="B7" i="7"/>
  <c r="D7" i="5" s="1"/>
  <c r="I7" i="5" s="1"/>
  <c r="E6" i="7"/>
  <c r="B6" i="7"/>
  <c r="C308" i="6"/>
  <c r="B308" i="6"/>
  <c r="B307" i="6"/>
  <c r="B306" i="6"/>
  <c r="B305" i="6"/>
  <c r="B304" i="6"/>
  <c r="B303" i="6"/>
  <c r="D303" i="6" s="1"/>
  <c r="B302" i="6"/>
  <c r="B301" i="6"/>
  <c r="B300" i="6"/>
  <c r="E299" i="6"/>
  <c r="B299" i="6"/>
  <c r="C299" i="6" s="1"/>
  <c r="B298" i="6"/>
  <c r="E297" i="6"/>
  <c r="K35" i="4" s="1"/>
  <c r="C297" i="6"/>
  <c r="B297" i="6"/>
  <c r="E296" i="6"/>
  <c r="C296" i="6"/>
  <c r="B296" i="6"/>
  <c r="B295" i="6"/>
  <c r="D295" i="6" s="1"/>
  <c r="B294" i="6"/>
  <c r="B293" i="6"/>
  <c r="B292" i="6"/>
  <c r="B291" i="6"/>
  <c r="B290" i="6"/>
  <c r="B289" i="6"/>
  <c r="D289" i="6" s="1"/>
  <c r="B288" i="6"/>
  <c r="B287" i="6"/>
  <c r="D287" i="6" s="1"/>
  <c r="E286" i="6"/>
  <c r="C286" i="6"/>
  <c r="B286" i="6"/>
  <c r="C285" i="6"/>
  <c r="E285" i="6" s="1"/>
  <c r="B285" i="6"/>
  <c r="C284" i="6"/>
  <c r="E284" i="6" s="1"/>
  <c r="B284" i="6"/>
  <c r="B283" i="6"/>
  <c r="B282" i="6"/>
  <c r="B281" i="6"/>
  <c r="C281" i="6" s="1"/>
  <c r="C280" i="6"/>
  <c r="B280" i="6"/>
  <c r="B279" i="6"/>
  <c r="B278" i="6"/>
  <c r="B277" i="6"/>
  <c r="D276" i="6"/>
  <c r="B276" i="6"/>
  <c r="C276" i="6" s="1"/>
  <c r="E276" i="6" s="1"/>
  <c r="E275" i="6"/>
  <c r="B275" i="6"/>
  <c r="C275" i="6" s="1"/>
  <c r="C274" i="6"/>
  <c r="E274" i="6" s="1"/>
  <c r="K12" i="4" s="1"/>
  <c r="B274" i="6"/>
  <c r="D273" i="6"/>
  <c r="C273" i="6"/>
  <c r="E273" i="6" s="1"/>
  <c r="B273" i="6"/>
  <c r="C272" i="6"/>
  <c r="E272" i="6" s="1"/>
  <c r="K10" i="4" s="1"/>
  <c r="B272" i="6"/>
  <c r="B271" i="6"/>
  <c r="B270" i="6"/>
  <c r="B269" i="6"/>
  <c r="D269" i="6" s="1"/>
  <c r="B268" i="6"/>
  <c r="B267" i="6"/>
  <c r="D267" i="6" s="1"/>
  <c r="B266" i="6"/>
  <c r="B265" i="6"/>
  <c r="E264" i="6"/>
  <c r="D264" i="6"/>
  <c r="C264" i="6"/>
  <c r="B264" i="6"/>
  <c r="E263" i="6"/>
  <c r="B263" i="6"/>
  <c r="C263" i="6" s="1"/>
  <c r="C262" i="6"/>
  <c r="E262" i="6" s="1"/>
  <c r="B262" i="6"/>
  <c r="E261" i="6"/>
  <c r="D261" i="6"/>
  <c r="C261" i="6"/>
  <c r="B261" i="6"/>
  <c r="E260" i="6"/>
  <c r="D260" i="6"/>
  <c r="C260" i="6"/>
  <c r="B260" i="6"/>
  <c r="B259" i="6"/>
  <c r="D259" i="6" s="1"/>
  <c r="D258" i="6"/>
  <c r="B258" i="6"/>
  <c r="D257" i="6"/>
  <c r="C257" i="6"/>
  <c r="E257" i="6" s="1"/>
  <c r="B257" i="6"/>
  <c r="B256" i="6"/>
  <c r="B255" i="6"/>
  <c r="D254" i="6"/>
  <c r="B254" i="6"/>
  <c r="C254" i="6" s="1"/>
  <c r="E254" i="6" s="1"/>
  <c r="B253" i="6"/>
  <c r="D253" i="6" s="1"/>
  <c r="D252" i="6"/>
  <c r="B252" i="6"/>
  <c r="C252" i="6" s="1"/>
  <c r="E252" i="6" s="1"/>
  <c r="B251" i="6"/>
  <c r="E250" i="6"/>
  <c r="C250" i="6"/>
  <c r="B250" i="6"/>
  <c r="D249" i="6"/>
  <c r="C249" i="6"/>
  <c r="E249" i="6" s="1"/>
  <c r="B249" i="6"/>
  <c r="B248" i="6"/>
  <c r="B247" i="6"/>
  <c r="B246" i="6"/>
  <c r="C245" i="6"/>
  <c r="E245" i="6" s="1"/>
  <c r="B245" i="6"/>
  <c r="B244" i="6"/>
  <c r="B243" i="6"/>
  <c r="B242" i="6"/>
  <c r="C241" i="6"/>
  <c r="E241" i="6" s="1"/>
  <c r="B241" i="6"/>
  <c r="D240" i="6"/>
  <c r="B240" i="6"/>
  <c r="C240" i="6" s="1"/>
  <c r="E240" i="6" s="1"/>
  <c r="E239" i="6"/>
  <c r="B239" i="6"/>
  <c r="C239" i="6" s="1"/>
  <c r="C238" i="6"/>
  <c r="E238" i="6" s="1"/>
  <c r="B238" i="6"/>
  <c r="E237" i="6"/>
  <c r="D237" i="6"/>
  <c r="C237" i="6"/>
  <c r="B237" i="6"/>
  <c r="D236" i="6"/>
  <c r="C236" i="6"/>
  <c r="E236" i="6" s="1"/>
  <c r="B236" i="6"/>
  <c r="B235" i="6"/>
  <c r="B234" i="6"/>
  <c r="B233" i="6"/>
  <c r="B232" i="6"/>
  <c r="D232" i="6" s="1"/>
  <c r="B231" i="6"/>
  <c r="D231" i="6" s="1"/>
  <c r="B230" i="6"/>
  <c r="B229" i="6"/>
  <c r="B228" i="6"/>
  <c r="D228" i="6" s="1"/>
  <c r="E227" i="6"/>
  <c r="B227" i="6"/>
  <c r="C227" i="6" s="1"/>
  <c r="C226" i="6"/>
  <c r="E226" i="6" s="1"/>
  <c r="B226" i="6"/>
  <c r="D225" i="6"/>
  <c r="B225" i="6"/>
  <c r="C225" i="6" s="1"/>
  <c r="E225" i="6" s="1"/>
  <c r="C224" i="6"/>
  <c r="E224" i="6" s="1"/>
  <c r="B224" i="6"/>
  <c r="B223" i="6"/>
  <c r="D223" i="6" s="1"/>
  <c r="D222" i="6"/>
  <c r="B222" i="6"/>
  <c r="B221" i="6"/>
  <c r="D221" i="6" s="1"/>
  <c r="B220" i="6"/>
  <c r="B219" i="6"/>
  <c r="B218" i="6"/>
  <c r="B217" i="6"/>
  <c r="D217" i="6" s="1"/>
  <c r="E216" i="6"/>
  <c r="D216" i="6"/>
  <c r="B216" i="6"/>
  <c r="C216" i="6" s="1"/>
  <c r="B215" i="6"/>
  <c r="E214" i="6"/>
  <c r="C214" i="6"/>
  <c r="B214" i="6"/>
  <c r="C213" i="6"/>
  <c r="E213" i="6" s="1"/>
  <c r="B213" i="6"/>
  <c r="D212" i="6"/>
  <c r="C212" i="6"/>
  <c r="E212" i="6" s="1"/>
  <c r="B212" i="6"/>
  <c r="B211" i="6"/>
  <c r="B210" i="6"/>
  <c r="B209" i="6"/>
  <c r="D213" i="6" s="1"/>
  <c r="B208" i="6"/>
  <c r="B207" i="6"/>
  <c r="B206" i="6"/>
  <c r="B205" i="6"/>
  <c r="E204" i="6"/>
  <c r="D204" i="6"/>
  <c r="B204" i="6"/>
  <c r="C204" i="6" s="1"/>
  <c r="E203" i="6"/>
  <c r="B203" i="6"/>
  <c r="C203" i="6" s="1"/>
  <c r="C202" i="6"/>
  <c r="E202" i="6" s="1"/>
  <c r="B202" i="6"/>
  <c r="E201" i="6"/>
  <c r="C201" i="6"/>
  <c r="B201" i="6"/>
  <c r="D200" i="6"/>
  <c r="C200" i="6"/>
  <c r="E200" i="6" s="1"/>
  <c r="B200" i="6"/>
  <c r="B199" i="6"/>
  <c r="B198" i="6"/>
  <c r="B197" i="6"/>
  <c r="C197" i="5" s="1"/>
  <c r="C196" i="6"/>
  <c r="E196" i="6" s="1"/>
  <c r="B196" i="6"/>
  <c r="B195" i="6"/>
  <c r="D195" i="6" s="1"/>
  <c r="B194" i="6"/>
  <c r="B193" i="6"/>
  <c r="D192" i="6"/>
  <c r="C192" i="6"/>
  <c r="E192" i="6" s="1"/>
  <c r="B192" i="6"/>
  <c r="C192" i="5" s="1"/>
  <c r="E191" i="6"/>
  <c r="B191" i="6"/>
  <c r="C191" i="6" s="1"/>
  <c r="C190" i="6"/>
  <c r="E190" i="6" s="1"/>
  <c r="B190" i="6"/>
  <c r="B189" i="6"/>
  <c r="D189" i="6" s="1"/>
  <c r="C188" i="6"/>
  <c r="E188" i="6" s="1"/>
  <c r="B188" i="6"/>
  <c r="B187" i="6"/>
  <c r="D187" i="6" s="1"/>
  <c r="B186" i="6"/>
  <c r="B185" i="6"/>
  <c r="C185" i="6" s="1"/>
  <c r="E185" i="6" s="1"/>
  <c r="B184" i="6"/>
  <c r="B183" i="6"/>
  <c r="B182" i="6"/>
  <c r="B181" i="6"/>
  <c r="D181" i="6" s="1"/>
  <c r="D180" i="6"/>
  <c r="B180" i="6"/>
  <c r="B179" i="6"/>
  <c r="E178" i="6"/>
  <c r="C178" i="6"/>
  <c r="B178" i="6"/>
  <c r="D177" i="6"/>
  <c r="C177" i="6"/>
  <c r="E177" i="6" s="1"/>
  <c r="B177" i="6"/>
  <c r="D176" i="6"/>
  <c r="B176" i="6"/>
  <c r="B175" i="6"/>
  <c r="B174" i="6"/>
  <c r="D173" i="6"/>
  <c r="B173" i="6"/>
  <c r="C173" i="6" s="1"/>
  <c r="E173" i="6" s="1"/>
  <c r="B172" i="6"/>
  <c r="B171" i="6"/>
  <c r="B170" i="6"/>
  <c r="C169" i="6"/>
  <c r="E169" i="6" s="1"/>
  <c r="B169" i="6"/>
  <c r="D168" i="6"/>
  <c r="B168" i="6"/>
  <c r="C168" i="6" s="1"/>
  <c r="E168" i="6" s="1"/>
  <c r="E167" i="6"/>
  <c r="B167" i="6"/>
  <c r="C167" i="6" s="1"/>
  <c r="E166" i="6"/>
  <c r="C166" i="6"/>
  <c r="B166" i="6"/>
  <c r="C165" i="6"/>
  <c r="E165" i="6" s="1"/>
  <c r="B165" i="6"/>
  <c r="C164" i="6"/>
  <c r="E164" i="6" s="1"/>
  <c r="B164" i="6"/>
  <c r="B163" i="6"/>
  <c r="B162" i="6"/>
  <c r="B161" i="6"/>
  <c r="B160" i="6"/>
  <c r="B159" i="6"/>
  <c r="B158" i="6"/>
  <c r="B157" i="6"/>
  <c r="B156" i="6"/>
  <c r="E155" i="6"/>
  <c r="B155" i="6"/>
  <c r="C155" i="6" s="1"/>
  <c r="B154" i="6"/>
  <c r="B153" i="6"/>
  <c r="C153" i="5" s="1"/>
  <c r="E152" i="6"/>
  <c r="C152" i="6"/>
  <c r="B152" i="6"/>
  <c r="B151" i="6"/>
  <c r="D150" i="6"/>
  <c r="B150" i="6"/>
  <c r="C150" i="6" s="1"/>
  <c r="E150" i="6" s="1"/>
  <c r="B149" i="6"/>
  <c r="B148" i="6"/>
  <c r="B147" i="6"/>
  <c r="D146" i="6"/>
  <c r="B146" i="6"/>
  <c r="B145" i="6"/>
  <c r="D145" i="6" s="1"/>
  <c r="D144" i="6"/>
  <c r="B144" i="6"/>
  <c r="B143" i="6"/>
  <c r="E142" i="6"/>
  <c r="C142" i="6"/>
  <c r="B142" i="6"/>
  <c r="D141" i="6"/>
  <c r="C141" i="6"/>
  <c r="E141" i="6" s="1"/>
  <c r="B141" i="6"/>
  <c r="D140" i="6"/>
  <c r="B140" i="6"/>
  <c r="B139" i="6"/>
  <c r="B138" i="6"/>
  <c r="C137" i="6"/>
  <c r="E137" i="6" s="1"/>
  <c r="B137" i="6"/>
  <c r="D137" i="6" s="1"/>
  <c r="B136" i="6"/>
  <c r="B135" i="6"/>
  <c r="B134" i="6"/>
  <c r="D133" i="6"/>
  <c r="B133" i="6"/>
  <c r="B132" i="6"/>
  <c r="B131" i="6"/>
  <c r="D130" i="6"/>
  <c r="B130" i="6"/>
  <c r="B129" i="6"/>
  <c r="B128" i="6"/>
  <c r="C128" i="5" s="1"/>
  <c r="B127" i="6"/>
  <c r="B126" i="6"/>
  <c r="E125" i="6"/>
  <c r="C125" i="6"/>
  <c r="B125" i="6"/>
  <c r="E124" i="6"/>
  <c r="D124" i="6"/>
  <c r="C124" i="6"/>
  <c r="B124" i="6"/>
  <c r="B123" i="6"/>
  <c r="E122" i="6"/>
  <c r="C122" i="6"/>
  <c r="B122" i="6"/>
  <c r="D121" i="6"/>
  <c r="B121" i="6"/>
  <c r="B120" i="6"/>
  <c r="B119" i="6"/>
  <c r="B118" i="6"/>
  <c r="B117" i="6"/>
  <c r="B116" i="6"/>
  <c r="B115" i="6"/>
  <c r="B114" i="6"/>
  <c r="E113" i="6"/>
  <c r="C113" i="6"/>
  <c r="B113" i="6"/>
  <c r="D112" i="6"/>
  <c r="C112" i="6"/>
  <c r="E112" i="6" s="1"/>
  <c r="B112" i="6"/>
  <c r="B111" i="6"/>
  <c r="B110" i="6"/>
  <c r="B109" i="6"/>
  <c r="C109" i="5" s="1"/>
  <c r="B108" i="6"/>
  <c r="B107" i="6"/>
  <c r="B106" i="6"/>
  <c r="B105" i="6"/>
  <c r="B104" i="6"/>
  <c r="B103" i="6"/>
  <c r="B102" i="6"/>
  <c r="B101" i="6"/>
  <c r="B100" i="6"/>
  <c r="D100" i="6" s="1"/>
  <c r="B99" i="6"/>
  <c r="E98" i="6"/>
  <c r="C98" i="6"/>
  <c r="B98" i="6"/>
  <c r="C97" i="6"/>
  <c r="E97" i="6" s="1"/>
  <c r="B97" i="6"/>
  <c r="B96" i="6"/>
  <c r="B95" i="6"/>
  <c r="B94" i="6"/>
  <c r="B93" i="6"/>
  <c r="C92" i="6"/>
  <c r="E92" i="6" s="1"/>
  <c r="B92" i="6"/>
  <c r="B91" i="6"/>
  <c r="B90" i="6"/>
  <c r="E89" i="6"/>
  <c r="C89" i="6"/>
  <c r="B89" i="6"/>
  <c r="D88" i="6"/>
  <c r="B88" i="6"/>
  <c r="C88" i="6" s="1"/>
  <c r="E88" i="6" s="1"/>
  <c r="B87" i="6"/>
  <c r="B86" i="6"/>
  <c r="B85" i="6"/>
  <c r="C85" i="5" s="1"/>
  <c r="B84" i="6"/>
  <c r="B83" i="6"/>
  <c r="D82" i="6"/>
  <c r="B82" i="6"/>
  <c r="B81" i="6"/>
  <c r="B80" i="6"/>
  <c r="B79" i="6"/>
  <c r="B78" i="6"/>
  <c r="B77" i="6"/>
  <c r="B76" i="6"/>
  <c r="C77" i="6" s="1"/>
  <c r="E77" i="6" s="1"/>
  <c r="B75" i="6"/>
  <c r="E74" i="6"/>
  <c r="C74" i="6"/>
  <c r="B74" i="6"/>
  <c r="B73" i="6"/>
  <c r="B72" i="6"/>
  <c r="B71" i="6"/>
  <c r="B70" i="6"/>
  <c r="B69" i="6"/>
  <c r="B68" i="6"/>
  <c r="B67" i="6"/>
  <c r="B66" i="6"/>
  <c r="B65" i="6"/>
  <c r="C64" i="6"/>
  <c r="E64" i="6" s="1"/>
  <c r="B64" i="6"/>
  <c r="B63" i="6"/>
  <c r="C62" i="6"/>
  <c r="E62" i="6" s="1"/>
  <c r="B62" i="6"/>
  <c r="B61" i="6"/>
  <c r="B60" i="6"/>
  <c r="D64" i="6" s="1"/>
  <c r="B59" i="6"/>
  <c r="B58" i="6"/>
  <c r="B57" i="6"/>
  <c r="D61" i="6" s="1"/>
  <c r="B56" i="6"/>
  <c r="B55" i="6"/>
  <c r="B54" i="6"/>
  <c r="B53" i="6"/>
  <c r="D52" i="6"/>
  <c r="C52" i="6"/>
  <c r="E52" i="6" s="1"/>
  <c r="B52" i="6"/>
  <c r="C52" i="5" s="1"/>
  <c r="B51" i="6"/>
  <c r="B50" i="6"/>
  <c r="B49" i="6"/>
  <c r="B48" i="6"/>
  <c r="B47" i="6"/>
  <c r="B46" i="6"/>
  <c r="B45" i="6"/>
  <c r="C44" i="6"/>
  <c r="E44" i="6" s="1"/>
  <c r="B44" i="6"/>
  <c r="B43" i="6"/>
  <c r="B42" i="6"/>
  <c r="B41" i="6"/>
  <c r="B40" i="6"/>
  <c r="C40" i="6" s="1"/>
  <c r="E40" i="6" s="1"/>
  <c r="B39" i="6"/>
  <c r="B38" i="6"/>
  <c r="B37" i="6"/>
  <c r="B36" i="6"/>
  <c r="B35" i="6"/>
  <c r="B34" i="6"/>
  <c r="B33" i="6"/>
  <c r="B32" i="6"/>
  <c r="B31" i="6"/>
  <c r="B30" i="6"/>
  <c r="C29" i="6"/>
  <c r="E29" i="6" s="1"/>
  <c r="B29" i="6"/>
  <c r="D28" i="6"/>
  <c r="C28" i="6"/>
  <c r="E28" i="6" s="1"/>
  <c r="B28" i="6"/>
  <c r="B27" i="6"/>
  <c r="C26" i="6"/>
  <c r="E26" i="6" s="1"/>
  <c r="B26" i="6"/>
  <c r="B25" i="6"/>
  <c r="B24" i="6"/>
  <c r="B23" i="6"/>
  <c r="B22" i="6"/>
  <c r="B21" i="6"/>
  <c r="C20" i="6"/>
  <c r="E20" i="6" s="1"/>
  <c r="B20" i="6"/>
  <c r="D20" i="6" s="1"/>
  <c r="B19" i="6"/>
  <c r="B18" i="6"/>
  <c r="B17" i="6"/>
  <c r="D16" i="6"/>
  <c r="C16" i="6"/>
  <c r="E16" i="6" s="1"/>
  <c r="B16" i="6"/>
  <c r="B15" i="6"/>
  <c r="E14" i="6"/>
  <c r="C14" i="6"/>
  <c r="B14" i="6"/>
  <c r="D13" i="6"/>
  <c r="C13" i="6"/>
  <c r="E13" i="6" s="1"/>
  <c r="B13" i="6"/>
  <c r="B12" i="6"/>
  <c r="B11" i="6"/>
  <c r="B10" i="6"/>
  <c r="E9" i="6"/>
  <c r="B9" i="6"/>
  <c r="C9" i="6" s="1"/>
  <c r="B8" i="6"/>
  <c r="B7" i="6"/>
  <c r="E6" i="6"/>
  <c r="B6" i="6"/>
  <c r="G308" i="5"/>
  <c r="F308" i="5"/>
  <c r="E308" i="5"/>
  <c r="D308" i="5"/>
  <c r="C308" i="5"/>
  <c r="G307" i="5"/>
  <c r="F307" i="5"/>
  <c r="D307" i="5"/>
  <c r="C307" i="5"/>
  <c r="G306" i="5"/>
  <c r="F306" i="5"/>
  <c r="E306" i="5"/>
  <c r="D306" i="5"/>
  <c r="C306" i="5"/>
  <c r="O306" i="5" s="1"/>
  <c r="G305" i="5"/>
  <c r="E305" i="5"/>
  <c r="D305" i="5"/>
  <c r="G304" i="5"/>
  <c r="F304" i="5"/>
  <c r="E304" i="5"/>
  <c r="D304" i="5"/>
  <c r="O303" i="5"/>
  <c r="G303" i="5"/>
  <c r="F303" i="5"/>
  <c r="E303" i="5"/>
  <c r="D303" i="5"/>
  <c r="C303" i="5"/>
  <c r="G302" i="5"/>
  <c r="F302" i="5"/>
  <c r="D302" i="5"/>
  <c r="C302" i="5"/>
  <c r="B302" i="5"/>
  <c r="G301" i="5"/>
  <c r="F301" i="5"/>
  <c r="E301" i="5"/>
  <c r="G300" i="5"/>
  <c r="F300" i="5"/>
  <c r="E300" i="5"/>
  <c r="D300" i="5"/>
  <c r="J299" i="5"/>
  <c r="F299" i="5"/>
  <c r="E299" i="5"/>
  <c r="D299" i="5"/>
  <c r="I299" i="5" s="1"/>
  <c r="C299" i="5"/>
  <c r="B299" i="5"/>
  <c r="H299" i="5" s="1"/>
  <c r="G298" i="5"/>
  <c r="D298" i="5"/>
  <c r="C298" i="5"/>
  <c r="G297" i="5"/>
  <c r="F297" i="5"/>
  <c r="E297" i="5"/>
  <c r="D297" i="5"/>
  <c r="C297" i="5"/>
  <c r="B297" i="5"/>
  <c r="G296" i="5"/>
  <c r="E296" i="5"/>
  <c r="D296" i="5"/>
  <c r="C296" i="5"/>
  <c r="G295" i="5"/>
  <c r="F295" i="5"/>
  <c r="E295" i="5"/>
  <c r="D295" i="5"/>
  <c r="C295" i="5"/>
  <c r="O295" i="5" s="1"/>
  <c r="J294" i="5"/>
  <c r="I294" i="5"/>
  <c r="G294" i="5"/>
  <c r="F294" i="5"/>
  <c r="E294" i="5"/>
  <c r="D294" i="5"/>
  <c r="C294" i="5"/>
  <c r="B294" i="5"/>
  <c r="L294" i="5" s="1"/>
  <c r="G293" i="5"/>
  <c r="F293" i="5"/>
  <c r="E293" i="5"/>
  <c r="D293" i="5"/>
  <c r="G292" i="5"/>
  <c r="F292" i="5"/>
  <c r="E292" i="5"/>
  <c r="D292" i="5"/>
  <c r="G291" i="5"/>
  <c r="F291" i="5"/>
  <c r="E291" i="5"/>
  <c r="D291" i="5"/>
  <c r="C291" i="5"/>
  <c r="G290" i="5"/>
  <c r="F290" i="5"/>
  <c r="E290" i="5"/>
  <c r="D290" i="5"/>
  <c r="K289" i="5"/>
  <c r="J289" i="5"/>
  <c r="I289" i="5"/>
  <c r="G289" i="5"/>
  <c r="L289" i="5" s="1"/>
  <c r="F289" i="5"/>
  <c r="E289" i="5"/>
  <c r="D289" i="5"/>
  <c r="C289" i="5"/>
  <c r="B289" i="5"/>
  <c r="G288" i="5"/>
  <c r="L288" i="5" s="1"/>
  <c r="F288" i="5"/>
  <c r="K288" i="5" s="1"/>
  <c r="E288" i="5"/>
  <c r="D288" i="5"/>
  <c r="I288" i="5" s="1"/>
  <c r="C288" i="5"/>
  <c r="G287" i="5"/>
  <c r="F287" i="5"/>
  <c r="D287" i="5"/>
  <c r="C287" i="5"/>
  <c r="G286" i="5"/>
  <c r="F286" i="5"/>
  <c r="D286" i="5"/>
  <c r="C286" i="5"/>
  <c r="F285" i="5"/>
  <c r="E285" i="5"/>
  <c r="D285" i="5"/>
  <c r="C285" i="5"/>
  <c r="B285" i="5"/>
  <c r="I285" i="5" s="1"/>
  <c r="G284" i="5"/>
  <c r="F284" i="5"/>
  <c r="E284" i="5"/>
  <c r="D284" i="5"/>
  <c r="C284" i="5"/>
  <c r="G283" i="5"/>
  <c r="E283" i="5"/>
  <c r="D283" i="5"/>
  <c r="C283" i="5"/>
  <c r="O282" i="5"/>
  <c r="G282" i="5"/>
  <c r="F282" i="5"/>
  <c r="E282" i="5"/>
  <c r="D282" i="5"/>
  <c r="C282" i="5"/>
  <c r="G281" i="5"/>
  <c r="F281" i="5"/>
  <c r="K281" i="5" s="1"/>
  <c r="E281" i="5"/>
  <c r="J281" i="5" s="1"/>
  <c r="D281" i="5"/>
  <c r="B281" i="5"/>
  <c r="O280" i="5"/>
  <c r="H280" i="5"/>
  <c r="G280" i="5"/>
  <c r="L280" i="5" s="1"/>
  <c r="F280" i="5"/>
  <c r="E280" i="5"/>
  <c r="D280" i="5"/>
  <c r="C280" i="5"/>
  <c r="B280" i="5"/>
  <c r="K280" i="5" s="1"/>
  <c r="L279" i="5"/>
  <c r="G279" i="5"/>
  <c r="F279" i="5"/>
  <c r="K279" i="5" s="1"/>
  <c r="E279" i="5"/>
  <c r="J279" i="5" s="1"/>
  <c r="D279" i="5"/>
  <c r="C279" i="5"/>
  <c r="G278" i="5"/>
  <c r="F278" i="5"/>
  <c r="E278" i="5"/>
  <c r="D278" i="5"/>
  <c r="O278" i="5" s="1"/>
  <c r="C278" i="5"/>
  <c r="I277" i="5"/>
  <c r="G277" i="5"/>
  <c r="F277" i="5"/>
  <c r="E277" i="5"/>
  <c r="J277" i="5" s="1"/>
  <c r="D277" i="5"/>
  <c r="G276" i="5"/>
  <c r="F276" i="5"/>
  <c r="E276" i="5"/>
  <c r="D276" i="5"/>
  <c r="O276" i="5" s="1"/>
  <c r="C276" i="5"/>
  <c r="G275" i="5"/>
  <c r="F275" i="5"/>
  <c r="D275" i="5"/>
  <c r="C275" i="5"/>
  <c r="G274" i="5"/>
  <c r="E274" i="5"/>
  <c r="D274" i="5"/>
  <c r="C274" i="5"/>
  <c r="O273" i="5"/>
  <c r="G273" i="5"/>
  <c r="F273" i="5"/>
  <c r="E273" i="5"/>
  <c r="D273" i="5"/>
  <c r="C273" i="5"/>
  <c r="G272" i="5"/>
  <c r="F272" i="5"/>
  <c r="E272" i="5"/>
  <c r="D272" i="5"/>
  <c r="C272" i="5"/>
  <c r="G271" i="5"/>
  <c r="F271" i="5"/>
  <c r="E271" i="5"/>
  <c r="C271" i="5"/>
  <c r="G270" i="5"/>
  <c r="F270" i="5"/>
  <c r="E270" i="5"/>
  <c r="D270" i="5"/>
  <c r="G269" i="5"/>
  <c r="F269" i="5"/>
  <c r="E269" i="5"/>
  <c r="D269" i="5"/>
  <c r="C269" i="5"/>
  <c r="G268" i="5"/>
  <c r="F268" i="5"/>
  <c r="E268" i="5"/>
  <c r="D268" i="5"/>
  <c r="C268" i="5"/>
  <c r="O268" i="5" s="1"/>
  <c r="K267" i="5"/>
  <c r="I267" i="5"/>
  <c r="G267" i="5"/>
  <c r="L267" i="5" s="1"/>
  <c r="F267" i="5"/>
  <c r="E267" i="5"/>
  <c r="D267" i="5"/>
  <c r="C267" i="5"/>
  <c r="H266" i="5"/>
  <c r="G266" i="5"/>
  <c r="L266" i="5" s="1"/>
  <c r="F266" i="5"/>
  <c r="E266" i="5"/>
  <c r="J266" i="5" s="1"/>
  <c r="D266" i="5"/>
  <c r="C266" i="5"/>
  <c r="B266" i="5"/>
  <c r="G265" i="5"/>
  <c r="F265" i="5"/>
  <c r="E265" i="5"/>
  <c r="C265" i="5"/>
  <c r="O264" i="5"/>
  <c r="L264" i="5"/>
  <c r="K264" i="5"/>
  <c r="I264" i="5"/>
  <c r="G264" i="5"/>
  <c r="F264" i="5"/>
  <c r="E264" i="5"/>
  <c r="D264" i="5"/>
  <c r="C264" i="5"/>
  <c r="H264" i="5" s="1"/>
  <c r="K263" i="5"/>
  <c r="I263" i="5"/>
  <c r="H263" i="5"/>
  <c r="G263" i="5"/>
  <c r="L263" i="5" s="1"/>
  <c r="F263" i="5"/>
  <c r="E263" i="5"/>
  <c r="J263" i="5" s="1"/>
  <c r="D263" i="5"/>
  <c r="C263" i="5"/>
  <c r="G262" i="5"/>
  <c r="F262" i="5"/>
  <c r="E262" i="5"/>
  <c r="D262" i="5"/>
  <c r="C262" i="5"/>
  <c r="J261" i="5"/>
  <c r="G261" i="5"/>
  <c r="F261" i="5"/>
  <c r="E261" i="5"/>
  <c r="D261" i="5"/>
  <c r="C261" i="5"/>
  <c r="H260" i="5"/>
  <c r="G260" i="5"/>
  <c r="L260" i="5" s="1"/>
  <c r="F260" i="5"/>
  <c r="E260" i="5"/>
  <c r="D260" i="5"/>
  <c r="C260" i="5"/>
  <c r="F259" i="5"/>
  <c r="E259" i="5"/>
  <c r="D259" i="5"/>
  <c r="C259" i="5"/>
  <c r="O258" i="5"/>
  <c r="L258" i="5"/>
  <c r="G258" i="5"/>
  <c r="F258" i="5"/>
  <c r="E258" i="5"/>
  <c r="D258" i="5"/>
  <c r="I258" i="5" s="1"/>
  <c r="C258" i="5"/>
  <c r="H258" i="5" s="1"/>
  <c r="G257" i="5"/>
  <c r="F257" i="5"/>
  <c r="E257" i="5"/>
  <c r="D257" i="5"/>
  <c r="C257" i="5"/>
  <c r="G256" i="5"/>
  <c r="F256" i="5"/>
  <c r="E256" i="5"/>
  <c r="D256" i="5"/>
  <c r="C256" i="5"/>
  <c r="B256" i="5"/>
  <c r="L256" i="5" s="1"/>
  <c r="G255" i="5"/>
  <c r="F255" i="5"/>
  <c r="E255" i="5"/>
  <c r="D255" i="5"/>
  <c r="C255" i="5"/>
  <c r="G254" i="5"/>
  <c r="F254" i="5"/>
  <c r="E254" i="5"/>
  <c r="D254" i="5"/>
  <c r="C254" i="5"/>
  <c r="G253" i="5"/>
  <c r="F253" i="5"/>
  <c r="E253" i="5"/>
  <c r="C253" i="5"/>
  <c r="G252" i="5"/>
  <c r="F252" i="5"/>
  <c r="E252" i="5"/>
  <c r="D252" i="5"/>
  <c r="C252" i="5"/>
  <c r="O252" i="5" s="1"/>
  <c r="B252" i="5"/>
  <c r="J252" i="5" s="1"/>
  <c r="K251" i="5"/>
  <c r="J251" i="5"/>
  <c r="H251" i="5"/>
  <c r="G251" i="5"/>
  <c r="L251" i="5" s="1"/>
  <c r="F251" i="5"/>
  <c r="E251" i="5"/>
  <c r="D251" i="5"/>
  <c r="C251" i="5"/>
  <c r="F250" i="5"/>
  <c r="E250" i="5"/>
  <c r="C250" i="5"/>
  <c r="G249" i="5"/>
  <c r="E249" i="5"/>
  <c r="D249" i="5"/>
  <c r="C249" i="5"/>
  <c r="O248" i="5"/>
  <c r="K248" i="5"/>
  <c r="G248" i="5"/>
  <c r="F248" i="5"/>
  <c r="E248" i="5"/>
  <c r="D248" i="5"/>
  <c r="C248" i="5"/>
  <c r="B248" i="5"/>
  <c r="L248" i="5" s="1"/>
  <c r="G247" i="5"/>
  <c r="F247" i="5"/>
  <c r="E247" i="5"/>
  <c r="G246" i="5"/>
  <c r="F246" i="5"/>
  <c r="O246" i="5" s="1"/>
  <c r="E246" i="5"/>
  <c r="D246" i="5"/>
  <c r="C246" i="5"/>
  <c r="K245" i="5"/>
  <c r="G245" i="5"/>
  <c r="F245" i="5"/>
  <c r="E245" i="5"/>
  <c r="J245" i="5" s="1"/>
  <c r="D245" i="5"/>
  <c r="I245" i="5" s="1"/>
  <c r="G244" i="5"/>
  <c r="F244" i="5"/>
  <c r="D244" i="5"/>
  <c r="C244" i="5"/>
  <c r="G243" i="5"/>
  <c r="F243" i="5"/>
  <c r="E243" i="5"/>
  <c r="D243" i="5"/>
  <c r="C243" i="5"/>
  <c r="J242" i="5"/>
  <c r="G242" i="5"/>
  <c r="F242" i="5"/>
  <c r="E242" i="5"/>
  <c r="O242" i="5" s="1"/>
  <c r="D242" i="5"/>
  <c r="C242" i="5"/>
  <c r="B242" i="5"/>
  <c r="J241" i="5"/>
  <c r="I241" i="5"/>
  <c r="G241" i="5"/>
  <c r="E241" i="5"/>
  <c r="D241" i="5"/>
  <c r="C241" i="5"/>
  <c r="B241" i="5"/>
  <c r="I240" i="5"/>
  <c r="H240" i="5"/>
  <c r="G240" i="5"/>
  <c r="E240" i="5"/>
  <c r="D240" i="5"/>
  <c r="C240" i="5"/>
  <c r="B240" i="5"/>
  <c r="J240" i="5" s="1"/>
  <c r="K239" i="5"/>
  <c r="G239" i="5"/>
  <c r="F239" i="5"/>
  <c r="D239" i="5"/>
  <c r="C239" i="5"/>
  <c r="G238" i="5"/>
  <c r="F238" i="5"/>
  <c r="E238" i="5"/>
  <c r="C238" i="5"/>
  <c r="O237" i="5"/>
  <c r="L237" i="5"/>
  <c r="K237" i="5"/>
  <c r="J237" i="5"/>
  <c r="I237" i="5"/>
  <c r="G237" i="5"/>
  <c r="F237" i="5"/>
  <c r="E237" i="5"/>
  <c r="D237" i="5"/>
  <c r="C237" i="5"/>
  <c r="G236" i="5"/>
  <c r="F236" i="5"/>
  <c r="E236" i="5"/>
  <c r="D236" i="5"/>
  <c r="C236" i="5"/>
  <c r="O236" i="5" s="1"/>
  <c r="G235" i="5"/>
  <c r="E235" i="5"/>
  <c r="D235" i="5"/>
  <c r="C235" i="5"/>
  <c r="B235" i="5"/>
  <c r="G234" i="5"/>
  <c r="F234" i="5"/>
  <c r="E234" i="5"/>
  <c r="D234" i="5"/>
  <c r="G233" i="5"/>
  <c r="F233" i="5"/>
  <c r="E233" i="5"/>
  <c r="D233" i="5"/>
  <c r="C233" i="5"/>
  <c r="G232" i="5"/>
  <c r="E232" i="5"/>
  <c r="D232" i="5"/>
  <c r="C232" i="5"/>
  <c r="B232" i="5"/>
  <c r="G231" i="5"/>
  <c r="F231" i="5"/>
  <c r="E231" i="5"/>
  <c r="D231" i="5"/>
  <c r="C231" i="5"/>
  <c r="G230" i="5"/>
  <c r="F230" i="5"/>
  <c r="E230" i="5"/>
  <c r="D230" i="5"/>
  <c r="O230" i="5" s="1"/>
  <c r="C230" i="5"/>
  <c r="G229" i="5"/>
  <c r="F229" i="5"/>
  <c r="E229" i="5"/>
  <c r="K228" i="5"/>
  <c r="G228" i="5"/>
  <c r="L228" i="5" s="1"/>
  <c r="F228" i="5"/>
  <c r="E228" i="5"/>
  <c r="D228" i="5"/>
  <c r="I228" i="5" s="1"/>
  <c r="C228" i="5"/>
  <c r="B228" i="5"/>
  <c r="J228" i="5" s="1"/>
  <c r="K227" i="5"/>
  <c r="G227" i="5"/>
  <c r="L227" i="5" s="1"/>
  <c r="F227" i="5"/>
  <c r="E227" i="5"/>
  <c r="J227" i="5" s="1"/>
  <c r="D227" i="5"/>
  <c r="I227" i="5" s="1"/>
  <c r="C227" i="5"/>
  <c r="G226" i="5"/>
  <c r="F226" i="5"/>
  <c r="E226" i="5"/>
  <c r="D226" i="5"/>
  <c r="C226" i="5"/>
  <c r="O225" i="5"/>
  <c r="G225" i="5"/>
  <c r="F225" i="5"/>
  <c r="E225" i="5"/>
  <c r="D225" i="5"/>
  <c r="C225" i="5"/>
  <c r="G224" i="5"/>
  <c r="O224" i="5" s="1"/>
  <c r="F224" i="5"/>
  <c r="E224" i="5"/>
  <c r="D224" i="5"/>
  <c r="C224" i="5"/>
  <c r="B224" i="5"/>
  <c r="J224" i="5" s="1"/>
  <c r="G223" i="5"/>
  <c r="F223" i="5"/>
  <c r="E223" i="5"/>
  <c r="D223" i="5"/>
  <c r="C223" i="5"/>
  <c r="G222" i="5"/>
  <c r="F222" i="5"/>
  <c r="E222" i="5"/>
  <c r="J222" i="5" s="1"/>
  <c r="D222" i="5"/>
  <c r="I222" i="5" s="1"/>
  <c r="G221" i="5"/>
  <c r="F221" i="5"/>
  <c r="E221" i="5"/>
  <c r="D221" i="5"/>
  <c r="C221" i="5"/>
  <c r="B221" i="5"/>
  <c r="G220" i="5"/>
  <c r="F220" i="5"/>
  <c r="E220" i="5"/>
  <c r="D220" i="5"/>
  <c r="G219" i="5"/>
  <c r="F219" i="5"/>
  <c r="K219" i="5" s="1"/>
  <c r="E219" i="5"/>
  <c r="J219" i="5" s="1"/>
  <c r="D219" i="5"/>
  <c r="I219" i="5" s="1"/>
  <c r="C219" i="5"/>
  <c r="L218" i="5"/>
  <c r="G218" i="5"/>
  <c r="F218" i="5"/>
  <c r="E218" i="5"/>
  <c r="J218" i="5" s="1"/>
  <c r="D218" i="5"/>
  <c r="B218" i="5"/>
  <c r="I217" i="5"/>
  <c r="H217" i="5"/>
  <c r="G217" i="5"/>
  <c r="F217" i="5"/>
  <c r="K217" i="5" s="1"/>
  <c r="E217" i="5"/>
  <c r="D217" i="5"/>
  <c r="C217" i="5"/>
  <c r="O217" i="5" s="1"/>
  <c r="B217" i="5"/>
  <c r="J217" i="5" s="1"/>
  <c r="G216" i="5"/>
  <c r="F216" i="5"/>
  <c r="E216" i="5"/>
  <c r="D216" i="5"/>
  <c r="C216" i="5"/>
  <c r="B216" i="5"/>
  <c r="K215" i="5"/>
  <c r="G215" i="5"/>
  <c r="L215" i="5" s="1"/>
  <c r="F215" i="5"/>
  <c r="D215" i="5"/>
  <c r="C215" i="5"/>
  <c r="O214" i="5"/>
  <c r="G214" i="5"/>
  <c r="F214" i="5"/>
  <c r="E214" i="5"/>
  <c r="D214" i="5"/>
  <c r="C214" i="5"/>
  <c r="L213" i="5"/>
  <c r="G213" i="5"/>
  <c r="F213" i="5"/>
  <c r="D213" i="5"/>
  <c r="C213" i="5"/>
  <c r="B213" i="5"/>
  <c r="K213" i="5" s="1"/>
  <c r="G212" i="5"/>
  <c r="F212" i="5"/>
  <c r="E212" i="5"/>
  <c r="D212" i="5"/>
  <c r="C212" i="5"/>
  <c r="G211" i="5"/>
  <c r="E211" i="5"/>
  <c r="C211" i="5"/>
  <c r="B211" i="5"/>
  <c r="H211" i="5" s="1"/>
  <c r="J210" i="5"/>
  <c r="I210" i="5"/>
  <c r="G210" i="5"/>
  <c r="F210" i="5"/>
  <c r="K210" i="5" s="1"/>
  <c r="E210" i="5"/>
  <c r="D210" i="5"/>
  <c r="C210" i="5"/>
  <c r="B210" i="5"/>
  <c r="L210" i="5" s="1"/>
  <c r="G209" i="5"/>
  <c r="F209" i="5"/>
  <c r="D209" i="5"/>
  <c r="B209" i="5"/>
  <c r="K209" i="5" s="1"/>
  <c r="G208" i="5"/>
  <c r="F208" i="5"/>
  <c r="E208" i="5"/>
  <c r="G207" i="5"/>
  <c r="F207" i="5"/>
  <c r="E207" i="5"/>
  <c r="D207" i="5"/>
  <c r="C207" i="5"/>
  <c r="G206" i="5"/>
  <c r="F206" i="5"/>
  <c r="E206" i="5"/>
  <c r="D206" i="5"/>
  <c r="C206" i="5"/>
  <c r="J205" i="5"/>
  <c r="I205" i="5"/>
  <c r="G205" i="5"/>
  <c r="F205" i="5"/>
  <c r="K205" i="5" s="1"/>
  <c r="E205" i="5"/>
  <c r="D205" i="5"/>
  <c r="B205" i="5"/>
  <c r="G204" i="5"/>
  <c r="F204" i="5"/>
  <c r="K204" i="5" s="1"/>
  <c r="E204" i="5"/>
  <c r="D204" i="5"/>
  <c r="I204" i="5" s="1"/>
  <c r="C204" i="5"/>
  <c r="B204" i="5"/>
  <c r="J204" i="5" s="1"/>
  <c r="K203" i="5"/>
  <c r="G203" i="5"/>
  <c r="F203" i="5"/>
  <c r="E203" i="5"/>
  <c r="J203" i="5" s="1"/>
  <c r="D203" i="5"/>
  <c r="I203" i="5" s="1"/>
  <c r="C203" i="5"/>
  <c r="G202" i="5"/>
  <c r="E202" i="5"/>
  <c r="D202" i="5"/>
  <c r="C202" i="5"/>
  <c r="B202" i="5"/>
  <c r="G201" i="5"/>
  <c r="F201" i="5"/>
  <c r="E201" i="5"/>
  <c r="D201" i="5"/>
  <c r="C201" i="5"/>
  <c r="O201" i="5" s="1"/>
  <c r="G200" i="5"/>
  <c r="L200" i="5" s="1"/>
  <c r="F200" i="5"/>
  <c r="K200" i="5" s="1"/>
  <c r="E200" i="5"/>
  <c r="D200" i="5"/>
  <c r="C200" i="5"/>
  <c r="B200" i="5"/>
  <c r="J200" i="5" s="1"/>
  <c r="G199" i="5"/>
  <c r="F199" i="5"/>
  <c r="D199" i="5"/>
  <c r="C199" i="5"/>
  <c r="B199" i="5"/>
  <c r="O198" i="5"/>
  <c r="L198" i="5"/>
  <c r="G198" i="5"/>
  <c r="F198" i="5"/>
  <c r="E198" i="5"/>
  <c r="D198" i="5"/>
  <c r="C198" i="5"/>
  <c r="B198" i="5"/>
  <c r="J198" i="5" s="1"/>
  <c r="G197" i="5"/>
  <c r="E197" i="5"/>
  <c r="D197" i="5"/>
  <c r="G196" i="5"/>
  <c r="F196" i="5"/>
  <c r="E196" i="5"/>
  <c r="D196" i="5"/>
  <c r="C196" i="5"/>
  <c r="G195" i="5"/>
  <c r="F195" i="5"/>
  <c r="E195" i="5"/>
  <c r="D195" i="5"/>
  <c r="C195" i="5"/>
  <c r="G194" i="5"/>
  <c r="L194" i="5" s="1"/>
  <c r="F194" i="5"/>
  <c r="E194" i="5"/>
  <c r="D194" i="5"/>
  <c r="C194" i="5"/>
  <c r="B194" i="5"/>
  <c r="G193" i="5"/>
  <c r="F193" i="5"/>
  <c r="E193" i="5"/>
  <c r="O192" i="5"/>
  <c r="L192" i="5"/>
  <c r="K192" i="5"/>
  <c r="H192" i="5"/>
  <c r="G192" i="5"/>
  <c r="F192" i="5"/>
  <c r="E192" i="5"/>
  <c r="D192" i="5"/>
  <c r="B192" i="5"/>
  <c r="J192" i="5" s="1"/>
  <c r="N191" i="5"/>
  <c r="L191" i="5"/>
  <c r="K191" i="5"/>
  <c r="J191" i="5"/>
  <c r="H191" i="5"/>
  <c r="G191" i="5"/>
  <c r="F191" i="5"/>
  <c r="E191" i="5"/>
  <c r="D191" i="5"/>
  <c r="I191" i="5" s="1"/>
  <c r="C191" i="5"/>
  <c r="E190" i="5"/>
  <c r="D190" i="5"/>
  <c r="C190" i="5"/>
  <c r="L189" i="5"/>
  <c r="K189" i="5"/>
  <c r="G189" i="5"/>
  <c r="F189" i="5"/>
  <c r="E189" i="5"/>
  <c r="D189" i="5"/>
  <c r="C189" i="5"/>
  <c r="K188" i="5"/>
  <c r="J188" i="5"/>
  <c r="G188" i="5"/>
  <c r="L188" i="5" s="1"/>
  <c r="F188" i="5"/>
  <c r="E188" i="5"/>
  <c r="D188" i="5"/>
  <c r="C188" i="5"/>
  <c r="O188" i="5" s="1"/>
  <c r="G187" i="5"/>
  <c r="F187" i="5"/>
  <c r="E187" i="5"/>
  <c r="D187" i="5"/>
  <c r="C187" i="5"/>
  <c r="G186" i="5"/>
  <c r="F186" i="5"/>
  <c r="E186" i="5"/>
  <c r="D186" i="5"/>
  <c r="O186" i="5" s="1"/>
  <c r="C186" i="5"/>
  <c r="G185" i="5"/>
  <c r="F185" i="5"/>
  <c r="E185" i="5"/>
  <c r="D185" i="5"/>
  <c r="F184" i="5"/>
  <c r="E184" i="5"/>
  <c r="D184" i="5"/>
  <c r="C184" i="5"/>
  <c r="O184" i="5" s="1"/>
  <c r="K183" i="5"/>
  <c r="G183" i="5"/>
  <c r="L183" i="5" s="1"/>
  <c r="F183" i="5"/>
  <c r="D183" i="5"/>
  <c r="C183" i="5"/>
  <c r="G182" i="5"/>
  <c r="F182" i="5"/>
  <c r="E182" i="5"/>
  <c r="D182" i="5"/>
  <c r="H181" i="5"/>
  <c r="G181" i="5"/>
  <c r="L181" i="5" s="1"/>
  <c r="F181" i="5"/>
  <c r="K181" i="5" s="1"/>
  <c r="E181" i="5"/>
  <c r="J181" i="5" s="1"/>
  <c r="C181" i="5"/>
  <c r="B181" i="5"/>
  <c r="G180" i="5"/>
  <c r="E180" i="5"/>
  <c r="D180" i="5"/>
  <c r="C180" i="5"/>
  <c r="K179" i="5"/>
  <c r="J179" i="5"/>
  <c r="I179" i="5"/>
  <c r="G179" i="5"/>
  <c r="F179" i="5"/>
  <c r="E179" i="5"/>
  <c r="D179" i="5"/>
  <c r="C179" i="5"/>
  <c r="G178" i="5"/>
  <c r="F178" i="5"/>
  <c r="D178" i="5"/>
  <c r="C178" i="5"/>
  <c r="K177" i="5"/>
  <c r="J177" i="5"/>
  <c r="G177" i="5"/>
  <c r="F177" i="5"/>
  <c r="E177" i="5"/>
  <c r="O177" i="5" s="1"/>
  <c r="D177" i="5"/>
  <c r="C177" i="5"/>
  <c r="O176" i="5"/>
  <c r="L176" i="5"/>
  <c r="K176" i="5"/>
  <c r="G176" i="5"/>
  <c r="F176" i="5"/>
  <c r="E176" i="5"/>
  <c r="D176" i="5"/>
  <c r="C176" i="5"/>
  <c r="B176" i="5"/>
  <c r="J176" i="5" s="1"/>
  <c r="G175" i="5"/>
  <c r="F175" i="5"/>
  <c r="E175" i="5"/>
  <c r="D175" i="5"/>
  <c r="G174" i="5"/>
  <c r="F174" i="5"/>
  <c r="E174" i="5"/>
  <c r="D174" i="5"/>
  <c r="G173" i="5"/>
  <c r="F173" i="5"/>
  <c r="E173" i="5"/>
  <c r="D173" i="5"/>
  <c r="C173" i="5"/>
  <c r="G172" i="5"/>
  <c r="F172" i="5"/>
  <c r="E172" i="5"/>
  <c r="D172" i="5"/>
  <c r="C172" i="5"/>
  <c r="G171" i="5"/>
  <c r="F171" i="5"/>
  <c r="E171" i="5"/>
  <c r="D171" i="5"/>
  <c r="C171" i="5"/>
  <c r="G170" i="5"/>
  <c r="F170" i="5"/>
  <c r="E170" i="5"/>
  <c r="D170" i="5"/>
  <c r="C170" i="5"/>
  <c r="B170" i="5"/>
  <c r="G169" i="5"/>
  <c r="F169" i="5"/>
  <c r="F168" i="5"/>
  <c r="E168" i="5"/>
  <c r="D168" i="5"/>
  <c r="C168" i="5"/>
  <c r="B168" i="5"/>
  <c r="G167" i="5"/>
  <c r="F167" i="5"/>
  <c r="D167" i="5"/>
  <c r="C167" i="5"/>
  <c r="G166" i="5"/>
  <c r="F166" i="5"/>
  <c r="E166" i="5"/>
  <c r="C166" i="5"/>
  <c r="K165" i="5"/>
  <c r="G165" i="5"/>
  <c r="F165" i="5"/>
  <c r="E165" i="5"/>
  <c r="D165" i="5"/>
  <c r="C165" i="5"/>
  <c r="B165" i="5"/>
  <c r="G164" i="5"/>
  <c r="F164" i="5"/>
  <c r="E164" i="5"/>
  <c r="D164" i="5"/>
  <c r="C164" i="5"/>
  <c r="G163" i="5"/>
  <c r="F163" i="5"/>
  <c r="E163" i="5"/>
  <c r="D163" i="5"/>
  <c r="C163" i="5"/>
  <c r="G162" i="5"/>
  <c r="F162" i="5"/>
  <c r="E162" i="5"/>
  <c r="D162" i="5"/>
  <c r="B162" i="5"/>
  <c r="L162" i="5" s="1"/>
  <c r="G161" i="5"/>
  <c r="F161" i="5"/>
  <c r="E161" i="5"/>
  <c r="D161" i="5"/>
  <c r="G160" i="5"/>
  <c r="F160" i="5"/>
  <c r="E160" i="5"/>
  <c r="D160" i="5"/>
  <c r="G159" i="5"/>
  <c r="F159" i="5"/>
  <c r="E159" i="5"/>
  <c r="D159" i="5"/>
  <c r="G158" i="5"/>
  <c r="L158" i="5" s="1"/>
  <c r="F158" i="5"/>
  <c r="K158" i="5" s="1"/>
  <c r="D158" i="5"/>
  <c r="C158" i="5"/>
  <c r="B158" i="5"/>
  <c r="I158" i="5" s="1"/>
  <c r="F157" i="5"/>
  <c r="E157" i="5"/>
  <c r="C157" i="5"/>
  <c r="L156" i="5"/>
  <c r="K156" i="5"/>
  <c r="G156" i="5"/>
  <c r="F156" i="5"/>
  <c r="E156" i="5"/>
  <c r="D156" i="5"/>
  <c r="I156" i="5" s="1"/>
  <c r="C156" i="5"/>
  <c r="I155" i="5"/>
  <c r="G155" i="5"/>
  <c r="E155" i="5"/>
  <c r="J155" i="5" s="1"/>
  <c r="D155" i="5"/>
  <c r="C155" i="5"/>
  <c r="G154" i="5"/>
  <c r="F154" i="5"/>
  <c r="E154" i="5"/>
  <c r="C154" i="5"/>
  <c r="G153" i="5"/>
  <c r="F153" i="5"/>
  <c r="E153" i="5"/>
  <c r="D153" i="5"/>
  <c r="G152" i="5"/>
  <c r="F152" i="5"/>
  <c r="E152" i="5"/>
  <c r="D152" i="5"/>
  <c r="C152" i="5"/>
  <c r="G151" i="5"/>
  <c r="F151" i="5"/>
  <c r="D151" i="5"/>
  <c r="C151" i="5"/>
  <c r="J150" i="5"/>
  <c r="G150" i="5"/>
  <c r="F150" i="5"/>
  <c r="E150" i="5"/>
  <c r="D150" i="5"/>
  <c r="I150" i="5" s="1"/>
  <c r="C150" i="5"/>
  <c r="B150" i="5"/>
  <c r="L150" i="5" s="1"/>
  <c r="G149" i="5"/>
  <c r="E149" i="5"/>
  <c r="D149" i="5"/>
  <c r="C149" i="5"/>
  <c r="G148" i="5"/>
  <c r="F148" i="5"/>
  <c r="E148" i="5"/>
  <c r="D148" i="5"/>
  <c r="L147" i="5"/>
  <c r="I147" i="5"/>
  <c r="G147" i="5"/>
  <c r="F147" i="5"/>
  <c r="K147" i="5" s="1"/>
  <c r="D147" i="5"/>
  <c r="C147" i="5"/>
  <c r="G146" i="5"/>
  <c r="F146" i="5"/>
  <c r="E146" i="5"/>
  <c r="D146" i="5"/>
  <c r="G145" i="5"/>
  <c r="F145" i="5"/>
  <c r="E145" i="5"/>
  <c r="D145" i="5"/>
  <c r="C145" i="5"/>
  <c r="B145" i="5"/>
  <c r="I145" i="5" s="1"/>
  <c r="G144" i="5"/>
  <c r="F144" i="5"/>
  <c r="E144" i="5"/>
  <c r="D144" i="5"/>
  <c r="C144" i="5"/>
  <c r="K143" i="5"/>
  <c r="I143" i="5"/>
  <c r="G143" i="5"/>
  <c r="F143" i="5"/>
  <c r="D143" i="5"/>
  <c r="C143" i="5"/>
  <c r="G142" i="5"/>
  <c r="E142" i="5"/>
  <c r="C142" i="5"/>
  <c r="G141" i="5"/>
  <c r="F141" i="5"/>
  <c r="E141" i="5"/>
  <c r="D141" i="5"/>
  <c r="C141" i="5"/>
  <c r="B141" i="5"/>
  <c r="I141" i="5" s="1"/>
  <c r="O140" i="5"/>
  <c r="K140" i="5"/>
  <c r="J140" i="5"/>
  <c r="G140" i="5"/>
  <c r="F140" i="5"/>
  <c r="E140" i="5"/>
  <c r="D140" i="5"/>
  <c r="C140" i="5"/>
  <c r="G139" i="5"/>
  <c r="F139" i="5"/>
  <c r="E139" i="5"/>
  <c r="C139" i="5"/>
  <c r="F138" i="5"/>
  <c r="E138" i="5"/>
  <c r="D138" i="5"/>
  <c r="G137" i="5"/>
  <c r="L137" i="5" s="1"/>
  <c r="F137" i="5"/>
  <c r="E137" i="5"/>
  <c r="D137" i="5"/>
  <c r="C137" i="5"/>
  <c r="G136" i="5"/>
  <c r="F136" i="5"/>
  <c r="D136" i="5"/>
  <c r="C136" i="5"/>
  <c r="B136" i="5"/>
  <c r="L136" i="5" s="1"/>
  <c r="G135" i="5"/>
  <c r="F135" i="5"/>
  <c r="E135" i="5"/>
  <c r="D135" i="5"/>
  <c r="C135" i="5"/>
  <c r="G134" i="5"/>
  <c r="E134" i="5"/>
  <c r="D134" i="5"/>
  <c r="C134" i="5"/>
  <c r="G133" i="5"/>
  <c r="F133" i="5"/>
  <c r="C133" i="5"/>
  <c r="G132" i="5"/>
  <c r="L132" i="5" s="1"/>
  <c r="F132" i="5"/>
  <c r="K132" i="5" s="1"/>
  <c r="E132" i="5"/>
  <c r="D132" i="5"/>
  <c r="I132" i="5" s="1"/>
  <c r="C132" i="5"/>
  <c r="G131" i="5"/>
  <c r="F131" i="5"/>
  <c r="E131" i="5"/>
  <c r="D131" i="5"/>
  <c r="I131" i="5" s="1"/>
  <c r="C131" i="5"/>
  <c r="G130" i="5"/>
  <c r="E130" i="5"/>
  <c r="D130" i="5"/>
  <c r="C130" i="5"/>
  <c r="G129" i="5"/>
  <c r="F129" i="5"/>
  <c r="K129" i="5" s="1"/>
  <c r="E129" i="5"/>
  <c r="D129" i="5"/>
  <c r="C129" i="5"/>
  <c r="G128" i="5"/>
  <c r="F128" i="5"/>
  <c r="E128" i="5"/>
  <c r="D128" i="5"/>
  <c r="G127" i="5"/>
  <c r="E127" i="5"/>
  <c r="D127" i="5"/>
  <c r="C127" i="5"/>
  <c r="F126" i="5"/>
  <c r="E126" i="5"/>
  <c r="D126" i="5"/>
  <c r="C126" i="5"/>
  <c r="F125" i="5"/>
  <c r="E125" i="5"/>
  <c r="D125" i="5"/>
  <c r="C125" i="5"/>
  <c r="B125" i="5"/>
  <c r="J125" i="5" s="1"/>
  <c r="G124" i="5"/>
  <c r="E124" i="5"/>
  <c r="D124" i="5"/>
  <c r="C124" i="5"/>
  <c r="G123" i="5"/>
  <c r="F123" i="5"/>
  <c r="E123" i="5"/>
  <c r="D123" i="5"/>
  <c r="C123" i="5"/>
  <c r="G122" i="5"/>
  <c r="F122" i="5"/>
  <c r="E122" i="5"/>
  <c r="D122" i="5"/>
  <c r="C122" i="5"/>
  <c r="G121" i="5"/>
  <c r="L121" i="5" s="1"/>
  <c r="F121" i="5"/>
  <c r="K121" i="5" s="1"/>
  <c r="E121" i="5"/>
  <c r="J121" i="5" s="1"/>
  <c r="D121" i="5"/>
  <c r="C121" i="5"/>
  <c r="B121" i="5"/>
  <c r="I121" i="5" s="1"/>
  <c r="G120" i="5"/>
  <c r="F120" i="5"/>
  <c r="E120" i="5"/>
  <c r="C120" i="5"/>
  <c r="B120" i="5"/>
  <c r="K120" i="5" s="1"/>
  <c r="L119" i="5"/>
  <c r="G119" i="5"/>
  <c r="F119" i="5"/>
  <c r="E119" i="5"/>
  <c r="J119" i="5" s="1"/>
  <c r="C119" i="5"/>
  <c r="G118" i="5"/>
  <c r="F118" i="5"/>
  <c r="E118" i="5"/>
  <c r="J117" i="5"/>
  <c r="G117" i="5"/>
  <c r="F117" i="5"/>
  <c r="E117" i="5"/>
  <c r="D117" i="5"/>
  <c r="B117" i="5"/>
  <c r="G116" i="5"/>
  <c r="F116" i="5"/>
  <c r="K116" i="5" s="1"/>
  <c r="E116" i="5"/>
  <c r="D116" i="5"/>
  <c r="C116" i="5"/>
  <c r="B116" i="5"/>
  <c r="G115" i="5"/>
  <c r="F115" i="5"/>
  <c r="E115" i="5"/>
  <c r="D115" i="5"/>
  <c r="I114" i="5"/>
  <c r="H114" i="5"/>
  <c r="G114" i="5"/>
  <c r="F114" i="5"/>
  <c r="K114" i="5" s="1"/>
  <c r="E114" i="5"/>
  <c r="D114" i="5"/>
  <c r="C114" i="5"/>
  <c r="B114" i="5"/>
  <c r="L114" i="5" s="1"/>
  <c r="G113" i="5"/>
  <c r="E113" i="5"/>
  <c r="D113" i="5"/>
  <c r="C113" i="5"/>
  <c r="G112" i="5"/>
  <c r="F112" i="5"/>
  <c r="E112" i="5"/>
  <c r="D112" i="5"/>
  <c r="C112" i="5"/>
  <c r="G111" i="5"/>
  <c r="F111" i="5"/>
  <c r="D111" i="5"/>
  <c r="C111" i="5"/>
  <c r="I110" i="5"/>
  <c r="G110" i="5"/>
  <c r="F110" i="5"/>
  <c r="E110" i="5"/>
  <c r="O110" i="5" s="1"/>
  <c r="D110" i="5"/>
  <c r="C110" i="5"/>
  <c r="B110" i="5"/>
  <c r="G109" i="5"/>
  <c r="F109" i="5"/>
  <c r="E109" i="5"/>
  <c r="D109" i="5"/>
  <c r="G108" i="5"/>
  <c r="E108" i="5"/>
  <c r="D108" i="5"/>
  <c r="G107" i="5"/>
  <c r="L107" i="5" s="1"/>
  <c r="E107" i="5"/>
  <c r="J107" i="5" s="1"/>
  <c r="D107" i="5"/>
  <c r="I107" i="5" s="1"/>
  <c r="C107" i="5"/>
  <c r="G106" i="5"/>
  <c r="F106" i="5"/>
  <c r="E106" i="5"/>
  <c r="D106" i="5"/>
  <c r="G105" i="5"/>
  <c r="L105" i="5" s="1"/>
  <c r="F105" i="5"/>
  <c r="E105" i="5"/>
  <c r="D105" i="5"/>
  <c r="C105" i="5"/>
  <c r="L104" i="5"/>
  <c r="G104" i="5"/>
  <c r="F104" i="5"/>
  <c r="E104" i="5"/>
  <c r="D104" i="5"/>
  <c r="G103" i="5"/>
  <c r="F103" i="5"/>
  <c r="E103" i="5"/>
  <c r="D103" i="5"/>
  <c r="G102" i="5"/>
  <c r="F102" i="5"/>
  <c r="E102" i="5"/>
  <c r="D102" i="5"/>
  <c r="C102" i="5"/>
  <c r="G101" i="5"/>
  <c r="F101" i="5"/>
  <c r="E101" i="5"/>
  <c r="D101" i="5"/>
  <c r="C101" i="5"/>
  <c r="B101" i="5"/>
  <c r="F100" i="5"/>
  <c r="E100" i="5"/>
  <c r="D100" i="5"/>
  <c r="C100" i="5"/>
  <c r="G99" i="5"/>
  <c r="F99" i="5"/>
  <c r="E99" i="5"/>
  <c r="D99" i="5"/>
  <c r="C99" i="5"/>
  <c r="G98" i="5"/>
  <c r="F98" i="5"/>
  <c r="E98" i="5"/>
  <c r="D98" i="5"/>
  <c r="C98" i="5"/>
  <c r="J97" i="5"/>
  <c r="H97" i="5"/>
  <c r="G97" i="5"/>
  <c r="L97" i="5" s="1"/>
  <c r="F97" i="5"/>
  <c r="K97" i="5" s="1"/>
  <c r="E97" i="5"/>
  <c r="C97" i="5"/>
  <c r="B97" i="5"/>
  <c r="O96" i="5"/>
  <c r="L96" i="5"/>
  <c r="I96" i="5"/>
  <c r="G96" i="5"/>
  <c r="F96" i="5"/>
  <c r="E96" i="5"/>
  <c r="D96" i="5"/>
  <c r="C96" i="5"/>
  <c r="G95" i="5"/>
  <c r="F95" i="5"/>
  <c r="E95" i="5"/>
  <c r="C95" i="5"/>
  <c r="G94" i="5"/>
  <c r="F94" i="5"/>
  <c r="E94" i="5"/>
  <c r="J94" i="5" s="1"/>
  <c r="D94" i="5"/>
  <c r="B94" i="5"/>
  <c r="G93" i="5"/>
  <c r="F93" i="5"/>
  <c r="E93" i="5"/>
  <c r="C93" i="5"/>
  <c r="G92" i="5"/>
  <c r="F92" i="5"/>
  <c r="E92" i="5"/>
  <c r="D92" i="5"/>
  <c r="G91" i="5"/>
  <c r="F91" i="5"/>
  <c r="E91" i="5"/>
  <c r="D91" i="5"/>
  <c r="C91" i="5"/>
  <c r="G90" i="5"/>
  <c r="F90" i="5"/>
  <c r="E90" i="5"/>
  <c r="D90" i="5"/>
  <c r="C90" i="5"/>
  <c r="G89" i="5"/>
  <c r="F89" i="5"/>
  <c r="E89" i="5"/>
  <c r="D89" i="5"/>
  <c r="C89" i="5"/>
  <c r="G88" i="5"/>
  <c r="F88" i="5"/>
  <c r="E88" i="5"/>
  <c r="D88" i="5"/>
  <c r="C88" i="5"/>
  <c r="G87" i="5"/>
  <c r="F87" i="5"/>
  <c r="E87" i="5"/>
  <c r="D87" i="5"/>
  <c r="C87" i="5"/>
  <c r="G86" i="5"/>
  <c r="F86" i="5"/>
  <c r="E86" i="5"/>
  <c r="D86" i="5"/>
  <c r="O86" i="5" s="1"/>
  <c r="C86" i="5"/>
  <c r="G85" i="5"/>
  <c r="F85" i="5"/>
  <c r="E85" i="5"/>
  <c r="G84" i="5"/>
  <c r="F84" i="5"/>
  <c r="E84" i="5"/>
  <c r="C84" i="5"/>
  <c r="B84" i="5"/>
  <c r="J84" i="5" s="1"/>
  <c r="J83" i="5"/>
  <c r="H83" i="5"/>
  <c r="G83" i="5"/>
  <c r="L83" i="5" s="1"/>
  <c r="E83" i="5"/>
  <c r="D83" i="5"/>
  <c r="I83" i="5" s="1"/>
  <c r="C83" i="5"/>
  <c r="G82" i="5"/>
  <c r="F82" i="5"/>
  <c r="E82" i="5"/>
  <c r="D82" i="5"/>
  <c r="C82" i="5"/>
  <c r="B82" i="5"/>
  <c r="K82" i="5" s="1"/>
  <c r="O81" i="5"/>
  <c r="G81" i="5"/>
  <c r="F81" i="5"/>
  <c r="E81" i="5"/>
  <c r="D81" i="5"/>
  <c r="C81" i="5"/>
  <c r="G80" i="5"/>
  <c r="F80" i="5"/>
  <c r="E80" i="5"/>
  <c r="G79" i="5"/>
  <c r="F79" i="5"/>
  <c r="D79" i="5"/>
  <c r="C79" i="5"/>
  <c r="G78" i="5"/>
  <c r="F78" i="5"/>
  <c r="E78" i="5"/>
  <c r="C78" i="5"/>
  <c r="G77" i="5"/>
  <c r="F77" i="5"/>
  <c r="E77" i="5"/>
  <c r="D77" i="5"/>
  <c r="O77" i="5" s="1"/>
  <c r="C77" i="5"/>
  <c r="G76" i="5"/>
  <c r="F76" i="5"/>
  <c r="E76" i="5"/>
  <c r="D76" i="5"/>
  <c r="C76" i="5"/>
  <c r="B76" i="5"/>
  <c r="H75" i="5"/>
  <c r="G75" i="5"/>
  <c r="L75" i="5" s="1"/>
  <c r="F75" i="5"/>
  <c r="D75" i="5"/>
  <c r="C75" i="5"/>
  <c r="G74" i="5"/>
  <c r="F74" i="5"/>
  <c r="E74" i="5"/>
  <c r="D74" i="5"/>
  <c r="C74" i="5"/>
  <c r="G73" i="5"/>
  <c r="F73" i="5"/>
  <c r="E73" i="5"/>
  <c r="D73" i="5"/>
  <c r="C73" i="5"/>
  <c r="G72" i="5"/>
  <c r="F72" i="5"/>
  <c r="E72" i="5"/>
  <c r="K71" i="5"/>
  <c r="J71" i="5"/>
  <c r="I71" i="5"/>
  <c r="G71" i="5"/>
  <c r="L71" i="5" s="1"/>
  <c r="F71" i="5"/>
  <c r="E71" i="5"/>
  <c r="D71" i="5"/>
  <c r="C71" i="5"/>
  <c r="G70" i="5"/>
  <c r="F70" i="5"/>
  <c r="E70" i="5"/>
  <c r="D70" i="5"/>
  <c r="B70" i="5"/>
  <c r="G69" i="5"/>
  <c r="F69" i="5"/>
  <c r="K69" i="5" s="1"/>
  <c r="E69" i="5"/>
  <c r="D69" i="5"/>
  <c r="B69" i="5"/>
  <c r="I69" i="5" s="1"/>
  <c r="J68" i="5"/>
  <c r="G68" i="5"/>
  <c r="F68" i="5"/>
  <c r="O68" i="5" s="1"/>
  <c r="E68" i="5"/>
  <c r="D68" i="5"/>
  <c r="C68" i="5"/>
  <c r="B68" i="5"/>
  <c r="G67" i="5"/>
  <c r="F67" i="5"/>
  <c r="E67" i="5"/>
  <c r="D67" i="5"/>
  <c r="G66" i="5"/>
  <c r="F66" i="5"/>
  <c r="E66" i="5"/>
  <c r="D66" i="5"/>
  <c r="C66" i="5"/>
  <c r="O65" i="5"/>
  <c r="G65" i="5"/>
  <c r="F65" i="5"/>
  <c r="E65" i="5"/>
  <c r="D65" i="5"/>
  <c r="C65" i="5"/>
  <c r="G64" i="5"/>
  <c r="F64" i="5"/>
  <c r="C64" i="5"/>
  <c r="G63" i="5"/>
  <c r="F63" i="5"/>
  <c r="E63" i="5"/>
  <c r="D63" i="5"/>
  <c r="C63" i="5"/>
  <c r="G62" i="5"/>
  <c r="F62" i="5"/>
  <c r="K62" i="5" s="1"/>
  <c r="E62" i="5"/>
  <c r="D62" i="5"/>
  <c r="C62" i="5"/>
  <c r="G61" i="5"/>
  <c r="F61" i="5"/>
  <c r="E61" i="5"/>
  <c r="C61" i="5"/>
  <c r="I60" i="5"/>
  <c r="G60" i="5"/>
  <c r="F60" i="5"/>
  <c r="K60" i="5" s="1"/>
  <c r="E60" i="5"/>
  <c r="D60" i="5"/>
  <c r="C60" i="5"/>
  <c r="G59" i="5"/>
  <c r="F59" i="5"/>
  <c r="C59" i="5"/>
  <c r="G58" i="5"/>
  <c r="F58" i="5"/>
  <c r="E58" i="5"/>
  <c r="D58" i="5"/>
  <c r="L57" i="5"/>
  <c r="K57" i="5"/>
  <c r="G57" i="5"/>
  <c r="F57" i="5"/>
  <c r="E57" i="5"/>
  <c r="J57" i="5" s="1"/>
  <c r="C57" i="5"/>
  <c r="G56" i="5"/>
  <c r="F56" i="5"/>
  <c r="E56" i="5"/>
  <c r="D56" i="5"/>
  <c r="G55" i="5"/>
  <c r="F55" i="5"/>
  <c r="E55" i="5"/>
  <c r="D55" i="5"/>
  <c r="C55" i="5"/>
  <c r="B55" i="5"/>
  <c r="F54" i="5"/>
  <c r="K54" i="5" s="1"/>
  <c r="E54" i="5"/>
  <c r="D54" i="5"/>
  <c r="C54" i="5"/>
  <c r="B54" i="5"/>
  <c r="I54" i="5" s="1"/>
  <c r="G53" i="5"/>
  <c r="F53" i="5"/>
  <c r="E53" i="5"/>
  <c r="D53" i="5"/>
  <c r="C53" i="5"/>
  <c r="G52" i="5"/>
  <c r="F52" i="5"/>
  <c r="E52" i="5"/>
  <c r="D52" i="5"/>
  <c r="G51" i="5"/>
  <c r="F51" i="5"/>
  <c r="E51" i="5"/>
  <c r="C51" i="5"/>
  <c r="J50" i="5"/>
  <c r="I50" i="5"/>
  <c r="G50" i="5"/>
  <c r="F50" i="5"/>
  <c r="K50" i="5" s="1"/>
  <c r="E50" i="5"/>
  <c r="O50" i="5" s="1"/>
  <c r="D50" i="5"/>
  <c r="C50" i="5"/>
  <c r="B50" i="5"/>
  <c r="G49" i="5"/>
  <c r="F49" i="5"/>
  <c r="E49" i="5"/>
  <c r="O48" i="5"/>
  <c r="L48" i="5"/>
  <c r="K48" i="5"/>
  <c r="G48" i="5"/>
  <c r="F48" i="5"/>
  <c r="E48" i="5"/>
  <c r="D48" i="5"/>
  <c r="I48" i="5" s="1"/>
  <c r="C48" i="5"/>
  <c r="H48" i="5" s="1"/>
  <c r="N48" i="5" s="1"/>
  <c r="K47" i="5"/>
  <c r="J47" i="5"/>
  <c r="G47" i="5"/>
  <c r="L47" i="5" s="1"/>
  <c r="F47" i="5"/>
  <c r="E47" i="5"/>
  <c r="C47" i="5"/>
  <c r="G46" i="5"/>
  <c r="E46" i="5"/>
  <c r="D46" i="5"/>
  <c r="G45" i="5"/>
  <c r="F45" i="5"/>
  <c r="E45" i="5"/>
  <c r="D45" i="5"/>
  <c r="C45" i="5"/>
  <c r="G44" i="5"/>
  <c r="F44" i="5"/>
  <c r="E44" i="5"/>
  <c r="D44" i="5"/>
  <c r="C44" i="5"/>
  <c r="G43" i="5"/>
  <c r="F43" i="5"/>
  <c r="D43" i="5"/>
  <c r="C43" i="5"/>
  <c r="J42" i="5"/>
  <c r="F42" i="5"/>
  <c r="K42" i="5" s="1"/>
  <c r="E42" i="5"/>
  <c r="C42" i="5"/>
  <c r="B42" i="5"/>
  <c r="G41" i="5"/>
  <c r="F41" i="5"/>
  <c r="E41" i="5"/>
  <c r="D41" i="5"/>
  <c r="G40" i="5"/>
  <c r="F40" i="5"/>
  <c r="E40" i="5"/>
  <c r="D40" i="5"/>
  <c r="K39" i="5"/>
  <c r="G39" i="5"/>
  <c r="F39" i="5"/>
  <c r="E39" i="5"/>
  <c r="J39" i="5" s="1"/>
  <c r="D39" i="5"/>
  <c r="C39" i="5"/>
  <c r="L38" i="5"/>
  <c r="G38" i="5"/>
  <c r="F38" i="5"/>
  <c r="K38" i="5" s="1"/>
  <c r="E38" i="5"/>
  <c r="J38" i="5" s="1"/>
  <c r="D38" i="5"/>
  <c r="C38" i="5"/>
  <c r="B38" i="5"/>
  <c r="H38" i="5" s="1"/>
  <c r="G37" i="5"/>
  <c r="F37" i="5"/>
  <c r="E37" i="5"/>
  <c r="D37" i="5"/>
  <c r="C37" i="5"/>
  <c r="B37" i="5"/>
  <c r="K37" i="5" s="1"/>
  <c r="G36" i="5"/>
  <c r="E36" i="5"/>
  <c r="J35" i="5"/>
  <c r="I35" i="5"/>
  <c r="G35" i="5"/>
  <c r="L35" i="5" s="1"/>
  <c r="E35" i="5"/>
  <c r="D35" i="5"/>
  <c r="C35" i="5"/>
  <c r="G34" i="5"/>
  <c r="F34" i="5"/>
  <c r="E34" i="5"/>
  <c r="D34" i="5"/>
  <c r="G33" i="5"/>
  <c r="F33" i="5"/>
  <c r="E33" i="5"/>
  <c r="D33" i="5"/>
  <c r="G32" i="5"/>
  <c r="F32" i="5"/>
  <c r="K32" i="5" s="1"/>
  <c r="E32" i="5"/>
  <c r="D32" i="5"/>
  <c r="I32" i="5" s="1"/>
  <c r="C32" i="5"/>
  <c r="G31" i="5"/>
  <c r="F31" i="5"/>
  <c r="E31" i="5"/>
  <c r="C31" i="5"/>
  <c r="B31" i="5"/>
  <c r="G30" i="5"/>
  <c r="F30" i="5"/>
  <c r="E30" i="5"/>
  <c r="D30" i="5"/>
  <c r="O30" i="5" s="1"/>
  <c r="C30" i="5"/>
  <c r="G29" i="5"/>
  <c r="F29" i="5"/>
  <c r="D29" i="5"/>
  <c r="C29" i="5"/>
  <c r="G28" i="5"/>
  <c r="F28" i="5"/>
  <c r="E28" i="5"/>
  <c r="D28" i="5"/>
  <c r="C28" i="5"/>
  <c r="G27" i="5"/>
  <c r="F27" i="5"/>
  <c r="E27" i="5"/>
  <c r="D27" i="5"/>
  <c r="C27" i="5"/>
  <c r="G26" i="5"/>
  <c r="F26" i="5"/>
  <c r="E26" i="5"/>
  <c r="D26" i="5"/>
  <c r="C26" i="5"/>
  <c r="G25" i="5"/>
  <c r="F25" i="5"/>
  <c r="E25" i="5"/>
  <c r="C25" i="5"/>
  <c r="G24" i="5"/>
  <c r="F24" i="5"/>
  <c r="K24" i="5" s="1"/>
  <c r="E24" i="5"/>
  <c r="D24" i="5"/>
  <c r="C24" i="5"/>
  <c r="B24" i="5"/>
  <c r="J24" i="5" s="1"/>
  <c r="J23" i="5"/>
  <c r="F23" i="5"/>
  <c r="E23" i="5"/>
  <c r="C23" i="5"/>
  <c r="G22" i="5"/>
  <c r="F22" i="5"/>
  <c r="E22" i="5"/>
  <c r="D22" i="5"/>
  <c r="B22" i="5"/>
  <c r="J22" i="5" s="1"/>
  <c r="G21" i="5"/>
  <c r="L21" i="5" s="1"/>
  <c r="F21" i="5"/>
  <c r="K21" i="5" s="1"/>
  <c r="E21" i="5"/>
  <c r="G20" i="5"/>
  <c r="F20" i="5"/>
  <c r="D20" i="5"/>
  <c r="C20" i="5"/>
  <c r="G19" i="5"/>
  <c r="F19" i="5"/>
  <c r="E19" i="5"/>
  <c r="D19" i="5"/>
  <c r="G18" i="5"/>
  <c r="F18" i="5"/>
  <c r="E18" i="5"/>
  <c r="D18" i="5"/>
  <c r="C18" i="5"/>
  <c r="G17" i="5"/>
  <c r="F17" i="5"/>
  <c r="E17" i="5"/>
  <c r="D17" i="5"/>
  <c r="I17" i="5" s="1"/>
  <c r="C17" i="5"/>
  <c r="B17" i="5"/>
  <c r="K17" i="5" s="1"/>
  <c r="G16" i="5"/>
  <c r="F16" i="5"/>
  <c r="E16" i="5"/>
  <c r="D16" i="5"/>
  <c r="C16" i="5"/>
  <c r="G15" i="5"/>
  <c r="F15" i="5"/>
  <c r="D15" i="5"/>
  <c r="C15" i="5"/>
  <c r="G14" i="5"/>
  <c r="F14" i="5"/>
  <c r="E14" i="5"/>
  <c r="D14" i="5"/>
  <c r="C14" i="5"/>
  <c r="G13" i="5"/>
  <c r="L13" i="5" s="1"/>
  <c r="F13" i="5"/>
  <c r="E13" i="5"/>
  <c r="C13" i="5"/>
  <c r="B13" i="5"/>
  <c r="G12" i="5"/>
  <c r="F12" i="5"/>
  <c r="K12" i="5" s="1"/>
  <c r="E12" i="5"/>
  <c r="D12" i="5"/>
  <c r="C12" i="5"/>
  <c r="B12" i="5"/>
  <c r="J12" i="5" s="1"/>
  <c r="J11" i="5"/>
  <c r="G11" i="5"/>
  <c r="E11" i="5"/>
  <c r="C11" i="5"/>
  <c r="G10" i="5"/>
  <c r="F10" i="5"/>
  <c r="E10" i="5"/>
  <c r="G9" i="5"/>
  <c r="E9" i="5"/>
  <c r="D9" i="5"/>
  <c r="C9" i="5"/>
  <c r="G8" i="5"/>
  <c r="F8" i="5"/>
  <c r="D8" i="5"/>
  <c r="C8" i="5"/>
  <c r="K7" i="5"/>
  <c r="G7" i="5"/>
  <c r="L7" i="5" s="1"/>
  <c r="F7" i="5"/>
  <c r="E7" i="5"/>
  <c r="J7" i="5" s="1"/>
  <c r="J6" i="5"/>
  <c r="I6" i="5"/>
  <c r="H6" i="5"/>
  <c r="F6" i="5"/>
  <c r="K6" i="5" s="1"/>
  <c r="E6" i="5"/>
  <c r="D6" i="5"/>
  <c r="C6" i="5"/>
  <c r="B6" i="5"/>
  <c r="AL46" i="4"/>
  <c r="AJ46" i="4"/>
  <c r="AH46" i="4"/>
  <c r="AG46" i="4"/>
  <c r="AE46" i="4"/>
  <c r="AD46" i="4"/>
  <c r="AC46" i="4"/>
  <c r="AB46" i="4"/>
  <c r="Z46" i="4"/>
  <c r="Y46" i="4"/>
  <c r="X46" i="4"/>
  <c r="W46" i="4"/>
  <c r="S46" i="4"/>
  <c r="R46" i="4"/>
  <c r="N46" i="4"/>
  <c r="M46" i="4"/>
  <c r="I46" i="4"/>
  <c r="H46" i="4"/>
  <c r="C46" i="4"/>
  <c r="AL45" i="4"/>
  <c r="AI45" i="4"/>
  <c r="AH45" i="4"/>
  <c r="AG45" i="4"/>
  <c r="AE45" i="4"/>
  <c r="AD45" i="4"/>
  <c r="AC45" i="4"/>
  <c r="AB45" i="4"/>
  <c r="Z45" i="4"/>
  <c r="Y45" i="4"/>
  <c r="X45" i="4"/>
  <c r="W45" i="4"/>
  <c r="R45" i="4"/>
  <c r="N45" i="4"/>
  <c r="M45" i="4"/>
  <c r="I45" i="4"/>
  <c r="H45" i="4"/>
  <c r="C45" i="4"/>
  <c r="AM44" i="4"/>
  <c r="AL44" i="4"/>
  <c r="AJ44" i="4"/>
  <c r="AH44" i="4"/>
  <c r="AG44" i="4"/>
  <c r="AC44" i="4"/>
  <c r="AB44" i="4"/>
  <c r="Z44" i="4"/>
  <c r="Y44" i="4"/>
  <c r="X44" i="4"/>
  <c r="W44" i="4"/>
  <c r="S44" i="4"/>
  <c r="R44" i="4"/>
  <c r="O44" i="4"/>
  <c r="N44" i="4"/>
  <c r="M44" i="4"/>
  <c r="H44" i="4"/>
  <c r="C44" i="4"/>
  <c r="AM43" i="4"/>
  <c r="AL43" i="4"/>
  <c r="AG43" i="4"/>
  <c r="AC43" i="4"/>
  <c r="AB43" i="4"/>
  <c r="X43" i="4"/>
  <c r="W43" i="4"/>
  <c r="S43" i="4"/>
  <c r="R43" i="4"/>
  <c r="P43" i="4"/>
  <c r="O43" i="4"/>
  <c r="N43" i="4"/>
  <c r="M43" i="4"/>
  <c r="H43" i="4"/>
  <c r="C43" i="4"/>
  <c r="AM42" i="4"/>
  <c r="AL42" i="4"/>
  <c r="AJ42" i="4"/>
  <c r="AI42" i="4"/>
  <c r="AH42" i="4"/>
  <c r="AG42" i="4"/>
  <c r="AC42" i="4"/>
  <c r="AB42" i="4"/>
  <c r="Z42" i="4"/>
  <c r="Y42" i="4"/>
  <c r="X42" i="4"/>
  <c r="W42" i="4"/>
  <c r="S42" i="4"/>
  <c r="R42" i="4"/>
  <c r="P42" i="4"/>
  <c r="O42" i="4"/>
  <c r="N42" i="4"/>
  <c r="M42" i="4"/>
  <c r="I42" i="4"/>
  <c r="H42" i="4"/>
  <c r="C42" i="4"/>
  <c r="AN41" i="4"/>
  <c r="AM41" i="4"/>
  <c r="AL41" i="4"/>
  <c r="AI41" i="4"/>
  <c r="AH41" i="4"/>
  <c r="AG41" i="4"/>
  <c r="AC41" i="4"/>
  <c r="AB41" i="4"/>
  <c r="X41" i="4"/>
  <c r="W41" i="4"/>
  <c r="S41" i="4"/>
  <c r="R41" i="4"/>
  <c r="O41" i="4"/>
  <c r="N41" i="4"/>
  <c r="M41" i="4"/>
  <c r="I41" i="4"/>
  <c r="H41" i="4"/>
  <c r="D41" i="4"/>
  <c r="C41" i="4"/>
  <c r="AO40" i="4"/>
  <c r="AN40" i="4"/>
  <c r="AM40" i="4"/>
  <c r="AL40" i="4"/>
  <c r="AH40" i="4"/>
  <c r="AG40" i="4"/>
  <c r="AC40" i="4"/>
  <c r="AB40" i="4"/>
  <c r="X40" i="4"/>
  <c r="W40" i="4"/>
  <c r="R40" i="4"/>
  <c r="N40" i="4"/>
  <c r="M40" i="4"/>
  <c r="I40" i="4"/>
  <c r="H40" i="4"/>
  <c r="C40" i="4"/>
  <c r="AN39" i="4"/>
  <c r="AM39" i="4"/>
  <c r="AL39" i="4"/>
  <c r="AH39" i="4"/>
  <c r="AG39" i="4"/>
  <c r="AC39" i="4"/>
  <c r="AB39" i="4"/>
  <c r="X39" i="4"/>
  <c r="W39" i="4"/>
  <c r="S39" i="4"/>
  <c r="R39" i="4"/>
  <c r="M39" i="4"/>
  <c r="I39" i="4"/>
  <c r="H39" i="4"/>
  <c r="C39" i="4"/>
  <c r="AM38" i="4"/>
  <c r="AL38" i="4"/>
  <c r="AJ38" i="4"/>
  <c r="AH38" i="4"/>
  <c r="AG38" i="4"/>
  <c r="AC38" i="4"/>
  <c r="AB38" i="4"/>
  <c r="Z38" i="4"/>
  <c r="Y38" i="4"/>
  <c r="X38" i="4"/>
  <c r="W38" i="4"/>
  <c r="S38" i="4"/>
  <c r="R38" i="4"/>
  <c r="P38" i="4"/>
  <c r="O38" i="4"/>
  <c r="N38" i="4"/>
  <c r="M38" i="4"/>
  <c r="H38" i="4"/>
  <c r="C38" i="4"/>
  <c r="AM37" i="4"/>
  <c r="AL37" i="4"/>
  <c r="AG37" i="4"/>
  <c r="AC37" i="4"/>
  <c r="AB37" i="4"/>
  <c r="X37" i="4"/>
  <c r="W37" i="4"/>
  <c r="S37" i="4"/>
  <c r="R37" i="4"/>
  <c r="N37" i="4"/>
  <c r="M37" i="4"/>
  <c r="K37" i="4"/>
  <c r="J37" i="4"/>
  <c r="I37" i="4"/>
  <c r="H37" i="4"/>
  <c r="C37" i="4"/>
  <c r="AM36" i="4"/>
  <c r="AL36" i="4"/>
  <c r="AJ36" i="4"/>
  <c r="AI36" i="4"/>
  <c r="AH36" i="4"/>
  <c r="AG36" i="4"/>
  <c r="AC36" i="4"/>
  <c r="AB36" i="4"/>
  <c r="W36" i="4"/>
  <c r="R36" i="4"/>
  <c r="N36" i="4"/>
  <c r="M36" i="4"/>
  <c r="I36" i="4"/>
  <c r="H36" i="4"/>
  <c r="C36" i="4"/>
  <c r="AM35" i="4"/>
  <c r="AL35" i="4"/>
  <c r="AJ35" i="4"/>
  <c r="AI35" i="4"/>
  <c r="AH35" i="4"/>
  <c r="AG35" i="4"/>
  <c r="AD35" i="4"/>
  <c r="AC35" i="4"/>
  <c r="AB35" i="4"/>
  <c r="X35" i="4"/>
  <c r="W35" i="4"/>
  <c r="U35" i="4"/>
  <c r="T35" i="4"/>
  <c r="S35" i="4"/>
  <c r="R35" i="4"/>
  <c r="N35" i="4"/>
  <c r="M35" i="4"/>
  <c r="J35" i="4"/>
  <c r="H35" i="4"/>
  <c r="F35" i="4"/>
  <c r="E35" i="4"/>
  <c r="D35" i="4"/>
  <c r="C35" i="4"/>
  <c r="AO34" i="4"/>
  <c r="AM34" i="4"/>
  <c r="AL34" i="4"/>
  <c r="AJ34" i="4"/>
  <c r="AH34" i="4"/>
  <c r="AG34" i="4"/>
  <c r="AC34" i="4"/>
  <c r="AB34" i="4"/>
  <c r="W34" i="4"/>
  <c r="S34" i="4"/>
  <c r="R34" i="4"/>
  <c r="P34" i="4"/>
  <c r="O34" i="4"/>
  <c r="N34" i="4"/>
  <c r="M34" i="4"/>
  <c r="K34" i="4"/>
  <c r="J34" i="4"/>
  <c r="I34" i="4"/>
  <c r="H34" i="4"/>
  <c r="C34" i="4"/>
  <c r="AM33" i="4"/>
  <c r="AL33" i="4"/>
  <c r="AJ33" i="4"/>
  <c r="AI33" i="4"/>
  <c r="AH33" i="4"/>
  <c r="AG33" i="4"/>
  <c r="AC33" i="4"/>
  <c r="AB33" i="4"/>
  <c r="X33" i="4"/>
  <c r="W33" i="4"/>
  <c r="T33" i="4"/>
  <c r="S33" i="4"/>
  <c r="R33" i="4"/>
  <c r="N33" i="4"/>
  <c r="M33" i="4"/>
  <c r="I33" i="4"/>
  <c r="H33" i="4"/>
  <c r="C33" i="4"/>
  <c r="AL32" i="4"/>
  <c r="AI32" i="4"/>
  <c r="AH32" i="4"/>
  <c r="AG32" i="4"/>
  <c r="AE32" i="4"/>
  <c r="AD32" i="4"/>
  <c r="AC32" i="4"/>
  <c r="AB32" i="4"/>
  <c r="Z32" i="4"/>
  <c r="Y32" i="4"/>
  <c r="X32" i="4"/>
  <c r="W32" i="4"/>
  <c r="T32" i="4"/>
  <c r="S32" i="4"/>
  <c r="R32" i="4"/>
  <c r="O32" i="4"/>
  <c r="N32" i="4"/>
  <c r="M32" i="4"/>
  <c r="I32" i="4"/>
  <c r="H32" i="4"/>
  <c r="E32" i="4"/>
  <c r="D32" i="4"/>
  <c r="C32" i="4"/>
  <c r="AL31" i="4"/>
  <c r="AJ31" i="4"/>
  <c r="AI31" i="4"/>
  <c r="AH31" i="4"/>
  <c r="AG31" i="4"/>
  <c r="AE31" i="4"/>
  <c r="AD31" i="4"/>
  <c r="AC31" i="4"/>
  <c r="AB31" i="4"/>
  <c r="X31" i="4"/>
  <c r="W31" i="4"/>
  <c r="S31" i="4"/>
  <c r="R31" i="4"/>
  <c r="N31" i="4"/>
  <c r="M31" i="4"/>
  <c r="H31" i="4"/>
  <c r="C31" i="4"/>
  <c r="AN30" i="4"/>
  <c r="AM30" i="4"/>
  <c r="AL30" i="4"/>
  <c r="AJ30" i="4"/>
  <c r="AH30" i="4"/>
  <c r="AG30" i="4"/>
  <c r="AE30" i="4"/>
  <c r="AD30" i="4"/>
  <c r="AC30" i="4"/>
  <c r="AB30" i="4"/>
  <c r="Z30" i="4"/>
  <c r="Y30" i="4"/>
  <c r="X30" i="4"/>
  <c r="W30" i="4"/>
  <c r="S30" i="4"/>
  <c r="R30" i="4"/>
  <c r="O30" i="4"/>
  <c r="N30" i="4"/>
  <c r="M30" i="4"/>
  <c r="H30" i="4"/>
  <c r="C30" i="4"/>
  <c r="AM29" i="4"/>
  <c r="AL29" i="4"/>
  <c r="AH29" i="4"/>
  <c r="AG29" i="4"/>
  <c r="AC29" i="4"/>
  <c r="AB29" i="4"/>
  <c r="X29" i="4"/>
  <c r="W29" i="4"/>
  <c r="S29" i="4"/>
  <c r="R29" i="4"/>
  <c r="P29" i="4"/>
  <c r="O29" i="4"/>
  <c r="N29" i="4"/>
  <c r="M29" i="4"/>
  <c r="I29" i="4"/>
  <c r="H29" i="4"/>
  <c r="C29" i="4"/>
  <c r="AM28" i="4"/>
  <c r="AL28" i="4"/>
  <c r="AH28" i="4"/>
  <c r="AG28" i="4"/>
  <c r="AE28" i="4"/>
  <c r="AD28" i="4"/>
  <c r="AC28" i="4"/>
  <c r="AB28" i="4"/>
  <c r="Y28" i="4"/>
  <c r="X28" i="4"/>
  <c r="W28" i="4"/>
  <c r="S28" i="4"/>
  <c r="R28" i="4"/>
  <c r="P28" i="4"/>
  <c r="O28" i="4"/>
  <c r="N28" i="4"/>
  <c r="M28" i="4"/>
  <c r="H28" i="4"/>
  <c r="C28" i="4"/>
  <c r="AO27" i="4"/>
  <c r="AM27" i="4"/>
  <c r="AL27" i="4"/>
  <c r="AI27" i="4"/>
  <c r="AH27" i="4"/>
  <c r="AG27" i="4"/>
  <c r="AC27" i="4"/>
  <c r="AB27" i="4"/>
  <c r="X27" i="4"/>
  <c r="W27" i="4"/>
  <c r="T27" i="4"/>
  <c r="S27" i="4"/>
  <c r="R27" i="4"/>
  <c r="N27" i="4"/>
  <c r="M27" i="4"/>
  <c r="I27" i="4"/>
  <c r="H27" i="4"/>
  <c r="C27" i="4"/>
  <c r="AM26" i="4"/>
  <c r="AL26" i="4"/>
  <c r="AJ26" i="4"/>
  <c r="AI26" i="4"/>
  <c r="AH26" i="4"/>
  <c r="AG26" i="4"/>
  <c r="AE26" i="4"/>
  <c r="AD26" i="4"/>
  <c r="AC26" i="4"/>
  <c r="AB26" i="4"/>
  <c r="X26" i="4"/>
  <c r="W26" i="4"/>
  <c r="S26" i="4"/>
  <c r="R26" i="4"/>
  <c r="P26" i="4"/>
  <c r="O26" i="4"/>
  <c r="N26" i="4"/>
  <c r="M26" i="4"/>
  <c r="H26" i="4"/>
  <c r="D26" i="4"/>
  <c r="C26" i="4"/>
  <c r="AM25" i="4"/>
  <c r="AL25" i="4"/>
  <c r="AI25" i="4"/>
  <c r="AH25" i="4"/>
  <c r="AG25" i="4"/>
  <c r="AC25" i="4"/>
  <c r="AB25" i="4"/>
  <c r="X25" i="4"/>
  <c r="W25" i="4"/>
  <c r="R25" i="4"/>
  <c r="N25" i="4"/>
  <c r="M25" i="4"/>
  <c r="I25" i="4"/>
  <c r="H25" i="4"/>
  <c r="C25" i="4"/>
  <c r="AM24" i="4"/>
  <c r="AL24" i="4"/>
  <c r="AH24" i="4"/>
  <c r="AG24" i="4"/>
  <c r="AC24" i="4"/>
  <c r="AB24" i="4"/>
  <c r="X24" i="4"/>
  <c r="W24" i="4"/>
  <c r="R24" i="4"/>
  <c r="N24" i="4"/>
  <c r="M24" i="4"/>
  <c r="K24" i="4"/>
  <c r="J24" i="4"/>
  <c r="I24" i="4"/>
  <c r="H24" i="4"/>
  <c r="C24" i="4"/>
  <c r="AN23" i="4"/>
  <c r="AM23" i="4"/>
  <c r="AL23" i="4"/>
  <c r="AH23" i="4"/>
  <c r="AG23" i="4"/>
  <c r="AB23" i="4"/>
  <c r="X23" i="4"/>
  <c r="W23" i="4"/>
  <c r="R23" i="4"/>
  <c r="P23" i="4"/>
  <c r="O23" i="4"/>
  <c r="N23" i="4"/>
  <c r="M23" i="4"/>
  <c r="K23" i="4"/>
  <c r="J23" i="4"/>
  <c r="I23" i="4"/>
  <c r="H23" i="4"/>
  <c r="D23" i="4"/>
  <c r="C23" i="4"/>
  <c r="AN22" i="4"/>
  <c r="AM22" i="4"/>
  <c r="AL22" i="4"/>
  <c r="AH22" i="4"/>
  <c r="AG22" i="4"/>
  <c r="AE22" i="4"/>
  <c r="AD22" i="4"/>
  <c r="AC22" i="4"/>
  <c r="AB22" i="4"/>
  <c r="W22" i="4"/>
  <c r="S22" i="4"/>
  <c r="R22" i="4"/>
  <c r="N22" i="4"/>
  <c r="M22" i="4"/>
  <c r="K22" i="4"/>
  <c r="I22" i="4"/>
  <c r="H22" i="4"/>
  <c r="C22" i="4"/>
  <c r="AM21" i="4"/>
  <c r="AL21" i="4"/>
  <c r="AJ21" i="4"/>
  <c r="AH21" i="4"/>
  <c r="AG21" i="4"/>
  <c r="AC21" i="4"/>
  <c r="AB21" i="4"/>
  <c r="X21" i="4"/>
  <c r="W21" i="4"/>
  <c r="S21" i="4"/>
  <c r="R21" i="4"/>
  <c r="N21" i="4"/>
  <c r="M21" i="4"/>
  <c r="I21" i="4"/>
  <c r="H21" i="4"/>
  <c r="C21" i="4"/>
  <c r="AM20" i="4"/>
  <c r="AL20" i="4"/>
  <c r="AH20" i="4"/>
  <c r="AG20" i="4"/>
  <c r="AD20" i="4"/>
  <c r="AC20" i="4"/>
  <c r="AB20" i="4"/>
  <c r="Z20" i="4"/>
  <c r="Y20" i="4"/>
  <c r="X20" i="4"/>
  <c r="W20" i="4"/>
  <c r="S20" i="4"/>
  <c r="R20" i="4"/>
  <c r="P20" i="4"/>
  <c r="O20" i="4"/>
  <c r="N20" i="4"/>
  <c r="M20" i="4"/>
  <c r="H20" i="4"/>
  <c r="C20" i="4"/>
  <c r="AM19" i="4"/>
  <c r="AL19" i="4"/>
  <c r="AG19" i="4"/>
  <c r="AE19" i="4"/>
  <c r="AD19" i="4"/>
  <c r="AC19" i="4"/>
  <c r="AB19" i="4"/>
  <c r="X19" i="4"/>
  <c r="W19" i="4"/>
  <c r="R19" i="4"/>
  <c r="N19" i="4"/>
  <c r="M19" i="4"/>
  <c r="H19" i="4"/>
  <c r="E19" i="4"/>
  <c r="C19" i="4"/>
  <c r="AM18" i="4"/>
  <c r="AL18" i="4"/>
  <c r="AH18" i="4"/>
  <c r="AG18" i="4"/>
  <c r="AC18" i="4"/>
  <c r="AB18" i="4"/>
  <c r="X18" i="4"/>
  <c r="W18" i="4"/>
  <c r="S18" i="4"/>
  <c r="R18" i="4"/>
  <c r="M18" i="4"/>
  <c r="H18" i="4"/>
  <c r="C18" i="4"/>
  <c r="AN17" i="4"/>
  <c r="AM17" i="4"/>
  <c r="AL17" i="4"/>
  <c r="AJ17" i="4"/>
  <c r="AI17" i="4"/>
  <c r="AH17" i="4"/>
  <c r="AG17" i="4"/>
  <c r="AB17" i="4"/>
  <c r="X17" i="4"/>
  <c r="W17" i="4"/>
  <c r="U17" i="4"/>
  <c r="T17" i="4"/>
  <c r="S17" i="4"/>
  <c r="R17" i="4"/>
  <c r="O17" i="4"/>
  <c r="N17" i="4"/>
  <c r="M17" i="4"/>
  <c r="I17" i="4"/>
  <c r="H17" i="4"/>
  <c r="D17" i="4"/>
  <c r="C17" i="4"/>
  <c r="AO16" i="4"/>
  <c r="AN16" i="4"/>
  <c r="AM16" i="4"/>
  <c r="AL16" i="4"/>
  <c r="AH16" i="4"/>
  <c r="AG16" i="4"/>
  <c r="AD16" i="4"/>
  <c r="AC16" i="4"/>
  <c r="AB16" i="4"/>
  <c r="X16" i="4"/>
  <c r="W16" i="4"/>
  <c r="S16" i="4"/>
  <c r="R16" i="4"/>
  <c r="N16" i="4"/>
  <c r="M16" i="4"/>
  <c r="I16" i="4"/>
  <c r="H16" i="4"/>
  <c r="C16" i="4"/>
  <c r="AO15" i="4"/>
  <c r="AN15" i="4"/>
  <c r="AM15" i="4"/>
  <c r="AL15" i="4"/>
  <c r="AH15" i="4"/>
  <c r="AG15" i="4"/>
  <c r="AC15" i="4"/>
  <c r="AB15" i="4"/>
  <c r="X15" i="4"/>
  <c r="W15" i="4"/>
  <c r="S15" i="4"/>
  <c r="R15" i="4"/>
  <c r="N15" i="4"/>
  <c r="M15" i="4"/>
  <c r="I15" i="4"/>
  <c r="H15" i="4"/>
  <c r="C15" i="4"/>
  <c r="AN14" i="4"/>
  <c r="AM14" i="4"/>
  <c r="AL14" i="4"/>
  <c r="AI14" i="4"/>
  <c r="AH14" i="4"/>
  <c r="AG14" i="4"/>
  <c r="AC14" i="4"/>
  <c r="AB14" i="4"/>
  <c r="Z14" i="4"/>
  <c r="Y14" i="4"/>
  <c r="X14" i="4"/>
  <c r="W14" i="4"/>
  <c r="S14" i="4"/>
  <c r="R14" i="4"/>
  <c r="N14" i="4"/>
  <c r="M14" i="4"/>
  <c r="K14" i="4"/>
  <c r="J14" i="4"/>
  <c r="I14" i="4"/>
  <c r="H14" i="4"/>
  <c r="D14" i="4"/>
  <c r="C14" i="4"/>
  <c r="AO13" i="4"/>
  <c r="AN13" i="4"/>
  <c r="AM13" i="4"/>
  <c r="AL13" i="4"/>
  <c r="AI13" i="4"/>
  <c r="AH13" i="4"/>
  <c r="AG13" i="4"/>
  <c r="AC13" i="4"/>
  <c r="AB13" i="4"/>
  <c r="X13" i="4"/>
  <c r="W13" i="4"/>
  <c r="R13" i="4"/>
  <c r="N13" i="4"/>
  <c r="M13" i="4"/>
  <c r="K13" i="4"/>
  <c r="J13" i="4"/>
  <c r="I13" i="4"/>
  <c r="H13" i="4"/>
  <c r="C13" i="4"/>
  <c r="AN12" i="4"/>
  <c r="AM12" i="4"/>
  <c r="AL12" i="4"/>
  <c r="AH12" i="4"/>
  <c r="AG12" i="4"/>
  <c r="AC12" i="4"/>
  <c r="AB12" i="4"/>
  <c r="W12" i="4"/>
  <c r="S12" i="4"/>
  <c r="R12" i="4"/>
  <c r="N12" i="4"/>
  <c r="M12" i="4"/>
  <c r="J12" i="4"/>
  <c r="I12" i="4"/>
  <c r="H12" i="4"/>
  <c r="C12" i="4"/>
  <c r="AM11" i="4"/>
  <c r="AL11" i="4"/>
  <c r="AH11" i="4"/>
  <c r="AG11" i="4"/>
  <c r="AE11" i="4"/>
  <c r="AD11" i="4"/>
  <c r="AC11" i="4"/>
  <c r="AB11" i="4"/>
  <c r="X11" i="4"/>
  <c r="W11" i="4"/>
  <c r="S11" i="4"/>
  <c r="R11" i="4"/>
  <c r="P11" i="4"/>
  <c r="O11" i="4"/>
  <c r="N11" i="4"/>
  <c r="M11" i="4"/>
  <c r="K11" i="4"/>
  <c r="J11" i="4"/>
  <c r="I11" i="4"/>
  <c r="H11" i="4"/>
  <c r="C11" i="4"/>
  <c r="AM10" i="4"/>
  <c r="AL10" i="4"/>
  <c r="AJ10" i="4"/>
  <c r="AH10" i="4"/>
  <c r="AG10" i="4"/>
  <c r="AD10" i="4"/>
  <c r="AC10" i="4"/>
  <c r="AB10" i="4"/>
  <c r="X10" i="4"/>
  <c r="W10" i="4"/>
  <c r="S10" i="4"/>
  <c r="R10" i="4"/>
  <c r="N10" i="4"/>
  <c r="M10" i="4"/>
  <c r="J10" i="4"/>
  <c r="I10" i="4"/>
  <c r="H10" i="4"/>
  <c r="C10" i="4"/>
  <c r="AO9" i="4"/>
  <c r="AM9" i="4"/>
  <c r="AL9" i="4"/>
  <c r="AG9" i="4"/>
  <c r="AE9" i="4"/>
  <c r="AD9" i="4"/>
  <c r="AC9" i="4"/>
  <c r="AB9" i="4"/>
  <c r="X9" i="4"/>
  <c r="W9" i="4"/>
  <c r="R9" i="4"/>
  <c r="M9" i="4"/>
  <c r="I9" i="4"/>
  <c r="H9" i="4"/>
  <c r="C9" i="4"/>
  <c r="AM8" i="4"/>
  <c r="AL8" i="4"/>
  <c r="AI8" i="4"/>
  <c r="AH8" i="4"/>
  <c r="AG8" i="4"/>
  <c r="AC8" i="4"/>
  <c r="AB8" i="4"/>
  <c r="X8" i="4"/>
  <c r="W8" i="4"/>
  <c r="S8" i="4"/>
  <c r="R8" i="4"/>
  <c r="P8" i="4"/>
  <c r="O8" i="4"/>
  <c r="N8" i="4"/>
  <c r="M8" i="4"/>
  <c r="H8" i="4"/>
  <c r="C8" i="4"/>
  <c r="AO7" i="4"/>
  <c r="AN7" i="4"/>
  <c r="AM7" i="4"/>
  <c r="AL7" i="4"/>
  <c r="AI7" i="4"/>
  <c r="AH7" i="4"/>
  <c r="AG7" i="4"/>
  <c r="AC7" i="4"/>
  <c r="AB7" i="4"/>
  <c r="X7" i="4"/>
  <c r="W7" i="4"/>
  <c r="S7" i="4"/>
  <c r="R7" i="4"/>
  <c r="P7" i="4"/>
  <c r="O7" i="4"/>
  <c r="N7" i="4"/>
  <c r="M7" i="4"/>
  <c r="I7" i="4"/>
  <c r="H7" i="4"/>
  <c r="C7" i="4"/>
  <c r="AN6" i="4"/>
  <c r="AM6" i="4"/>
  <c r="AL6" i="4"/>
  <c r="AJ6" i="4"/>
  <c r="AI6" i="4"/>
  <c r="AH6" i="4"/>
  <c r="AG6" i="4"/>
  <c r="AC6" i="4"/>
  <c r="AB6" i="4"/>
  <c r="X6" i="4"/>
  <c r="W6" i="4"/>
  <c r="S6" i="4"/>
  <c r="R6" i="4"/>
  <c r="P6" i="4"/>
  <c r="O6" i="4"/>
  <c r="N6" i="4"/>
  <c r="M6" i="4"/>
  <c r="I6" i="4"/>
  <c r="H6" i="4"/>
  <c r="C6" i="4"/>
  <c r="AN5" i="4"/>
  <c r="AM5" i="4"/>
  <c r="AL5" i="4"/>
  <c r="AJ5" i="4"/>
  <c r="AH5" i="4"/>
  <c r="AG5" i="4"/>
  <c r="AC5" i="4"/>
  <c r="AB5" i="4"/>
  <c r="X5" i="4"/>
  <c r="W5" i="4"/>
  <c r="S5" i="4"/>
  <c r="R5" i="4"/>
  <c r="N5" i="4"/>
  <c r="M5" i="4"/>
  <c r="I5" i="4"/>
  <c r="H5" i="4"/>
  <c r="D5" i="4"/>
  <c r="C5" i="4"/>
  <c r="AM4" i="4"/>
  <c r="AL4" i="4"/>
  <c r="AG4" i="4"/>
  <c r="AC4" i="4"/>
  <c r="AB4" i="4"/>
  <c r="X4" i="4"/>
  <c r="W4" i="4"/>
  <c r="S4" i="4"/>
  <c r="R4" i="4"/>
  <c r="N4" i="4"/>
  <c r="M4" i="4"/>
  <c r="I4" i="4"/>
  <c r="H4" i="4"/>
  <c r="C4" i="4"/>
  <c r="B308" i="3"/>
  <c r="D307" i="3"/>
  <c r="B307" i="3"/>
  <c r="B306" i="3"/>
  <c r="D305" i="3"/>
  <c r="N15" i="1" s="1"/>
  <c r="C305" i="3"/>
  <c r="E43" i="4" s="1"/>
  <c r="B305" i="3"/>
  <c r="B304" i="3"/>
  <c r="B303" i="3"/>
  <c r="B302" i="3"/>
  <c r="D40" i="4" s="1"/>
  <c r="D301" i="3"/>
  <c r="N19" i="1" s="1"/>
  <c r="B301" i="3"/>
  <c r="B300" i="3"/>
  <c r="B299" i="3"/>
  <c r="B298" i="3"/>
  <c r="E297" i="3"/>
  <c r="O23" i="1" s="1"/>
  <c r="B297" i="3"/>
  <c r="C297" i="3" s="1"/>
  <c r="D296" i="3"/>
  <c r="N24" i="1" s="1"/>
  <c r="B296" i="3"/>
  <c r="D34" i="4" s="1"/>
  <c r="B295" i="3"/>
  <c r="B294" i="3"/>
  <c r="C294" i="3" s="1"/>
  <c r="E294" i="3" s="1"/>
  <c r="C293" i="3"/>
  <c r="B293" i="3"/>
  <c r="B292" i="3"/>
  <c r="D291" i="3"/>
  <c r="B291" i="3"/>
  <c r="B290" i="3"/>
  <c r="D28" i="4" s="1"/>
  <c r="B289" i="3"/>
  <c r="D288" i="3"/>
  <c r="B288" i="3"/>
  <c r="B288" i="5" s="1"/>
  <c r="J288" i="5" s="1"/>
  <c r="D287" i="3"/>
  <c r="B287" i="3"/>
  <c r="B286" i="3"/>
  <c r="B285" i="3"/>
  <c r="D285" i="3" s="1"/>
  <c r="D284" i="3"/>
  <c r="B284" i="3"/>
  <c r="B283" i="3"/>
  <c r="B282" i="3"/>
  <c r="D281" i="3"/>
  <c r="C281" i="3"/>
  <c r="E281" i="3" s="1"/>
  <c r="F19" i="4" s="1"/>
  <c r="B281" i="3"/>
  <c r="D19" i="4" s="1"/>
  <c r="B280" i="3"/>
  <c r="B279" i="3"/>
  <c r="B279" i="5" s="1"/>
  <c r="I279" i="5" s="1"/>
  <c r="B278" i="3"/>
  <c r="B277" i="3"/>
  <c r="B277" i="5" s="1"/>
  <c r="K277" i="5" s="1"/>
  <c r="C276" i="3"/>
  <c r="B276" i="3"/>
  <c r="B276" i="5" s="1"/>
  <c r="H276" i="5" s="1"/>
  <c r="B275" i="3"/>
  <c r="D274" i="3"/>
  <c r="B274" i="3"/>
  <c r="B273" i="3"/>
  <c r="D277" i="3" s="1"/>
  <c r="B272" i="3"/>
  <c r="D271" i="3"/>
  <c r="B271" i="3"/>
  <c r="B270" i="3"/>
  <c r="B269" i="3"/>
  <c r="B268" i="3"/>
  <c r="D268" i="3" s="1"/>
  <c r="D267" i="3"/>
  <c r="B267" i="3"/>
  <c r="B267" i="5" s="1"/>
  <c r="B266" i="3"/>
  <c r="D4" i="4" s="1"/>
  <c r="B265" i="3"/>
  <c r="D264" i="3"/>
  <c r="C264" i="3"/>
  <c r="E264" i="3" s="1"/>
  <c r="B264" i="3"/>
  <c r="B264" i="5" s="1"/>
  <c r="J264" i="5" s="1"/>
  <c r="C263" i="3"/>
  <c r="E263" i="3" s="1"/>
  <c r="B263" i="3"/>
  <c r="B263" i="5" s="1"/>
  <c r="B262" i="3"/>
  <c r="D261" i="3"/>
  <c r="C261" i="3"/>
  <c r="E261" i="3" s="1"/>
  <c r="B261" i="3"/>
  <c r="B261" i="5" s="1"/>
  <c r="I261" i="5" s="1"/>
  <c r="D260" i="3"/>
  <c r="B260" i="3"/>
  <c r="B260" i="5" s="1"/>
  <c r="J260" i="5" s="1"/>
  <c r="B259" i="3"/>
  <c r="B258" i="3"/>
  <c r="B258" i="5" s="1"/>
  <c r="C257" i="3"/>
  <c r="E257" i="3" s="1"/>
  <c r="B257" i="3"/>
  <c r="B256" i="3"/>
  <c r="B255" i="3"/>
  <c r="B254" i="3"/>
  <c r="C254" i="3" s="1"/>
  <c r="E254" i="3" s="1"/>
  <c r="D253" i="3"/>
  <c r="B253" i="3"/>
  <c r="D252" i="3"/>
  <c r="C252" i="3"/>
  <c r="E252" i="3" s="1"/>
  <c r="B252" i="3"/>
  <c r="C251" i="3"/>
  <c r="E251" i="3" s="1"/>
  <c r="B251" i="3"/>
  <c r="B251" i="5" s="1"/>
  <c r="B250" i="3"/>
  <c r="B249" i="3"/>
  <c r="D249" i="3" s="1"/>
  <c r="D248" i="3"/>
  <c r="B248" i="3"/>
  <c r="B247" i="3"/>
  <c r="B246" i="3"/>
  <c r="D245" i="3"/>
  <c r="C245" i="3"/>
  <c r="E245" i="3" s="1"/>
  <c r="B245" i="3"/>
  <c r="B245" i="5" s="1"/>
  <c r="B244" i="3"/>
  <c r="B243" i="3"/>
  <c r="B242" i="3"/>
  <c r="E241" i="3"/>
  <c r="D241" i="3"/>
  <c r="B241" i="3"/>
  <c r="C241" i="3" s="1"/>
  <c r="B240" i="3"/>
  <c r="B239" i="3"/>
  <c r="B239" i="5" s="1"/>
  <c r="I239" i="5" s="1"/>
  <c r="B238" i="3"/>
  <c r="D237" i="3"/>
  <c r="B237" i="3"/>
  <c r="B237" i="5" s="1"/>
  <c r="B236" i="3"/>
  <c r="C237" i="3" s="1"/>
  <c r="E237" i="3" s="1"/>
  <c r="B235" i="3"/>
  <c r="B234" i="3"/>
  <c r="C234" i="3" s="1"/>
  <c r="E234" i="3" s="1"/>
  <c r="B233" i="3"/>
  <c r="B232" i="3"/>
  <c r="B231" i="3"/>
  <c r="B230" i="3"/>
  <c r="D229" i="3"/>
  <c r="B229" i="3"/>
  <c r="D228" i="3"/>
  <c r="C228" i="3"/>
  <c r="E228" i="3" s="1"/>
  <c r="B228" i="3"/>
  <c r="B227" i="3"/>
  <c r="B227" i="5" s="1"/>
  <c r="B226" i="3"/>
  <c r="B225" i="3"/>
  <c r="B224" i="3"/>
  <c r="D224" i="3" s="1"/>
  <c r="B223" i="3"/>
  <c r="D222" i="3"/>
  <c r="B222" i="3"/>
  <c r="B222" i="5" s="1"/>
  <c r="L222" i="5" s="1"/>
  <c r="B221" i="3"/>
  <c r="B220" i="3"/>
  <c r="B219" i="3"/>
  <c r="B219" i="5" s="1"/>
  <c r="E218" i="3"/>
  <c r="D218" i="3"/>
  <c r="B218" i="3"/>
  <c r="C218" i="3" s="1"/>
  <c r="D217" i="3"/>
  <c r="B217" i="3"/>
  <c r="B216" i="3"/>
  <c r="D215" i="3"/>
  <c r="C215" i="3"/>
  <c r="E215" i="3" s="1"/>
  <c r="B215" i="3"/>
  <c r="B215" i="5" s="1"/>
  <c r="I215" i="5" s="1"/>
  <c r="B214" i="3"/>
  <c r="D213" i="3"/>
  <c r="B213" i="3"/>
  <c r="B212" i="3"/>
  <c r="B212" i="5" s="1"/>
  <c r="D211" i="3"/>
  <c r="B211" i="3"/>
  <c r="C211" i="3" s="1"/>
  <c r="E211" i="3" s="1"/>
  <c r="B210" i="3"/>
  <c r="B209" i="3"/>
  <c r="D209" i="3" s="1"/>
  <c r="B208" i="3"/>
  <c r="B207" i="3"/>
  <c r="D207" i="3" s="1"/>
  <c r="B206" i="3"/>
  <c r="E205" i="3"/>
  <c r="B205" i="3"/>
  <c r="C205" i="3" s="1"/>
  <c r="D204" i="3"/>
  <c r="C204" i="3"/>
  <c r="E204" i="3" s="1"/>
  <c r="B204" i="3"/>
  <c r="B203" i="3"/>
  <c r="B203" i="5" s="1"/>
  <c r="B202" i="3"/>
  <c r="B201" i="3"/>
  <c r="D200" i="3"/>
  <c r="C200" i="3"/>
  <c r="E200" i="3" s="1"/>
  <c r="B200" i="3"/>
  <c r="B199" i="3"/>
  <c r="C199" i="3" s="1"/>
  <c r="E199" i="3" s="1"/>
  <c r="B198" i="3"/>
  <c r="B197" i="3"/>
  <c r="B196" i="3"/>
  <c r="C196" i="3" s="1"/>
  <c r="E196" i="3" s="1"/>
  <c r="B195" i="3"/>
  <c r="B194" i="3"/>
  <c r="B193" i="3"/>
  <c r="E192" i="3"/>
  <c r="D192" i="3"/>
  <c r="C192" i="3"/>
  <c r="B192" i="3"/>
  <c r="D191" i="3"/>
  <c r="B191" i="3"/>
  <c r="B191" i="5" s="1"/>
  <c r="B190" i="3"/>
  <c r="C191" i="3" s="1"/>
  <c r="E191" i="3" s="1"/>
  <c r="D189" i="3"/>
  <c r="B189" i="3"/>
  <c r="B189" i="5" s="1"/>
  <c r="B188" i="3"/>
  <c r="B188" i="5" s="1"/>
  <c r="D187" i="3"/>
  <c r="B187" i="3"/>
  <c r="B186" i="3"/>
  <c r="C186" i="3" s="1"/>
  <c r="E186" i="3" s="1"/>
  <c r="B185" i="3"/>
  <c r="B184" i="3"/>
  <c r="D183" i="3"/>
  <c r="B183" i="3"/>
  <c r="B183" i="5" s="1"/>
  <c r="H183" i="5" s="1"/>
  <c r="B182" i="3"/>
  <c r="D181" i="3"/>
  <c r="B181" i="3"/>
  <c r="B180" i="3"/>
  <c r="B179" i="3"/>
  <c r="B179" i="5" s="1"/>
  <c r="B178" i="3"/>
  <c r="D178" i="3" s="1"/>
  <c r="D177" i="3"/>
  <c r="B177" i="3"/>
  <c r="B177" i="5" s="1"/>
  <c r="I177" i="5" s="1"/>
  <c r="D176" i="3"/>
  <c r="B176" i="3"/>
  <c r="B175" i="3"/>
  <c r="B174" i="3"/>
  <c r="D174" i="3" s="1"/>
  <c r="B173" i="3"/>
  <c r="D173" i="3" s="1"/>
  <c r="B172" i="3"/>
  <c r="B171" i="3"/>
  <c r="B170" i="3"/>
  <c r="D170" i="3" s="1"/>
  <c r="E169" i="3"/>
  <c r="D169" i="3"/>
  <c r="B169" i="3"/>
  <c r="C169" i="3" s="1"/>
  <c r="B168" i="3"/>
  <c r="D167" i="3"/>
  <c r="C167" i="3"/>
  <c r="E167" i="3" s="1"/>
  <c r="B167" i="3"/>
  <c r="E166" i="3"/>
  <c r="B166" i="3"/>
  <c r="C166" i="3" s="1"/>
  <c r="D165" i="3"/>
  <c r="B165" i="3"/>
  <c r="B164" i="3"/>
  <c r="C165" i="3" s="1"/>
  <c r="E165" i="3" s="1"/>
  <c r="B163" i="3"/>
  <c r="B162" i="3"/>
  <c r="B161" i="3"/>
  <c r="B160" i="3"/>
  <c r="B159" i="3"/>
  <c r="E158" i="3"/>
  <c r="B158" i="3"/>
  <c r="C158" i="3" s="1"/>
  <c r="D157" i="3"/>
  <c r="B157" i="3"/>
  <c r="C156" i="3"/>
  <c r="E156" i="3" s="1"/>
  <c r="B156" i="3"/>
  <c r="B156" i="5" s="1"/>
  <c r="J156" i="5" s="1"/>
  <c r="D155" i="3"/>
  <c r="C155" i="3"/>
  <c r="E155" i="3" s="1"/>
  <c r="B155" i="3"/>
  <c r="B155" i="5" s="1"/>
  <c r="L155" i="5" s="1"/>
  <c r="B154" i="3"/>
  <c r="B153" i="3"/>
  <c r="B152" i="3"/>
  <c r="D151" i="3"/>
  <c r="B151" i="3"/>
  <c r="D150" i="3"/>
  <c r="B150" i="3"/>
  <c r="B149" i="3"/>
  <c r="B148" i="3"/>
  <c r="D147" i="3"/>
  <c r="B147" i="3"/>
  <c r="B147" i="5" s="1"/>
  <c r="D146" i="3"/>
  <c r="B146" i="3"/>
  <c r="B145" i="3"/>
  <c r="B144" i="3"/>
  <c r="D144" i="3" s="1"/>
  <c r="C143" i="3"/>
  <c r="E143" i="3" s="1"/>
  <c r="B143" i="3"/>
  <c r="B143" i="5" s="1"/>
  <c r="L143" i="5" s="1"/>
  <c r="B142" i="3"/>
  <c r="B141" i="3"/>
  <c r="D145" i="3" s="1"/>
  <c r="D140" i="3"/>
  <c r="B140" i="3"/>
  <c r="B140" i="5" s="1"/>
  <c r="L140" i="5" s="1"/>
  <c r="B139" i="3"/>
  <c r="B138" i="3"/>
  <c r="D137" i="3"/>
  <c r="B137" i="3"/>
  <c r="B137" i="5" s="1"/>
  <c r="K137" i="5" s="1"/>
  <c r="B136" i="3"/>
  <c r="B135" i="3"/>
  <c r="B134" i="3"/>
  <c r="D133" i="3"/>
  <c r="B133" i="3"/>
  <c r="B132" i="3"/>
  <c r="B132" i="5" s="1"/>
  <c r="J132" i="5" s="1"/>
  <c r="B131" i="3"/>
  <c r="B131" i="5" s="1"/>
  <c r="K131" i="5" s="1"/>
  <c r="B130" i="3"/>
  <c r="D129" i="3"/>
  <c r="B129" i="3"/>
  <c r="B129" i="5" s="1"/>
  <c r="I129" i="5" s="1"/>
  <c r="B128" i="3"/>
  <c r="B127" i="3"/>
  <c r="B126" i="3"/>
  <c r="D126" i="3" s="1"/>
  <c r="B125" i="3"/>
  <c r="B124" i="3"/>
  <c r="B123" i="3"/>
  <c r="B122" i="3"/>
  <c r="E121" i="3"/>
  <c r="D121" i="3"/>
  <c r="B121" i="3"/>
  <c r="C121" i="3" s="1"/>
  <c r="D120" i="3"/>
  <c r="C120" i="3"/>
  <c r="E120" i="3" s="1"/>
  <c r="B120" i="3"/>
  <c r="B119" i="3"/>
  <c r="B119" i="5" s="1"/>
  <c r="K119" i="5" s="1"/>
  <c r="B118" i="3"/>
  <c r="C119" i="3" s="1"/>
  <c r="E119" i="3" s="1"/>
  <c r="B117" i="3"/>
  <c r="B116" i="3"/>
  <c r="D116" i="3" s="1"/>
  <c r="D115" i="3"/>
  <c r="B115" i="3"/>
  <c r="D114" i="3"/>
  <c r="B114" i="3"/>
  <c r="B113" i="3"/>
  <c r="C114" i="3" s="1"/>
  <c r="E114" i="3" s="1"/>
  <c r="B112" i="3"/>
  <c r="B111" i="3"/>
  <c r="B111" i="5" s="1"/>
  <c r="E110" i="3"/>
  <c r="B110" i="3"/>
  <c r="C110" i="3" s="1"/>
  <c r="D109" i="3"/>
  <c r="B109" i="3"/>
  <c r="B108" i="3"/>
  <c r="B108" i="5" s="1"/>
  <c r="D107" i="3"/>
  <c r="C107" i="3"/>
  <c r="E107" i="3" s="1"/>
  <c r="B107" i="3"/>
  <c r="B107" i="5" s="1"/>
  <c r="B106" i="3"/>
  <c r="D110" i="3" s="1"/>
  <c r="D105" i="3"/>
  <c r="B105" i="3"/>
  <c r="B105" i="5" s="1"/>
  <c r="I105" i="5" s="1"/>
  <c r="B104" i="3"/>
  <c r="B104" i="5" s="1"/>
  <c r="B103" i="3"/>
  <c r="D103" i="3" s="1"/>
  <c r="B102" i="3"/>
  <c r="B101" i="3"/>
  <c r="D101" i="3" s="1"/>
  <c r="B100" i="3"/>
  <c r="D99" i="3"/>
  <c r="B99" i="3"/>
  <c r="B98" i="3"/>
  <c r="E97" i="3"/>
  <c r="B97" i="3"/>
  <c r="C97" i="3" s="1"/>
  <c r="D96" i="3"/>
  <c r="C96" i="3"/>
  <c r="E96" i="3" s="1"/>
  <c r="B96" i="3"/>
  <c r="B96" i="5" s="1"/>
  <c r="J96" i="5" s="1"/>
  <c r="B95" i="3"/>
  <c r="B94" i="3"/>
  <c r="B93" i="3"/>
  <c r="C93" i="3" s="1"/>
  <c r="E93" i="3" s="1"/>
  <c r="B92" i="3"/>
  <c r="B92" i="5" s="1"/>
  <c r="L92" i="5" s="1"/>
  <c r="B91" i="3"/>
  <c r="B90" i="3"/>
  <c r="B89" i="3"/>
  <c r="B88" i="3"/>
  <c r="B87" i="3"/>
  <c r="B86" i="3"/>
  <c r="B85" i="3"/>
  <c r="E84" i="3"/>
  <c r="C84" i="3"/>
  <c r="B84" i="3"/>
  <c r="D83" i="3"/>
  <c r="B83" i="3"/>
  <c r="B83" i="5" s="1"/>
  <c r="B82" i="3"/>
  <c r="B81" i="3"/>
  <c r="B81" i="5" s="1"/>
  <c r="B80" i="3"/>
  <c r="D79" i="3"/>
  <c r="B79" i="3"/>
  <c r="B78" i="3"/>
  <c r="B77" i="3"/>
  <c r="C77" i="3" s="1"/>
  <c r="E77" i="3" s="1"/>
  <c r="B76" i="3"/>
  <c r="D75" i="3"/>
  <c r="B75" i="3"/>
  <c r="B75" i="5" s="1"/>
  <c r="K75" i="5" s="1"/>
  <c r="D74" i="3"/>
  <c r="B74" i="3"/>
  <c r="D73" i="3"/>
  <c r="B73" i="3"/>
  <c r="B72" i="3"/>
  <c r="B71" i="3"/>
  <c r="B71" i="5" s="1"/>
  <c r="B70" i="3"/>
  <c r="D70" i="3" s="1"/>
  <c r="D69" i="3"/>
  <c r="B69" i="3"/>
  <c r="C69" i="3" s="1"/>
  <c r="E69" i="3" s="1"/>
  <c r="D68" i="3"/>
  <c r="B68" i="3"/>
  <c r="B67" i="3"/>
  <c r="B67" i="5" s="1"/>
  <c r="B66" i="3"/>
  <c r="D66" i="3" s="1"/>
  <c r="B65" i="3"/>
  <c r="B64" i="3"/>
  <c r="B63" i="3"/>
  <c r="B62" i="3"/>
  <c r="B62" i="5" s="1"/>
  <c r="H62" i="5" s="1"/>
  <c r="D61" i="3"/>
  <c r="B61" i="3"/>
  <c r="B60" i="3"/>
  <c r="B60" i="5" s="1"/>
  <c r="J60" i="5" s="1"/>
  <c r="B59" i="3"/>
  <c r="D59" i="3" s="1"/>
  <c r="B58" i="3"/>
  <c r="D57" i="3"/>
  <c r="C57" i="3"/>
  <c r="E57" i="3" s="1"/>
  <c r="B57" i="3"/>
  <c r="B57" i="5" s="1"/>
  <c r="B56" i="3"/>
  <c r="B55" i="3"/>
  <c r="C55" i="3" s="1"/>
  <c r="E55" i="3" s="1"/>
  <c r="B54" i="3"/>
  <c r="B53" i="3"/>
  <c r="B52" i="3"/>
  <c r="B52" i="5" s="1"/>
  <c r="H52" i="5" s="1"/>
  <c r="B51" i="3"/>
  <c r="E50" i="3"/>
  <c r="B50" i="3"/>
  <c r="C50" i="3" s="1"/>
  <c r="D49" i="3"/>
  <c r="B49" i="3"/>
  <c r="C48" i="3"/>
  <c r="E48" i="3" s="1"/>
  <c r="B48" i="3"/>
  <c r="B48" i="5" s="1"/>
  <c r="J48" i="5" s="1"/>
  <c r="D47" i="3"/>
  <c r="B47" i="3"/>
  <c r="B47" i="5" s="1"/>
  <c r="B46" i="3"/>
  <c r="D46" i="3" s="1"/>
  <c r="B45" i="3"/>
  <c r="B44" i="3"/>
  <c r="C44" i="3" s="1"/>
  <c r="E44" i="3" s="1"/>
  <c r="D43" i="3"/>
  <c r="B43" i="3"/>
  <c r="D42" i="3"/>
  <c r="C42" i="3"/>
  <c r="E42" i="3" s="1"/>
  <c r="B42" i="3"/>
  <c r="B41" i="3"/>
  <c r="B40" i="3"/>
  <c r="D39" i="3"/>
  <c r="B39" i="3"/>
  <c r="B39" i="5" s="1"/>
  <c r="H39" i="5" s="1"/>
  <c r="E38" i="3"/>
  <c r="D38" i="3"/>
  <c r="B38" i="3"/>
  <c r="C38" i="3" s="1"/>
  <c r="B37" i="3"/>
  <c r="D36" i="3"/>
  <c r="B36" i="3"/>
  <c r="B36" i="5" s="1"/>
  <c r="J36" i="5" s="1"/>
  <c r="C35" i="3"/>
  <c r="E35" i="3" s="1"/>
  <c r="B35" i="3"/>
  <c r="B35" i="5" s="1"/>
  <c r="B34" i="3"/>
  <c r="B33" i="3"/>
  <c r="D32" i="3"/>
  <c r="B32" i="3"/>
  <c r="B32" i="5" s="1"/>
  <c r="J32" i="5" s="1"/>
  <c r="D31" i="3"/>
  <c r="B31" i="3"/>
  <c r="B30" i="3"/>
  <c r="B29" i="3"/>
  <c r="B29" i="5" s="1"/>
  <c r="I29" i="5" s="1"/>
  <c r="B28" i="3"/>
  <c r="B27" i="3"/>
  <c r="B26" i="3"/>
  <c r="E25" i="3"/>
  <c r="D25" i="3"/>
  <c r="B25" i="3"/>
  <c r="C25" i="3" s="1"/>
  <c r="B24" i="3"/>
  <c r="B23" i="3"/>
  <c r="B23" i="5" s="1"/>
  <c r="K23" i="5" s="1"/>
  <c r="E22" i="3"/>
  <c r="D22" i="3"/>
  <c r="B22" i="3"/>
  <c r="C22" i="3" s="1"/>
  <c r="D21" i="3"/>
  <c r="C21" i="3"/>
  <c r="E21" i="3" s="1"/>
  <c r="B21" i="3"/>
  <c r="B21" i="5" s="1"/>
  <c r="J21" i="5" s="1"/>
  <c r="B20" i="3"/>
  <c r="B19" i="3"/>
  <c r="B18" i="3"/>
  <c r="C18" i="3" s="1"/>
  <c r="E18" i="3" s="1"/>
  <c r="C17" i="3"/>
  <c r="E17" i="3" s="1"/>
  <c r="B17" i="3"/>
  <c r="B16" i="3"/>
  <c r="B15" i="3"/>
  <c r="B14" i="3"/>
  <c r="D14" i="3" s="1"/>
  <c r="E13" i="3"/>
  <c r="D13" i="3"/>
  <c r="B13" i="3"/>
  <c r="C13" i="3" s="1"/>
  <c r="D12" i="3"/>
  <c r="C12" i="3"/>
  <c r="E12" i="3" s="1"/>
  <c r="B12" i="3"/>
  <c r="D11" i="3"/>
  <c r="B11" i="3"/>
  <c r="B11" i="5" s="1"/>
  <c r="L11" i="5" s="1"/>
  <c r="B10" i="3"/>
  <c r="B9" i="3"/>
  <c r="B8" i="3"/>
  <c r="C7" i="3"/>
  <c r="E7" i="3" s="1"/>
  <c r="B7" i="3"/>
  <c r="B7" i="5" s="1"/>
  <c r="E6" i="3"/>
  <c r="B6" i="3"/>
  <c r="I4" i="3"/>
  <c r="J108" i="5" l="1"/>
  <c r="L108" i="5"/>
  <c r="I108" i="5"/>
  <c r="O153" i="5"/>
  <c r="J148" i="5"/>
  <c r="K257" i="5"/>
  <c r="E281" i="6"/>
  <c r="K19" i="4" s="1"/>
  <c r="J19" i="4"/>
  <c r="L67" i="5"/>
  <c r="K67" i="5"/>
  <c r="L72" i="5"/>
  <c r="K80" i="5"/>
  <c r="K304" i="5"/>
  <c r="O128" i="5"/>
  <c r="I197" i="5"/>
  <c r="J250" i="5"/>
  <c r="O166" i="5"/>
  <c r="J154" i="5"/>
  <c r="I90" i="5"/>
  <c r="B128" i="5"/>
  <c r="K128" i="5" s="1"/>
  <c r="D132" i="3"/>
  <c r="D128" i="3"/>
  <c r="C128" i="3"/>
  <c r="E128" i="3" s="1"/>
  <c r="D36" i="4"/>
  <c r="C298" i="3"/>
  <c r="B298" i="5"/>
  <c r="D298" i="3"/>
  <c r="N22" i="1" s="1"/>
  <c r="O66" i="5"/>
  <c r="K102" i="5"/>
  <c r="H137" i="5"/>
  <c r="N137" i="5" s="1"/>
  <c r="O137" i="5"/>
  <c r="D143" i="8"/>
  <c r="C143" i="8"/>
  <c r="E143" i="8" s="1"/>
  <c r="E143" i="5"/>
  <c r="J143" i="5" s="1"/>
  <c r="I81" i="5"/>
  <c r="K81" i="5"/>
  <c r="J81" i="5"/>
  <c r="D118" i="3"/>
  <c r="J212" i="5"/>
  <c r="H212" i="5"/>
  <c r="O18" i="5"/>
  <c r="L55" i="5"/>
  <c r="K55" i="5"/>
  <c r="K221" i="5"/>
  <c r="I221" i="5"/>
  <c r="L224" i="5"/>
  <c r="H239" i="5"/>
  <c r="J257" i="5"/>
  <c r="C307" i="8"/>
  <c r="S45" i="4"/>
  <c r="D307" i="8"/>
  <c r="C113" i="3"/>
  <c r="E113" i="3" s="1"/>
  <c r="D185" i="3"/>
  <c r="B185" i="5"/>
  <c r="B201" i="5"/>
  <c r="D205" i="3"/>
  <c r="D201" i="3"/>
  <c r="C212" i="3"/>
  <c r="E212" i="3" s="1"/>
  <c r="E305" i="3"/>
  <c r="L26" i="5"/>
  <c r="O32" i="5"/>
  <c r="H32" i="5"/>
  <c r="H55" i="5"/>
  <c r="O55" i="5"/>
  <c r="O62" i="5"/>
  <c r="H221" i="5"/>
  <c r="H259" i="5"/>
  <c r="D193" i="6"/>
  <c r="C193" i="6"/>
  <c r="E193" i="6" s="1"/>
  <c r="C193" i="5"/>
  <c r="E276" i="7"/>
  <c r="P14" i="4" s="1"/>
  <c r="O14" i="4"/>
  <c r="D305" i="11"/>
  <c r="AJ43" i="4" s="1"/>
  <c r="C305" i="11"/>
  <c r="AH43" i="4"/>
  <c r="C124" i="3"/>
  <c r="E124" i="3" s="1"/>
  <c r="B124" i="5"/>
  <c r="D212" i="3"/>
  <c r="B269" i="5"/>
  <c r="D7" i="4"/>
  <c r="D269" i="3"/>
  <c r="C269" i="3"/>
  <c r="E293" i="3"/>
  <c r="E31" i="4"/>
  <c r="O63" i="5"/>
  <c r="H63" i="5"/>
  <c r="K72" i="5"/>
  <c r="H107" i="5"/>
  <c r="N107" i="5" s="1"/>
  <c r="N114" i="5"/>
  <c r="O129" i="5"/>
  <c r="J129" i="5"/>
  <c r="D69" i="6"/>
  <c r="C69" i="6"/>
  <c r="E69" i="6" s="1"/>
  <c r="C69" i="5"/>
  <c r="D307" i="12"/>
  <c r="AO45" i="4" s="1"/>
  <c r="AM45" i="4"/>
  <c r="D29" i="3"/>
  <c r="D92" i="3"/>
  <c r="O26" i="1"/>
  <c r="F32" i="4"/>
  <c r="K84" i="5"/>
  <c r="I101" i="5"/>
  <c r="O111" i="5"/>
  <c r="H120" i="5"/>
  <c r="O120" i="5"/>
  <c r="H170" i="5"/>
  <c r="J170" i="5"/>
  <c r="I170" i="5"/>
  <c r="K184" i="5"/>
  <c r="J254" i="5"/>
  <c r="O254" i="5"/>
  <c r="J276" i="5"/>
  <c r="C70" i="6"/>
  <c r="E70" i="6" s="1"/>
  <c r="C70" i="5"/>
  <c r="C76" i="6"/>
  <c r="E76" i="6" s="1"/>
  <c r="C109" i="6"/>
  <c r="E109" i="6" s="1"/>
  <c r="D115" i="6"/>
  <c r="C115" i="6"/>
  <c r="E115" i="6" s="1"/>
  <c r="C116" i="6"/>
  <c r="E116" i="6" s="1"/>
  <c r="C115" i="5"/>
  <c r="D179" i="6"/>
  <c r="C179" i="6"/>
  <c r="E179" i="6" s="1"/>
  <c r="D72" i="7"/>
  <c r="D76" i="7"/>
  <c r="C73" i="7"/>
  <c r="E73" i="7" s="1"/>
  <c r="D72" i="5"/>
  <c r="I72" i="5" s="1"/>
  <c r="C72" i="7"/>
  <c r="E72" i="7" s="1"/>
  <c r="C166" i="7"/>
  <c r="E166" i="7" s="1"/>
  <c r="D275" i="7"/>
  <c r="C272" i="7"/>
  <c r="C271" i="7"/>
  <c r="N9" i="4"/>
  <c r="D271" i="7"/>
  <c r="D271" i="5"/>
  <c r="D209" i="8"/>
  <c r="C209" i="8"/>
  <c r="E209" i="8" s="1"/>
  <c r="E209" i="5"/>
  <c r="J209" i="5" s="1"/>
  <c r="D239" i="8"/>
  <c r="C239" i="8"/>
  <c r="E239" i="8" s="1"/>
  <c r="E239" i="5"/>
  <c r="J239" i="5" s="1"/>
  <c r="D287" i="8"/>
  <c r="C287" i="8"/>
  <c r="C288" i="8"/>
  <c r="S25" i="4"/>
  <c r="D291" i="8"/>
  <c r="E287" i="5"/>
  <c r="E266" i="10"/>
  <c r="AE4" i="4" s="1"/>
  <c r="AD4" i="4"/>
  <c r="C307" i="12"/>
  <c r="C10" i="3"/>
  <c r="E10" i="3" s="1"/>
  <c r="B10" i="5"/>
  <c r="B40" i="5"/>
  <c r="C40" i="3"/>
  <c r="E40" i="3" s="1"/>
  <c r="D40" i="3"/>
  <c r="C82" i="3"/>
  <c r="E82" i="3" s="1"/>
  <c r="D82" i="3"/>
  <c r="B98" i="5"/>
  <c r="D98" i="3"/>
  <c r="L219" i="5"/>
  <c r="H219" i="5"/>
  <c r="N219" i="5" s="1"/>
  <c r="C230" i="3"/>
  <c r="E230" i="3" s="1"/>
  <c r="B230" i="5"/>
  <c r="L230" i="5" s="1"/>
  <c r="C248" i="3"/>
  <c r="E248" i="3" s="1"/>
  <c r="D33" i="4"/>
  <c r="C295" i="3"/>
  <c r="B295" i="5"/>
  <c r="L12" i="5"/>
  <c r="L22" i="5"/>
  <c r="L61" i="5"/>
  <c r="J65" i="5"/>
  <c r="K68" i="5"/>
  <c r="L84" i="5"/>
  <c r="K88" i="5"/>
  <c r="N97" i="5"/>
  <c r="J101" i="5"/>
  <c r="J141" i="5"/>
  <c r="O141" i="5"/>
  <c r="H145" i="5"/>
  <c r="O145" i="5"/>
  <c r="O147" i="5"/>
  <c r="H147" i="5"/>
  <c r="N147" i="5" s="1"/>
  <c r="O149" i="5"/>
  <c r="J168" i="5"/>
  <c r="H168" i="5"/>
  <c r="N168" i="5" s="1"/>
  <c r="H188" i="5"/>
  <c r="O216" i="5"/>
  <c r="H216" i="5"/>
  <c r="B249" i="5"/>
  <c r="K252" i="5"/>
  <c r="O256" i="5"/>
  <c r="H256" i="5"/>
  <c r="K276" i="5"/>
  <c r="J285" i="5"/>
  <c r="I297" i="5"/>
  <c r="L297" i="5"/>
  <c r="J297" i="5"/>
  <c r="D70" i="6"/>
  <c r="D76" i="6"/>
  <c r="D109" i="6"/>
  <c r="D268" i="6"/>
  <c r="D272" i="6"/>
  <c r="C269" i="6"/>
  <c r="O5" i="4"/>
  <c r="E267" i="7"/>
  <c r="P5" i="4" s="1"/>
  <c r="C15" i="8"/>
  <c r="E15" i="8" s="1"/>
  <c r="D19" i="8"/>
  <c r="D15" i="8"/>
  <c r="E15" i="5"/>
  <c r="J15" i="5" s="1"/>
  <c r="D124" i="9"/>
  <c r="C124" i="9"/>
  <c r="E124" i="9" s="1"/>
  <c r="D128" i="9"/>
  <c r="F124" i="5"/>
  <c r="D10" i="3"/>
  <c r="B20" i="5"/>
  <c r="D24" i="3"/>
  <c r="D20" i="3"/>
  <c r="B51" i="5"/>
  <c r="I51" i="5" s="1"/>
  <c r="C51" i="3"/>
  <c r="E51" i="3" s="1"/>
  <c r="D60" i="3"/>
  <c r="D56" i="3"/>
  <c r="C56" i="3"/>
  <c r="E56" i="3" s="1"/>
  <c r="C66" i="3"/>
  <c r="E66" i="3" s="1"/>
  <c r="D72" i="3"/>
  <c r="B72" i="5"/>
  <c r="J72" i="5" s="1"/>
  <c r="C88" i="3"/>
  <c r="E88" i="3" s="1"/>
  <c r="B88" i="5"/>
  <c r="C98" i="3"/>
  <c r="E98" i="3" s="1"/>
  <c r="C104" i="3"/>
  <c r="E104" i="3" s="1"/>
  <c r="C125" i="3"/>
  <c r="E125" i="3" s="1"/>
  <c r="B153" i="5"/>
  <c r="D153" i="3"/>
  <c r="C153" i="3"/>
  <c r="E153" i="3" s="1"/>
  <c r="B159" i="5"/>
  <c r="C159" i="3"/>
  <c r="E159" i="3" s="1"/>
  <c r="C174" i="3"/>
  <c r="E174" i="3" s="1"/>
  <c r="D197" i="3"/>
  <c r="B197" i="5"/>
  <c r="J197" i="5" s="1"/>
  <c r="B208" i="5"/>
  <c r="L208" i="5" s="1"/>
  <c r="C208" i="3"/>
  <c r="E208" i="3" s="1"/>
  <c r="D208" i="3"/>
  <c r="C219" i="3"/>
  <c r="E219" i="3" s="1"/>
  <c r="C226" i="3"/>
  <c r="E226" i="3" s="1"/>
  <c r="D230" i="3"/>
  <c r="B265" i="5"/>
  <c r="J265" i="5" s="1"/>
  <c r="C265" i="3"/>
  <c r="E265" i="3" s="1"/>
  <c r="B282" i="5"/>
  <c r="L282" i="5" s="1"/>
  <c r="D282" i="3"/>
  <c r="C282" i="3"/>
  <c r="D20" i="4"/>
  <c r="D295" i="3"/>
  <c r="N25" i="1" s="1"/>
  <c r="O26" i="5"/>
  <c r="L32" i="5"/>
  <c r="H37" i="5"/>
  <c r="N37" i="5" s="1"/>
  <c r="O37" i="5"/>
  <c r="I67" i="5"/>
  <c r="H73" i="5"/>
  <c r="O73" i="5"/>
  <c r="O74" i="5"/>
  <c r="H84" i="5"/>
  <c r="L94" i="5"/>
  <c r="I94" i="5"/>
  <c r="K101" i="5"/>
  <c r="B126" i="5"/>
  <c r="I126" i="5" s="1"/>
  <c r="K141" i="5"/>
  <c r="O155" i="5"/>
  <c r="H172" i="5"/>
  <c r="O172" i="5"/>
  <c r="B174" i="5"/>
  <c r="L174" i="5" s="1"/>
  <c r="I185" i="5"/>
  <c r="L201" i="5"/>
  <c r="I216" i="5"/>
  <c r="L221" i="5"/>
  <c r="O227" i="5"/>
  <c r="H227" i="5"/>
  <c r="N227" i="5" s="1"/>
  <c r="K243" i="5"/>
  <c r="L252" i="5"/>
  <c r="I256" i="5"/>
  <c r="L276" i="5"/>
  <c r="K285" i="5"/>
  <c r="L291" i="5"/>
  <c r="I303" i="5"/>
  <c r="D19" i="6"/>
  <c r="C19" i="6"/>
  <c r="E19" i="6" s="1"/>
  <c r="C19" i="5"/>
  <c r="C34" i="6"/>
  <c r="E34" i="6" s="1"/>
  <c r="C34" i="5"/>
  <c r="D34" i="6"/>
  <c r="D174" i="6"/>
  <c r="C174" i="6"/>
  <c r="E174" i="6" s="1"/>
  <c r="C268" i="6"/>
  <c r="C16" i="8"/>
  <c r="E16" i="8" s="1"/>
  <c r="T18" i="4"/>
  <c r="E280" i="8"/>
  <c r="U18" i="4" s="1"/>
  <c r="D118" i="9"/>
  <c r="C118" i="9"/>
  <c r="E118" i="9" s="1"/>
  <c r="C119" i="9"/>
  <c r="E119" i="9" s="1"/>
  <c r="D122" i="9"/>
  <c r="X34" i="4"/>
  <c r="F296" i="5"/>
  <c r="D10" i="10"/>
  <c r="G6" i="5"/>
  <c r="C20" i="3"/>
  <c r="E20" i="3" s="1"/>
  <c r="C31" i="3"/>
  <c r="E31" i="3" s="1"/>
  <c r="D35" i="3"/>
  <c r="C36" i="3"/>
  <c r="E36" i="3" s="1"/>
  <c r="D41" i="3"/>
  <c r="B41" i="5"/>
  <c r="K41" i="5" s="1"/>
  <c r="C41" i="3"/>
  <c r="E41" i="3" s="1"/>
  <c r="D51" i="3"/>
  <c r="C72" i="3"/>
  <c r="E72" i="3" s="1"/>
  <c r="C83" i="3"/>
  <c r="E83" i="3" s="1"/>
  <c r="D88" i="3"/>
  <c r="B99" i="5"/>
  <c r="K99" i="5" s="1"/>
  <c r="C99" i="3"/>
  <c r="E99" i="3" s="1"/>
  <c r="D104" i="3"/>
  <c r="C115" i="3"/>
  <c r="E115" i="3" s="1"/>
  <c r="B115" i="5"/>
  <c r="J115" i="5" s="1"/>
  <c r="D119" i="3"/>
  <c r="C137" i="3"/>
  <c r="E137" i="3" s="1"/>
  <c r="C148" i="3"/>
  <c r="E148" i="3" s="1"/>
  <c r="D148" i="3"/>
  <c r="B148" i="5"/>
  <c r="K148" i="5" s="1"/>
  <c r="C154" i="3"/>
  <c r="E154" i="3" s="1"/>
  <c r="B154" i="5"/>
  <c r="D154" i="3"/>
  <c r="D159" i="3"/>
  <c r="C197" i="3"/>
  <c r="E197" i="3" s="1"/>
  <c r="D219" i="3"/>
  <c r="D226" i="3"/>
  <c r="D242" i="3"/>
  <c r="C242" i="3"/>
  <c r="E242" i="3" s="1"/>
  <c r="D265" i="3"/>
  <c r="O53" i="5"/>
  <c r="B56" i="5"/>
  <c r="I56" i="5" s="1"/>
  <c r="J67" i="5"/>
  <c r="H79" i="5"/>
  <c r="K105" i="5"/>
  <c r="L111" i="5"/>
  <c r="O126" i="5"/>
  <c r="H126" i="5"/>
  <c r="O132" i="5"/>
  <c r="H132" i="5"/>
  <c r="N132" i="5" s="1"/>
  <c r="J145" i="5"/>
  <c r="I168" i="5"/>
  <c r="C174" i="5"/>
  <c r="J190" i="5"/>
  <c r="H194" i="5"/>
  <c r="I194" i="5"/>
  <c r="I209" i="5"/>
  <c r="O221" i="5"/>
  <c r="L232" i="5"/>
  <c r="L235" i="5"/>
  <c r="I235" i="5"/>
  <c r="H235" i="5"/>
  <c r="N235" i="5" s="1"/>
  <c r="L243" i="5"/>
  <c r="H252" i="5"/>
  <c r="N252" i="5" s="1"/>
  <c r="L261" i="5"/>
  <c r="N263" i="5"/>
  <c r="H265" i="5"/>
  <c r="O267" i="5"/>
  <c r="H267" i="5"/>
  <c r="O272" i="5"/>
  <c r="O285" i="5"/>
  <c r="H288" i="5"/>
  <c r="N288" i="5" s="1"/>
  <c r="O288" i="5"/>
  <c r="I292" i="5"/>
  <c r="C110" i="6"/>
  <c r="E110" i="6" s="1"/>
  <c r="C232" i="6"/>
  <c r="E232" i="6" s="1"/>
  <c r="D67" i="7"/>
  <c r="C67" i="7"/>
  <c r="E67" i="7" s="1"/>
  <c r="E302" i="7"/>
  <c r="P40" i="4" s="1"/>
  <c r="O40" i="4"/>
  <c r="C135" i="9"/>
  <c r="E135" i="9" s="1"/>
  <c r="D134" i="9"/>
  <c r="F134" i="5"/>
  <c r="C134" i="9"/>
  <c r="E134" i="9" s="1"/>
  <c r="C296" i="9"/>
  <c r="C23" i="10"/>
  <c r="E23" i="10" s="1"/>
  <c r="D27" i="10"/>
  <c r="D23" i="10"/>
  <c r="G23" i="5"/>
  <c r="L23" i="5" s="1"/>
  <c r="C145" i="11"/>
  <c r="E145" i="11" s="1"/>
  <c r="D144" i="11"/>
  <c r="D148" i="11"/>
  <c r="C144" i="11"/>
  <c r="E144" i="11" s="1"/>
  <c r="D271" i="11"/>
  <c r="AJ9" i="4" s="1"/>
  <c r="C271" i="11"/>
  <c r="D275" i="11"/>
  <c r="AJ13" i="4" s="1"/>
  <c r="AH9" i="4"/>
  <c r="C272" i="11"/>
  <c r="E280" i="11"/>
  <c r="AI18" i="4"/>
  <c r="B33" i="5"/>
  <c r="I33" i="5" s="1"/>
  <c r="D37" i="3"/>
  <c r="B63" i="5"/>
  <c r="C63" i="3"/>
  <c r="E63" i="3" s="1"/>
  <c r="D63" i="3"/>
  <c r="C118" i="3"/>
  <c r="E118" i="3" s="1"/>
  <c r="B118" i="5"/>
  <c r="L118" i="5" s="1"/>
  <c r="D122" i="3"/>
  <c r="D24" i="4"/>
  <c r="C286" i="3"/>
  <c r="B286" i="5"/>
  <c r="L82" i="5"/>
  <c r="H82" i="5"/>
  <c r="O114" i="5"/>
  <c r="J114" i="5"/>
  <c r="L169" i="5"/>
  <c r="K246" i="5"/>
  <c r="D49" i="6"/>
  <c r="C49" i="6"/>
  <c r="E49" i="6" s="1"/>
  <c r="C50" i="6"/>
  <c r="E50" i="6" s="1"/>
  <c r="D167" i="8"/>
  <c r="C167" i="8"/>
  <c r="E167" i="8" s="1"/>
  <c r="E167" i="5"/>
  <c r="J167" i="5" s="1"/>
  <c r="D119" i="11"/>
  <c r="C120" i="11"/>
  <c r="E120" i="11" s="1"/>
  <c r="D123" i="11"/>
  <c r="C119" i="11"/>
  <c r="E119" i="11" s="1"/>
  <c r="C33" i="3"/>
  <c r="E33" i="3" s="1"/>
  <c r="C85" i="3"/>
  <c r="E85" i="3" s="1"/>
  <c r="B85" i="5"/>
  <c r="L85" i="5" s="1"/>
  <c r="B113" i="5"/>
  <c r="I113" i="5" s="1"/>
  <c r="D113" i="3"/>
  <c r="I22" i="5"/>
  <c r="C49" i="5"/>
  <c r="O156" i="5"/>
  <c r="H156" i="5"/>
  <c r="N156" i="5" s="1"/>
  <c r="L196" i="5"/>
  <c r="J208" i="5"/>
  <c r="O228" i="5"/>
  <c r="H228" i="5"/>
  <c r="N228" i="5" s="1"/>
  <c r="O284" i="5"/>
  <c r="D220" i="6"/>
  <c r="C220" i="6"/>
  <c r="E220" i="6" s="1"/>
  <c r="C220" i="5"/>
  <c r="D224" i="6"/>
  <c r="E280" i="6"/>
  <c r="K18" i="4" s="1"/>
  <c r="J18" i="4"/>
  <c r="D33" i="3"/>
  <c r="C81" i="3"/>
  <c r="E81" i="3" s="1"/>
  <c r="D85" i="3"/>
  <c r="B134" i="5"/>
  <c r="L134" i="5" s="1"/>
  <c r="D134" i="3"/>
  <c r="C134" i="3"/>
  <c r="E134" i="3" s="1"/>
  <c r="C163" i="3"/>
  <c r="E163" i="3" s="1"/>
  <c r="B163" i="5"/>
  <c r="C223" i="3"/>
  <c r="E223" i="3" s="1"/>
  <c r="B223" i="5"/>
  <c r="J223" i="5" s="1"/>
  <c r="D227" i="3"/>
  <c r="C299" i="3"/>
  <c r="H28" i="5"/>
  <c r="O28" i="5"/>
  <c r="O38" i="5"/>
  <c r="I38" i="5"/>
  <c r="N38" i="5" s="1"/>
  <c r="J70" i="5"/>
  <c r="L204" i="5"/>
  <c r="O204" i="5"/>
  <c r="K212" i="5"/>
  <c r="O291" i="5"/>
  <c r="K300" i="5"/>
  <c r="D85" i="7"/>
  <c r="D89" i="7"/>
  <c r="C85" i="7"/>
  <c r="E85" i="7" s="1"/>
  <c r="D85" i="5"/>
  <c r="C199" i="8"/>
  <c r="E199" i="8" s="1"/>
  <c r="D199" i="8"/>
  <c r="E199" i="5"/>
  <c r="J199" i="5" s="1"/>
  <c r="B65" i="5"/>
  <c r="K65" i="5" s="1"/>
  <c r="D65" i="3"/>
  <c r="C65" i="3"/>
  <c r="E65" i="3" s="1"/>
  <c r="D81" i="3"/>
  <c r="C103" i="3"/>
  <c r="E103" i="3" s="1"/>
  <c r="B135" i="5"/>
  <c r="C135" i="3"/>
  <c r="E135" i="3" s="1"/>
  <c r="D135" i="3"/>
  <c r="B152" i="5"/>
  <c r="D156" i="3"/>
  <c r="D163" i="3"/>
  <c r="C185" i="3"/>
  <c r="E185" i="3" s="1"/>
  <c r="C201" i="3"/>
  <c r="E201" i="3" s="1"/>
  <c r="D223" i="3"/>
  <c r="D38" i="4"/>
  <c r="B300" i="5"/>
  <c r="L300" i="5" s="1"/>
  <c r="C300" i="3"/>
  <c r="K22" i="5"/>
  <c r="K49" i="5"/>
  <c r="O59" i="5"/>
  <c r="H59" i="5"/>
  <c r="K70" i="5"/>
  <c r="K154" i="5"/>
  <c r="O179" i="5"/>
  <c r="H179" i="5"/>
  <c r="L212" i="5"/>
  <c r="D229" i="6"/>
  <c r="C229" i="6"/>
  <c r="E229" i="6" s="1"/>
  <c r="C11" i="7"/>
  <c r="E11" i="7" s="1"/>
  <c r="D15" i="7"/>
  <c r="D11" i="5"/>
  <c r="I11" i="5" s="1"/>
  <c r="D11" i="7"/>
  <c r="D286" i="8"/>
  <c r="C286" i="8"/>
  <c r="S24" i="4"/>
  <c r="E286" i="5"/>
  <c r="D154" i="9"/>
  <c r="C154" i="9"/>
  <c r="E154" i="9" s="1"/>
  <c r="D158" i="9"/>
  <c r="D250" i="10"/>
  <c r="C250" i="10"/>
  <c r="E250" i="10" s="1"/>
  <c r="G250" i="5"/>
  <c r="D254" i="10"/>
  <c r="D299" i="11"/>
  <c r="AJ37" i="4" s="1"/>
  <c r="C299" i="11"/>
  <c r="D303" i="11"/>
  <c r="AJ41" i="4" s="1"/>
  <c r="AH37" i="4"/>
  <c r="C300" i="11"/>
  <c r="D45" i="3"/>
  <c r="C45" i="3"/>
  <c r="E45" i="3" s="1"/>
  <c r="B130" i="5"/>
  <c r="J130" i="5" s="1"/>
  <c r="C130" i="3"/>
  <c r="E130" i="3" s="1"/>
  <c r="C141" i="3"/>
  <c r="E141" i="3" s="1"/>
  <c r="C152" i="3"/>
  <c r="E152" i="3" s="1"/>
  <c r="D196" i="3"/>
  <c r="C213" i="3"/>
  <c r="E213" i="3" s="1"/>
  <c r="D300" i="3"/>
  <c r="N20" i="1" s="1"/>
  <c r="O90" i="5"/>
  <c r="H90" i="5"/>
  <c r="I162" i="5"/>
  <c r="B59" i="5"/>
  <c r="C60" i="3"/>
  <c r="E60" i="3" s="1"/>
  <c r="D80" i="3"/>
  <c r="B80" i="5"/>
  <c r="C80" i="3"/>
  <c r="E80" i="3" s="1"/>
  <c r="B171" i="5"/>
  <c r="C171" i="3"/>
  <c r="E171" i="3" s="1"/>
  <c r="D171" i="3"/>
  <c r="D6" i="4"/>
  <c r="C268" i="3"/>
  <c r="B268" i="5"/>
  <c r="I268" i="5" s="1"/>
  <c r="L70" i="5"/>
  <c r="I70" i="5"/>
  <c r="O95" i="5"/>
  <c r="H95" i="5"/>
  <c r="D205" i="6"/>
  <c r="C206" i="6"/>
  <c r="E206" i="6" s="1"/>
  <c r="C205" i="5"/>
  <c r="D88" i="7"/>
  <c r="D84" i="7"/>
  <c r="D84" i="5"/>
  <c r="I84" i="5" s="1"/>
  <c r="C151" i="8"/>
  <c r="E151" i="8" s="1"/>
  <c r="D151" i="8"/>
  <c r="D102" i="12"/>
  <c r="C103" i="12"/>
  <c r="E103" i="12" s="1"/>
  <c r="C102" i="12"/>
  <c r="E102" i="12" s="1"/>
  <c r="B44" i="5"/>
  <c r="D48" i="3"/>
  <c r="C59" i="3"/>
  <c r="E59" i="3" s="1"/>
  <c r="C91" i="3"/>
  <c r="E91" i="3" s="1"/>
  <c r="B91" i="5"/>
  <c r="D91" i="3"/>
  <c r="C178" i="3"/>
  <c r="E178" i="3" s="1"/>
  <c r="C179" i="3"/>
  <c r="E179" i="3" s="1"/>
  <c r="B234" i="5"/>
  <c r="L234" i="5" s="1"/>
  <c r="D234" i="3"/>
  <c r="D286" i="3"/>
  <c r="L76" i="5"/>
  <c r="J76" i="5"/>
  <c r="J95" i="5"/>
  <c r="J116" i="5"/>
  <c r="H116" i="5"/>
  <c r="I171" i="5"/>
  <c r="O206" i="5"/>
  <c r="O226" i="5"/>
  <c r="I226" i="5"/>
  <c r="D40" i="6"/>
  <c r="C205" i="6"/>
  <c r="E205" i="6" s="1"/>
  <c r="C202" i="9"/>
  <c r="E202" i="9" s="1"/>
  <c r="D202" i="9"/>
  <c r="D206" i="9"/>
  <c r="F202" i="5"/>
  <c r="B18" i="5"/>
  <c r="L18" i="5" s="1"/>
  <c r="D18" i="3"/>
  <c r="N39" i="5"/>
  <c r="C70" i="3"/>
  <c r="E70" i="3" s="1"/>
  <c r="C71" i="3"/>
  <c r="E71" i="3" s="1"/>
  <c r="B102" i="5"/>
  <c r="D102" i="3"/>
  <c r="C102" i="3"/>
  <c r="E102" i="3" s="1"/>
  <c r="C129" i="3"/>
  <c r="E129" i="3" s="1"/>
  <c r="C190" i="3"/>
  <c r="E190" i="3" s="1"/>
  <c r="B190" i="5"/>
  <c r="H190" i="5" s="1"/>
  <c r="D190" i="3"/>
  <c r="D206" i="3"/>
  <c r="C206" i="3"/>
  <c r="E206" i="3" s="1"/>
  <c r="O14" i="5"/>
  <c r="I14" i="5"/>
  <c r="C40" i="5"/>
  <c r="O76" i="5"/>
  <c r="H76" i="5"/>
  <c r="O82" i="5"/>
  <c r="I82" i="5"/>
  <c r="J186" i="5"/>
  <c r="O196" i="5"/>
  <c r="I266" i="5"/>
  <c r="N266" i="5" s="1"/>
  <c r="O266" i="5"/>
  <c r="D285" i="6"/>
  <c r="I19" i="4"/>
  <c r="D281" i="6"/>
  <c r="C281" i="5"/>
  <c r="E285" i="8"/>
  <c r="U23" i="4" s="1"/>
  <c r="T23" i="4"/>
  <c r="D180" i="9"/>
  <c r="D184" i="9"/>
  <c r="D157" i="10"/>
  <c r="D161" i="10"/>
  <c r="C157" i="10"/>
  <c r="E157" i="10" s="1"/>
  <c r="D26" i="11"/>
  <c r="C26" i="11"/>
  <c r="E26" i="11" s="1"/>
  <c r="C29" i="3"/>
  <c r="E29" i="3" s="1"/>
  <c r="D44" i="3"/>
  <c r="C92" i="3"/>
  <c r="E92" i="3" s="1"/>
  <c r="D108" i="3"/>
  <c r="C108" i="3"/>
  <c r="E108" i="3" s="1"/>
  <c r="B207" i="5"/>
  <c r="J207" i="5" s="1"/>
  <c r="C207" i="3"/>
  <c r="E207" i="3" s="1"/>
  <c r="C287" i="3"/>
  <c r="I40" i="5"/>
  <c r="I55" i="5"/>
  <c r="J82" i="5"/>
  <c r="H101" i="5"/>
  <c r="O101" i="5"/>
  <c r="F180" i="5"/>
  <c r="K180" i="5" s="1"/>
  <c r="L199" i="5"/>
  <c r="K199" i="5"/>
  <c r="I199" i="5"/>
  <c r="O223" i="5"/>
  <c r="I276" i="5"/>
  <c r="N276" i="5" s="1"/>
  <c r="I291" i="5"/>
  <c r="J308" i="5"/>
  <c r="D32" i="6"/>
  <c r="C32" i="6"/>
  <c r="E32" i="6" s="1"/>
  <c r="D305" i="6"/>
  <c r="C305" i="6"/>
  <c r="I43" i="4"/>
  <c r="C306" i="6"/>
  <c r="C305" i="5"/>
  <c r="D170" i="7"/>
  <c r="C167" i="7"/>
  <c r="E167" i="7" s="1"/>
  <c r="D166" i="7"/>
  <c r="D249" i="9"/>
  <c r="D253" i="9"/>
  <c r="C249" i="9"/>
  <c r="E249" i="9" s="1"/>
  <c r="F249" i="5"/>
  <c r="D57" i="11"/>
  <c r="D61" i="11"/>
  <c r="C57" i="11"/>
  <c r="E57" i="11" s="1"/>
  <c r="C58" i="11"/>
  <c r="E58" i="11" s="1"/>
  <c r="B9" i="5"/>
  <c r="C9" i="3"/>
  <c r="E9" i="3" s="1"/>
  <c r="D55" i="3"/>
  <c r="D124" i="3"/>
  <c r="C247" i="3"/>
  <c r="E247" i="3" s="1"/>
  <c r="B247" i="5"/>
  <c r="K247" i="5" s="1"/>
  <c r="D251" i="3"/>
  <c r="D247" i="3"/>
  <c r="L20" i="5"/>
  <c r="J55" i="5"/>
  <c r="J88" i="5"/>
  <c r="B103" i="5"/>
  <c r="I164" i="5"/>
  <c r="O164" i="5"/>
  <c r="J216" i="5"/>
  <c r="K216" i="5"/>
  <c r="H232" i="5"/>
  <c r="D33" i="6"/>
  <c r="C33" i="6"/>
  <c r="E33" i="6" s="1"/>
  <c r="C33" i="5"/>
  <c r="D128" i="6"/>
  <c r="C128" i="6"/>
  <c r="E128" i="6" s="1"/>
  <c r="B14" i="5"/>
  <c r="H14" i="5" s="1"/>
  <c r="C14" i="3"/>
  <c r="E14" i="3" s="1"/>
  <c r="C46" i="3"/>
  <c r="E46" i="3" s="1"/>
  <c r="B46" i="5"/>
  <c r="L46" i="5" s="1"/>
  <c r="B77" i="5"/>
  <c r="I77" i="5" s="1"/>
  <c r="D77" i="3"/>
  <c r="B87" i="5"/>
  <c r="C87" i="3"/>
  <c r="E87" i="3" s="1"/>
  <c r="D87" i="3"/>
  <c r="B93" i="5"/>
  <c r="D97" i="3"/>
  <c r="D93" i="3"/>
  <c r="J104" i="5"/>
  <c r="K104" i="5"/>
  <c r="D130" i="3"/>
  <c r="D141" i="3"/>
  <c r="D152" i="3"/>
  <c r="D168" i="3"/>
  <c r="B164" i="5"/>
  <c r="D164" i="3"/>
  <c r="C164" i="3"/>
  <c r="E164" i="3" s="1"/>
  <c r="D180" i="3"/>
  <c r="C180" i="3"/>
  <c r="E180" i="3" s="1"/>
  <c r="B186" i="5"/>
  <c r="D186" i="3"/>
  <c r="D225" i="3"/>
  <c r="C225" i="3"/>
  <c r="E225" i="3" s="1"/>
  <c r="B225" i="5"/>
  <c r="I225" i="5" s="1"/>
  <c r="B236" i="5"/>
  <c r="L236" i="5" s="1"/>
  <c r="D240" i="3"/>
  <c r="D236" i="3"/>
  <c r="C236" i="3"/>
  <c r="E236" i="3" s="1"/>
  <c r="C47" i="3"/>
  <c r="E47" i="3" s="1"/>
  <c r="C67" i="3"/>
  <c r="E67" i="3" s="1"/>
  <c r="D71" i="3"/>
  <c r="D67" i="3"/>
  <c r="B78" i="5"/>
  <c r="L78" i="5" s="1"/>
  <c r="D78" i="3"/>
  <c r="C175" i="3"/>
  <c r="E175" i="3" s="1"/>
  <c r="B175" i="5"/>
  <c r="L175" i="5" s="1"/>
  <c r="D179" i="3"/>
  <c r="D175" i="3"/>
  <c r="B243" i="5"/>
  <c r="C243" i="3"/>
  <c r="E243" i="3" s="1"/>
  <c r="D243" i="3"/>
  <c r="B255" i="5"/>
  <c r="L255" i="5" s="1"/>
  <c r="D255" i="3"/>
  <c r="C255" i="3"/>
  <c r="E255" i="3" s="1"/>
  <c r="D16" i="4"/>
  <c r="B278" i="5"/>
  <c r="D302" i="3"/>
  <c r="N18" i="1" s="1"/>
  <c r="O11" i="5"/>
  <c r="H11" i="5"/>
  <c r="K13" i="5"/>
  <c r="H13" i="5"/>
  <c r="H17" i="5"/>
  <c r="O17" i="5"/>
  <c r="L25" i="5"/>
  <c r="J52" i="5"/>
  <c r="O60" i="5"/>
  <c r="H60" i="5"/>
  <c r="N60" i="5" s="1"/>
  <c r="I79" i="5"/>
  <c r="J92" i="5"/>
  <c r="O109" i="5"/>
  <c r="H111" i="5"/>
  <c r="L116" i="5"/>
  <c r="O119" i="5"/>
  <c r="H119" i="5"/>
  <c r="N119" i="5" s="1"/>
  <c r="J120" i="5"/>
  <c r="L141" i="5"/>
  <c r="K145" i="5"/>
  <c r="L149" i="5"/>
  <c r="J162" i="5"/>
  <c r="K166" i="5"/>
  <c r="K170" i="5"/>
  <c r="O187" i="5"/>
  <c r="B196" i="5"/>
  <c r="J196" i="5" s="1"/>
  <c r="C229" i="5"/>
  <c r="I242" i="5"/>
  <c r="H242" i="5"/>
  <c r="L242" i="5"/>
  <c r="I260" i="5"/>
  <c r="N260" i="5" s="1"/>
  <c r="O260" i="5"/>
  <c r="I278" i="5"/>
  <c r="D103" i="6"/>
  <c r="C103" i="6"/>
  <c r="E103" i="6" s="1"/>
  <c r="C103" i="5"/>
  <c r="D160" i="6"/>
  <c r="C160" i="6"/>
  <c r="E160" i="6" s="1"/>
  <c r="D164" i="6"/>
  <c r="C160" i="5"/>
  <c r="O197" i="5"/>
  <c r="I31" i="4"/>
  <c r="C293" i="5"/>
  <c r="D293" i="6"/>
  <c r="C293" i="6"/>
  <c r="D297" i="6"/>
  <c r="D59" i="7"/>
  <c r="C59" i="7"/>
  <c r="E59" i="7" s="1"/>
  <c r="D59" i="5"/>
  <c r="D63" i="7"/>
  <c r="E293" i="7"/>
  <c r="P31" i="4" s="1"/>
  <c r="O31" i="4"/>
  <c r="E273" i="9"/>
  <c r="Z11" i="4" s="1"/>
  <c r="Y11" i="4"/>
  <c r="C11" i="3"/>
  <c r="E11" i="3" s="1"/>
  <c r="C16" i="3"/>
  <c r="E16" i="3" s="1"/>
  <c r="B16" i="5"/>
  <c r="B26" i="5"/>
  <c r="D26" i="3"/>
  <c r="C26" i="3"/>
  <c r="E26" i="3" s="1"/>
  <c r="C52" i="3"/>
  <c r="E52" i="3" s="1"/>
  <c r="D52" i="3"/>
  <c r="C62" i="3"/>
  <c r="E62" i="3" s="1"/>
  <c r="C68" i="3"/>
  <c r="E68" i="3" s="1"/>
  <c r="C78" i="3"/>
  <c r="E78" i="3" s="1"/>
  <c r="D89" i="3"/>
  <c r="B89" i="5"/>
  <c r="H89" i="5" s="1"/>
  <c r="B95" i="5"/>
  <c r="K95" i="5" s="1"/>
  <c r="D95" i="3"/>
  <c r="C95" i="3"/>
  <c r="E95" i="3" s="1"/>
  <c r="K111" i="5"/>
  <c r="I111" i="5"/>
  <c r="C126" i="3"/>
  <c r="E126" i="3" s="1"/>
  <c r="D149" i="3"/>
  <c r="B149" i="5"/>
  <c r="J149" i="5" s="1"/>
  <c r="C149" i="3"/>
  <c r="E149" i="3" s="1"/>
  <c r="C160" i="3"/>
  <c r="E160" i="3" s="1"/>
  <c r="B160" i="5"/>
  <c r="J160" i="5" s="1"/>
  <c r="D160" i="3"/>
  <c r="C170" i="3"/>
  <c r="E170" i="3" s="1"/>
  <c r="C176" i="3"/>
  <c r="E176" i="3" s="1"/>
  <c r="C182" i="3"/>
  <c r="E182" i="3" s="1"/>
  <c r="B182" i="5"/>
  <c r="K182" i="5" s="1"/>
  <c r="D221" i="3"/>
  <c r="C221" i="3"/>
  <c r="E221" i="3" s="1"/>
  <c r="C232" i="3"/>
  <c r="E232" i="3" s="1"/>
  <c r="D232" i="3"/>
  <c r="C238" i="3"/>
  <c r="E238" i="3" s="1"/>
  <c r="B238" i="5"/>
  <c r="C249" i="3"/>
  <c r="E249" i="3" s="1"/>
  <c r="D273" i="3"/>
  <c r="B273" i="5"/>
  <c r="D11" i="4"/>
  <c r="C278" i="3"/>
  <c r="D290" i="3"/>
  <c r="J19" i="5"/>
  <c r="K31" i="5"/>
  <c r="L31" i="5"/>
  <c r="B45" i="5"/>
  <c r="K52" i="5"/>
  <c r="K92" i="5"/>
  <c r="H110" i="5"/>
  <c r="J110" i="5"/>
  <c r="L117" i="5"/>
  <c r="K117" i="5"/>
  <c r="I117" i="5"/>
  <c r="H136" i="5"/>
  <c r="L151" i="5"/>
  <c r="K172" i="5"/>
  <c r="H200" i="5"/>
  <c r="O200" i="5"/>
  <c r="L202" i="5"/>
  <c r="H202" i="5"/>
  <c r="J202" i="5"/>
  <c r="I202" i="5"/>
  <c r="I213" i="5"/>
  <c r="J253" i="5"/>
  <c r="O262" i="5"/>
  <c r="K294" i="5"/>
  <c r="E307" i="5"/>
  <c r="C7" i="6"/>
  <c r="E7" i="6" s="1"/>
  <c r="C8" i="6"/>
  <c r="E8" i="6" s="1"/>
  <c r="C7" i="5"/>
  <c r="D21" i="6"/>
  <c r="C21" i="6"/>
  <c r="E21" i="6" s="1"/>
  <c r="C21" i="5"/>
  <c r="C37" i="6"/>
  <c r="E37" i="6" s="1"/>
  <c r="D37" i="6"/>
  <c r="C38" i="6"/>
  <c r="E38" i="6" s="1"/>
  <c r="D153" i="6"/>
  <c r="C154" i="6"/>
  <c r="E154" i="6" s="1"/>
  <c r="D161" i="6"/>
  <c r="C161" i="6"/>
  <c r="E161" i="6" s="1"/>
  <c r="D165" i="6"/>
  <c r="C161" i="5"/>
  <c r="D234" i="6"/>
  <c r="C234" i="6"/>
  <c r="E234" i="6" s="1"/>
  <c r="C234" i="5"/>
  <c r="D247" i="6"/>
  <c r="C247" i="6"/>
  <c r="E247" i="6" s="1"/>
  <c r="C247" i="5"/>
  <c r="C248" i="6"/>
  <c r="E248" i="6" s="1"/>
  <c r="D277" i="6"/>
  <c r="C278" i="6"/>
  <c r="C277" i="5"/>
  <c r="C277" i="6"/>
  <c r="C60" i="7"/>
  <c r="E60" i="7" s="1"/>
  <c r="D60" i="7"/>
  <c r="C119" i="7"/>
  <c r="E119" i="7" s="1"/>
  <c r="D119" i="5"/>
  <c r="I119" i="5" s="1"/>
  <c r="D123" i="7"/>
  <c r="D70" i="8"/>
  <c r="C70" i="8"/>
  <c r="E70" i="8" s="1"/>
  <c r="C274" i="9"/>
  <c r="D278" i="9"/>
  <c r="D274" i="9"/>
  <c r="F274" i="5"/>
  <c r="K274" i="5" s="1"/>
  <c r="C138" i="10"/>
  <c r="E138" i="10" s="1"/>
  <c r="G138" i="5"/>
  <c r="L138" i="5" s="1"/>
  <c r="D142" i="10"/>
  <c r="D299" i="10"/>
  <c r="C299" i="10"/>
  <c r="G299" i="5"/>
  <c r="L299" i="5" s="1"/>
  <c r="D16" i="3"/>
  <c r="B27" i="5"/>
  <c r="C27" i="3"/>
  <c r="E27" i="3" s="1"/>
  <c r="D62" i="3"/>
  <c r="C89" i="3"/>
  <c r="E89" i="3" s="1"/>
  <c r="C100" i="3"/>
  <c r="E100" i="3" s="1"/>
  <c r="D100" i="3"/>
  <c r="B100" i="5"/>
  <c r="J100" i="5" s="1"/>
  <c r="C106" i="3"/>
  <c r="E106" i="3" s="1"/>
  <c r="D106" i="3"/>
  <c r="B106" i="5"/>
  <c r="C111" i="3"/>
  <c r="E111" i="3" s="1"/>
  <c r="D117" i="3"/>
  <c r="C144" i="3"/>
  <c r="E144" i="3" s="1"/>
  <c r="D182" i="3"/>
  <c r="J189" i="5"/>
  <c r="I189" i="5"/>
  <c r="C193" i="3"/>
  <c r="E193" i="3" s="1"/>
  <c r="B193" i="5"/>
  <c r="J193" i="5" s="1"/>
  <c r="C227" i="3"/>
  <c r="E227" i="3" s="1"/>
  <c r="D238" i="3"/>
  <c r="C250" i="3"/>
  <c r="E250" i="3" s="1"/>
  <c r="B250" i="5"/>
  <c r="H250" i="5" s="1"/>
  <c r="D250" i="3"/>
  <c r="C273" i="3"/>
  <c r="D278" i="3"/>
  <c r="D42" i="4"/>
  <c r="C304" i="3"/>
  <c r="D304" i="3"/>
  <c r="N16" i="1" s="1"/>
  <c r="B304" i="5"/>
  <c r="D308" i="3"/>
  <c r="X12" i="4"/>
  <c r="O35" i="4"/>
  <c r="H15" i="5"/>
  <c r="K29" i="5"/>
  <c r="H31" i="5"/>
  <c r="L43" i="5"/>
  <c r="O45" i="5"/>
  <c r="L52" i="5"/>
  <c r="K56" i="5"/>
  <c r="I62" i="5"/>
  <c r="N62" i="5" s="1"/>
  <c r="B66" i="5"/>
  <c r="J66" i="5" s="1"/>
  <c r="L68" i="5"/>
  <c r="H68" i="5"/>
  <c r="H93" i="5"/>
  <c r="K98" i="5"/>
  <c r="I106" i="5"/>
  <c r="I112" i="5"/>
  <c r="O122" i="5"/>
  <c r="B144" i="5"/>
  <c r="H155" i="5"/>
  <c r="N155" i="5" s="1"/>
  <c r="K157" i="5"/>
  <c r="O163" i="5"/>
  <c r="I165" i="5"/>
  <c r="L165" i="5"/>
  <c r="K168" i="5"/>
  <c r="L170" i="5"/>
  <c r="L172" i="5"/>
  <c r="B178" i="5"/>
  <c r="O194" i="5"/>
  <c r="J194" i="5"/>
  <c r="I200" i="5"/>
  <c r="L216" i="5"/>
  <c r="J235" i="5"/>
  <c r="I255" i="5"/>
  <c r="K256" i="5"/>
  <c r="N264" i="5"/>
  <c r="J269" i="5"/>
  <c r="K282" i="5"/>
  <c r="D56" i="6"/>
  <c r="C56" i="5"/>
  <c r="D73" i="6"/>
  <c r="C153" i="6"/>
  <c r="E153" i="6" s="1"/>
  <c r="D107" i="7"/>
  <c r="D111" i="7"/>
  <c r="D119" i="7"/>
  <c r="C79" i="8"/>
  <c r="E79" i="8" s="1"/>
  <c r="D79" i="8"/>
  <c r="E79" i="5"/>
  <c r="J79" i="5" s="1"/>
  <c r="D158" i="8"/>
  <c r="C158" i="8"/>
  <c r="E158" i="8" s="1"/>
  <c r="C159" i="8"/>
  <c r="E159" i="8" s="1"/>
  <c r="E158" i="5"/>
  <c r="D162" i="8"/>
  <c r="D36" i="9"/>
  <c r="C36" i="9"/>
  <c r="E36" i="9" s="1"/>
  <c r="F36" i="5"/>
  <c r="K36" i="5" s="1"/>
  <c r="C100" i="10"/>
  <c r="E100" i="10" s="1"/>
  <c r="D100" i="10"/>
  <c r="D104" i="10"/>
  <c r="G100" i="5"/>
  <c r="D138" i="10"/>
  <c r="D146" i="12"/>
  <c r="C147" i="12"/>
  <c r="E147" i="12" s="1"/>
  <c r="C146" i="12"/>
  <c r="E146" i="12" s="1"/>
  <c r="D27" i="3"/>
  <c r="C53" i="3"/>
  <c r="E53" i="3" s="1"/>
  <c r="C74" i="3"/>
  <c r="E74" i="3" s="1"/>
  <c r="B74" i="5"/>
  <c r="D84" i="3"/>
  <c r="D111" i="3"/>
  <c r="C117" i="3"/>
  <c r="E117" i="3" s="1"/>
  <c r="B122" i="5"/>
  <c r="C122" i="3"/>
  <c r="E122" i="3" s="1"/>
  <c r="C139" i="3"/>
  <c r="E139" i="3" s="1"/>
  <c r="D143" i="3"/>
  <c r="D139" i="3"/>
  <c r="B139" i="5"/>
  <c r="C150" i="3"/>
  <c r="E150" i="3" s="1"/>
  <c r="C161" i="3"/>
  <c r="E161" i="3" s="1"/>
  <c r="B167" i="5"/>
  <c r="C168" i="3"/>
  <c r="E168" i="3" s="1"/>
  <c r="N183" i="5"/>
  <c r="C189" i="3"/>
  <c r="E189" i="3" s="1"/>
  <c r="D193" i="3"/>
  <c r="D216" i="3"/>
  <c r="C216" i="3"/>
  <c r="E216" i="3" s="1"/>
  <c r="C222" i="3"/>
  <c r="E222" i="3" s="1"/>
  <c r="C233" i="3"/>
  <c r="E233" i="3" s="1"/>
  <c r="D257" i="3"/>
  <c r="B257" i="5"/>
  <c r="I257" i="5" s="1"/>
  <c r="D12" i="4"/>
  <c r="C274" i="3"/>
  <c r="B274" i="5"/>
  <c r="B291" i="5"/>
  <c r="J291" i="5" s="1"/>
  <c r="C291" i="3"/>
  <c r="D29" i="4"/>
  <c r="B305" i="5"/>
  <c r="L305" i="5" s="1"/>
  <c r="D43" i="4"/>
  <c r="L29" i="5"/>
  <c r="I37" i="5"/>
  <c r="J54" i="5"/>
  <c r="O91" i="5"/>
  <c r="I91" i="5"/>
  <c r="O98" i="5"/>
  <c r="L98" i="5"/>
  <c r="I104" i="5"/>
  <c r="J106" i="5"/>
  <c r="O150" i="5"/>
  <c r="H150" i="5"/>
  <c r="G157" i="5"/>
  <c r="L157" i="5" s="1"/>
  <c r="J163" i="5"/>
  <c r="O173" i="5"/>
  <c r="B180" i="5"/>
  <c r="J180" i="5" s="1"/>
  <c r="K194" i="5"/>
  <c r="K198" i="5"/>
  <c r="B206" i="5"/>
  <c r="I206" i="5" s="1"/>
  <c r="K224" i="5"/>
  <c r="B226" i="5"/>
  <c r="H294" i="5"/>
  <c r="K297" i="5"/>
  <c r="O299" i="5"/>
  <c r="H302" i="5"/>
  <c r="L302" i="5"/>
  <c r="K302" i="5"/>
  <c r="C56" i="6"/>
  <c r="E56" i="6" s="1"/>
  <c r="C7" i="7"/>
  <c r="E7" i="7" s="1"/>
  <c r="C107" i="7"/>
  <c r="E107" i="7" s="1"/>
  <c r="D124" i="7"/>
  <c r="D120" i="7"/>
  <c r="C120" i="7"/>
  <c r="E120" i="7" s="1"/>
  <c r="D120" i="5"/>
  <c r="I120" i="5" s="1"/>
  <c r="D55" i="8"/>
  <c r="D244" i="8"/>
  <c r="E244" i="5"/>
  <c r="J244" i="5" s="1"/>
  <c r="C244" i="8"/>
  <c r="E244" i="8" s="1"/>
  <c r="D11" i="9"/>
  <c r="F11" i="5"/>
  <c r="K11" i="5" s="1"/>
  <c r="C11" i="9"/>
  <c r="E11" i="9" s="1"/>
  <c r="C65" i="7"/>
  <c r="E65" i="7" s="1"/>
  <c r="D64" i="7"/>
  <c r="C64" i="7"/>
  <c r="E64" i="7" s="1"/>
  <c r="D68" i="7"/>
  <c r="D95" i="7"/>
  <c r="C95" i="7"/>
  <c r="E95" i="7" s="1"/>
  <c r="D99" i="7"/>
  <c r="D95" i="5"/>
  <c r="I95" i="5" s="1"/>
  <c r="D118" i="7"/>
  <c r="C118" i="7"/>
  <c r="E118" i="7" s="1"/>
  <c r="D118" i="5"/>
  <c r="D212" i="7"/>
  <c r="C209" i="7"/>
  <c r="E209" i="7" s="1"/>
  <c r="C208" i="7"/>
  <c r="E208" i="7" s="1"/>
  <c r="D226" i="7"/>
  <c r="C226" i="7"/>
  <c r="E226" i="7" s="1"/>
  <c r="C227" i="7"/>
  <c r="E227" i="7" s="1"/>
  <c r="E287" i="7"/>
  <c r="P25" i="4" s="1"/>
  <c r="O25" i="4"/>
  <c r="C9" i="8"/>
  <c r="E9" i="8" s="1"/>
  <c r="C8" i="8"/>
  <c r="E8" i="8" s="1"/>
  <c r="E8" i="5"/>
  <c r="J8" i="5" s="1"/>
  <c r="C169" i="8"/>
  <c r="E169" i="8" s="1"/>
  <c r="D169" i="8"/>
  <c r="D213" i="8"/>
  <c r="E213" i="5"/>
  <c r="J213" i="5" s="1"/>
  <c r="D35" i="9"/>
  <c r="C35" i="9"/>
  <c r="E35" i="9" s="1"/>
  <c r="F35" i="5"/>
  <c r="K35" i="5" s="1"/>
  <c r="D83" i="9"/>
  <c r="F83" i="5"/>
  <c r="K83" i="5" s="1"/>
  <c r="N83" i="5" s="1"/>
  <c r="C83" i="9"/>
  <c r="E83" i="9" s="1"/>
  <c r="E272" i="9"/>
  <c r="Z10" i="4" s="1"/>
  <c r="Y10" i="4"/>
  <c r="D13" i="10"/>
  <c r="C13" i="10"/>
  <c r="E13" i="10" s="1"/>
  <c r="E267" i="11"/>
  <c r="AI5" i="4"/>
  <c r="B15" i="5"/>
  <c r="C15" i="3"/>
  <c r="E15" i="3" s="1"/>
  <c r="B19" i="5"/>
  <c r="C19" i="3"/>
  <c r="E19" i="3" s="1"/>
  <c r="D30" i="3"/>
  <c r="C34" i="3"/>
  <c r="E34" i="3" s="1"/>
  <c r="B34" i="5"/>
  <c r="J34" i="5" s="1"/>
  <c r="B123" i="5"/>
  <c r="C123" i="3"/>
  <c r="E123" i="3" s="1"/>
  <c r="C127" i="3"/>
  <c r="E127" i="3" s="1"/>
  <c r="B127" i="5"/>
  <c r="B138" i="5"/>
  <c r="K138" i="5" s="1"/>
  <c r="D138" i="3"/>
  <c r="C142" i="3"/>
  <c r="E142" i="3" s="1"/>
  <c r="B231" i="5"/>
  <c r="C231" i="3"/>
  <c r="E231" i="3" s="1"/>
  <c r="C235" i="3"/>
  <c r="E235" i="3" s="1"/>
  <c r="D246" i="3"/>
  <c r="B262" i="5"/>
  <c r="C262" i="3"/>
  <c r="E262" i="3" s="1"/>
  <c r="D270" i="3"/>
  <c r="C270" i="3"/>
  <c r="D8" i="4"/>
  <c r="B275" i="5"/>
  <c r="D13" i="4"/>
  <c r="D21" i="4"/>
  <c r="C283" i="3"/>
  <c r="B283" i="5"/>
  <c r="I283" i="5" s="1"/>
  <c r="D283" i="3"/>
  <c r="B306" i="5"/>
  <c r="I306" i="5" s="1"/>
  <c r="C306" i="3"/>
  <c r="I16" i="5"/>
  <c r="L17" i="5"/>
  <c r="O24" i="5"/>
  <c r="H24" i="5"/>
  <c r="D31" i="5"/>
  <c r="I31" i="5" s="1"/>
  <c r="J37" i="5"/>
  <c r="L73" i="5"/>
  <c r="I76" i="5"/>
  <c r="J87" i="5"/>
  <c r="L113" i="5"/>
  <c r="K126" i="5"/>
  <c r="O131" i="5"/>
  <c r="H131" i="5"/>
  <c r="I137" i="5"/>
  <c r="O144" i="5"/>
  <c r="L145" i="5"/>
  <c r="O165" i="5"/>
  <c r="J165" i="5"/>
  <c r="I174" i="5"/>
  <c r="H180" i="5"/>
  <c r="N181" i="5"/>
  <c r="H189" i="5"/>
  <c r="N189" i="5" s="1"/>
  <c r="O189" i="5"/>
  <c r="H199" i="5"/>
  <c r="O199" i="5"/>
  <c r="L209" i="5"/>
  <c r="J226" i="5"/>
  <c r="J256" i="5"/>
  <c r="J259" i="5"/>
  <c r="K262" i="5"/>
  <c r="C22" i="6"/>
  <c r="E22" i="6" s="1"/>
  <c r="C22" i="5"/>
  <c r="D72" i="6"/>
  <c r="C72" i="6"/>
  <c r="E72" i="6" s="1"/>
  <c r="C72" i="5"/>
  <c r="D104" i="6"/>
  <c r="C104" i="5"/>
  <c r="D136" i="6"/>
  <c r="C136" i="6"/>
  <c r="E136" i="6" s="1"/>
  <c r="D148" i="6"/>
  <c r="C148" i="6"/>
  <c r="E148" i="6" s="1"/>
  <c r="D152" i="6"/>
  <c r="C148" i="5"/>
  <c r="C78" i="7"/>
  <c r="E78" i="7" s="1"/>
  <c r="D78" i="7"/>
  <c r="D78" i="5"/>
  <c r="C91" i="7"/>
  <c r="E91" i="7" s="1"/>
  <c r="D91" i="7"/>
  <c r="C43" i="8"/>
  <c r="E43" i="8" s="1"/>
  <c r="D43" i="8"/>
  <c r="E43" i="5"/>
  <c r="D178" i="8"/>
  <c r="C178" i="8"/>
  <c r="E178" i="8" s="1"/>
  <c r="E178" i="5"/>
  <c r="D127" i="9"/>
  <c r="C127" i="9"/>
  <c r="E127" i="9" s="1"/>
  <c r="F127" i="5"/>
  <c r="K127" i="5" s="1"/>
  <c r="C128" i="9"/>
  <c r="E128" i="9" s="1"/>
  <c r="D211" i="9"/>
  <c r="C211" i="9"/>
  <c r="E211" i="9" s="1"/>
  <c r="D215" i="9"/>
  <c r="F211" i="5"/>
  <c r="K211" i="5" s="1"/>
  <c r="C298" i="9"/>
  <c r="D302" i="9"/>
  <c r="D298" i="9"/>
  <c r="F298" i="5"/>
  <c r="X36" i="4"/>
  <c r="D61" i="10"/>
  <c r="C61" i="10"/>
  <c r="E61" i="10" s="1"/>
  <c r="D259" i="10"/>
  <c r="C259" i="10"/>
  <c r="E259" i="10" s="1"/>
  <c r="G259" i="5"/>
  <c r="L259" i="5" s="1"/>
  <c r="D10" i="11"/>
  <c r="C10" i="11"/>
  <c r="E10" i="11" s="1"/>
  <c r="C293" i="12"/>
  <c r="D293" i="12"/>
  <c r="AO31" i="4" s="1"/>
  <c r="AM31" i="4"/>
  <c r="AM46" i="4"/>
  <c r="D308" i="12"/>
  <c r="AO46" i="4" s="1"/>
  <c r="D15" i="3"/>
  <c r="D19" i="3"/>
  <c r="C23" i="3"/>
  <c r="E23" i="3" s="1"/>
  <c r="C30" i="3"/>
  <c r="E30" i="3" s="1"/>
  <c r="D34" i="3"/>
  <c r="B86" i="5"/>
  <c r="H86" i="5" s="1"/>
  <c r="C86" i="3"/>
  <c r="E86" i="3" s="1"/>
  <c r="B90" i="5"/>
  <c r="D90" i="3"/>
  <c r="C94" i="3"/>
  <c r="E94" i="3" s="1"/>
  <c r="C101" i="3"/>
  <c r="E101" i="3" s="1"/>
  <c r="C112" i="3"/>
  <c r="E112" i="3" s="1"/>
  <c r="D112" i="3"/>
  <c r="C116" i="3"/>
  <c r="E116" i="3" s="1"/>
  <c r="D123" i="3"/>
  <c r="D127" i="3"/>
  <c r="C131" i="3"/>
  <c r="E131" i="3" s="1"/>
  <c r="C138" i="3"/>
  <c r="E138" i="3" s="1"/>
  <c r="D142" i="3"/>
  <c r="C194" i="3"/>
  <c r="E194" i="3" s="1"/>
  <c r="D198" i="3"/>
  <c r="C202" i="3"/>
  <c r="E202" i="3" s="1"/>
  <c r="C209" i="3"/>
  <c r="E209" i="3" s="1"/>
  <c r="C220" i="3"/>
  <c r="E220" i="3" s="1"/>
  <c r="B220" i="5"/>
  <c r="D220" i="3"/>
  <c r="C224" i="3"/>
  <c r="E224" i="3" s="1"/>
  <c r="D231" i="3"/>
  <c r="D235" i="3"/>
  <c r="C239" i="3"/>
  <c r="E239" i="3" s="1"/>
  <c r="C246" i="3"/>
  <c r="E246" i="3" s="1"/>
  <c r="D254" i="3"/>
  <c r="C258" i="3"/>
  <c r="E258" i="3" s="1"/>
  <c r="D262" i="3"/>
  <c r="C275" i="3"/>
  <c r="D22" i="4"/>
  <c r="B284" i="5"/>
  <c r="D30" i="4"/>
  <c r="C292" i="3"/>
  <c r="D292" i="3"/>
  <c r="D306" i="3"/>
  <c r="O24" i="4"/>
  <c r="Y40" i="4"/>
  <c r="D44" i="4"/>
  <c r="J13" i="5"/>
  <c r="I24" i="5"/>
  <c r="B30" i="5"/>
  <c r="J31" i="5"/>
  <c r="O42" i="5"/>
  <c r="H42" i="5"/>
  <c r="N42" i="5" s="1"/>
  <c r="O51" i="5"/>
  <c r="H51" i="5"/>
  <c r="H65" i="5"/>
  <c r="H81" i="5"/>
  <c r="O89" i="5"/>
  <c r="K110" i="5"/>
  <c r="B112" i="5"/>
  <c r="O116" i="5"/>
  <c r="J137" i="5"/>
  <c r="H139" i="5"/>
  <c r="K150" i="5"/>
  <c r="K162" i="5"/>
  <c r="J174" i="5"/>
  <c r="H176" i="5"/>
  <c r="N176" i="5" s="1"/>
  <c r="I183" i="5"/>
  <c r="D208" i="5"/>
  <c r="I208" i="5" s="1"/>
  <c r="J211" i="5"/>
  <c r="L239" i="5"/>
  <c r="K242" i="5"/>
  <c r="H248" i="5"/>
  <c r="K265" i="5"/>
  <c r="K268" i="5"/>
  <c r="D22" i="6"/>
  <c r="C58" i="6"/>
  <c r="E58" i="6" s="1"/>
  <c r="C58" i="5"/>
  <c r="D58" i="6"/>
  <c r="D65" i="6"/>
  <c r="C65" i="6"/>
  <c r="E65" i="6" s="1"/>
  <c r="C104" i="6"/>
  <c r="E104" i="6" s="1"/>
  <c r="C182" i="6"/>
  <c r="E182" i="6" s="1"/>
  <c r="C182" i="5"/>
  <c r="D182" i="6"/>
  <c r="C189" i="6"/>
  <c r="E189" i="6" s="1"/>
  <c r="D208" i="6"/>
  <c r="C208" i="5"/>
  <c r="D304" i="6"/>
  <c r="C304" i="5"/>
  <c r="D308" i="6"/>
  <c r="D122" i="7"/>
  <c r="C127" i="7"/>
  <c r="E127" i="7" s="1"/>
  <c r="D127" i="7"/>
  <c r="D154" i="7"/>
  <c r="C154" i="7"/>
  <c r="E154" i="7" s="1"/>
  <c r="C155" i="7"/>
  <c r="E155" i="7" s="1"/>
  <c r="D154" i="5"/>
  <c r="C187" i="8"/>
  <c r="E187" i="8" s="1"/>
  <c r="D187" i="8"/>
  <c r="D149" i="9"/>
  <c r="C149" i="9"/>
  <c r="E149" i="9" s="1"/>
  <c r="D169" i="10"/>
  <c r="C169" i="10"/>
  <c r="E169" i="10" s="1"/>
  <c r="D173" i="10"/>
  <c r="C73" i="11"/>
  <c r="E73" i="11" s="1"/>
  <c r="D72" i="11"/>
  <c r="C72" i="11"/>
  <c r="E72" i="11" s="1"/>
  <c r="D76" i="11"/>
  <c r="D81" i="12"/>
  <c r="C81" i="12"/>
  <c r="E81" i="12" s="1"/>
  <c r="C308" i="12"/>
  <c r="B8" i="5"/>
  <c r="C8" i="3"/>
  <c r="E8" i="3" s="1"/>
  <c r="D23" i="3"/>
  <c r="C49" i="3"/>
  <c r="E49" i="3" s="1"/>
  <c r="B49" i="5"/>
  <c r="J49" i="5" s="1"/>
  <c r="B53" i="5"/>
  <c r="D53" i="3"/>
  <c r="C64" i="3"/>
  <c r="E64" i="3" s="1"/>
  <c r="D64" i="3"/>
  <c r="B64" i="5"/>
  <c r="C75" i="3"/>
  <c r="E75" i="3" s="1"/>
  <c r="C79" i="3"/>
  <c r="E79" i="3" s="1"/>
  <c r="B79" i="5"/>
  <c r="D86" i="3"/>
  <c r="C90" i="3"/>
  <c r="E90" i="3" s="1"/>
  <c r="D94" i="3"/>
  <c r="C105" i="3"/>
  <c r="E105" i="3" s="1"/>
  <c r="D131" i="3"/>
  <c r="B146" i="5"/>
  <c r="J146" i="5" s="1"/>
  <c r="C146" i="3"/>
  <c r="E146" i="3" s="1"/>
  <c r="B157" i="5"/>
  <c r="C157" i="3"/>
  <c r="E157" i="3" s="1"/>
  <c r="B161" i="5"/>
  <c r="D161" i="3"/>
  <c r="C172" i="3"/>
  <c r="E172" i="3" s="1"/>
  <c r="D172" i="3"/>
  <c r="C183" i="3"/>
  <c r="E183" i="3" s="1"/>
  <c r="C187" i="3"/>
  <c r="E187" i="3" s="1"/>
  <c r="B187" i="5"/>
  <c r="D194" i="3"/>
  <c r="C198" i="3"/>
  <c r="E198" i="3" s="1"/>
  <c r="D202" i="3"/>
  <c r="D239" i="3"/>
  <c r="D258" i="3"/>
  <c r="D266" i="3"/>
  <c r="D9" i="4"/>
  <c r="C271" i="3"/>
  <c r="B271" i="5"/>
  <c r="J271" i="5" s="1"/>
  <c r="D275" i="3"/>
  <c r="D279" i="3"/>
  <c r="C284" i="3"/>
  <c r="C288" i="3"/>
  <c r="D31" i="4"/>
  <c r="B293" i="5"/>
  <c r="I293" i="5" s="1"/>
  <c r="D293" i="3"/>
  <c r="N27" i="1" s="1"/>
  <c r="C302" i="3"/>
  <c r="S23" i="4"/>
  <c r="L37" i="5"/>
  <c r="I39" i="5"/>
  <c r="J51" i="5"/>
  <c r="J62" i="5"/>
  <c r="J69" i="5"/>
  <c r="K76" i="5"/>
  <c r="K94" i="5"/>
  <c r="H96" i="5"/>
  <c r="O112" i="5"/>
  <c r="L120" i="5"/>
  <c r="H125" i="5"/>
  <c r="L129" i="5"/>
  <c r="J131" i="5"/>
  <c r="O143" i="5"/>
  <c r="H143" i="5"/>
  <c r="N143" i="5" s="1"/>
  <c r="B173" i="5"/>
  <c r="L173" i="5" s="1"/>
  <c r="K174" i="5"/>
  <c r="C185" i="5"/>
  <c r="K196" i="5"/>
  <c r="L211" i="5"/>
  <c r="I218" i="5"/>
  <c r="O231" i="5"/>
  <c r="F232" i="5"/>
  <c r="K232" i="5" s="1"/>
  <c r="O241" i="5"/>
  <c r="H241" i="5"/>
  <c r="N241" i="5" s="1"/>
  <c r="O255" i="5"/>
  <c r="H261" i="5"/>
  <c r="O261" i="5"/>
  <c r="L265" i="5"/>
  <c r="B270" i="5"/>
  <c r="I281" i="5"/>
  <c r="B292" i="5"/>
  <c r="K292" i="5" s="1"/>
  <c r="O308" i="5"/>
  <c r="C10" i="6"/>
  <c r="E10" i="6" s="1"/>
  <c r="C10" i="5"/>
  <c r="D10" i="6"/>
  <c r="D36" i="6"/>
  <c r="C36" i="6"/>
  <c r="E36" i="6" s="1"/>
  <c r="C36" i="5"/>
  <c r="O52" i="5"/>
  <c r="C73" i="6"/>
  <c r="E73" i="6" s="1"/>
  <c r="D92" i="6"/>
  <c r="C92" i="5"/>
  <c r="C118" i="6"/>
  <c r="E118" i="6" s="1"/>
  <c r="C118" i="5"/>
  <c r="D118" i="6"/>
  <c r="D143" i="6"/>
  <c r="C143" i="6"/>
  <c r="E143" i="6" s="1"/>
  <c r="C156" i="6"/>
  <c r="E156" i="6" s="1"/>
  <c r="D156" i="6"/>
  <c r="C208" i="6"/>
  <c r="E208" i="6" s="1"/>
  <c r="C222" i="6"/>
  <c r="E222" i="6" s="1"/>
  <c r="C222" i="5"/>
  <c r="C228" i="6"/>
  <c r="E228" i="6" s="1"/>
  <c r="D241" i="6"/>
  <c r="C242" i="6"/>
  <c r="E242" i="6" s="1"/>
  <c r="D292" i="6"/>
  <c r="C292" i="6"/>
  <c r="D296" i="6"/>
  <c r="C292" i="5"/>
  <c r="I30" i="4"/>
  <c r="C304" i="6"/>
  <c r="C47" i="7"/>
  <c r="E47" i="7" s="1"/>
  <c r="D47" i="5"/>
  <c r="I47" i="5" s="1"/>
  <c r="C128" i="7"/>
  <c r="E128" i="7" s="1"/>
  <c r="D203" i="8"/>
  <c r="C203" i="8"/>
  <c r="E203" i="8" s="1"/>
  <c r="D275" i="8"/>
  <c r="C275" i="8"/>
  <c r="S13" i="4"/>
  <c r="E275" i="5"/>
  <c r="J275" i="5" s="1"/>
  <c r="D54" i="9"/>
  <c r="C54" i="9"/>
  <c r="E54" i="9" s="1"/>
  <c r="D105" i="9"/>
  <c r="C106" i="9"/>
  <c r="E106" i="9" s="1"/>
  <c r="C105" i="9"/>
  <c r="E105" i="9" s="1"/>
  <c r="C190" i="9"/>
  <c r="E190" i="9" s="1"/>
  <c r="D190" i="9"/>
  <c r="F190" i="5"/>
  <c r="D194" i="9"/>
  <c r="C198" i="9"/>
  <c r="E198" i="9" s="1"/>
  <c r="D197" i="9"/>
  <c r="F197" i="5"/>
  <c r="K197" i="5" s="1"/>
  <c r="C212" i="9"/>
  <c r="E212" i="9" s="1"/>
  <c r="C232" i="9"/>
  <c r="E232" i="9" s="1"/>
  <c r="D240" i="9"/>
  <c r="D244" i="9"/>
  <c r="F240" i="5"/>
  <c r="D268" i="9"/>
  <c r="C268" i="9"/>
  <c r="C17" i="10"/>
  <c r="E17" i="10" s="1"/>
  <c r="D17" i="10"/>
  <c r="D21" i="10"/>
  <c r="D69" i="12"/>
  <c r="C70" i="12"/>
  <c r="E70" i="12" s="1"/>
  <c r="C89" i="12"/>
  <c r="E89" i="12" s="1"/>
  <c r="B195" i="5"/>
  <c r="C195" i="3"/>
  <c r="E195" i="3" s="1"/>
  <c r="D210" i="3"/>
  <c r="C214" i="3"/>
  <c r="E214" i="3" s="1"/>
  <c r="B214" i="5"/>
  <c r="B259" i="5"/>
  <c r="C259" i="3"/>
  <c r="E259" i="3" s="1"/>
  <c r="D259" i="3"/>
  <c r="D263" i="3"/>
  <c r="E14" i="4"/>
  <c r="E276" i="3"/>
  <c r="F14" i="4" s="1"/>
  <c r="O12" i="5"/>
  <c r="H12" i="5"/>
  <c r="I18" i="5"/>
  <c r="L24" i="5"/>
  <c r="J30" i="5"/>
  <c r="J33" i="5"/>
  <c r="H47" i="5"/>
  <c r="L50" i="5"/>
  <c r="H50" i="5"/>
  <c r="L51" i="5"/>
  <c r="L62" i="5"/>
  <c r="K78" i="5"/>
  <c r="O83" i="5"/>
  <c r="J93" i="5"/>
  <c r="K122" i="5"/>
  <c r="L131" i="5"/>
  <c r="O170" i="5"/>
  <c r="J182" i="5"/>
  <c r="H198" i="5"/>
  <c r="O210" i="5"/>
  <c r="H210" i="5"/>
  <c r="N210" i="5" s="1"/>
  <c r="H213" i="5"/>
  <c r="N213" i="5" s="1"/>
  <c r="O213" i="5"/>
  <c r="H224" i="5"/>
  <c r="B254" i="5"/>
  <c r="J292" i="5"/>
  <c r="O294" i="5"/>
  <c r="D11" i="6"/>
  <c r="D45" i="6"/>
  <c r="C45" i="6"/>
  <c r="E45" i="6" s="1"/>
  <c r="D60" i="6"/>
  <c r="C60" i="6"/>
  <c r="E60" i="6" s="1"/>
  <c r="C61" i="6"/>
  <c r="E61" i="6" s="1"/>
  <c r="D67" i="6"/>
  <c r="C67" i="6"/>
  <c r="E67" i="6" s="1"/>
  <c r="C67" i="5"/>
  <c r="C68" i="6"/>
  <c r="E68" i="6" s="1"/>
  <c r="D80" i="6"/>
  <c r="C80" i="6"/>
  <c r="E80" i="6" s="1"/>
  <c r="C80" i="5"/>
  <c r="D93" i="6"/>
  <c r="C93" i="6"/>
  <c r="E93" i="6" s="1"/>
  <c r="D120" i="6"/>
  <c r="C120" i="6"/>
  <c r="E120" i="6" s="1"/>
  <c r="C121" i="6"/>
  <c r="E121" i="6" s="1"/>
  <c r="D138" i="6"/>
  <c r="C138" i="6"/>
  <c r="E138" i="6" s="1"/>
  <c r="C138" i="5"/>
  <c r="H197" i="5"/>
  <c r="D210" i="6"/>
  <c r="C210" i="6"/>
  <c r="E210" i="6" s="1"/>
  <c r="D23" i="7"/>
  <c r="C23" i="7"/>
  <c r="E23" i="7" s="1"/>
  <c r="C80" i="7"/>
  <c r="E80" i="7" s="1"/>
  <c r="D80" i="7"/>
  <c r="D80" i="5"/>
  <c r="I80" i="5" s="1"/>
  <c r="D230" i="7"/>
  <c r="D12" i="8"/>
  <c r="C240" i="8"/>
  <c r="E240" i="8" s="1"/>
  <c r="D80" i="9"/>
  <c r="C80" i="9"/>
  <c r="E80" i="9" s="1"/>
  <c r="C81" i="9"/>
  <c r="E81" i="9" s="1"/>
  <c r="D130" i="9"/>
  <c r="C130" i="9"/>
  <c r="E130" i="9" s="1"/>
  <c r="F130" i="5"/>
  <c r="D138" i="9"/>
  <c r="C139" i="9"/>
  <c r="E139" i="9" s="1"/>
  <c r="C138" i="9"/>
  <c r="E138" i="9" s="1"/>
  <c r="C242" i="9"/>
  <c r="E242" i="9" s="1"/>
  <c r="D241" i="9"/>
  <c r="C241" i="9"/>
  <c r="E241" i="9" s="1"/>
  <c r="E277" i="9"/>
  <c r="Z15" i="4" s="1"/>
  <c r="Y15" i="4"/>
  <c r="C285" i="10"/>
  <c r="D285" i="10"/>
  <c r="AC23" i="4"/>
  <c r="G285" i="5"/>
  <c r="L285" i="5" s="1"/>
  <c r="C24" i="3"/>
  <c r="E24" i="3" s="1"/>
  <c r="D54" i="3"/>
  <c r="C58" i="3"/>
  <c r="E58" i="3" s="1"/>
  <c r="B58" i="5"/>
  <c r="J58" i="5" s="1"/>
  <c r="C76" i="3"/>
  <c r="E76" i="3" s="1"/>
  <c r="D76" i="3"/>
  <c r="C132" i="3"/>
  <c r="E132" i="3" s="1"/>
  <c r="D162" i="3"/>
  <c r="C173" i="3"/>
  <c r="E173" i="3" s="1"/>
  <c r="C184" i="3"/>
  <c r="E184" i="3" s="1"/>
  <c r="D184" i="3"/>
  <c r="C188" i="3"/>
  <c r="E188" i="3" s="1"/>
  <c r="D195" i="3"/>
  <c r="D199" i="3"/>
  <c r="C203" i="3"/>
  <c r="E203" i="3" s="1"/>
  <c r="C210" i="3"/>
  <c r="E210" i="3" s="1"/>
  <c r="D214" i="3"/>
  <c r="C240" i="3"/>
  <c r="E240" i="3" s="1"/>
  <c r="D10" i="4"/>
  <c r="B272" i="5"/>
  <c r="D272" i="3"/>
  <c r="D276" i="3"/>
  <c r="D289" i="3"/>
  <c r="D294" i="3"/>
  <c r="N26" i="1" s="1"/>
  <c r="Y16" i="4"/>
  <c r="Y23" i="4"/>
  <c r="I12" i="5"/>
  <c r="J18" i="5"/>
  <c r="H23" i="5"/>
  <c r="K33" i="5"/>
  <c r="L39" i="5"/>
  <c r="L65" i="5"/>
  <c r="I68" i="5"/>
  <c r="L81" i="5"/>
  <c r="O88" i="5"/>
  <c r="K96" i="5"/>
  <c r="K100" i="5"/>
  <c r="I102" i="5"/>
  <c r="K125" i="5"/>
  <c r="J127" i="5"/>
  <c r="I136" i="5"/>
  <c r="O151" i="5"/>
  <c r="O157" i="5"/>
  <c r="H158" i="5"/>
  <c r="B166" i="5"/>
  <c r="I166" i="5" s="1"/>
  <c r="E169" i="5"/>
  <c r="J169" i="5" s="1"/>
  <c r="L177" i="5"/>
  <c r="I192" i="5"/>
  <c r="N192" i="5" s="1"/>
  <c r="I198" i="5"/>
  <c r="F241" i="5"/>
  <c r="K241" i="5" s="1"/>
  <c r="H244" i="5"/>
  <c r="O257" i="5"/>
  <c r="K261" i="5"/>
  <c r="J267" i="5"/>
  <c r="O283" i="5"/>
  <c r="O289" i="5"/>
  <c r="K299" i="5"/>
  <c r="N299" i="5" s="1"/>
  <c r="D17" i="6"/>
  <c r="C17" i="6"/>
  <c r="E17" i="6" s="1"/>
  <c r="D25" i="6"/>
  <c r="D53" i="6"/>
  <c r="D198" i="6"/>
  <c r="C198" i="6"/>
  <c r="E198" i="6" s="1"/>
  <c r="D211" i="6"/>
  <c r="C211" i="6"/>
  <c r="E211" i="6" s="1"/>
  <c r="D36" i="7"/>
  <c r="D40" i="7"/>
  <c r="C36" i="7"/>
  <c r="E36" i="7" s="1"/>
  <c r="D36" i="5"/>
  <c r="I36" i="5" s="1"/>
  <c r="C55" i="7"/>
  <c r="E55" i="7" s="1"/>
  <c r="D55" i="7"/>
  <c r="C137" i="7"/>
  <c r="E137" i="7" s="1"/>
  <c r="D136" i="7"/>
  <c r="C136" i="7"/>
  <c r="E136" i="7" s="1"/>
  <c r="D46" i="8"/>
  <c r="C46" i="8"/>
  <c r="E46" i="8" s="1"/>
  <c r="C75" i="8"/>
  <c r="E75" i="8" s="1"/>
  <c r="E75" i="5"/>
  <c r="J75" i="5" s="1"/>
  <c r="D75" i="8"/>
  <c r="D118" i="8"/>
  <c r="C118" i="8"/>
  <c r="E118" i="8" s="1"/>
  <c r="D262" i="8"/>
  <c r="C262" i="8"/>
  <c r="E262" i="8" s="1"/>
  <c r="C9" i="9"/>
  <c r="E9" i="9" s="1"/>
  <c r="D13" i="9"/>
  <c r="F9" i="5"/>
  <c r="C63" i="9"/>
  <c r="E63" i="9" s="1"/>
  <c r="D62" i="9"/>
  <c r="D108" i="9"/>
  <c r="C109" i="9"/>
  <c r="E109" i="9" s="1"/>
  <c r="D215" i="11"/>
  <c r="C215" i="11"/>
  <c r="E215" i="11" s="1"/>
  <c r="D219" i="11"/>
  <c r="D270" i="11"/>
  <c r="AJ8" i="4" s="1"/>
  <c r="D266" i="11"/>
  <c r="AJ4" i="4" s="1"/>
  <c r="AH4" i="4"/>
  <c r="C266" i="11"/>
  <c r="D252" i="12"/>
  <c r="C252" i="12"/>
  <c r="E252" i="12" s="1"/>
  <c r="C253" i="12"/>
  <c r="E253" i="12" s="1"/>
  <c r="D17" i="3"/>
  <c r="C28" i="3"/>
  <c r="E28" i="3" s="1"/>
  <c r="D28" i="3"/>
  <c r="B28" i="5"/>
  <c r="C32" i="3"/>
  <c r="E32" i="3" s="1"/>
  <c r="C39" i="3"/>
  <c r="E39" i="3" s="1"/>
  <c r="C43" i="3"/>
  <c r="E43" i="3" s="1"/>
  <c r="B43" i="5"/>
  <c r="D50" i="3"/>
  <c r="C54" i="3"/>
  <c r="E54" i="3" s="1"/>
  <c r="D58" i="3"/>
  <c r="D125" i="3"/>
  <c r="C136" i="3"/>
  <c r="E136" i="3" s="1"/>
  <c r="D136" i="3"/>
  <c r="C140" i="3"/>
  <c r="E140" i="3" s="1"/>
  <c r="C147" i="3"/>
  <c r="E147" i="3" s="1"/>
  <c r="C151" i="3"/>
  <c r="E151" i="3" s="1"/>
  <c r="B151" i="5"/>
  <c r="J151" i="5" s="1"/>
  <c r="D158" i="3"/>
  <c r="C162" i="3"/>
  <c r="E162" i="3" s="1"/>
  <c r="D166" i="3"/>
  <c r="C177" i="3"/>
  <c r="E177" i="3" s="1"/>
  <c r="D188" i="3"/>
  <c r="D203" i="3"/>
  <c r="C229" i="3"/>
  <c r="E229" i="3" s="1"/>
  <c r="B229" i="5"/>
  <c r="K229" i="5" s="1"/>
  <c r="B233" i="5"/>
  <c r="J233" i="5" s="1"/>
  <c r="D233" i="3"/>
  <c r="C244" i="3"/>
  <c r="E244" i="3" s="1"/>
  <c r="B244" i="5"/>
  <c r="D244" i="3"/>
  <c r="C260" i="3"/>
  <c r="E260" i="3" s="1"/>
  <c r="C272" i="3"/>
  <c r="C285" i="3"/>
  <c r="D37" i="4"/>
  <c r="D299" i="3"/>
  <c r="N21" i="1" s="1"/>
  <c r="L15" i="5"/>
  <c r="K18" i="5"/>
  <c r="D23" i="5"/>
  <c r="I23" i="5" s="1"/>
  <c r="L33" i="5"/>
  <c r="H35" i="5"/>
  <c r="O43" i="5"/>
  <c r="L44" i="5"/>
  <c r="J61" i="5"/>
  <c r="D64" i="5"/>
  <c r="L69" i="5"/>
  <c r="J99" i="5"/>
  <c r="H105" i="5"/>
  <c r="O105" i="5"/>
  <c r="F108" i="5"/>
  <c r="K108" i="5" s="1"/>
  <c r="L112" i="5"/>
  <c r="H121" i="5"/>
  <c r="N121" i="5" s="1"/>
  <c r="O121" i="5"/>
  <c r="I124" i="5"/>
  <c r="I125" i="5"/>
  <c r="O130" i="5"/>
  <c r="I130" i="5"/>
  <c r="K136" i="5"/>
  <c r="B142" i="5"/>
  <c r="J142" i="5" s="1"/>
  <c r="F149" i="5"/>
  <c r="I151" i="5"/>
  <c r="B172" i="5"/>
  <c r="J172" i="5" s="1"/>
  <c r="B184" i="5"/>
  <c r="H184" i="5" s="1"/>
  <c r="L185" i="5"/>
  <c r="H204" i="5"/>
  <c r="N204" i="5" s="1"/>
  <c r="H223" i="5"/>
  <c r="O233" i="5"/>
  <c r="B246" i="5"/>
  <c r="J246" i="5" s="1"/>
  <c r="J248" i="5"/>
  <c r="N251" i="5"/>
  <c r="O269" i="5"/>
  <c r="I280" i="5"/>
  <c r="J283" i="5"/>
  <c r="L292" i="5"/>
  <c r="O307" i="5"/>
  <c r="C25" i="6"/>
  <c r="E25" i="6" s="1"/>
  <c r="C46" i="6"/>
  <c r="E46" i="6" s="1"/>
  <c r="D46" i="6"/>
  <c r="C46" i="5"/>
  <c r="C53" i="6"/>
  <c r="E53" i="6" s="1"/>
  <c r="D81" i="6"/>
  <c r="C81" i="6"/>
  <c r="E81" i="6" s="1"/>
  <c r="C94" i="6"/>
  <c r="E94" i="6" s="1"/>
  <c r="C94" i="5"/>
  <c r="D94" i="6"/>
  <c r="D132" i="6"/>
  <c r="C132" i="6"/>
  <c r="E132" i="6" s="1"/>
  <c r="D159" i="6"/>
  <c r="C159" i="6"/>
  <c r="E159" i="6" s="1"/>
  <c r="C159" i="5"/>
  <c r="D172" i="6"/>
  <c r="C172" i="6"/>
  <c r="E172" i="6" s="1"/>
  <c r="D185" i="6"/>
  <c r="D244" i="6"/>
  <c r="C244" i="6"/>
  <c r="E244" i="6" s="1"/>
  <c r="D248" i="6"/>
  <c r="D280" i="6"/>
  <c r="D284" i="6"/>
  <c r="I18" i="4"/>
  <c r="D29" i="7"/>
  <c r="D25" i="7"/>
  <c r="C25" i="7"/>
  <c r="E25" i="7" s="1"/>
  <c r="D25" i="5"/>
  <c r="O25" i="5" s="1"/>
  <c r="C42" i="7"/>
  <c r="E42" i="7" s="1"/>
  <c r="D42" i="5"/>
  <c r="I42" i="5" s="1"/>
  <c r="C56" i="7"/>
  <c r="E56" i="7" s="1"/>
  <c r="D142" i="5"/>
  <c r="C143" i="7"/>
  <c r="E143" i="7" s="1"/>
  <c r="D142" i="7"/>
  <c r="C142" i="7"/>
  <c r="E142" i="7" s="1"/>
  <c r="D179" i="7"/>
  <c r="C176" i="7"/>
  <c r="E176" i="7" s="1"/>
  <c r="D175" i="7"/>
  <c r="C175" i="7"/>
  <c r="E175" i="7" s="1"/>
  <c r="D11" i="8"/>
  <c r="C7" i="8"/>
  <c r="E7" i="8" s="1"/>
  <c r="D20" i="8"/>
  <c r="C20" i="8"/>
  <c r="E20" i="8" s="1"/>
  <c r="D24" i="8"/>
  <c r="E20" i="5"/>
  <c r="C76" i="8"/>
  <c r="E76" i="8" s="1"/>
  <c r="C111" i="8"/>
  <c r="E111" i="8" s="1"/>
  <c r="D111" i="8"/>
  <c r="E111" i="5"/>
  <c r="J111" i="5" s="1"/>
  <c r="C205" i="8"/>
  <c r="E205" i="8" s="1"/>
  <c r="D205" i="8"/>
  <c r="D226" i="8"/>
  <c r="C226" i="8"/>
  <c r="E226" i="8" s="1"/>
  <c r="D298" i="8"/>
  <c r="C298" i="8"/>
  <c r="S36" i="4"/>
  <c r="E298" i="5"/>
  <c r="D24" i="9"/>
  <c r="C24" i="9"/>
  <c r="E24" i="9" s="1"/>
  <c r="C62" i="9"/>
  <c r="E62" i="9" s="1"/>
  <c r="C108" i="9"/>
  <c r="E108" i="9" s="1"/>
  <c r="C20" i="10"/>
  <c r="E20" i="10" s="1"/>
  <c r="D20" i="10"/>
  <c r="D196" i="10"/>
  <c r="C197" i="10"/>
  <c r="E197" i="10" s="1"/>
  <c r="D200" i="10"/>
  <c r="D207" i="10"/>
  <c r="C208" i="10"/>
  <c r="E208" i="10" s="1"/>
  <c r="C207" i="10"/>
  <c r="E207" i="10" s="1"/>
  <c r="C82" i="11"/>
  <c r="E82" i="11" s="1"/>
  <c r="D86" i="11"/>
  <c r="D192" i="11"/>
  <c r="C192" i="11"/>
  <c r="E192" i="11" s="1"/>
  <c r="D196" i="11"/>
  <c r="D136" i="12"/>
  <c r="C136" i="12"/>
  <c r="E136" i="12" s="1"/>
  <c r="D140" i="12"/>
  <c r="C256" i="3"/>
  <c r="E256" i="3" s="1"/>
  <c r="C303" i="3"/>
  <c r="J17" i="5"/>
  <c r="H29" i="5"/>
  <c r="H54" i="5"/>
  <c r="N54" i="5" s="1"/>
  <c r="K66" i="5"/>
  <c r="I75" i="5"/>
  <c r="N75" i="5" s="1"/>
  <c r="L87" i="5"/>
  <c r="L101" i="5"/>
  <c r="H129" i="5"/>
  <c r="O135" i="5"/>
  <c r="H141" i="5"/>
  <c r="N141" i="5" s="1"/>
  <c r="I172" i="5"/>
  <c r="L193" i="5"/>
  <c r="I224" i="5"/>
  <c r="I232" i="5"/>
  <c r="L241" i="5"/>
  <c r="H246" i="5"/>
  <c r="J255" i="5"/>
  <c r="O279" i="5"/>
  <c r="H279" i="5"/>
  <c r="N279" i="5" s="1"/>
  <c r="J280" i="5"/>
  <c r="N280" i="5" s="1"/>
  <c r="L281" i="5"/>
  <c r="H285" i="5"/>
  <c r="B296" i="5"/>
  <c r="I296" i="5" s="1"/>
  <c r="H297" i="5"/>
  <c r="O297" i="5"/>
  <c r="D24" i="6"/>
  <c r="C24" i="6"/>
  <c r="E24" i="6" s="1"/>
  <c r="D48" i="6"/>
  <c r="C48" i="6"/>
  <c r="E48" i="6" s="1"/>
  <c r="D139" i="6"/>
  <c r="C140" i="6"/>
  <c r="E140" i="6" s="1"/>
  <c r="C149" i="6"/>
  <c r="E149" i="6" s="1"/>
  <c r="D162" i="6"/>
  <c r="C162" i="5"/>
  <c r="C218" i="6"/>
  <c r="E218" i="6" s="1"/>
  <c r="C218" i="5"/>
  <c r="D270" i="6"/>
  <c r="C270" i="5"/>
  <c r="I8" i="4"/>
  <c r="C300" i="6"/>
  <c r="C300" i="5"/>
  <c r="I38" i="4"/>
  <c r="D10" i="7"/>
  <c r="C10" i="7"/>
  <c r="E10" i="7" s="1"/>
  <c r="D10" i="5"/>
  <c r="D21" i="7"/>
  <c r="C21" i="7"/>
  <c r="E21" i="7" s="1"/>
  <c r="D21" i="5"/>
  <c r="I21" i="5" s="1"/>
  <c r="C79" i="7"/>
  <c r="E79" i="7" s="1"/>
  <c r="C215" i="7"/>
  <c r="E215" i="7" s="1"/>
  <c r="C214" i="7"/>
  <c r="E214" i="7" s="1"/>
  <c r="C251" i="7"/>
  <c r="E251" i="7" s="1"/>
  <c r="D254" i="7"/>
  <c r="D250" i="7"/>
  <c r="C250" i="7"/>
  <c r="E250" i="7" s="1"/>
  <c r="D250" i="5"/>
  <c r="E295" i="7"/>
  <c r="P33" i="4" s="1"/>
  <c r="O33" i="4"/>
  <c r="C29" i="8"/>
  <c r="E29" i="8" s="1"/>
  <c r="E29" i="5"/>
  <c r="D82" i="8"/>
  <c r="C82" i="8"/>
  <c r="E82" i="8" s="1"/>
  <c r="D95" i="8"/>
  <c r="C95" i="8"/>
  <c r="E95" i="8" s="1"/>
  <c r="D106" i="8"/>
  <c r="C106" i="8"/>
  <c r="E106" i="8" s="1"/>
  <c r="C133" i="8"/>
  <c r="E133" i="8" s="1"/>
  <c r="D133" i="8"/>
  <c r="D194" i="8"/>
  <c r="C194" i="8"/>
  <c r="E194" i="8" s="1"/>
  <c r="C195" i="8"/>
  <c r="E195" i="8" s="1"/>
  <c r="D198" i="8"/>
  <c r="D208" i="8"/>
  <c r="C208" i="8"/>
  <c r="E208" i="8" s="1"/>
  <c r="D281" i="8"/>
  <c r="C281" i="8"/>
  <c r="S19" i="4"/>
  <c r="D302" i="8"/>
  <c r="C302" i="8"/>
  <c r="C303" i="8"/>
  <c r="S40" i="4"/>
  <c r="C45" i="9"/>
  <c r="E45" i="9" s="1"/>
  <c r="D44" i="9"/>
  <c r="D113" i="9"/>
  <c r="C113" i="9"/>
  <c r="E113" i="9" s="1"/>
  <c r="F113" i="5"/>
  <c r="D142" i="9"/>
  <c r="C142" i="9"/>
  <c r="E142" i="9" s="1"/>
  <c r="D146" i="9"/>
  <c r="C209" i="9"/>
  <c r="E209" i="9" s="1"/>
  <c r="D208" i="9"/>
  <c r="C59" i="10"/>
  <c r="E59" i="10" s="1"/>
  <c r="D59" i="10"/>
  <c r="D181" i="10"/>
  <c r="D185" i="10"/>
  <c r="C181" i="10"/>
  <c r="E181" i="10" s="1"/>
  <c r="C182" i="10"/>
  <c r="E182" i="10" s="1"/>
  <c r="D281" i="11"/>
  <c r="AJ19" i="4" s="1"/>
  <c r="C281" i="11"/>
  <c r="AH19" i="4"/>
  <c r="D61" i="12"/>
  <c r="D65" i="12"/>
  <c r="C61" i="12"/>
  <c r="E61" i="12" s="1"/>
  <c r="C62" i="12"/>
  <c r="E62" i="12" s="1"/>
  <c r="D187" i="12"/>
  <c r="C187" i="12"/>
  <c r="E187" i="12" s="1"/>
  <c r="D294" i="12"/>
  <c r="AO32" i="4" s="1"/>
  <c r="C294" i="12"/>
  <c r="C295" i="12"/>
  <c r="AM32" i="4"/>
  <c r="C37" i="3"/>
  <c r="E37" i="3" s="1"/>
  <c r="C73" i="3"/>
  <c r="E73" i="3" s="1"/>
  <c r="C109" i="3"/>
  <c r="E109" i="3" s="1"/>
  <c r="C145" i="3"/>
  <c r="E145" i="3" s="1"/>
  <c r="C181" i="3"/>
  <c r="E181" i="3" s="1"/>
  <c r="C217" i="3"/>
  <c r="E217" i="3" s="1"/>
  <c r="C253" i="3"/>
  <c r="E253" i="3" s="1"/>
  <c r="D256" i="3"/>
  <c r="C266" i="3"/>
  <c r="C279" i="3"/>
  <c r="D27" i="4"/>
  <c r="C289" i="3"/>
  <c r="C296" i="3"/>
  <c r="D303" i="3"/>
  <c r="N17" i="1" s="1"/>
  <c r="D45" i="4"/>
  <c r="B307" i="5"/>
  <c r="C307" i="3"/>
  <c r="J22" i="4"/>
  <c r="O16" i="5"/>
  <c r="H16" i="5"/>
  <c r="B73" i="5"/>
  <c r="I92" i="5"/>
  <c r="O99" i="5"/>
  <c r="J105" i="5"/>
  <c r="B109" i="5"/>
  <c r="I109" i="5" s="1"/>
  <c r="H140" i="5"/>
  <c r="F142" i="5"/>
  <c r="K142" i="5" s="1"/>
  <c r="O171" i="5"/>
  <c r="H177" i="5"/>
  <c r="N177" i="5" s="1"/>
  <c r="L179" i="5"/>
  <c r="O203" i="5"/>
  <c r="H203" i="5"/>
  <c r="L205" i="5"/>
  <c r="L217" i="5"/>
  <c r="N217" i="5" s="1"/>
  <c r="J232" i="5"/>
  <c r="H237" i="5"/>
  <c r="N237" i="5" s="1"/>
  <c r="L240" i="5"/>
  <c r="B253" i="5"/>
  <c r="K260" i="5"/>
  <c r="K266" i="5"/>
  <c r="B290" i="5"/>
  <c r="I290" i="5" s="1"/>
  <c r="O296" i="5"/>
  <c r="B303" i="5"/>
  <c r="I304" i="5"/>
  <c r="D29" i="6"/>
  <c r="D41" i="6"/>
  <c r="C41" i="6"/>
  <c r="E41" i="6" s="1"/>
  <c r="C41" i="5"/>
  <c r="D55" i="6"/>
  <c r="C55" i="6"/>
  <c r="E55" i="6" s="1"/>
  <c r="C100" i="6"/>
  <c r="E100" i="6" s="1"/>
  <c r="C106" i="6"/>
  <c r="E106" i="6" s="1"/>
  <c r="C106" i="5"/>
  <c r="D106" i="6"/>
  <c r="D117" i="6"/>
  <c r="C117" i="6"/>
  <c r="E117" i="6" s="1"/>
  <c r="C117" i="5"/>
  <c r="D127" i="6"/>
  <c r="C127" i="6"/>
  <c r="E127" i="6" s="1"/>
  <c r="C134" i="6"/>
  <c r="E134" i="6" s="1"/>
  <c r="C133" i="6"/>
  <c r="E133" i="6" s="1"/>
  <c r="C139" i="6"/>
  <c r="E139" i="6" s="1"/>
  <c r="D149" i="6"/>
  <c r="C162" i="6"/>
  <c r="E162" i="6" s="1"/>
  <c r="D184" i="6"/>
  <c r="C184" i="6"/>
  <c r="E184" i="6" s="1"/>
  <c r="D188" i="6"/>
  <c r="D218" i="6"/>
  <c r="C270" i="6"/>
  <c r="D282" i="6"/>
  <c r="C282" i="6"/>
  <c r="I20" i="4"/>
  <c r="C288" i="6"/>
  <c r="D288" i="6"/>
  <c r="I26" i="4"/>
  <c r="D300" i="6"/>
  <c r="C51" i="7"/>
  <c r="E51" i="7" s="1"/>
  <c r="C88" i="7"/>
  <c r="E88" i="7" s="1"/>
  <c r="C87" i="7"/>
  <c r="E87" i="7" s="1"/>
  <c r="C92" i="7"/>
  <c r="E92" i="7" s="1"/>
  <c r="D131" i="7"/>
  <c r="C131" i="7"/>
  <c r="E131" i="7" s="1"/>
  <c r="C169" i="7"/>
  <c r="E169" i="7" s="1"/>
  <c r="D173" i="7"/>
  <c r="C179" i="7"/>
  <c r="E179" i="7" s="1"/>
  <c r="D182" i="7"/>
  <c r="C178" i="7"/>
  <c r="E178" i="7" s="1"/>
  <c r="D214" i="7"/>
  <c r="D29" i="8"/>
  <c r="C64" i="8"/>
  <c r="E64" i="8" s="1"/>
  <c r="D101" i="8"/>
  <c r="C101" i="8"/>
  <c r="E101" i="8" s="1"/>
  <c r="D107" i="8"/>
  <c r="C107" i="8"/>
  <c r="E107" i="8" s="1"/>
  <c r="D147" i="8"/>
  <c r="D215" i="8"/>
  <c r="C215" i="8"/>
  <c r="E215" i="8" s="1"/>
  <c r="E215" i="5"/>
  <c r="J215" i="5" s="1"/>
  <c r="C256" i="8"/>
  <c r="E256" i="8" s="1"/>
  <c r="C255" i="8"/>
  <c r="E255" i="8" s="1"/>
  <c r="C276" i="8"/>
  <c r="C44" i="9"/>
  <c r="E44" i="9" s="1"/>
  <c r="D107" i="9"/>
  <c r="C107" i="9"/>
  <c r="E107" i="9" s="1"/>
  <c r="F107" i="5"/>
  <c r="K107" i="5" s="1"/>
  <c r="D148" i="9"/>
  <c r="C148" i="9"/>
  <c r="E148" i="9" s="1"/>
  <c r="C155" i="9"/>
  <c r="E155" i="9" s="1"/>
  <c r="F155" i="5"/>
  <c r="K155" i="5" s="1"/>
  <c r="D168" i="9"/>
  <c r="C168" i="9"/>
  <c r="E168" i="9" s="1"/>
  <c r="C208" i="9"/>
  <c r="E208" i="9" s="1"/>
  <c r="D284" i="9"/>
  <c r="C284" i="9"/>
  <c r="X22" i="4"/>
  <c r="D195" i="10"/>
  <c r="C195" i="10"/>
  <c r="E195" i="10" s="1"/>
  <c r="D107" i="11"/>
  <c r="C107" i="11"/>
  <c r="E107" i="11" s="1"/>
  <c r="D111" i="11"/>
  <c r="D273" i="11"/>
  <c r="AJ11" i="4" s="1"/>
  <c r="C273" i="11"/>
  <c r="D282" i="11"/>
  <c r="AJ20" i="4" s="1"/>
  <c r="C282" i="11"/>
  <c r="D18" i="4"/>
  <c r="C280" i="3"/>
  <c r="B308" i="5"/>
  <c r="L308" i="5" s="1"/>
  <c r="D46" i="4"/>
  <c r="I8" i="5"/>
  <c r="I20" i="5"/>
  <c r="L36" i="5"/>
  <c r="O44" i="5"/>
  <c r="K74" i="5"/>
  <c r="I98" i="5"/>
  <c r="I103" i="5"/>
  <c r="L110" i="5"/>
  <c r="I116" i="5"/>
  <c r="O123" i="5"/>
  <c r="J139" i="5"/>
  <c r="O152" i="5"/>
  <c r="I176" i="5"/>
  <c r="I188" i="5"/>
  <c r="I196" i="5"/>
  <c r="O207" i="5"/>
  <c r="K208" i="5"/>
  <c r="O212" i="5"/>
  <c r="H215" i="5"/>
  <c r="N215" i="5" s="1"/>
  <c r="J231" i="5"/>
  <c r="O251" i="5"/>
  <c r="I252" i="5"/>
  <c r="J258" i="5"/>
  <c r="O263" i="5"/>
  <c r="H289" i="5"/>
  <c r="N289" i="5" s="1"/>
  <c r="K290" i="5"/>
  <c r="D43" i="6"/>
  <c r="C43" i="6"/>
  <c r="E43" i="6" s="1"/>
  <c r="D79" i="6"/>
  <c r="C79" i="6"/>
  <c r="E79" i="6" s="1"/>
  <c r="C86" i="6"/>
  <c r="E86" i="6" s="1"/>
  <c r="D85" i="6"/>
  <c r="C101" i="6"/>
  <c r="E101" i="6" s="1"/>
  <c r="D108" i="6"/>
  <c r="C108" i="6"/>
  <c r="E108" i="6" s="1"/>
  <c r="C108" i="5"/>
  <c r="D151" i="6"/>
  <c r="D155" i="6"/>
  <c r="C151" i="6"/>
  <c r="E151" i="6" s="1"/>
  <c r="D175" i="6"/>
  <c r="C176" i="6"/>
  <c r="E176" i="6" s="1"/>
  <c r="D197" i="6"/>
  <c r="D201" i="6"/>
  <c r="C209" i="6"/>
  <c r="E209" i="6" s="1"/>
  <c r="C209" i="5"/>
  <c r="D233" i="6"/>
  <c r="C290" i="6"/>
  <c r="D290" i="6"/>
  <c r="C290" i="5"/>
  <c r="I28" i="4"/>
  <c r="D294" i="6"/>
  <c r="E308" i="6"/>
  <c r="K46" i="4" s="1"/>
  <c r="J46" i="4"/>
  <c r="D16" i="7"/>
  <c r="D12" i="7"/>
  <c r="C12" i="7"/>
  <c r="E12" i="7" s="1"/>
  <c r="D46" i="7"/>
  <c r="C46" i="7"/>
  <c r="E46" i="7" s="1"/>
  <c r="D50" i="7"/>
  <c r="D57" i="7"/>
  <c r="C57" i="7"/>
  <c r="E57" i="7" s="1"/>
  <c r="D57" i="5"/>
  <c r="I57" i="5" s="1"/>
  <c r="D82" i="7"/>
  <c r="C82" i="7"/>
  <c r="E82" i="7" s="1"/>
  <c r="C170" i="7"/>
  <c r="E170" i="7" s="1"/>
  <c r="D229" i="7"/>
  <c r="D233" i="7"/>
  <c r="D229" i="5"/>
  <c r="I229" i="5" s="1"/>
  <c r="D265" i="7"/>
  <c r="C266" i="7"/>
  <c r="D269" i="7"/>
  <c r="C265" i="7"/>
  <c r="E265" i="7" s="1"/>
  <c r="D265" i="5"/>
  <c r="C281" i="7"/>
  <c r="D284" i="7"/>
  <c r="N18" i="4"/>
  <c r="D301" i="7"/>
  <c r="N39" i="4"/>
  <c r="D301" i="5"/>
  <c r="D59" i="8"/>
  <c r="C59" i="8"/>
  <c r="E59" i="8" s="1"/>
  <c r="D136" i="8"/>
  <c r="E136" i="5"/>
  <c r="C183" i="8"/>
  <c r="E183" i="8" s="1"/>
  <c r="D183" i="8"/>
  <c r="D15" i="9"/>
  <c r="C16" i="9"/>
  <c r="E16" i="9" s="1"/>
  <c r="D46" i="9"/>
  <c r="C46" i="9"/>
  <c r="E46" i="9" s="1"/>
  <c r="C47" i="9"/>
  <c r="E47" i="9" s="1"/>
  <c r="D50" i="9"/>
  <c r="F46" i="5"/>
  <c r="D70" i="9"/>
  <c r="D74" i="9"/>
  <c r="C70" i="9"/>
  <c r="E70" i="9" s="1"/>
  <c r="C117" i="9"/>
  <c r="E117" i="9" s="1"/>
  <c r="D116" i="9"/>
  <c r="C182" i="9"/>
  <c r="E182" i="9" s="1"/>
  <c r="D181" i="9"/>
  <c r="C181" i="9"/>
  <c r="E181" i="9" s="1"/>
  <c r="C203" i="9"/>
  <c r="E203" i="9" s="1"/>
  <c r="C218" i="9"/>
  <c r="E218" i="9" s="1"/>
  <c r="D217" i="9"/>
  <c r="D221" i="9"/>
  <c r="C54" i="10"/>
  <c r="E54" i="10" s="1"/>
  <c r="D54" i="10"/>
  <c r="G54" i="5"/>
  <c r="L54" i="5" s="1"/>
  <c r="D79" i="10"/>
  <c r="C79" i="10"/>
  <c r="E79" i="10" s="1"/>
  <c r="D184" i="10"/>
  <c r="C185" i="10"/>
  <c r="E185" i="10" s="1"/>
  <c r="C184" i="10"/>
  <c r="E184" i="10" s="1"/>
  <c r="D190" i="10"/>
  <c r="C191" i="10"/>
  <c r="E191" i="10" s="1"/>
  <c r="G190" i="5"/>
  <c r="O190" i="5" s="1"/>
  <c r="D114" i="11"/>
  <c r="C114" i="11"/>
  <c r="E114" i="11" s="1"/>
  <c r="D259" i="11"/>
  <c r="C259" i="11"/>
  <c r="E259" i="11" s="1"/>
  <c r="D128" i="12"/>
  <c r="C129" i="12"/>
  <c r="E129" i="12" s="1"/>
  <c r="C128" i="12"/>
  <c r="E128" i="12" s="1"/>
  <c r="D144" i="12"/>
  <c r="C144" i="12"/>
  <c r="E144" i="12" s="1"/>
  <c r="B61" i="5"/>
  <c r="H61" i="5" s="1"/>
  <c r="C61" i="3"/>
  <c r="E61" i="3" s="1"/>
  <c r="B133" i="5"/>
  <c r="H133" i="5" s="1"/>
  <c r="C133" i="3"/>
  <c r="E133" i="3" s="1"/>
  <c r="C267" i="3"/>
  <c r="D15" i="4"/>
  <c r="C277" i="3"/>
  <c r="D280" i="3"/>
  <c r="B287" i="5"/>
  <c r="K287" i="5" s="1"/>
  <c r="D25" i="4"/>
  <c r="C290" i="3"/>
  <c r="D297" i="3"/>
  <c r="N23" i="1" s="1"/>
  <c r="D39" i="4"/>
  <c r="C301" i="3"/>
  <c r="C308" i="3"/>
  <c r="B25" i="5"/>
  <c r="K25" i="5" s="1"/>
  <c r="J27" i="5"/>
  <c r="O39" i="5"/>
  <c r="I44" i="5"/>
  <c r="I52" i="5"/>
  <c r="N52" i="5" s="1"/>
  <c r="K53" i="5"/>
  <c r="H57" i="5"/>
  <c r="N57" i="5" s="1"/>
  <c r="L60" i="5"/>
  <c r="J63" i="5"/>
  <c r="O71" i="5"/>
  <c r="H71" i="5"/>
  <c r="N71" i="5" s="1"/>
  <c r="O102" i="5"/>
  <c r="J103" i="5"/>
  <c r="E133" i="5"/>
  <c r="J133" i="5" s="1"/>
  <c r="E147" i="5"/>
  <c r="J147" i="5" s="1"/>
  <c r="L148" i="5"/>
  <c r="B169" i="5"/>
  <c r="C175" i="5"/>
  <c r="O181" i="5"/>
  <c r="O195" i="5"/>
  <c r="H201" i="5"/>
  <c r="L203" i="5"/>
  <c r="I207" i="5"/>
  <c r="I212" i="5"/>
  <c r="J221" i="5"/>
  <c r="O243" i="5"/>
  <c r="I251" i="5"/>
  <c r="L253" i="5"/>
  <c r="H257" i="5"/>
  <c r="K258" i="5"/>
  <c r="H283" i="5"/>
  <c r="B301" i="5"/>
  <c r="E302" i="5"/>
  <c r="D31" i="6"/>
  <c r="C31" i="6"/>
  <c r="E31" i="6" s="1"/>
  <c r="D44" i="6"/>
  <c r="D57" i="6"/>
  <c r="C57" i="6"/>
  <c r="E57" i="6" s="1"/>
  <c r="C85" i="6"/>
  <c r="E85" i="6" s="1"/>
  <c r="D97" i="6"/>
  <c r="D113" i="6"/>
  <c r="D157" i="6"/>
  <c r="C157" i="6"/>
  <c r="E157" i="6" s="1"/>
  <c r="D169" i="6"/>
  <c r="C170" i="6"/>
  <c r="E170" i="6" s="1"/>
  <c r="C169" i="5"/>
  <c r="C175" i="6"/>
  <c r="E175" i="6" s="1"/>
  <c r="C197" i="6"/>
  <c r="E197" i="6" s="1"/>
  <c r="D209" i="6"/>
  <c r="D215" i="6"/>
  <c r="C221" i="6"/>
  <c r="E221" i="6" s="1"/>
  <c r="C233" i="6"/>
  <c r="E233" i="6" s="1"/>
  <c r="D245" i="6"/>
  <c r="C245" i="5"/>
  <c r="C298" i="6"/>
  <c r="I35" i="4"/>
  <c r="D13" i="7"/>
  <c r="D17" i="7"/>
  <c r="C13" i="7"/>
  <c r="E13" i="7" s="1"/>
  <c r="D13" i="5"/>
  <c r="I13" i="5" s="1"/>
  <c r="C24" i="7"/>
  <c r="E24" i="7" s="1"/>
  <c r="D35" i="7"/>
  <c r="C52" i="7"/>
  <c r="E52" i="7" s="1"/>
  <c r="D58" i="7"/>
  <c r="C58" i="7"/>
  <c r="E58" i="7" s="1"/>
  <c r="C101" i="7"/>
  <c r="E101" i="7" s="1"/>
  <c r="D100" i="7"/>
  <c r="D104" i="7"/>
  <c r="D137" i="7"/>
  <c r="D133" i="7"/>
  <c r="C133" i="7"/>
  <c r="E133" i="7" s="1"/>
  <c r="D133" i="5"/>
  <c r="C134" i="7"/>
  <c r="E134" i="7" s="1"/>
  <c r="C139" i="7"/>
  <c r="E139" i="7" s="1"/>
  <c r="D139" i="5"/>
  <c r="D215" i="7"/>
  <c r="C212" i="7"/>
  <c r="E212" i="7" s="1"/>
  <c r="C211" i="7"/>
  <c r="E211" i="7" s="1"/>
  <c r="D211" i="5"/>
  <c r="I211" i="5" s="1"/>
  <c r="N211" i="5" s="1"/>
  <c r="C229" i="7"/>
  <c r="E229" i="7" s="1"/>
  <c r="D242" i="7"/>
  <c r="C239" i="7"/>
  <c r="E239" i="7" s="1"/>
  <c r="D238" i="7"/>
  <c r="D238" i="5"/>
  <c r="D251" i="7"/>
  <c r="C248" i="7"/>
  <c r="E248" i="7" s="1"/>
  <c r="D247" i="7"/>
  <c r="C247" i="7"/>
  <c r="E247" i="7" s="1"/>
  <c r="D247" i="5"/>
  <c r="C254" i="7"/>
  <c r="E254" i="7" s="1"/>
  <c r="D257" i="7"/>
  <c r="D253" i="5"/>
  <c r="C280" i="7"/>
  <c r="C301" i="7"/>
  <c r="D305" i="7"/>
  <c r="C60" i="8"/>
  <c r="E60" i="8" s="1"/>
  <c r="C136" i="8"/>
  <c r="E136" i="8" s="1"/>
  <c r="D142" i="8"/>
  <c r="C142" i="8"/>
  <c r="E142" i="8" s="1"/>
  <c r="D190" i="8"/>
  <c r="C190" i="8"/>
  <c r="E190" i="8" s="1"/>
  <c r="C204" i="8"/>
  <c r="E204" i="8" s="1"/>
  <c r="D223" i="8"/>
  <c r="D230" i="8"/>
  <c r="C230" i="8"/>
  <c r="E230" i="8" s="1"/>
  <c r="C231" i="8"/>
  <c r="E231" i="8" s="1"/>
  <c r="D234" i="8"/>
  <c r="C271" i="8"/>
  <c r="S9" i="4"/>
  <c r="C15" i="9"/>
  <c r="E15" i="9" s="1"/>
  <c r="C116" i="9"/>
  <c r="E116" i="9" s="1"/>
  <c r="C217" i="9"/>
  <c r="E217" i="9" s="1"/>
  <c r="C246" i="9"/>
  <c r="E246" i="9" s="1"/>
  <c r="C245" i="9"/>
  <c r="E245" i="9" s="1"/>
  <c r="C48" i="10"/>
  <c r="E48" i="10" s="1"/>
  <c r="D52" i="10"/>
  <c r="D55" i="10"/>
  <c r="C55" i="10"/>
  <c r="E55" i="10" s="1"/>
  <c r="C95" i="10"/>
  <c r="E95" i="10" s="1"/>
  <c r="D95" i="10"/>
  <c r="C125" i="10"/>
  <c r="E125" i="10" s="1"/>
  <c r="D125" i="10"/>
  <c r="D129" i="10"/>
  <c r="G125" i="5"/>
  <c r="D168" i="10"/>
  <c r="C168" i="10"/>
  <c r="E168" i="10" s="1"/>
  <c r="G168" i="5"/>
  <c r="L168" i="5" s="1"/>
  <c r="C190" i="10"/>
  <c r="E190" i="10" s="1"/>
  <c r="D279" i="10"/>
  <c r="C280" i="10"/>
  <c r="AC17" i="4"/>
  <c r="C279" i="10"/>
  <c r="C231" i="11"/>
  <c r="E231" i="11" s="1"/>
  <c r="C230" i="11"/>
  <c r="E230" i="11" s="1"/>
  <c r="D230" i="11"/>
  <c r="H9" i="5"/>
  <c r="O27" i="5"/>
  <c r="I28" i="5"/>
  <c r="K30" i="5"/>
  <c r="I140" i="5"/>
  <c r="H165" i="5"/>
  <c r="J171" i="5"/>
  <c r="O191" i="5"/>
  <c r="L197" i="5"/>
  <c r="O219" i="5"/>
  <c r="I220" i="5"/>
  <c r="K222" i="5"/>
  <c r="L229" i="5"/>
  <c r="I248" i="5"/>
  <c r="K254" i="5"/>
  <c r="H273" i="5"/>
  <c r="I302" i="5"/>
  <c r="D84" i="6"/>
  <c r="C84" i="6"/>
  <c r="E84" i="6" s="1"/>
  <c r="D89" i="6"/>
  <c r="D129" i="6"/>
  <c r="C129" i="6"/>
  <c r="E129" i="6" s="1"/>
  <c r="C186" i="6"/>
  <c r="E186" i="6" s="1"/>
  <c r="D186" i="6"/>
  <c r="D246" i="6"/>
  <c r="C246" i="6"/>
  <c r="E246" i="6" s="1"/>
  <c r="D251" i="6"/>
  <c r="D283" i="6"/>
  <c r="C283" i="6"/>
  <c r="D306" i="6"/>
  <c r="I44" i="4"/>
  <c r="D101" i="7"/>
  <c r="D97" i="7"/>
  <c r="C97" i="7"/>
  <c r="E97" i="7" s="1"/>
  <c r="D97" i="5"/>
  <c r="I97" i="5" s="1"/>
  <c r="D108" i="7"/>
  <c r="D112" i="7"/>
  <c r="D157" i="7"/>
  <c r="C157" i="7"/>
  <c r="E157" i="7" s="1"/>
  <c r="D157" i="5"/>
  <c r="I157" i="5" s="1"/>
  <c r="C21" i="8"/>
  <c r="E21" i="8" s="1"/>
  <c r="D21" i="8"/>
  <c r="D65" i="8"/>
  <c r="C65" i="8"/>
  <c r="E65" i="8" s="1"/>
  <c r="D71" i="8"/>
  <c r="C71" i="8"/>
  <c r="E71" i="8" s="1"/>
  <c r="C115" i="8"/>
  <c r="E115" i="8" s="1"/>
  <c r="D115" i="8"/>
  <c r="D154" i="8"/>
  <c r="C154" i="8"/>
  <c r="E154" i="8" s="1"/>
  <c r="C168" i="8"/>
  <c r="E168" i="8" s="1"/>
  <c r="C220" i="8"/>
  <c r="E220" i="8" s="1"/>
  <c r="C219" i="8"/>
  <c r="E219" i="8" s="1"/>
  <c r="D250" i="8"/>
  <c r="C250" i="8"/>
  <c r="E250" i="8" s="1"/>
  <c r="C277" i="8"/>
  <c r="D277" i="8"/>
  <c r="D87" i="9"/>
  <c r="C87" i="9"/>
  <c r="E87" i="9" s="1"/>
  <c r="D112" i="9"/>
  <c r="D235" i="9"/>
  <c r="C235" i="9"/>
  <c r="E235" i="9" s="1"/>
  <c r="F235" i="5"/>
  <c r="K235" i="5" s="1"/>
  <c r="C250" i="9"/>
  <c r="E250" i="9" s="1"/>
  <c r="D250" i="9"/>
  <c r="D283" i="9"/>
  <c r="C283" i="9"/>
  <c r="D287" i="9"/>
  <c r="F283" i="5"/>
  <c r="C42" i="10"/>
  <c r="E42" i="10" s="1"/>
  <c r="C43" i="10"/>
  <c r="E43" i="10" s="1"/>
  <c r="D42" i="10"/>
  <c r="G42" i="5"/>
  <c r="L42" i="5" s="1"/>
  <c r="C81" i="10"/>
  <c r="E81" i="10" s="1"/>
  <c r="D81" i="10"/>
  <c r="C89" i="10"/>
  <c r="E89" i="10" s="1"/>
  <c r="D89" i="10"/>
  <c r="D93" i="10"/>
  <c r="C126" i="10"/>
  <c r="E126" i="10" s="1"/>
  <c r="D126" i="10"/>
  <c r="D130" i="10"/>
  <c r="G126" i="5"/>
  <c r="L126" i="5" s="1"/>
  <c r="D229" i="11"/>
  <c r="D233" i="11"/>
  <c r="C244" i="11"/>
  <c r="E244" i="11" s="1"/>
  <c r="D243" i="11"/>
  <c r="K26" i="5"/>
  <c r="O87" i="5"/>
  <c r="I88" i="5"/>
  <c r="K90" i="5"/>
  <c r="O183" i="5"/>
  <c r="K186" i="5"/>
  <c r="K218" i="5"/>
  <c r="I236" i="5"/>
  <c r="L245" i="5"/>
  <c r="L277" i="5"/>
  <c r="D12" i="6"/>
  <c r="C12" i="6"/>
  <c r="E12" i="6" s="1"/>
  <c r="D101" i="6"/>
  <c r="C146" i="6"/>
  <c r="E146" i="6" s="1"/>
  <c r="C146" i="5"/>
  <c r="C258" i="6"/>
  <c r="E258" i="6" s="1"/>
  <c r="D301" i="6"/>
  <c r="C301" i="6"/>
  <c r="C301" i="5"/>
  <c r="D49" i="7"/>
  <c r="D53" i="7"/>
  <c r="C49" i="7"/>
  <c r="E49" i="7" s="1"/>
  <c r="D49" i="5"/>
  <c r="D65" i="7"/>
  <c r="D61" i="7"/>
  <c r="C61" i="7"/>
  <c r="E61" i="7" s="1"/>
  <c r="D61" i="5"/>
  <c r="D71" i="7"/>
  <c r="D93" i="7"/>
  <c r="C93" i="7"/>
  <c r="E93" i="7" s="1"/>
  <c r="D93" i="5"/>
  <c r="D130" i="7"/>
  <c r="C130" i="7"/>
  <c r="E130" i="7" s="1"/>
  <c r="D185" i="7"/>
  <c r="D181" i="5"/>
  <c r="I181" i="5" s="1"/>
  <c r="D193" i="7"/>
  <c r="C194" i="7"/>
  <c r="E194" i="7" s="1"/>
  <c r="C193" i="7"/>
  <c r="E193" i="7" s="1"/>
  <c r="D193" i="5"/>
  <c r="I193" i="5" s="1"/>
  <c r="D287" i="7"/>
  <c r="C284" i="7"/>
  <c r="C283" i="7"/>
  <c r="D34" i="8"/>
  <c r="C34" i="8"/>
  <c r="E34" i="8" s="1"/>
  <c r="C61" i="8"/>
  <c r="E61" i="8" s="1"/>
  <c r="D61" i="8"/>
  <c r="D86" i="8"/>
  <c r="C86" i="8"/>
  <c r="E86" i="8" s="1"/>
  <c r="C87" i="8"/>
  <c r="E87" i="8" s="1"/>
  <c r="D131" i="8"/>
  <c r="C131" i="8"/>
  <c r="E131" i="8" s="1"/>
  <c r="D137" i="8"/>
  <c r="C137" i="8"/>
  <c r="E137" i="8" s="1"/>
  <c r="D214" i="8"/>
  <c r="C214" i="8"/>
  <c r="E214" i="8" s="1"/>
  <c r="C259" i="8"/>
  <c r="E259" i="8" s="1"/>
  <c r="D259" i="8"/>
  <c r="D10" i="9"/>
  <c r="C10" i="9"/>
  <c r="E10" i="9" s="1"/>
  <c r="D28" i="9"/>
  <c r="C28" i="9"/>
  <c r="E28" i="9" s="1"/>
  <c r="D66" i="9"/>
  <c r="D76" i="9"/>
  <c r="C76" i="9"/>
  <c r="E76" i="9" s="1"/>
  <c r="D96" i="9"/>
  <c r="C96" i="9"/>
  <c r="E96" i="9" s="1"/>
  <c r="D159" i="9"/>
  <c r="C160" i="9"/>
  <c r="E160" i="9" s="1"/>
  <c r="C286" i="9"/>
  <c r="D290" i="9"/>
  <c r="D151" i="10"/>
  <c r="C151" i="10"/>
  <c r="E151" i="10" s="1"/>
  <c r="D83" i="11"/>
  <c r="C83" i="11"/>
  <c r="E83" i="11" s="1"/>
  <c r="D87" i="11"/>
  <c r="H303" i="5"/>
  <c r="D68" i="6"/>
  <c r="D77" i="6"/>
  <c r="C82" i="6"/>
  <c r="E82" i="6" s="1"/>
  <c r="D91" i="6"/>
  <c r="C91" i="6"/>
  <c r="E91" i="6" s="1"/>
  <c r="D96" i="6"/>
  <c r="C96" i="6"/>
  <c r="E96" i="6" s="1"/>
  <c r="D105" i="6"/>
  <c r="C105" i="6"/>
  <c r="E105" i="6" s="1"/>
  <c r="C180" i="6"/>
  <c r="E180" i="6" s="1"/>
  <c r="C294" i="6"/>
  <c r="C29" i="7"/>
  <c r="E29" i="7" s="1"/>
  <c r="D28" i="7"/>
  <c r="D32" i="7"/>
  <c r="D52" i="7"/>
  <c r="D48" i="7"/>
  <c r="D143" i="7"/>
  <c r="D203" i="7"/>
  <c r="C200" i="7"/>
  <c r="E200" i="7" s="1"/>
  <c r="C199" i="7"/>
  <c r="E199" i="7" s="1"/>
  <c r="C278" i="7"/>
  <c r="D281" i="7"/>
  <c r="D277" i="7"/>
  <c r="C277" i="7"/>
  <c r="D298" i="7"/>
  <c r="C298" i="7"/>
  <c r="C299" i="7"/>
  <c r="D35" i="8"/>
  <c r="C35" i="8"/>
  <c r="E35" i="8" s="1"/>
  <c r="C97" i="8"/>
  <c r="E97" i="8" s="1"/>
  <c r="D97" i="8"/>
  <c r="D122" i="8"/>
  <c r="C122" i="8"/>
  <c r="E122" i="8" s="1"/>
  <c r="C123" i="8"/>
  <c r="E123" i="8" s="1"/>
  <c r="D245" i="8"/>
  <c r="C245" i="8"/>
  <c r="E245" i="8" s="1"/>
  <c r="D251" i="8"/>
  <c r="C251" i="8"/>
  <c r="E251" i="8" s="1"/>
  <c r="C252" i="8"/>
  <c r="E252" i="8" s="1"/>
  <c r="D33" i="9"/>
  <c r="C34" i="9"/>
  <c r="E34" i="9" s="1"/>
  <c r="C33" i="9"/>
  <c r="E33" i="9" s="1"/>
  <c r="D82" i="9"/>
  <c r="C82" i="9"/>
  <c r="E82" i="9" s="1"/>
  <c r="D196" i="9"/>
  <c r="D200" i="9"/>
  <c r="C196" i="9"/>
  <c r="E196" i="9" s="1"/>
  <c r="D216" i="9"/>
  <c r="D220" i="9"/>
  <c r="C12" i="10"/>
  <c r="E12" i="10" s="1"/>
  <c r="D12" i="10"/>
  <c r="D170" i="10"/>
  <c r="C171" i="10"/>
  <c r="E171" i="10" s="1"/>
  <c r="D174" i="10"/>
  <c r="C260" i="11"/>
  <c r="E260" i="11" s="1"/>
  <c r="D260" i="11"/>
  <c r="D116" i="6"/>
  <c r="D125" i="6"/>
  <c r="C130" i="6"/>
  <c r="E130" i="6" s="1"/>
  <c r="C144" i="6"/>
  <c r="E144" i="6" s="1"/>
  <c r="D163" i="6"/>
  <c r="C163" i="6"/>
  <c r="E163" i="6" s="1"/>
  <c r="D196" i="6"/>
  <c r="D256" i="6"/>
  <c r="C256" i="6"/>
  <c r="E256" i="6" s="1"/>
  <c r="D265" i="6"/>
  <c r="C265" i="6"/>
  <c r="E265" i="6" s="1"/>
  <c r="C8" i="7"/>
  <c r="E8" i="7" s="1"/>
  <c r="C86" i="7"/>
  <c r="E86" i="7" s="1"/>
  <c r="D121" i="7"/>
  <c r="D125" i="7"/>
  <c r="C121" i="7"/>
  <c r="E121" i="7" s="1"/>
  <c r="D144" i="7"/>
  <c r="C141" i="7"/>
  <c r="E141" i="7" s="1"/>
  <c r="C140" i="7"/>
  <c r="E140" i="7" s="1"/>
  <c r="D140" i="7"/>
  <c r="C206" i="7"/>
  <c r="E206" i="7" s="1"/>
  <c r="D209" i="7"/>
  <c r="C205" i="7"/>
  <c r="E205" i="7" s="1"/>
  <c r="D50" i="8"/>
  <c r="C50" i="8"/>
  <c r="E50" i="8" s="1"/>
  <c r="C51" i="8"/>
  <c r="E51" i="8" s="1"/>
  <c r="C148" i="8"/>
  <c r="E148" i="8" s="1"/>
  <c r="D173" i="8"/>
  <c r="C173" i="8"/>
  <c r="E173" i="8" s="1"/>
  <c r="D179" i="8"/>
  <c r="C179" i="8"/>
  <c r="E179" i="8" s="1"/>
  <c r="C241" i="8"/>
  <c r="E241" i="8" s="1"/>
  <c r="D241" i="8"/>
  <c r="D266" i="8"/>
  <c r="C266" i="8"/>
  <c r="C267" i="8"/>
  <c r="C292" i="8"/>
  <c r="C291" i="8"/>
  <c r="D55" i="9"/>
  <c r="C55" i="9"/>
  <c r="E55" i="9" s="1"/>
  <c r="D179" i="9"/>
  <c r="C179" i="9"/>
  <c r="E179" i="9" s="1"/>
  <c r="C186" i="9"/>
  <c r="E186" i="9" s="1"/>
  <c r="D185" i="9"/>
  <c r="D297" i="9"/>
  <c r="C297" i="9"/>
  <c r="C34" i="10"/>
  <c r="E34" i="10" s="1"/>
  <c r="D34" i="10"/>
  <c r="C86" i="10"/>
  <c r="E86" i="10" s="1"/>
  <c r="D86" i="10"/>
  <c r="C212" i="10"/>
  <c r="E212" i="10" s="1"/>
  <c r="D212" i="10"/>
  <c r="D251" i="10"/>
  <c r="C251" i="10"/>
  <c r="E251" i="10" s="1"/>
  <c r="D255" i="10"/>
  <c r="D270" i="10"/>
  <c r="D266" i="10"/>
  <c r="C46" i="11"/>
  <c r="E46" i="11" s="1"/>
  <c r="C109" i="11"/>
  <c r="E109" i="11" s="1"/>
  <c r="D108" i="11"/>
  <c r="D216" i="11"/>
  <c r="C216" i="11"/>
  <c r="E216" i="11" s="1"/>
  <c r="D220" i="11"/>
  <c r="C95" i="12"/>
  <c r="E95" i="12" s="1"/>
  <c r="D95" i="12"/>
  <c r="D151" i="12"/>
  <c r="C151" i="12"/>
  <c r="E151" i="12" s="1"/>
  <c r="C152" i="12"/>
  <c r="E152" i="12" s="1"/>
  <c r="D14" i="6"/>
  <c r="D18" i="6"/>
  <c r="C18" i="6"/>
  <c r="E18" i="6" s="1"/>
  <c r="D26" i="6"/>
  <c r="D30" i="6"/>
  <c r="C30" i="6"/>
  <c r="E30" i="6" s="1"/>
  <c r="D38" i="6"/>
  <c r="D42" i="6"/>
  <c r="C42" i="6"/>
  <c r="E42" i="6" s="1"/>
  <c r="D50" i="6"/>
  <c r="D54" i="6"/>
  <c r="C54" i="6"/>
  <c r="E54" i="6" s="1"/>
  <c r="D62" i="6"/>
  <c r="D66" i="6"/>
  <c r="C66" i="6"/>
  <c r="E66" i="6" s="1"/>
  <c r="D74" i="6"/>
  <c r="D78" i="6"/>
  <c r="C78" i="6"/>
  <c r="E78" i="6" s="1"/>
  <c r="D86" i="6"/>
  <c r="D90" i="6"/>
  <c r="C90" i="6"/>
  <c r="E90" i="6" s="1"/>
  <c r="D98" i="6"/>
  <c r="D102" i="6"/>
  <c r="C102" i="6"/>
  <c r="E102" i="6" s="1"/>
  <c r="D110" i="6"/>
  <c r="D114" i="6"/>
  <c r="C114" i="6"/>
  <c r="E114" i="6" s="1"/>
  <c r="D122" i="6"/>
  <c r="D126" i="6"/>
  <c r="C126" i="6"/>
  <c r="E126" i="6" s="1"/>
  <c r="D134" i="6"/>
  <c r="D158" i="6"/>
  <c r="C158" i="6"/>
  <c r="E158" i="6" s="1"/>
  <c r="D166" i="6"/>
  <c r="D170" i="6"/>
  <c r="D194" i="6"/>
  <c r="C194" i="6"/>
  <c r="E194" i="6" s="1"/>
  <c r="D202" i="6"/>
  <c r="D206" i="6"/>
  <c r="D230" i="6"/>
  <c r="C230" i="6"/>
  <c r="E230" i="6" s="1"/>
  <c r="D238" i="6"/>
  <c r="D242" i="6"/>
  <c r="D266" i="6"/>
  <c r="C266" i="6"/>
  <c r="D274" i="6"/>
  <c r="D278" i="6"/>
  <c r="D302" i="6"/>
  <c r="C302" i="6"/>
  <c r="C32" i="7"/>
  <c r="E32" i="7" s="1"/>
  <c r="C68" i="7"/>
  <c r="E68" i="7" s="1"/>
  <c r="C104" i="7"/>
  <c r="E104" i="7" s="1"/>
  <c r="D167" i="7"/>
  <c r="C164" i="7"/>
  <c r="E164" i="7" s="1"/>
  <c r="C163" i="7"/>
  <c r="E163" i="7" s="1"/>
  <c r="D239" i="7"/>
  <c r="C236" i="7"/>
  <c r="E236" i="7" s="1"/>
  <c r="C235" i="7"/>
  <c r="E235" i="7" s="1"/>
  <c r="C308" i="7"/>
  <c r="C307" i="7"/>
  <c r="C22" i="8"/>
  <c r="E22" i="8" s="1"/>
  <c r="D30" i="8"/>
  <c r="C36" i="8"/>
  <c r="E36" i="8" s="1"/>
  <c r="D41" i="8"/>
  <c r="C41" i="8"/>
  <c r="E41" i="8" s="1"/>
  <c r="C72" i="8"/>
  <c r="E72" i="8" s="1"/>
  <c r="D77" i="8"/>
  <c r="C77" i="8"/>
  <c r="E77" i="8" s="1"/>
  <c r="C108" i="8"/>
  <c r="E108" i="8" s="1"/>
  <c r="D113" i="8"/>
  <c r="C113" i="8"/>
  <c r="E113" i="8" s="1"/>
  <c r="C144" i="8"/>
  <c r="E144" i="8" s="1"/>
  <c r="D149" i="8"/>
  <c r="C149" i="8"/>
  <c r="E149" i="8" s="1"/>
  <c r="C180" i="8"/>
  <c r="E180" i="8" s="1"/>
  <c r="D185" i="8"/>
  <c r="C185" i="8"/>
  <c r="E185" i="8" s="1"/>
  <c r="C216" i="8"/>
  <c r="E216" i="8" s="1"/>
  <c r="D221" i="8"/>
  <c r="C221" i="8"/>
  <c r="E221" i="8" s="1"/>
  <c r="D257" i="8"/>
  <c r="C257" i="8"/>
  <c r="E257" i="8" s="1"/>
  <c r="D293" i="8"/>
  <c r="C293" i="8"/>
  <c r="D41" i="9"/>
  <c r="C41" i="9"/>
  <c r="E41" i="9" s="1"/>
  <c r="D52" i="9"/>
  <c r="D58" i="9"/>
  <c r="C110" i="9"/>
  <c r="E110" i="9" s="1"/>
  <c r="D109" i="9"/>
  <c r="D150" i="9"/>
  <c r="C150" i="9"/>
  <c r="E150" i="9" s="1"/>
  <c r="D156" i="9"/>
  <c r="C157" i="9"/>
  <c r="E157" i="9" s="1"/>
  <c r="C156" i="9"/>
  <c r="E156" i="9" s="1"/>
  <c r="D166" i="9"/>
  <c r="D293" i="9"/>
  <c r="C293" i="9"/>
  <c r="D300" i="9"/>
  <c r="C14" i="10"/>
  <c r="E14" i="10" s="1"/>
  <c r="D14" i="10"/>
  <c r="C127" i="10"/>
  <c r="E127" i="10" s="1"/>
  <c r="D133" i="10"/>
  <c r="C133" i="10"/>
  <c r="E133" i="10" s="1"/>
  <c r="D140" i="10"/>
  <c r="D146" i="10"/>
  <c r="C152" i="10"/>
  <c r="E152" i="10" s="1"/>
  <c r="C158" i="10"/>
  <c r="E158" i="10" s="1"/>
  <c r="D158" i="10"/>
  <c r="D202" i="10"/>
  <c r="C202" i="10"/>
  <c r="E202" i="10" s="1"/>
  <c r="C203" i="10"/>
  <c r="E203" i="10" s="1"/>
  <c r="C248" i="10"/>
  <c r="E248" i="10" s="1"/>
  <c r="D248" i="10"/>
  <c r="C256" i="10"/>
  <c r="E256" i="10" s="1"/>
  <c r="C255" i="10"/>
  <c r="E255" i="10" s="1"/>
  <c r="C260" i="10"/>
  <c r="E260" i="10" s="1"/>
  <c r="D260" i="10"/>
  <c r="D11" i="11"/>
  <c r="C12" i="11"/>
  <c r="E12" i="11" s="1"/>
  <c r="C11" i="11"/>
  <c r="E11" i="11" s="1"/>
  <c r="D47" i="11"/>
  <c r="C48" i="11"/>
  <c r="E48" i="11" s="1"/>
  <c r="C47" i="11"/>
  <c r="E47" i="11" s="1"/>
  <c r="D66" i="11"/>
  <c r="D122" i="11"/>
  <c r="C191" i="11"/>
  <c r="E191" i="11" s="1"/>
  <c r="D194" i="11"/>
  <c r="D217" i="11"/>
  <c r="C217" i="11"/>
  <c r="E217" i="11" s="1"/>
  <c r="D221" i="11"/>
  <c r="D251" i="11"/>
  <c r="C251" i="11"/>
  <c r="E251" i="11" s="1"/>
  <c r="D255" i="11"/>
  <c r="D240" i="12"/>
  <c r="C240" i="12"/>
  <c r="E240" i="12" s="1"/>
  <c r="C241" i="12"/>
  <c r="E241" i="12" s="1"/>
  <c r="C238" i="8"/>
  <c r="E238" i="8" s="1"/>
  <c r="C237" i="8"/>
  <c r="E237" i="8" s="1"/>
  <c r="C274" i="8"/>
  <c r="C273" i="8"/>
  <c r="D12" i="9"/>
  <c r="C13" i="9"/>
  <c r="E13" i="9" s="1"/>
  <c r="C38" i="9"/>
  <c r="E38" i="9" s="1"/>
  <c r="D37" i="9"/>
  <c r="D78" i="9"/>
  <c r="C78" i="9"/>
  <c r="E78" i="9" s="1"/>
  <c r="D84" i="9"/>
  <c r="C85" i="9"/>
  <c r="E85" i="9" s="1"/>
  <c r="C84" i="9"/>
  <c r="E84" i="9" s="1"/>
  <c r="D94" i="9"/>
  <c r="C270" i="9"/>
  <c r="C269" i="9"/>
  <c r="C287" i="9"/>
  <c r="C7" i="10"/>
  <c r="E7" i="10" s="1"/>
  <c r="C50" i="10"/>
  <c r="E50" i="10" s="1"/>
  <c r="D50" i="10"/>
  <c r="C90" i="10"/>
  <c r="E90" i="10" s="1"/>
  <c r="D90" i="10"/>
  <c r="C96" i="10"/>
  <c r="E96" i="10" s="1"/>
  <c r="D159" i="10"/>
  <c r="C159" i="10"/>
  <c r="E159" i="10" s="1"/>
  <c r="D301" i="10"/>
  <c r="C301" i="10"/>
  <c r="D103" i="11"/>
  <c r="C103" i="11"/>
  <c r="E103" i="11" s="1"/>
  <c r="C185" i="11"/>
  <c r="E185" i="11" s="1"/>
  <c r="C184" i="11"/>
  <c r="E184" i="11" s="1"/>
  <c r="D188" i="11"/>
  <c r="D203" i="11"/>
  <c r="C203" i="11"/>
  <c r="E203" i="11" s="1"/>
  <c r="D207" i="11"/>
  <c r="D218" i="11"/>
  <c r="C219" i="11"/>
  <c r="E219" i="11" s="1"/>
  <c r="D252" i="11"/>
  <c r="D256" i="11"/>
  <c r="D84" i="12"/>
  <c r="C85" i="12"/>
  <c r="E85" i="12" s="1"/>
  <c r="C84" i="12"/>
  <c r="E84" i="12" s="1"/>
  <c r="D198" i="12"/>
  <c r="C198" i="12"/>
  <c r="E198" i="12" s="1"/>
  <c r="D199" i="6"/>
  <c r="D235" i="6"/>
  <c r="D271" i="6"/>
  <c r="D307" i="6"/>
  <c r="D33" i="7"/>
  <c r="C33" i="7"/>
  <c r="E33" i="7" s="1"/>
  <c r="D37" i="7"/>
  <c r="D45" i="7"/>
  <c r="D69" i="7"/>
  <c r="C69" i="7"/>
  <c r="E69" i="7" s="1"/>
  <c r="D73" i="7"/>
  <c r="D81" i="7"/>
  <c r="D105" i="7"/>
  <c r="C105" i="7"/>
  <c r="E105" i="7" s="1"/>
  <c r="D109" i="7"/>
  <c r="D117" i="7"/>
  <c r="D57" i="8"/>
  <c r="D93" i="8"/>
  <c r="D129" i="8"/>
  <c r="D165" i="8"/>
  <c r="D201" i="8"/>
  <c r="D237" i="8"/>
  <c r="D273" i="8"/>
  <c r="C12" i="9"/>
  <c r="E12" i="9" s="1"/>
  <c r="D22" i="9"/>
  <c r="C37" i="9"/>
  <c r="E37" i="9" s="1"/>
  <c r="C90" i="9"/>
  <c r="E90" i="9" s="1"/>
  <c r="D120" i="9"/>
  <c r="D125" i="9"/>
  <c r="C125" i="9"/>
  <c r="E125" i="9" s="1"/>
  <c r="D167" i="9"/>
  <c r="C188" i="9"/>
  <c r="E188" i="9" s="1"/>
  <c r="D199" i="9"/>
  <c r="C199" i="9"/>
  <c r="E199" i="9" s="1"/>
  <c r="C204" i="9"/>
  <c r="E204" i="9" s="1"/>
  <c r="D225" i="9"/>
  <c r="C236" i="9"/>
  <c r="E236" i="9" s="1"/>
  <c r="D264" i="9"/>
  <c r="D269" i="9"/>
  <c r="C281" i="9"/>
  <c r="C305" i="9"/>
  <c r="D32" i="10"/>
  <c r="D63" i="10"/>
  <c r="D96" i="10"/>
  <c r="D116" i="10"/>
  <c r="C121" i="10"/>
  <c r="E121" i="10" s="1"/>
  <c r="D160" i="10"/>
  <c r="C160" i="10"/>
  <c r="E160" i="10" s="1"/>
  <c r="C161" i="10"/>
  <c r="E161" i="10" s="1"/>
  <c r="C216" i="10"/>
  <c r="E216" i="10" s="1"/>
  <c r="D227" i="10"/>
  <c r="C227" i="10"/>
  <c r="E227" i="10" s="1"/>
  <c r="C249" i="10"/>
  <c r="E249" i="10" s="1"/>
  <c r="C270" i="10"/>
  <c r="D269" i="10"/>
  <c r="C269" i="10"/>
  <c r="D306" i="10"/>
  <c r="D302" i="10"/>
  <c r="C303" i="10"/>
  <c r="C35" i="11"/>
  <c r="E35" i="11" s="1"/>
  <c r="D55" i="11"/>
  <c r="C55" i="11"/>
  <c r="E55" i="11" s="1"/>
  <c r="D78" i="11"/>
  <c r="C78" i="11"/>
  <c r="E78" i="11" s="1"/>
  <c r="C98" i="11"/>
  <c r="E98" i="11" s="1"/>
  <c r="C134" i="11"/>
  <c r="E134" i="11" s="1"/>
  <c r="D184" i="11"/>
  <c r="C204" i="11"/>
  <c r="E204" i="11" s="1"/>
  <c r="D208" i="11"/>
  <c r="D210" i="11"/>
  <c r="C218" i="11"/>
  <c r="E218" i="11" s="1"/>
  <c r="C252" i="11"/>
  <c r="E252" i="11" s="1"/>
  <c r="C262" i="11"/>
  <c r="E262" i="11" s="1"/>
  <c r="D15" i="6"/>
  <c r="C15" i="6"/>
  <c r="E15" i="6" s="1"/>
  <c r="D23" i="6"/>
  <c r="D27" i="6"/>
  <c r="C27" i="6"/>
  <c r="E27" i="6" s="1"/>
  <c r="D35" i="6"/>
  <c r="D39" i="6"/>
  <c r="C39" i="6"/>
  <c r="E39" i="6" s="1"/>
  <c r="D47" i="6"/>
  <c r="D51" i="6"/>
  <c r="C51" i="6"/>
  <c r="E51" i="6" s="1"/>
  <c r="D59" i="6"/>
  <c r="D63" i="6"/>
  <c r="C63" i="6"/>
  <c r="E63" i="6" s="1"/>
  <c r="D71" i="6"/>
  <c r="D75" i="6"/>
  <c r="C75" i="6"/>
  <c r="E75" i="6" s="1"/>
  <c r="D83" i="6"/>
  <c r="D87" i="6"/>
  <c r="C87" i="6"/>
  <c r="E87" i="6" s="1"/>
  <c r="D95" i="6"/>
  <c r="D99" i="6"/>
  <c r="C99" i="6"/>
  <c r="E99" i="6" s="1"/>
  <c r="D107" i="6"/>
  <c r="D111" i="6"/>
  <c r="C111" i="6"/>
  <c r="E111" i="6" s="1"/>
  <c r="D119" i="6"/>
  <c r="D123" i="6"/>
  <c r="C123" i="6"/>
  <c r="E123" i="6" s="1"/>
  <c r="D131" i="6"/>
  <c r="D135" i="6"/>
  <c r="C135" i="6"/>
  <c r="E135" i="6" s="1"/>
  <c r="D147" i="6"/>
  <c r="D171" i="6"/>
  <c r="C171" i="6"/>
  <c r="E171" i="6" s="1"/>
  <c r="D183" i="6"/>
  <c r="C187" i="6"/>
  <c r="E187" i="6" s="1"/>
  <c r="C195" i="6"/>
  <c r="E195" i="6" s="1"/>
  <c r="C199" i="6"/>
  <c r="E199" i="6" s="1"/>
  <c r="D207" i="6"/>
  <c r="C207" i="6"/>
  <c r="E207" i="6" s="1"/>
  <c r="C215" i="6"/>
  <c r="E215" i="6" s="1"/>
  <c r="D219" i="6"/>
  <c r="C223" i="6"/>
  <c r="E223" i="6" s="1"/>
  <c r="C231" i="6"/>
  <c r="E231" i="6" s="1"/>
  <c r="C235" i="6"/>
  <c r="E235" i="6" s="1"/>
  <c r="D243" i="6"/>
  <c r="C243" i="6"/>
  <c r="E243" i="6" s="1"/>
  <c r="C251" i="6"/>
  <c r="E251" i="6" s="1"/>
  <c r="D255" i="6"/>
  <c r="C259" i="6"/>
  <c r="E259" i="6" s="1"/>
  <c r="C267" i="6"/>
  <c r="C271" i="6"/>
  <c r="D279" i="6"/>
  <c r="C279" i="6"/>
  <c r="C287" i="6"/>
  <c r="D291" i="6"/>
  <c r="C295" i="6"/>
  <c r="C303" i="6"/>
  <c r="C307" i="6"/>
  <c r="C9" i="7"/>
  <c r="E9" i="7" s="1"/>
  <c r="C41" i="7"/>
  <c r="E41" i="7" s="1"/>
  <c r="C45" i="7"/>
  <c r="E45" i="7" s="1"/>
  <c r="C77" i="7"/>
  <c r="E77" i="7" s="1"/>
  <c r="C81" i="7"/>
  <c r="E81" i="7" s="1"/>
  <c r="C113" i="7"/>
  <c r="E113" i="7" s="1"/>
  <c r="C117" i="7"/>
  <c r="E117" i="7" s="1"/>
  <c r="C145" i="7"/>
  <c r="E145" i="7" s="1"/>
  <c r="C172" i="7"/>
  <c r="E172" i="7" s="1"/>
  <c r="D190" i="7"/>
  <c r="C190" i="7"/>
  <c r="E190" i="7" s="1"/>
  <c r="D194" i="7"/>
  <c r="D206" i="7"/>
  <c r="C203" i="7"/>
  <c r="E203" i="7" s="1"/>
  <c r="D202" i="7"/>
  <c r="C217" i="7"/>
  <c r="E217" i="7" s="1"/>
  <c r="C244" i="7"/>
  <c r="E244" i="7" s="1"/>
  <c r="D262" i="7"/>
  <c r="C262" i="7"/>
  <c r="E262" i="7" s="1"/>
  <c r="D266" i="7"/>
  <c r="D278" i="7"/>
  <c r="C275" i="7"/>
  <c r="D274" i="7"/>
  <c r="C289" i="7"/>
  <c r="C14" i="8"/>
  <c r="E14" i="8" s="1"/>
  <c r="D18" i="8"/>
  <c r="C27" i="8"/>
  <c r="E27" i="8" s="1"/>
  <c r="D31" i="8"/>
  <c r="D27" i="8"/>
  <c r="D47" i="8"/>
  <c r="C47" i="8"/>
  <c r="E47" i="8" s="1"/>
  <c r="D52" i="8"/>
  <c r="C52" i="8"/>
  <c r="E52" i="8" s="1"/>
  <c r="D83" i="8"/>
  <c r="C83" i="8"/>
  <c r="E83" i="8" s="1"/>
  <c r="D88" i="8"/>
  <c r="C88" i="8"/>
  <c r="E88" i="8" s="1"/>
  <c r="D119" i="8"/>
  <c r="C119" i="8"/>
  <c r="E119" i="8" s="1"/>
  <c r="D124" i="8"/>
  <c r="C124" i="8"/>
  <c r="E124" i="8" s="1"/>
  <c r="D155" i="8"/>
  <c r="C155" i="8"/>
  <c r="E155" i="8" s="1"/>
  <c r="D160" i="8"/>
  <c r="C160" i="8"/>
  <c r="E160" i="8" s="1"/>
  <c r="D191" i="8"/>
  <c r="C191" i="8"/>
  <c r="E191" i="8" s="1"/>
  <c r="D196" i="8"/>
  <c r="C196" i="8"/>
  <c r="E196" i="8" s="1"/>
  <c r="D227" i="8"/>
  <c r="C227" i="8"/>
  <c r="E227" i="8" s="1"/>
  <c r="D232" i="8"/>
  <c r="C232" i="8"/>
  <c r="E232" i="8" s="1"/>
  <c r="D263" i="8"/>
  <c r="C263" i="8"/>
  <c r="E263" i="8" s="1"/>
  <c r="D268" i="8"/>
  <c r="C268" i="8"/>
  <c r="D299" i="8"/>
  <c r="C299" i="8"/>
  <c r="D304" i="8"/>
  <c r="C304" i="8"/>
  <c r="C18" i="9"/>
  <c r="E18" i="9" s="1"/>
  <c r="D48" i="9"/>
  <c r="D53" i="9"/>
  <c r="C53" i="9"/>
  <c r="E53" i="9" s="1"/>
  <c r="C79" i="9"/>
  <c r="E79" i="9" s="1"/>
  <c r="D95" i="9"/>
  <c r="C120" i="9"/>
  <c r="E120" i="9" s="1"/>
  <c r="D132" i="9"/>
  <c r="C132" i="9"/>
  <c r="E132" i="9" s="1"/>
  <c r="C137" i="9"/>
  <c r="E137" i="9" s="1"/>
  <c r="D141" i="9"/>
  <c r="C163" i="9"/>
  <c r="E163" i="9" s="1"/>
  <c r="C167" i="9"/>
  <c r="E167" i="9" s="1"/>
  <c r="D172" i="9"/>
  <c r="C172" i="9"/>
  <c r="E172" i="9" s="1"/>
  <c r="D176" i="9"/>
  <c r="C225" i="9"/>
  <c r="E225" i="9" s="1"/>
  <c r="C264" i="9"/>
  <c r="E264" i="9" s="1"/>
  <c r="D288" i="9"/>
  <c r="C288" i="9"/>
  <c r="D295" i="9"/>
  <c r="C295" i="9"/>
  <c r="C301" i="9"/>
  <c r="D305" i="9"/>
  <c r="D38" i="10"/>
  <c r="C44" i="10"/>
  <c r="E44" i="10" s="1"/>
  <c r="D44" i="10"/>
  <c r="C70" i="10"/>
  <c r="E70" i="10" s="1"/>
  <c r="C91" i="10"/>
  <c r="E91" i="10" s="1"/>
  <c r="C110" i="10"/>
  <c r="E110" i="10" s="1"/>
  <c r="D110" i="10"/>
  <c r="C153" i="10"/>
  <c r="E153" i="10" s="1"/>
  <c r="D153" i="10"/>
  <c r="C180" i="10"/>
  <c r="E180" i="10" s="1"/>
  <c r="C211" i="10"/>
  <c r="E211" i="10" s="1"/>
  <c r="C210" i="10"/>
  <c r="E210" i="10" s="1"/>
  <c r="D289" i="10"/>
  <c r="C302" i="10"/>
  <c r="D23" i="11"/>
  <c r="C37" i="11"/>
  <c r="E37" i="11" s="1"/>
  <c r="D36" i="11"/>
  <c r="D67" i="11"/>
  <c r="C67" i="11"/>
  <c r="E67" i="11" s="1"/>
  <c r="C164" i="11"/>
  <c r="E164" i="11" s="1"/>
  <c r="C163" i="11"/>
  <c r="E163" i="11" s="1"/>
  <c r="D204" i="11"/>
  <c r="D241" i="11"/>
  <c r="D245" i="11"/>
  <c r="C241" i="11"/>
  <c r="E241" i="11" s="1"/>
  <c r="D253" i="11"/>
  <c r="C253" i="11"/>
  <c r="E253" i="11" s="1"/>
  <c r="C254" i="11"/>
  <c r="E254" i="11" s="1"/>
  <c r="D257" i="11"/>
  <c r="D262" i="11"/>
  <c r="D185" i="12"/>
  <c r="C185" i="12"/>
  <c r="E185" i="12" s="1"/>
  <c r="D193" i="12"/>
  <c r="C194" i="12"/>
  <c r="E194" i="12" s="1"/>
  <c r="D227" i="12"/>
  <c r="C227" i="12"/>
  <c r="E227" i="12" s="1"/>
  <c r="D235" i="12"/>
  <c r="C235" i="12"/>
  <c r="E235" i="12" s="1"/>
  <c r="F305" i="5"/>
  <c r="H308" i="5"/>
  <c r="C11" i="6"/>
  <c r="E11" i="6" s="1"/>
  <c r="C23" i="6"/>
  <c r="E23" i="6" s="1"/>
  <c r="C35" i="6"/>
  <c r="E35" i="6" s="1"/>
  <c r="C47" i="6"/>
  <c r="E47" i="6" s="1"/>
  <c r="C59" i="6"/>
  <c r="E59" i="6" s="1"/>
  <c r="C71" i="6"/>
  <c r="E71" i="6" s="1"/>
  <c r="C83" i="6"/>
  <c r="E83" i="6" s="1"/>
  <c r="C95" i="6"/>
  <c r="E95" i="6" s="1"/>
  <c r="C107" i="6"/>
  <c r="E107" i="6" s="1"/>
  <c r="C119" i="6"/>
  <c r="E119" i="6" s="1"/>
  <c r="C131" i="6"/>
  <c r="E131" i="6" s="1"/>
  <c r="C147" i="6"/>
  <c r="E147" i="6" s="1"/>
  <c r="D167" i="6"/>
  <c r="C183" i="6"/>
  <c r="E183" i="6" s="1"/>
  <c r="D191" i="6"/>
  <c r="D203" i="6"/>
  <c r="C219" i="6"/>
  <c r="E219" i="6" s="1"/>
  <c r="D227" i="6"/>
  <c r="D239" i="6"/>
  <c r="C255" i="6"/>
  <c r="E255" i="6" s="1"/>
  <c r="D263" i="6"/>
  <c r="D275" i="6"/>
  <c r="C291" i="6"/>
  <c r="D299" i="6"/>
  <c r="D26" i="7"/>
  <c r="D62" i="7"/>
  <c r="D98" i="7"/>
  <c r="D134" i="7"/>
  <c r="C202" i="7"/>
  <c r="E202" i="7" s="1"/>
  <c r="C274" i="7"/>
  <c r="C28" i="8"/>
  <c r="E28" i="8" s="1"/>
  <c r="D32" i="8"/>
  <c r="C32" i="8"/>
  <c r="E32" i="8" s="1"/>
  <c r="D37" i="8"/>
  <c r="D53" i="8"/>
  <c r="C53" i="8"/>
  <c r="E53" i="8" s="1"/>
  <c r="C58" i="8"/>
  <c r="E58" i="8" s="1"/>
  <c r="D68" i="8"/>
  <c r="C68" i="8"/>
  <c r="E68" i="8" s="1"/>
  <c r="D73" i="8"/>
  <c r="D89" i="8"/>
  <c r="C89" i="8"/>
  <c r="E89" i="8" s="1"/>
  <c r="C94" i="8"/>
  <c r="E94" i="8" s="1"/>
  <c r="D104" i="8"/>
  <c r="C104" i="8"/>
  <c r="E104" i="8" s="1"/>
  <c r="D109" i="8"/>
  <c r="D125" i="8"/>
  <c r="C125" i="8"/>
  <c r="E125" i="8" s="1"/>
  <c r="C130" i="8"/>
  <c r="E130" i="8" s="1"/>
  <c r="D140" i="8"/>
  <c r="C140" i="8"/>
  <c r="E140" i="8" s="1"/>
  <c r="D145" i="8"/>
  <c r="D161" i="8"/>
  <c r="C161" i="8"/>
  <c r="E161" i="8" s="1"/>
  <c r="C166" i="8"/>
  <c r="E166" i="8" s="1"/>
  <c r="D176" i="8"/>
  <c r="C176" i="8"/>
  <c r="E176" i="8" s="1"/>
  <c r="D181" i="8"/>
  <c r="D197" i="8"/>
  <c r="C197" i="8"/>
  <c r="E197" i="8" s="1"/>
  <c r="C202" i="8"/>
  <c r="E202" i="8" s="1"/>
  <c r="D212" i="8"/>
  <c r="C212" i="8"/>
  <c r="E212" i="8" s="1"/>
  <c r="D217" i="8"/>
  <c r="D233" i="8"/>
  <c r="C233" i="8"/>
  <c r="E233" i="8" s="1"/>
  <c r="C234" i="8"/>
  <c r="E234" i="8" s="1"/>
  <c r="D248" i="8"/>
  <c r="C248" i="8"/>
  <c r="E248" i="8" s="1"/>
  <c r="D253" i="8"/>
  <c r="D269" i="8"/>
  <c r="C269" i="8"/>
  <c r="C270" i="8"/>
  <c r="D284" i="8"/>
  <c r="C284" i="8"/>
  <c r="D289" i="8"/>
  <c r="D305" i="8"/>
  <c r="C305" i="8"/>
  <c r="C306" i="8"/>
  <c r="D23" i="9"/>
  <c r="C48" i="9"/>
  <c r="E48" i="9" s="1"/>
  <c r="D60" i="9"/>
  <c r="C60" i="9"/>
  <c r="E60" i="9" s="1"/>
  <c r="D69" i="9"/>
  <c r="C91" i="9"/>
  <c r="E91" i="9" s="1"/>
  <c r="C95" i="9"/>
  <c r="E95" i="9" s="1"/>
  <c r="D100" i="9"/>
  <c r="C100" i="9"/>
  <c r="E100" i="9" s="1"/>
  <c r="D104" i="9"/>
  <c r="D126" i="9"/>
  <c r="C126" i="9"/>
  <c r="E126" i="9" s="1"/>
  <c r="C141" i="9"/>
  <c r="E141" i="9" s="1"/>
  <c r="D152" i="9"/>
  <c r="C152" i="9"/>
  <c r="E152" i="9" s="1"/>
  <c r="D163" i="9"/>
  <c r="D177" i="9"/>
  <c r="C178" i="9"/>
  <c r="E178" i="9" s="1"/>
  <c r="C177" i="9"/>
  <c r="E177" i="9" s="1"/>
  <c r="D189" i="9"/>
  <c r="C205" i="9"/>
  <c r="E205" i="9" s="1"/>
  <c r="C226" i="9"/>
  <c r="E226" i="9" s="1"/>
  <c r="D259" i="9"/>
  <c r="C259" i="9"/>
  <c r="E259" i="9" s="1"/>
  <c r="C266" i="9"/>
  <c r="C265" i="9"/>
  <c r="E265" i="9" s="1"/>
  <c r="D289" i="9"/>
  <c r="C289" i="9"/>
  <c r="C45" i="10"/>
  <c r="E45" i="10" s="1"/>
  <c r="D45" i="10"/>
  <c r="C64" i="10"/>
  <c r="E64" i="10" s="1"/>
  <c r="C71" i="10"/>
  <c r="E71" i="10" s="1"/>
  <c r="D71" i="10"/>
  <c r="D75" i="10"/>
  <c r="C117" i="10"/>
  <c r="E117" i="10" s="1"/>
  <c r="C122" i="10"/>
  <c r="E122" i="10" s="1"/>
  <c r="D122" i="10"/>
  <c r="D210" i="10"/>
  <c r="D217" i="10"/>
  <c r="D221" i="10"/>
  <c r="C218" i="10"/>
  <c r="E218" i="10" s="1"/>
  <c r="D262" i="10"/>
  <c r="C262" i="10"/>
  <c r="E262" i="10" s="1"/>
  <c r="C289" i="10"/>
  <c r="D295" i="10"/>
  <c r="C295" i="10"/>
  <c r="C36" i="11"/>
  <c r="E36" i="11" s="1"/>
  <c r="C43" i="11"/>
  <c r="E43" i="11" s="1"/>
  <c r="D42" i="11"/>
  <c r="C42" i="11"/>
  <c r="E42" i="11" s="1"/>
  <c r="C68" i="11"/>
  <c r="E68" i="11" s="1"/>
  <c r="D68" i="11"/>
  <c r="D163" i="11"/>
  <c r="C198" i="11"/>
  <c r="E198" i="11" s="1"/>
  <c r="D198" i="11"/>
  <c r="D287" i="11"/>
  <c r="AJ25" i="4" s="1"/>
  <c r="D291" i="11"/>
  <c r="AJ29" i="4" s="1"/>
  <c r="C193" i="12"/>
  <c r="E193" i="12" s="1"/>
  <c r="D200" i="12"/>
  <c r="C201" i="12"/>
  <c r="E201" i="12" s="1"/>
  <c r="C200" i="12"/>
  <c r="E200" i="12" s="1"/>
  <c r="D205" i="12"/>
  <c r="C205" i="12"/>
  <c r="E205" i="12" s="1"/>
  <c r="C206" i="12"/>
  <c r="E206" i="12" s="1"/>
  <c r="D236" i="12"/>
  <c r="C237" i="12"/>
  <c r="E237" i="12" s="1"/>
  <c r="D154" i="6"/>
  <c r="D190" i="6"/>
  <c r="D226" i="6"/>
  <c r="D262" i="6"/>
  <c r="D298" i="6"/>
  <c r="C12" i="8"/>
  <c r="E12" i="8" s="1"/>
  <c r="C30" i="8"/>
  <c r="E30" i="8" s="1"/>
  <c r="C48" i="8"/>
  <c r="E48" i="8" s="1"/>
  <c r="C66" i="8"/>
  <c r="E66" i="8" s="1"/>
  <c r="C84" i="8"/>
  <c r="E84" i="8" s="1"/>
  <c r="C102" i="8"/>
  <c r="E102" i="8" s="1"/>
  <c r="C120" i="8"/>
  <c r="E120" i="8" s="1"/>
  <c r="C138" i="8"/>
  <c r="E138" i="8" s="1"/>
  <c r="C156" i="8"/>
  <c r="E156" i="8" s="1"/>
  <c r="C174" i="8"/>
  <c r="E174" i="8" s="1"/>
  <c r="C192" i="8"/>
  <c r="E192" i="8" s="1"/>
  <c r="C210" i="8"/>
  <c r="E210" i="8" s="1"/>
  <c r="C228" i="8"/>
  <c r="E228" i="8" s="1"/>
  <c r="C246" i="8"/>
  <c r="E246" i="8" s="1"/>
  <c r="C264" i="8"/>
  <c r="E264" i="8" s="1"/>
  <c r="C282" i="8"/>
  <c r="C300" i="8"/>
  <c r="D16" i="9"/>
  <c r="D71" i="9"/>
  <c r="C71" i="9"/>
  <c r="E71" i="9" s="1"/>
  <c r="D88" i="9"/>
  <c r="D143" i="9"/>
  <c r="C143" i="9"/>
  <c r="E143" i="9" s="1"/>
  <c r="D160" i="9"/>
  <c r="C214" i="9"/>
  <c r="E214" i="9" s="1"/>
  <c r="D223" i="9"/>
  <c r="C223" i="9"/>
  <c r="E223" i="9" s="1"/>
  <c r="D228" i="9"/>
  <c r="D237" i="9"/>
  <c r="C251" i="9"/>
  <c r="E251" i="9" s="1"/>
  <c r="C24" i="10"/>
  <c r="E24" i="10" s="1"/>
  <c r="C60" i="10"/>
  <c r="E60" i="10" s="1"/>
  <c r="D60" i="10"/>
  <c r="C92" i="10"/>
  <c r="E92" i="10" s="1"/>
  <c r="C107" i="10"/>
  <c r="E107" i="10" s="1"/>
  <c r="D107" i="10"/>
  <c r="C143" i="10"/>
  <c r="E143" i="10" s="1"/>
  <c r="D143" i="10"/>
  <c r="C176" i="10"/>
  <c r="E176" i="10" s="1"/>
  <c r="D176" i="10"/>
  <c r="D232" i="10"/>
  <c r="D303" i="10"/>
  <c r="C99" i="11"/>
  <c r="E99" i="11" s="1"/>
  <c r="D135" i="11"/>
  <c r="D164" i="11"/>
  <c r="C161" i="11"/>
  <c r="E161" i="11" s="1"/>
  <c r="D160" i="11"/>
  <c r="C199" i="11"/>
  <c r="E199" i="11" s="1"/>
  <c r="D205" i="11"/>
  <c r="D209" i="11"/>
  <c r="C205" i="11"/>
  <c r="E205" i="11" s="1"/>
  <c r="C257" i="11"/>
  <c r="E257" i="11" s="1"/>
  <c r="C256" i="11"/>
  <c r="E256" i="11" s="1"/>
  <c r="D276" i="11"/>
  <c r="AJ14" i="4" s="1"/>
  <c r="D280" i="11"/>
  <c r="AJ18" i="4" s="1"/>
  <c r="D154" i="12"/>
  <c r="C154" i="12"/>
  <c r="E154" i="12" s="1"/>
  <c r="D158" i="12"/>
  <c r="D261" i="12"/>
  <c r="C261" i="12"/>
  <c r="E261" i="12" s="1"/>
  <c r="D287" i="12"/>
  <c r="AO25" i="4" s="1"/>
  <c r="C287" i="12"/>
  <c r="C66" i="10"/>
  <c r="E66" i="10" s="1"/>
  <c r="D66" i="10"/>
  <c r="C72" i="10"/>
  <c r="E72" i="10" s="1"/>
  <c r="D72" i="10"/>
  <c r="C113" i="10"/>
  <c r="E113" i="10" s="1"/>
  <c r="D113" i="10"/>
  <c r="C134" i="10"/>
  <c r="E134" i="10" s="1"/>
  <c r="D154" i="10"/>
  <c r="C154" i="10"/>
  <c r="E154" i="10" s="1"/>
  <c r="C165" i="10"/>
  <c r="E165" i="10" s="1"/>
  <c r="D165" i="10"/>
  <c r="D213" i="10"/>
  <c r="C213" i="10"/>
  <c r="E213" i="10" s="1"/>
  <c r="D263" i="10"/>
  <c r="C263" i="10"/>
  <c r="E263" i="10" s="1"/>
  <c r="C60" i="11"/>
  <c r="E60" i="11" s="1"/>
  <c r="D59" i="11"/>
  <c r="D85" i="11"/>
  <c r="C85" i="11"/>
  <c r="E85" i="11" s="1"/>
  <c r="D89" i="11"/>
  <c r="D99" i="11"/>
  <c r="C104" i="11"/>
  <c r="E104" i="11" s="1"/>
  <c r="D145" i="11"/>
  <c r="D141" i="11"/>
  <c r="C141" i="11"/>
  <c r="E141" i="11" s="1"/>
  <c r="D155" i="11"/>
  <c r="C152" i="11"/>
  <c r="E152" i="11" s="1"/>
  <c r="D151" i="11"/>
  <c r="D226" i="11"/>
  <c r="C226" i="11"/>
  <c r="E226" i="11" s="1"/>
  <c r="D249" i="11"/>
  <c r="C249" i="11"/>
  <c r="E249" i="11" s="1"/>
  <c r="D222" i="12"/>
  <c r="C222" i="12"/>
  <c r="E222" i="12" s="1"/>
  <c r="D288" i="12"/>
  <c r="AO26" i="4" s="1"/>
  <c r="C288" i="12"/>
  <c r="D42" i="9"/>
  <c r="C42" i="9"/>
  <c r="E42" i="9" s="1"/>
  <c r="D59" i="9"/>
  <c r="D114" i="9"/>
  <c r="C114" i="9"/>
  <c r="E114" i="9" s="1"/>
  <c r="D131" i="9"/>
  <c r="D247" i="9"/>
  <c r="C247" i="9"/>
  <c r="E247" i="9" s="1"/>
  <c r="D256" i="9"/>
  <c r="C275" i="9"/>
  <c r="D25" i="10"/>
  <c r="C25" i="10"/>
  <c r="E25" i="10" s="1"/>
  <c r="C46" i="10"/>
  <c r="E46" i="10" s="1"/>
  <c r="C56" i="10"/>
  <c r="E56" i="10" s="1"/>
  <c r="D56" i="10"/>
  <c r="C82" i="10"/>
  <c r="E82" i="10" s="1"/>
  <c r="D98" i="10"/>
  <c r="C103" i="10"/>
  <c r="E103" i="10" s="1"/>
  <c r="C108" i="10"/>
  <c r="E108" i="10" s="1"/>
  <c r="D108" i="10"/>
  <c r="D134" i="10"/>
  <c r="C139" i="10"/>
  <c r="E139" i="10" s="1"/>
  <c r="C144" i="10"/>
  <c r="E144" i="10" s="1"/>
  <c r="D144" i="10"/>
  <c r="C177" i="10"/>
  <c r="E177" i="10" s="1"/>
  <c r="D214" i="10"/>
  <c r="C214" i="10"/>
  <c r="E214" i="10" s="1"/>
  <c r="C223" i="10"/>
  <c r="E223" i="10" s="1"/>
  <c r="D228" i="10"/>
  <c r="C229" i="10"/>
  <c r="E229" i="10" s="1"/>
  <c r="D242" i="10"/>
  <c r="D246" i="10"/>
  <c r="D253" i="10"/>
  <c r="D264" i="10"/>
  <c r="C264" i="10"/>
  <c r="E264" i="10" s="1"/>
  <c r="D275" i="10"/>
  <c r="C275" i="10"/>
  <c r="D32" i="11"/>
  <c r="C59" i="11"/>
  <c r="E59" i="11" s="1"/>
  <c r="C79" i="11"/>
  <c r="E79" i="11" s="1"/>
  <c r="D90" i="11"/>
  <c r="C90" i="11"/>
  <c r="E90" i="11" s="1"/>
  <c r="C95" i="11"/>
  <c r="E95" i="11" s="1"/>
  <c r="D104" i="11"/>
  <c r="C115" i="11"/>
  <c r="E115" i="11" s="1"/>
  <c r="C131" i="11"/>
  <c r="E131" i="11" s="1"/>
  <c r="C151" i="11"/>
  <c r="E151" i="11" s="1"/>
  <c r="D178" i="11"/>
  <c r="C178" i="11"/>
  <c r="E178" i="11" s="1"/>
  <c r="C179" i="11"/>
  <c r="E179" i="11" s="1"/>
  <c r="D307" i="11"/>
  <c r="AJ45" i="4" s="1"/>
  <c r="D155" i="12"/>
  <c r="D209" i="12"/>
  <c r="C209" i="12"/>
  <c r="E209" i="12" s="1"/>
  <c r="D282" i="12"/>
  <c r="AO20" i="4" s="1"/>
  <c r="C282" i="12"/>
  <c r="D44" i="8"/>
  <c r="C44" i="8"/>
  <c r="E44" i="8" s="1"/>
  <c r="D62" i="8"/>
  <c r="C62" i="8"/>
  <c r="E62" i="8" s="1"/>
  <c r="D80" i="8"/>
  <c r="C80" i="8"/>
  <c r="E80" i="8" s="1"/>
  <c r="D98" i="8"/>
  <c r="C98" i="8"/>
  <c r="E98" i="8" s="1"/>
  <c r="D116" i="8"/>
  <c r="C116" i="8"/>
  <c r="E116" i="8" s="1"/>
  <c r="D134" i="8"/>
  <c r="C134" i="8"/>
  <c r="E134" i="8" s="1"/>
  <c r="D152" i="8"/>
  <c r="C152" i="8"/>
  <c r="E152" i="8" s="1"/>
  <c r="D170" i="8"/>
  <c r="C170" i="8"/>
  <c r="E170" i="8" s="1"/>
  <c r="D188" i="8"/>
  <c r="C188" i="8"/>
  <c r="E188" i="8" s="1"/>
  <c r="D206" i="8"/>
  <c r="C206" i="8"/>
  <c r="E206" i="8" s="1"/>
  <c r="D224" i="8"/>
  <c r="C224" i="8"/>
  <c r="E224" i="8" s="1"/>
  <c r="D242" i="8"/>
  <c r="C242" i="8"/>
  <c r="E242" i="8" s="1"/>
  <c r="D260" i="8"/>
  <c r="C260" i="8"/>
  <c r="E260" i="8" s="1"/>
  <c r="C265" i="8"/>
  <c r="E265" i="8" s="1"/>
  <c r="D278" i="8"/>
  <c r="C278" i="8"/>
  <c r="C283" i="8"/>
  <c r="D296" i="8"/>
  <c r="C296" i="8"/>
  <c r="C301" i="8"/>
  <c r="D17" i="9"/>
  <c r="C17" i="9"/>
  <c r="E17" i="9" s="1"/>
  <c r="D34" i="9"/>
  <c r="C59" i="9"/>
  <c r="E59" i="9" s="1"/>
  <c r="C72" i="9"/>
  <c r="E72" i="9" s="1"/>
  <c r="D89" i="9"/>
  <c r="C89" i="9"/>
  <c r="E89" i="9" s="1"/>
  <c r="D106" i="9"/>
  <c r="C131" i="9"/>
  <c r="E131" i="9" s="1"/>
  <c r="C144" i="9"/>
  <c r="E144" i="9" s="1"/>
  <c r="D161" i="9"/>
  <c r="C161" i="9"/>
  <c r="E161" i="9" s="1"/>
  <c r="D178" i="9"/>
  <c r="D187" i="9"/>
  <c r="C187" i="9"/>
  <c r="E187" i="9" s="1"/>
  <c r="D192" i="9"/>
  <c r="D201" i="9"/>
  <c r="C215" i="9"/>
  <c r="E215" i="9" s="1"/>
  <c r="C224" i="9"/>
  <c r="E224" i="9" s="1"/>
  <c r="C229" i="9"/>
  <c r="E229" i="9" s="1"/>
  <c r="C233" i="9"/>
  <c r="E233" i="9" s="1"/>
  <c r="D238" i="9"/>
  <c r="D242" i="9"/>
  <c r="C252" i="9"/>
  <c r="E252" i="9" s="1"/>
  <c r="C261" i="9"/>
  <c r="E261" i="9" s="1"/>
  <c r="C280" i="9"/>
  <c r="C26" i="10"/>
  <c r="E26" i="10" s="1"/>
  <c r="C36" i="10"/>
  <c r="E36" i="10" s="1"/>
  <c r="D36" i="10"/>
  <c r="D46" i="10"/>
  <c r="C67" i="10"/>
  <c r="E67" i="10" s="1"/>
  <c r="C73" i="10"/>
  <c r="E73" i="10" s="1"/>
  <c r="D77" i="10"/>
  <c r="D82" i="10"/>
  <c r="C114" i="10"/>
  <c r="E114" i="10" s="1"/>
  <c r="D114" i="10"/>
  <c r="D124" i="10"/>
  <c r="D149" i="10"/>
  <c r="D156" i="10"/>
  <c r="D166" i="10"/>
  <c r="C166" i="10"/>
  <c r="E166" i="10" s="1"/>
  <c r="D172" i="10"/>
  <c r="C173" i="10"/>
  <c r="E173" i="10" s="1"/>
  <c r="C172" i="10"/>
  <c r="E172" i="10" s="1"/>
  <c r="D183" i="10"/>
  <c r="D188" i="10"/>
  <c r="C228" i="10"/>
  <c r="E228" i="10" s="1"/>
  <c r="C253" i="10"/>
  <c r="E253" i="10" s="1"/>
  <c r="D287" i="10"/>
  <c r="C287" i="10"/>
  <c r="D291" i="10"/>
  <c r="D37" i="11"/>
  <c r="D33" i="11"/>
  <c r="C33" i="11"/>
  <c r="E33" i="11" s="1"/>
  <c r="C39" i="11"/>
  <c r="E39" i="11" s="1"/>
  <c r="D43" i="11"/>
  <c r="D95" i="11"/>
  <c r="D109" i="11"/>
  <c r="D105" i="11"/>
  <c r="C105" i="11"/>
  <c r="E105" i="11" s="1"/>
  <c r="D131" i="11"/>
  <c r="C142" i="11"/>
  <c r="E142" i="11" s="1"/>
  <c r="D170" i="11"/>
  <c r="D166" i="11"/>
  <c r="C227" i="11"/>
  <c r="E227" i="11" s="1"/>
  <c r="C250" i="11"/>
  <c r="E250" i="11" s="1"/>
  <c r="D264" i="11"/>
  <c r="C264" i="11"/>
  <c r="E264" i="11" s="1"/>
  <c r="C277" i="11"/>
  <c r="D290" i="11"/>
  <c r="AJ28" i="4" s="1"/>
  <c r="C290" i="11"/>
  <c r="C291" i="11"/>
  <c r="C100" i="12"/>
  <c r="E100" i="12" s="1"/>
  <c r="D156" i="12"/>
  <c r="C156" i="12"/>
  <c r="E156" i="12" s="1"/>
  <c r="C223" i="12"/>
  <c r="E223" i="12" s="1"/>
  <c r="D263" i="12"/>
  <c r="C263" i="12"/>
  <c r="E263" i="12" s="1"/>
  <c r="C289" i="12"/>
  <c r="D142" i="6"/>
  <c r="C145" i="6"/>
  <c r="E145" i="6" s="1"/>
  <c r="D178" i="6"/>
  <c r="C181" i="6"/>
  <c r="E181" i="6" s="1"/>
  <c r="D214" i="6"/>
  <c r="C217" i="6"/>
  <c r="E217" i="6" s="1"/>
  <c r="D250" i="6"/>
  <c r="C253" i="6"/>
  <c r="E253" i="6" s="1"/>
  <c r="D286" i="6"/>
  <c r="C289" i="6"/>
  <c r="D45" i="8"/>
  <c r="D49" i="8"/>
  <c r="D63" i="8"/>
  <c r="D67" i="8"/>
  <c r="D81" i="8"/>
  <c r="D85" i="8"/>
  <c r="D99" i="8"/>
  <c r="D103" i="8"/>
  <c r="D117" i="8"/>
  <c r="D121" i="8"/>
  <c r="D135" i="8"/>
  <c r="D139" i="8"/>
  <c r="D153" i="8"/>
  <c r="D157" i="8"/>
  <c r="D171" i="8"/>
  <c r="D175" i="8"/>
  <c r="D189" i="8"/>
  <c r="D193" i="8"/>
  <c r="D207" i="8"/>
  <c r="D211" i="8"/>
  <c r="D225" i="8"/>
  <c r="D229" i="8"/>
  <c r="D243" i="8"/>
  <c r="D247" i="8"/>
  <c r="D261" i="8"/>
  <c r="D265" i="8"/>
  <c r="D279" i="8"/>
  <c r="D283" i="8"/>
  <c r="D297" i="8"/>
  <c r="D301" i="8"/>
  <c r="D30" i="9"/>
  <c r="C43" i="9"/>
  <c r="E43" i="9" s="1"/>
  <c r="D64" i="9"/>
  <c r="C64" i="9"/>
  <c r="E64" i="9" s="1"/>
  <c r="D102" i="9"/>
  <c r="C115" i="9"/>
  <c r="E115" i="9" s="1"/>
  <c r="D136" i="9"/>
  <c r="C136" i="9"/>
  <c r="E136" i="9" s="1"/>
  <c r="D174" i="9"/>
  <c r="C262" i="9"/>
  <c r="E262" i="9" s="1"/>
  <c r="D271" i="9"/>
  <c r="C271" i="9"/>
  <c r="D276" i="9"/>
  <c r="D285" i="9"/>
  <c r="C299" i="9"/>
  <c r="D16" i="10"/>
  <c r="D88" i="10"/>
  <c r="C88" i="10"/>
  <c r="E88" i="10" s="1"/>
  <c r="C99" i="10"/>
  <c r="E99" i="10" s="1"/>
  <c r="C104" i="10"/>
  <c r="E104" i="10" s="1"/>
  <c r="C109" i="10"/>
  <c r="E109" i="10" s="1"/>
  <c r="C135" i="10"/>
  <c r="E135" i="10" s="1"/>
  <c r="C145" i="10"/>
  <c r="E145" i="10" s="1"/>
  <c r="D220" i="10"/>
  <c r="C224" i="10"/>
  <c r="E224" i="10" s="1"/>
  <c r="D238" i="10"/>
  <c r="C238" i="10"/>
  <c r="E238" i="10" s="1"/>
  <c r="C243" i="10"/>
  <c r="E243" i="10" s="1"/>
  <c r="C276" i="10"/>
  <c r="D298" i="10"/>
  <c r="C298" i="10"/>
  <c r="C306" i="10"/>
  <c r="C305" i="10"/>
  <c r="D49" i="11"/>
  <c r="C49" i="11"/>
  <c r="E49" i="11" s="1"/>
  <c r="C86" i="11"/>
  <c r="E86" i="11" s="1"/>
  <c r="C92" i="11"/>
  <c r="E92" i="11" s="1"/>
  <c r="D91" i="11"/>
  <c r="D157" i="11"/>
  <c r="C157" i="11"/>
  <c r="E157" i="11" s="1"/>
  <c r="C158" i="11"/>
  <c r="E158" i="11" s="1"/>
  <c r="D213" i="11"/>
  <c r="C213" i="11"/>
  <c r="E213" i="11" s="1"/>
  <c r="D228" i="11"/>
  <c r="C228" i="11"/>
  <c r="E228" i="11" s="1"/>
  <c r="C234" i="11"/>
  <c r="E234" i="11" s="1"/>
  <c r="D234" i="11"/>
  <c r="C284" i="11"/>
  <c r="D284" i="11"/>
  <c r="AJ22" i="4" s="1"/>
  <c r="C308" i="11"/>
  <c r="D108" i="12"/>
  <c r="C108" i="12"/>
  <c r="E108" i="12" s="1"/>
  <c r="D114" i="12"/>
  <c r="C114" i="12"/>
  <c r="E114" i="12" s="1"/>
  <c r="D272" i="12"/>
  <c r="AO10" i="4" s="1"/>
  <c r="C273" i="12"/>
  <c r="C272" i="12"/>
  <c r="D27" i="9"/>
  <c r="D45" i="9"/>
  <c r="D63" i="9"/>
  <c r="D81" i="9"/>
  <c r="D99" i="9"/>
  <c r="D117" i="9"/>
  <c r="D135" i="9"/>
  <c r="D153" i="9"/>
  <c r="D171" i="9"/>
  <c r="D186" i="9"/>
  <c r="D198" i="9"/>
  <c r="D210" i="9"/>
  <c r="D222" i="9"/>
  <c r="D234" i="9"/>
  <c r="D246" i="9"/>
  <c r="D258" i="9"/>
  <c r="D270" i="9"/>
  <c r="D282" i="9"/>
  <c r="D294" i="9"/>
  <c r="D306" i="9"/>
  <c r="C74" i="10"/>
  <c r="E74" i="10" s="1"/>
  <c r="C78" i="10"/>
  <c r="E78" i="10" s="1"/>
  <c r="C118" i="10"/>
  <c r="E118" i="10" s="1"/>
  <c r="C140" i="10"/>
  <c r="E140" i="10" s="1"/>
  <c r="D290" i="10"/>
  <c r="D294" i="10"/>
  <c r="D300" i="10"/>
  <c r="C300" i="10"/>
  <c r="D21" i="11"/>
  <c r="D25" i="11"/>
  <c r="C21" i="11"/>
  <c r="E21" i="11" s="1"/>
  <c r="D30" i="11"/>
  <c r="D54" i="11"/>
  <c r="C54" i="11"/>
  <c r="E54" i="11" s="1"/>
  <c r="C63" i="11"/>
  <c r="E63" i="11" s="1"/>
  <c r="D129" i="11"/>
  <c r="D133" i="11"/>
  <c r="C129" i="11"/>
  <c r="E129" i="11" s="1"/>
  <c r="D138" i="11"/>
  <c r="C224" i="11"/>
  <c r="E224" i="11" s="1"/>
  <c r="D224" i="11"/>
  <c r="C247" i="11"/>
  <c r="E247" i="11" s="1"/>
  <c r="C278" i="11"/>
  <c r="D277" i="11"/>
  <c r="AJ15" i="4" s="1"/>
  <c r="D64" i="12"/>
  <c r="C64" i="12"/>
  <c r="E64" i="12" s="1"/>
  <c r="D96" i="12"/>
  <c r="C96" i="12"/>
  <c r="E96" i="12" s="1"/>
  <c r="C122" i="12"/>
  <c r="E122" i="12" s="1"/>
  <c r="D122" i="12"/>
  <c r="D162" i="12"/>
  <c r="C162" i="12"/>
  <c r="E162" i="12" s="1"/>
  <c r="C163" i="12"/>
  <c r="E163" i="12" s="1"/>
  <c r="D189" i="12"/>
  <c r="D229" i="12"/>
  <c r="C230" i="12"/>
  <c r="E230" i="12" s="1"/>
  <c r="D258" i="12"/>
  <c r="C258" i="12"/>
  <c r="E258" i="12" s="1"/>
  <c r="D38" i="8"/>
  <c r="C38" i="8"/>
  <c r="E38" i="8" s="1"/>
  <c r="D56" i="8"/>
  <c r="C56" i="8"/>
  <c r="E56" i="8" s="1"/>
  <c r="D74" i="8"/>
  <c r="C74" i="8"/>
  <c r="E74" i="8" s="1"/>
  <c r="D92" i="8"/>
  <c r="C92" i="8"/>
  <c r="E92" i="8" s="1"/>
  <c r="D110" i="8"/>
  <c r="C110" i="8"/>
  <c r="E110" i="8" s="1"/>
  <c r="D128" i="8"/>
  <c r="C128" i="8"/>
  <c r="E128" i="8" s="1"/>
  <c r="D146" i="8"/>
  <c r="C146" i="8"/>
  <c r="E146" i="8" s="1"/>
  <c r="D164" i="8"/>
  <c r="C164" i="8"/>
  <c r="E164" i="8" s="1"/>
  <c r="D182" i="8"/>
  <c r="C182" i="8"/>
  <c r="E182" i="8" s="1"/>
  <c r="D200" i="8"/>
  <c r="C200" i="8"/>
  <c r="E200" i="8" s="1"/>
  <c r="D218" i="8"/>
  <c r="C218" i="8"/>
  <c r="E218" i="8" s="1"/>
  <c r="D236" i="8"/>
  <c r="C236" i="8"/>
  <c r="E236" i="8" s="1"/>
  <c r="D254" i="8"/>
  <c r="C254" i="8"/>
  <c r="E254" i="8" s="1"/>
  <c r="D272" i="8"/>
  <c r="C272" i="8"/>
  <c r="D290" i="8"/>
  <c r="C290" i="8"/>
  <c r="D308" i="8"/>
  <c r="C308" i="8"/>
  <c r="D183" i="9"/>
  <c r="D195" i="9"/>
  <c r="D207" i="9"/>
  <c r="D219" i="9"/>
  <c r="D231" i="9"/>
  <c r="D243" i="9"/>
  <c r="D255" i="9"/>
  <c r="D267" i="9"/>
  <c r="D279" i="9"/>
  <c r="D291" i="9"/>
  <c r="D303" i="9"/>
  <c r="C35" i="10"/>
  <c r="E35" i="10" s="1"/>
  <c r="D35" i="10"/>
  <c r="C62" i="10"/>
  <c r="E62" i="10" s="1"/>
  <c r="C128" i="10"/>
  <c r="E128" i="10" s="1"/>
  <c r="D178" i="10"/>
  <c r="C178" i="10"/>
  <c r="E178" i="10" s="1"/>
  <c r="D187" i="10"/>
  <c r="D192" i="10"/>
  <c r="D252" i="10"/>
  <c r="C252" i="10"/>
  <c r="E252" i="10" s="1"/>
  <c r="D267" i="10"/>
  <c r="C268" i="10"/>
  <c r="C291" i="10"/>
  <c r="C296" i="10"/>
  <c r="D13" i="11"/>
  <c r="C13" i="11"/>
  <c r="E13" i="11" s="1"/>
  <c r="D17" i="11"/>
  <c r="D31" i="11"/>
  <c r="C31" i="11"/>
  <c r="E31" i="11" s="1"/>
  <c r="D50" i="11"/>
  <c r="D73" i="11"/>
  <c r="D69" i="11"/>
  <c r="C69" i="11"/>
  <c r="E69" i="11" s="1"/>
  <c r="D121" i="11"/>
  <c r="C121" i="11"/>
  <c r="E121" i="11" s="1"/>
  <c r="D125" i="11"/>
  <c r="D139" i="11"/>
  <c r="C139" i="11"/>
  <c r="E139" i="11" s="1"/>
  <c r="C140" i="11"/>
  <c r="E140" i="11" s="1"/>
  <c r="D187" i="11"/>
  <c r="C187" i="11"/>
  <c r="E187" i="11" s="1"/>
  <c r="D214" i="11"/>
  <c r="D238" i="11"/>
  <c r="C238" i="11"/>
  <c r="E238" i="11" s="1"/>
  <c r="D66" i="12"/>
  <c r="C67" i="12"/>
  <c r="E67" i="12" s="1"/>
  <c r="D79" i="12"/>
  <c r="C79" i="12"/>
  <c r="E79" i="12" s="1"/>
  <c r="D124" i="12"/>
  <c r="C124" i="12"/>
  <c r="E124" i="12" s="1"/>
  <c r="D138" i="12"/>
  <c r="C138" i="12"/>
  <c r="E138" i="12" s="1"/>
  <c r="D191" i="12"/>
  <c r="C191" i="12"/>
  <c r="E191" i="12" s="1"/>
  <c r="C192" i="12"/>
  <c r="E192" i="12" s="1"/>
  <c r="D297" i="12"/>
  <c r="AO35" i="4" s="1"/>
  <c r="C297" i="12"/>
  <c r="D21" i="9"/>
  <c r="D39" i="9"/>
  <c r="D57" i="9"/>
  <c r="D75" i="9"/>
  <c r="D93" i="9"/>
  <c r="D111" i="9"/>
  <c r="D129" i="9"/>
  <c r="D147" i="9"/>
  <c r="D165" i="9"/>
  <c r="C183" i="9"/>
  <c r="E183" i="9" s="1"/>
  <c r="C195" i="9"/>
  <c r="E195" i="9" s="1"/>
  <c r="C207" i="9"/>
  <c r="E207" i="9" s="1"/>
  <c r="C219" i="9"/>
  <c r="E219" i="9" s="1"/>
  <c r="C231" i="9"/>
  <c r="E231" i="9" s="1"/>
  <c r="C243" i="9"/>
  <c r="E243" i="9" s="1"/>
  <c r="C255" i="9"/>
  <c r="E255" i="9" s="1"/>
  <c r="C267" i="9"/>
  <c r="C279" i="9"/>
  <c r="C291" i="9"/>
  <c r="C303" i="9"/>
  <c r="D307" i="9"/>
  <c r="C18" i="10"/>
  <c r="E18" i="10" s="1"/>
  <c r="D18" i="10"/>
  <c r="D22" i="10"/>
  <c r="C27" i="10"/>
  <c r="E27" i="10" s="1"/>
  <c r="C53" i="10"/>
  <c r="E53" i="10" s="1"/>
  <c r="D53" i="10"/>
  <c r="D62" i="10"/>
  <c r="C80" i="10"/>
  <c r="E80" i="10" s="1"/>
  <c r="D84" i="10"/>
  <c r="C97" i="10"/>
  <c r="E97" i="10" s="1"/>
  <c r="D128" i="10"/>
  <c r="D132" i="10"/>
  <c r="C146" i="10"/>
  <c r="E146" i="10" s="1"/>
  <c r="C150" i="10"/>
  <c r="E150" i="10" s="1"/>
  <c r="D155" i="10"/>
  <c r="C155" i="10"/>
  <c r="E155" i="10" s="1"/>
  <c r="C187" i="10"/>
  <c r="E187" i="10" s="1"/>
  <c r="C192" i="10"/>
  <c r="E192" i="10" s="1"/>
  <c r="D205" i="10"/>
  <c r="D209" i="10"/>
  <c r="C267" i="10"/>
  <c r="D277" i="10"/>
  <c r="C277" i="10"/>
  <c r="C283" i="10"/>
  <c r="D282" i="10"/>
  <c r="D296" i="10"/>
  <c r="D18" i="11"/>
  <c r="C18" i="11"/>
  <c r="E18" i="11" s="1"/>
  <c r="C27" i="11"/>
  <c r="E27" i="11" s="1"/>
  <c r="D70" i="11"/>
  <c r="D93" i="11"/>
  <c r="D97" i="11"/>
  <c r="C93" i="11"/>
  <c r="E93" i="11" s="1"/>
  <c r="D102" i="11"/>
  <c r="D126" i="11"/>
  <c r="C126" i="11"/>
  <c r="E126" i="11" s="1"/>
  <c r="C135" i="11"/>
  <c r="E135" i="11" s="1"/>
  <c r="C188" i="11"/>
  <c r="E188" i="11" s="1"/>
  <c r="C214" i="11"/>
  <c r="E214" i="11" s="1"/>
  <c r="D227" i="11"/>
  <c r="D231" i="11"/>
  <c r="C285" i="11"/>
  <c r="D285" i="11"/>
  <c r="AJ23" i="4" s="1"/>
  <c r="C66" i="12"/>
  <c r="E66" i="12" s="1"/>
  <c r="D118" i="12"/>
  <c r="C118" i="12"/>
  <c r="E118" i="12" s="1"/>
  <c r="D178" i="12"/>
  <c r="C179" i="12"/>
  <c r="E179" i="12" s="1"/>
  <c r="C178" i="12"/>
  <c r="E178" i="12" s="1"/>
  <c r="C210" i="12"/>
  <c r="E210" i="12" s="1"/>
  <c r="D223" i="12"/>
  <c r="C224" i="12"/>
  <c r="E224" i="12" s="1"/>
  <c r="C21" i="10"/>
  <c r="E21" i="10" s="1"/>
  <c r="C39" i="10"/>
  <c r="E39" i="10" s="1"/>
  <c r="C57" i="10"/>
  <c r="E57" i="10" s="1"/>
  <c r="C75" i="10"/>
  <c r="E75" i="10" s="1"/>
  <c r="C93" i="10"/>
  <c r="E93" i="10" s="1"/>
  <c r="C111" i="10"/>
  <c r="E111" i="10" s="1"/>
  <c r="C129" i="10"/>
  <c r="E129" i="10" s="1"/>
  <c r="C147" i="10"/>
  <c r="E147" i="10" s="1"/>
  <c r="C225" i="10"/>
  <c r="E225" i="10" s="1"/>
  <c r="D229" i="10"/>
  <c r="D240" i="10"/>
  <c r="D244" i="10"/>
  <c r="D286" i="10"/>
  <c r="C286" i="10"/>
  <c r="D20" i="11"/>
  <c r="C28" i="11"/>
  <c r="E28" i="11" s="1"/>
  <c r="C40" i="11"/>
  <c r="E40" i="11" s="1"/>
  <c r="D44" i="11"/>
  <c r="C44" i="11"/>
  <c r="E44" i="11" s="1"/>
  <c r="D48" i="11"/>
  <c r="D56" i="11"/>
  <c r="C64" i="11"/>
  <c r="E64" i="11" s="1"/>
  <c r="C76" i="11"/>
  <c r="E76" i="11" s="1"/>
  <c r="D80" i="11"/>
  <c r="C80" i="11"/>
  <c r="E80" i="11" s="1"/>
  <c r="D84" i="11"/>
  <c r="D92" i="11"/>
  <c r="C100" i="11"/>
  <c r="E100" i="11" s="1"/>
  <c r="C112" i="11"/>
  <c r="E112" i="11" s="1"/>
  <c r="D116" i="11"/>
  <c r="C116" i="11"/>
  <c r="E116" i="11" s="1"/>
  <c r="D120" i="11"/>
  <c r="D128" i="11"/>
  <c r="C136" i="11"/>
  <c r="E136" i="11" s="1"/>
  <c r="D152" i="11"/>
  <c r="C149" i="11"/>
  <c r="E149" i="11" s="1"/>
  <c r="C148" i="11"/>
  <c r="E148" i="11" s="1"/>
  <c r="D191" i="11"/>
  <c r="C221" i="11"/>
  <c r="E221" i="11" s="1"/>
  <c r="C220" i="11"/>
  <c r="E220" i="11" s="1"/>
  <c r="D258" i="11"/>
  <c r="D263" i="11"/>
  <c r="C68" i="12"/>
  <c r="E68" i="12" s="1"/>
  <c r="D68" i="12"/>
  <c r="D85" i="12"/>
  <c r="D133" i="12"/>
  <c r="C133" i="12"/>
  <c r="E133" i="12" s="1"/>
  <c r="D137" i="12"/>
  <c r="C165" i="12"/>
  <c r="E165" i="12" s="1"/>
  <c r="D164" i="12"/>
  <c r="C164" i="12"/>
  <c r="E164" i="12" s="1"/>
  <c r="D225" i="12"/>
  <c r="C225" i="12"/>
  <c r="E225" i="12" s="1"/>
  <c r="D290" i="12"/>
  <c r="AO28" i="4" s="1"/>
  <c r="C290" i="12"/>
  <c r="C11" i="10"/>
  <c r="E11" i="10" s="1"/>
  <c r="C29" i="10"/>
  <c r="E29" i="10" s="1"/>
  <c r="C47" i="10"/>
  <c r="E47" i="10" s="1"/>
  <c r="C65" i="10"/>
  <c r="E65" i="10" s="1"/>
  <c r="C83" i="10"/>
  <c r="E83" i="10" s="1"/>
  <c r="C101" i="10"/>
  <c r="E101" i="10" s="1"/>
  <c r="C119" i="10"/>
  <c r="E119" i="10" s="1"/>
  <c r="C137" i="10"/>
  <c r="E137" i="10" s="1"/>
  <c r="C237" i="10"/>
  <c r="E237" i="10" s="1"/>
  <c r="D241" i="10"/>
  <c r="D256" i="10"/>
  <c r="D268" i="10"/>
  <c r="D304" i="10"/>
  <c r="C41" i="11"/>
  <c r="E41" i="11" s="1"/>
  <c r="C77" i="11"/>
  <c r="E77" i="11" s="1"/>
  <c r="C113" i="11"/>
  <c r="E113" i="11" s="1"/>
  <c r="D175" i="11"/>
  <c r="C175" i="11"/>
  <c r="E175" i="11" s="1"/>
  <c r="D179" i="11"/>
  <c r="C211" i="11"/>
  <c r="E211" i="11" s="1"/>
  <c r="C240" i="11"/>
  <c r="E240" i="11" s="1"/>
  <c r="C255" i="11"/>
  <c r="E255" i="11" s="1"/>
  <c r="D92" i="12"/>
  <c r="C92" i="12"/>
  <c r="E92" i="12" s="1"/>
  <c r="D105" i="12"/>
  <c r="C105" i="12"/>
  <c r="E105" i="12" s="1"/>
  <c r="D159" i="12"/>
  <c r="C159" i="12"/>
  <c r="E159" i="12" s="1"/>
  <c r="D239" i="12"/>
  <c r="D250" i="12"/>
  <c r="C250" i="12"/>
  <c r="E250" i="12" s="1"/>
  <c r="D254" i="12"/>
  <c r="C291" i="12"/>
  <c r="D11" i="10"/>
  <c r="C15" i="10"/>
  <c r="E15" i="10" s="1"/>
  <c r="D29" i="10"/>
  <c r="C33" i="10"/>
  <c r="E33" i="10" s="1"/>
  <c r="D47" i="10"/>
  <c r="C51" i="10"/>
  <c r="E51" i="10" s="1"/>
  <c r="D65" i="10"/>
  <c r="C69" i="10"/>
  <c r="E69" i="10" s="1"/>
  <c r="D83" i="10"/>
  <c r="C87" i="10"/>
  <c r="E87" i="10" s="1"/>
  <c r="D101" i="10"/>
  <c r="C105" i="10"/>
  <c r="E105" i="10" s="1"/>
  <c r="D119" i="10"/>
  <c r="C123" i="10"/>
  <c r="E123" i="10" s="1"/>
  <c r="D137" i="10"/>
  <c r="C141" i="10"/>
  <c r="E141" i="10" s="1"/>
  <c r="C189" i="10"/>
  <c r="E189" i="10" s="1"/>
  <c r="D193" i="10"/>
  <c r="D204" i="10"/>
  <c r="D208" i="10"/>
  <c r="C215" i="10"/>
  <c r="E215" i="10" s="1"/>
  <c r="C226" i="10"/>
  <c r="E226" i="10" s="1"/>
  <c r="D237" i="10"/>
  <c r="C241" i="10"/>
  <c r="E241" i="10" s="1"/>
  <c r="C245" i="10"/>
  <c r="E245" i="10" s="1"/>
  <c r="D280" i="10"/>
  <c r="D292" i="10"/>
  <c r="C304" i="10"/>
  <c r="C17" i="11"/>
  <c r="E17" i="11" s="1"/>
  <c r="C53" i="11"/>
  <c r="E53" i="11" s="1"/>
  <c r="C89" i="11"/>
  <c r="E89" i="11" s="1"/>
  <c r="C125" i="11"/>
  <c r="E125" i="11" s="1"/>
  <c r="C193" i="11"/>
  <c r="E193" i="11" s="1"/>
  <c r="D197" i="11"/>
  <c r="D202" i="11"/>
  <c r="C202" i="11"/>
  <c r="E202" i="11" s="1"/>
  <c r="C207" i="11"/>
  <c r="E207" i="11" s="1"/>
  <c r="D211" i="11"/>
  <c r="D240" i="11"/>
  <c r="D250" i="11"/>
  <c r="C265" i="11"/>
  <c r="E265" i="11" s="1"/>
  <c r="D269" i="11"/>
  <c r="AJ7" i="4" s="1"/>
  <c r="C75" i="12"/>
  <c r="E75" i="12" s="1"/>
  <c r="D123" i="12"/>
  <c r="C123" i="12"/>
  <c r="E123" i="12" s="1"/>
  <c r="D135" i="12"/>
  <c r="C135" i="12"/>
  <c r="E135" i="12" s="1"/>
  <c r="D160" i="12"/>
  <c r="C173" i="12"/>
  <c r="E173" i="12" s="1"/>
  <c r="D173" i="12"/>
  <c r="D215" i="12"/>
  <c r="C215" i="12"/>
  <c r="E215" i="12" s="1"/>
  <c r="D228" i="12"/>
  <c r="C228" i="12"/>
  <c r="E228" i="12" s="1"/>
  <c r="C239" i="12"/>
  <c r="E239" i="12" s="1"/>
  <c r="D175" i="10"/>
  <c r="D211" i="10"/>
  <c r="D247" i="10"/>
  <c r="D283" i="10"/>
  <c r="C212" i="11"/>
  <c r="E212" i="11" s="1"/>
  <c r="C248" i="11"/>
  <c r="E248" i="11" s="1"/>
  <c r="D97" i="12"/>
  <c r="C97" i="12"/>
  <c r="E97" i="12" s="1"/>
  <c r="C119" i="12"/>
  <c r="E119" i="12" s="1"/>
  <c r="D168" i="12"/>
  <c r="D257" i="12"/>
  <c r="D189" i="11"/>
  <c r="C189" i="11"/>
  <c r="E189" i="11" s="1"/>
  <c r="D201" i="11"/>
  <c r="D225" i="11"/>
  <c r="C225" i="11"/>
  <c r="E225" i="11" s="1"/>
  <c r="D237" i="11"/>
  <c r="D261" i="11"/>
  <c r="C261" i="11"/>
  <c r="E261" i="11" s="1"/>
  <c r="C274" i="11"/>
  <c r="C283" i="11"/>
  <c r="C296" i="11"/>
  <c r="C302" i="11"/>
  <c r="C301" i="11"/>
  <c r="D87" i="12"/>
  <c r="C87" i="12"/>
  <c r="E87" i="12" s="1"/>
  <c r="D197" i="12"/>
  <c r="D214" i="12"/>
  <c r="C214" i="12"/>
  <c r="E214" i="12" s="1"/>
  <c r="D232" i="12"/>
  <c r="C232" i="12"/>
  <c r="E232" i="12" s="1"/>
  <c r="D243" i="12"/>
  <c r="D259" i="12"/>
  <c r="C259" i="12"/>
  <c r="E259" i="12" s="1"/>
  <c r="C260" i="12"/>
  <c r="E260" i="12" s="1"/>
  <c r="D280" i="12"/>
  <c r="AO18" i="4" s="1"/>
  <c r="C280" i="12"/>
  <c r="D284" i="12"/>
  <c r="AO22" i="4" s="1"/>
  <c r="D286" i="12"/>
  <c r="AO24" i="4" s="1"/>
  <c r="D298" i="12"/>
  <c r="AO36" i="4" s="1"/>
  <c r="C298" i="12"/>
  <c r="D304" i="12"/>
  <c r="AO42" i="4" s="1"/>
  <c r="C304" i="12"/>
  <c r="D163" i="10"/>
  <c r="D199" i="10"/>
  <c r="D235" i="10"/>
  <c r="D271" i="10"/>
  <c r="C274" i="10"/>
  <c r="D307" i="10"/>
  <c r="C8" i="11"/>
  <c r="E8" i="11" s="1"/>
  <c r="C201" i="11"/>
  <c r="E201" i="11" s="1"/>
  <c r="C237" i="11"/>
  <c r="E237" i="11" s="1"/>
  <c r="D274" i="11"/>
  <c r="AJ12" i="4" s="1"/>
  <c r="D278" i="11"/>
  <c r="AJ16" i="4" s="1"/>
  <c r="C292" i="11"/>
  <c r="D301" i="11"/>
  <c r="AJ39" i="4" s="1"/>
  <c r="D93" i="12"/>
  <c r="D143" i="12"/>
  <c r="C143" i="12"/>
  <c r="E143" i="12" s="1"/>
  <c r="C170" i="12"/>
  <c r="E170" i="12" s="1"/>
  <c r="C181" i="12"/>
  <c r="E181" i="12" s="1"/>
  <c r="C197" i="12"/>
  <c r="E197" i="12" s="1"/>
  <c r="D208" i="12"/>
  <c r="C208" i="12"/>
  <c r="E208" i="12" s="1"/>
  <c r="D233" i="12"/>
  <c r="C243" i="12"/>
  <c r="E243" i="12" s="1"/>
  <c r="D281" i="12"/>
  <c r="AO19" i="4" s="1"/>
  <c r="C281" i="12"/>
  <c r="C286" i="12"/>
  <c r="D299" i="12"/>
  <c r="AO37" i="4" s="1"/>
  <c r="C299" i="12"/>
  <c r="D305" i="12"/>
  <c r="AO43" i="4" s="1"/>
  <c r="C305" i="12"/>
  <c r="D289" i="11"/>
  <c r="AJ27" i="4" s="1"/>
  <c r="C59" i="12"/>
  <c r="E59" i="12" s="1"/>
  <c r="D73" i="12"/>
  <c r="C86" i="12"/>
  <c r="E86" i="12" s="1"/>
  <c r="D91" i="12"/>
  <c r="D109" i="12"/>
  <c r="C109" i="12"/>
  <c r="E109" i="12" s="1"/>
  <c r="D142" i="12"/>
  <c r="C142" i="12"/>
  <c r="E142" i="12" s="1"/>
  <c r="D180" i="12"/>
  <c r="C180" i="12"/>
  <c r="E180" i="12" s="1"/>
  <c r="D244" i="12"/>
  <c r="C244" i="12"/>
  <c r="E244" i="12" s="1"/>
  <c r="C254" i="12"/>
  <c r="E254" i="12" s="1"/>
  <c r="D283" i="12"/>
  <c r="AO21" i="4" s="1"/>
  <c r="C283" i="12"/>
  <c r="D286" i="11"/>
  <c r="AJ24" i="4" s="1"/>
  <c r="C286" i="11"/>
  <c r="D302" i="11"/>
  <c r="AJ40" i="4" s="1"/>
  <c r="D60" i="12"/>
  <c r="C60" i="12"/>
  <c r="E60" i="12" s="1"/>
  <c r="C65" i="12"/>
  <c r="E65" i="12" s="1"/>
  <c r="D74" i="12"/>
  <c r="D106" i="12"/>
  <c r="D216" i="12"/>
  <c r="C216" i="12"/>
  <c r="E216" i="12" s="1"/>
  <c r="D226" i="12"/>
  <c r="C226" i="12"/>
  <c r="E226" i="12" s="1"/>
  <c r="D265" i="12"/>
  <c r="C266" i="12"/>
  <c r="D300" i="12"/>
  <c r="AO38" i="4" s="1"/>
  <c r="C300" i="12"/>
  <c r="D294" i="11"/>
  <c r="AJ32" i="4" s="1"/>
  <c r="C306" i="11"/>
  <c r="D70" i="12"/>
  <c r="D88" i="12"/>
  <c r="C101" i="12"/>
  <c r="E101" i="12" s="1"/>
  <c r="D101" i="12"/>
  <c r="C106" i="12"/>
  <c r="E106" i="12" s="1"/>
  <c r="C115" i="12"/>
  <c r="E115" i="12" s="1"/>
  <c r="D120" i="12"/>
  <c r="C134" i="12"/>
  <c r="E134" i="12" s="1"/>
  <c r="D139" i="12"/>
  <c r="D172" i="12"/>
  <c r="C172" i="12"/>
  <c r="E172" i="12" s="1"/>
  <c r="D177" i="12"/>
  <c r="C182" i="12"/>
  <c r="E182" i="12" s="1"/>
  <c r="C186" i="12"/>
  <c r="E186" i="12" s="1"/>
  <c r="D211" i="12"/>
  <c r="C211" i="12"/>
  <c r="E211" i="12" s="1"/>
  <c r="D221" i="12"/>
  <c r="C246" i="12"/>
  <c r="E246" i="12" s="1"/>
  <c r="C265" i="12"/>
  <c r="E265" i="12" s="1"/>
  <c r="D270" i="12"/>
  <c r="AO8" i="4" s="1"/>
  <c r="C270" i="12"/>
  <c r="D295" i="12"/>
  <c r="AO33" i="4" s="1"/>
  <c r="C296" i="12"/>
  <c r="D301" i="12"/>
  <c r="AO39" i="4" s="1"/>
  <c r="D78" i="12"/>
  <c r="D82" i="12"/>
  <c r="D132" i="12"/>
  <c r="D161" i="12"/>
  <c r="D245" i="12"/>
  <c r="C245" i="12"/>
  <c r="E245" i="12" s="1"/>
  <c r="D63" i="12"/>
  <c r="D67" i="12"/>
  <c r="C78" i="12"/>
  <c r="E78" i="12" s="1"/>
  <c r="C82" i="12"/>
  <c r="E82" i="12" s="1"/>
  <c r="D90" i="12"/>
  <c r="C90" i="12"/>
  <c r="E90" i="12" s="1"/>
  <c r="D117" i="12"/>
  <c r="D121" i="12"/>
  <c r="C132" i="12"/>
  <c r="E132" i="12" s="1"/>
  <c r="C137" i="12"/>
  <c r="E137" i="12" s="1"/>
  <c r="D141" i="12"/>
  <c r="C145" i="12"/>
  <c r="E145" i="12" s="1"/>
  <c r="D153" i="12"/>
  <c r="C157" i="12"/>
  <c r="E157" i="12" s="1"/>
  <c r="C161" i="12"/>
  <c r="E161" i="12" s="1"/>
  <c r="C169" i="12"/>
  <c r="E169" i="12" s="1"/>
  <c r="D190" i="12"/>
  <c r="C190" i="12"/>
  <c r="E190" i="12" s="1"/>
  <c r="D194" i="12"/>
  <c r="C199" i="12"/>
  <c r="E199" i="12" s="1"/>
  <c r="D207" i="12"/>
  <c r="D262" i="12"/>
  <c r="C262" i="12"/>
  <c r="E262" i="12" s="1"/>
  <c r="D266" i="12"/>
  <c r="AO4" i="4" s="1"/>
  <c r="C271" i="12"/>
  <c r="D279" i="12"/>
  <c r="AO17" i="4" s="1"/>
  <c r="D72" i="12"/>
  <c r="C72" i="12"/>
  <c r="E72" i="12" s="1"/>
  <c r="D99" i="12"/>
  <c r="D103" i="12"/>
  <c r="D126" i="12"/>
  <c r="C126" i="12"/>
  <c r="E126" i="12" s="1"/>
  <c r="D150" i="12"/>
  <c r="D163" i="12"/>
  <c r="D175" i="12"/>
  <c r="D179" i="12"/>
  <c r="D196" i="12"/>
  <c r="D204" i="12"/>
  <c r="D234" i="12"/>
  <c r="C234" i="12"/>
  <c r="E234" i="12" s="1"/>
  <c r="D247" i="12"/>
  <c r="D251" i="12"/>
  <c r="D268" i="12"/>
  <c r="AO6" i="4" s="1"/>
  <c r="D276" i="12"/>
  <c r="AO14" i="4" s="1"/>
  <c r="D306" i="12"/>
  <c r="AO44" i="4" s="1"/>
  <c r="C306" i="12"/>
  <c r="D129" i="12"/>
  <c r="D147" i="12"/>
  <c r="D165" i="12"/>
  <c r="D183" i="12"/>
  <c r="D201" i="12"/>
  <c r="D219" i="12"/>
  <c r="D237" i="12"/>
  <c r="D255" i="12"/>
  <c r="D273" i="12"/>
  <c r="AO11" i="4" s="1"/>
  <c r="D291" i="12"/>
  <c r="AO29" i="4" s="1"/>
  <c r="D76" i="12"/>
  <c r="D94" i="12"/>
  <c r="D112" i="12"/>
  <c r="D130" i="12"/>
  <c r="D148" i="12"/>
  <c r="D166" i="12"/>
  <c r="D184" i="12"/>
  <c r="D202" i="12"/>
  <c r="D220" i="12"/>
  <c r="D238" i="12"/>
  <c r="D256" i="12"/>
  <c r="D274" i="12"/>
  <c r="AO12" i="4" s="1"/>
  <c r="D292" i="12"/>
  <c r="AO30" i="4" s="1"/>
  <c r="D195" i="12"/>
  <c r="D213" i="12"/>
  <c r="D231" i="12"/>
  <c r="D249" i="12"/>
  <c r="D267" i="12"/>
  <c r="AO5" i="4" s="1"/>
  <c r="D285" i="12"/>
  <c r="AO23" i="4" s="1"/>
  <c r="D303" i="12"/>
  <c r="AO41" i="4" s="1"/>
  <c r="E305" i="12" l="1"/>
  <c r="AN43" i="4"/>
  <c r="E279" i="6"/>
  <c r="K17" i="4" s="1"/>
  <c r="J17" i="4"/>
  <c r="O21" i="4"/>
  <c r="E283" i="7"/>
  <c r="P21" i="4" s="1"/>
  <c r="K307" i="5"/>
  <c r="I307" i="5"/>
  <c r="H307" i="5"/>
  <c r="N307" i="5" s="1"/>
  <c r="O222" i="5"/>
  <c r="H222" i="5"/>
  <c r="N222" i="5" s="1"/>
  <c r="H182" i="5"/>
  <c r="O182" i="5"/>
  <c r="H293" i="5"/>
  <c r="O293" i="5"/>
  <c r="O40" i="5"/>
  <c r="H40" i="5"/>
  <c r="L286" i="5"/>
  <c r="H286" i="5"/>
  <c r="K286" i="5"/>
  <c r="I286" i="5"/>
  <c r="N172" i="5"/>
  <c r="I249" i="5"/>
  <c r="L249" i="5"/>
  <c r="E272" i="7"/>
  <c r="P10" i="4" s="1"/>
  <c r="O10" i="4"/>
  <c r="O8" i="5"/>
  <c r="E301" i="8"/>
  <c r="U39" i="4" s="1"/>
  <c r="T39" i="4"/>
  <c r="E301" i="10"/>
  <c r="AE39" i="4" s="1"/>
  <c r="AD39" i="4"/>
  <c r="E284" i="7"/>
  <c r="P22" i="4" s="1"/>
  <c r="O22" i="4"/>
  <c r="E281" i="7"/>
  <c r="P19" i="4" s="1"/>
  <c r="O19" i="4"/>
  <c r="O300" i="5"/>
  <c r="H300" i="5"/>
  <c r="H262" i="5"/>
  <c r="L262" i="5"/>
  <c r="J293" i="5"/>
  <c r="E286" i="3"/>
  <c r="F24" i="4" s="1"/>
  <c r="E24" i="4"/>
  <c r="L160" i="5"/>
  <c r="N212" i="5"/>
  <c r="E306" i="11"/>
  <c r="AI44" i="4"/>
  <c r="E299" i="12"/>
  <c r="AN37" i="4"/>
  <c r="E296" i="8"/>
  <c r="U34" i="4" s="1"/>
  <c r="T34" i="4"/>
  <c r="O18" i="4"/>
  <c r="E280" i="7"/>
  <c r="P18" i="4" s="1"/>
  <c r="I265" i="5"/>
  <c r="N265" i="5" s="1"/>
  <c r="O265" i="5"/>
  <c r="E270" i="6"/>
  <c r="K8" i="4" s="1"/>
  <c r="J8" i="4"/>
  <c r="N158" i="5"/>
  <c r="H185" i="5"/>
  <c r="O185" i="5"/>
  <c r="E288" i="3"/>
  <c r="F26" i="4" s="1"/>
  <c r="E26" i="4"/>
  <c r="N248" i="5"/>
  <c r="L238" i="5"/>
  <c r="H238" i="5"/>
  <c r="J238" i="5"/>
  <c r="K238" i="5"/>
  <c r="L278" i="5"/>
  <c r="H278" i="5"/>
  <c r="N278" i="5" s="1"/>
  <c r="K59" i="5"/>
  <c r="N59" i="5" s="1"/>
  <c r="L59" i="5"/>
  <c r="I305" i="5"/>
  <c r="H306" i="5"/>
  <c r="L159" i="5"/>
  <c r="I159" i="5"/>
  <c r="K159" i="5"/>
  <c r="J40" i="5"/>
  <c r="L40" i="5"/>
  <c r="O107" i="5"/>
  <c r="N239" i="5"/>
  <c r="K85" i="5"/>
  <c r="E296" i="12"/>
  <c r="AN34" i="4"/>
  <c r="E296" i="11"/>
  <c r="AI34" i="4"/>
  <c r="E272" i="8"/>
  <c r="U10" i="4" s="1"/>
  <c r="T10" i="4"/>
  <c r="T38" i="4"/>
  <c r="E300" i="8"/>
  <c r="U38" i="4" s="1"/>
  <c r="E289" i="9"/>
  <c r="Z27" i="4" s="1"/>
  <c r="Y27" i="4"/>
  <c r="E291" i="6"/>
  <c r="K29" i="4" s="1"/>
  <c r="J29" i="4"/>
  <c r="K305" i="5"/>
  <c r="E267" i="6"/>
  <c r="K5" i="4" s="1"/>
  <c r="J5" i="4"/>
  <c r="E305" i="9"/>
  <c r="Z43" i="4" s="1"/>
  <c r="Y43" i="4"/>
  <c r="E291" i="8"/>
  <c r="U29" i="4" s="1"/>
  <c r="T29" i="4"/>
  <c r="E294" i="6"/>
  <c r="K32" i="4" s="1"/>
  <c r="J32" i="4"/>
  <c r="I61" i="5"/>
  <c r="N61" i="5" s="1"/>
  <c r="O61" i="5"/>
  <c r="O146" i="5"/>
  <c r="H146" i="5"/>
  <c r="N146" i="5" s="1"/>
  <c r="I184" i="5"/>
  <c r="N184" i="5" s="1"/>
  <c r="K283" i="5"/>
  <c r="I253" i="5"/>
  <c r="O253" i="5"/>
  <c r="L301" i="5"/>
  <c r="K301" i="5"/>
  <c r="N201" i="5"/>
  <c r="O108" i="5"/>
  <c r="H108" i="5"/>
  <c r="N108" i="5" s="1"/>
  <c r="K109" i="5"/>
  <c r="J305" i="5"/>
  <c r="K225" i="5"/>
  <c r="E34" i="4"/>
  <c r="E296" i="3"/>
  <c r="E281" i="11"/>
  <c r="AI19" i="4"/>
  <c r="I149" i="5"/>
  <c r="J298" i="5"/>
  <c r="O20" i="5"/>
  <c r="J20" i="5"/>
  <c r="H94" i="5"/>
  <c r="N94" i="5" s="1"/>
  <c r="O94" i="5"/>
  <c r="N12" i="5"/>
  <c r="K195" i="5"/>
  <c r="H195" i="5"/>
  <c r="E304" i="6"/>
  <c r="K42" i="4" s="1"/>
  <c r="J42" i="4"/>
  <c r="N261" i="5"/>
  <c r="E284" i="3"/>
  <c r="F22" i="4" s="1"/>
  <c r="E22" i="4"/>
  <c r="K187" i="5"/>
  <c r="I187" i="5"/>
  <c r="H187" i="5"/>
  <c r="H85" i="5"/>
  <c r="N85" i="5" s="1"/>
  <c r="O244" i="5"/>
  <c r="E292" i="3"/>
  <c r="F30" i="4" s="1"/>
  <c r="E30" i="4"/>
  <c r="O78" i="5"/>
  <c r="I78" i="5"/>
  <c r="J249" i="5"/>
  <c r="H122" i="5"/>
  <c r="I122" i="5"/>
  <c r="L100" i="5"/>
  <c r="O100" i="5"/>
  <c r="L187" i="5"/>
  <c r="I144" i="5"/>
  <c r="J144" i="5"/>
  <c r="E277" i="6"/>
  <c r="K15" i="4" s="1"/>
  <c r="J15" i="4"/>
  <c r="J229" i="5"/>
  <c r="J126" i="5"/>
  <c r="H160" i="5"/>
  <c r="O160" i="5"/>
  <c r="E25" i="4"/>
  <c r="E287" i="3"/>
  <c r="F25" i="4" s="1"/>
  <c r="H109" i="5"/>
  <c r="L135" i="5"/>
  <c r="I135" i="5"/>
  <c r="N28" i="5"/>
  <c r="E296" i="9"/>
  <c r="Z34" i="4" s="1"/>
  <c r="Y34" i="4"/>
  <c r="H174" i="5"/>
  <c r="N174" i="5" s="1"/>
  <c r="O174" i="5"/>
  <c r="J225" i="5"/>
  <c r="H149" i="5"/>
  <c r="L10" i="5"/>
  <c r="K10" i="5"/>
  <c r="J10" i="5"/>
  <c r="N170" i="5"/>
  <c r="N259" i="5"/>
  <c r="O239" i="5"/>
  <c r="I66" i="5"/>
  <c r="H70" i="5"/>
  <c r="N70" i="5" s="1"/>
  <c r="O70" i="5"/>
  <c r="H69" i="5"/>
  <c r="N69" i="5" s="1"/>
  <c r="O69" i="5"/>
  <c r="L124" i="5"/>
  <c r="J124" i="5"/>
  <c r="H124" i="5"/>
  <c r="N124" i="5" s="1"/>
  <c r="N221" i="5"/>
  <c r="E268" i="10"/>
  <c r="AE6" i="4" s="1"/>
  <c r="AD6" i="4"/>
  <c r="L270" i="5"/>
  <c r="J270" i="5"/>
  <c r="L123" i="5"/>
  <c r="H123" i="5"/>
  <c r="K123" i="5"/>
  <c r="K236" i="5"/>
  <c r="J236" i="5"/>
  <c r="H236" i="5"/>
  <c r="N236" i="5" s="1"/>
  <c r="E291" i="11"/>
  <c r="AI29" i="4"/>
  <c r="E270" i="8"/>
  <c r="U8" i="4" s="1"/>
  <c r="T8" i="4"/>
  <c r="J123" i="5"/>
  <c r="E301" i="7"/>
  <c r="P39" i="4" s="1"/>
  <c r="O39" i="4"/>
  <c r="N140" i="5"/>
  <c r="L166" i="5"/>
  <c r="H166" i="5"/>
  <c r="J166" i="5"/>
  <c r="N96" i="5"/>
  <c r="J45" i="5"/>
  <c r="I45" i="5"/>
  <c r="E277" i="7"/>
  <c r="P15" i="4" s="1"/>
  <c r="O15" i="4"/>
  <c r="E281" i="8"/>
  <c r="U19" i="4" s="1"/>
  <c r="T19" i="4"/>
  <c r="H77" i="5"/>
  <c r="H72" i="5"/>
  <c r="N72" i="5" s="1"/>
  <c r="O72" i="5"/>
  <c r="K269" i="5"/>
  <c r="I269" i="5"/>
  <c r="E283" i="11"/>
  <c r="AI21" i="4"/>
  <c r="E304" i="10"/>
  <c r="AE42" i="4" s="1"/>
  <c r="AD42" i="4"/>
  <c r="O136" i="5"/>
  <c r="J136" i="5"/>
  <c r="K113" i="5"/>
  <c r="L178" i="5"/>
  <c r="H178" i="5"/>
  <c r="H277" i="5"/>
  <c r="N277" i="5" s="1"/>
  <c r="O277" i="5"/>
  <c r="N242" i="5"/>
  <c r="H113" i="5"/>
  <c r="N113" i="5" s="1"/>
  <c r="I234" i="5"/>
  <c r="J268" i="5"/>
  <c r="L268" i="5"/>
  <c r="J109" i="5"/>
  <c r="K293" i="5"/>
  <c r="E300" i="3"/>
  <c r="E38" i="4"/>
  <c r="E37" i="4"/>
  <c r="E299" i="3"/>
  <c r="K178" i="5"/>
  <c r="E271" i="11"/>
  <c r="AI9" i="4"/>
  <c r="J85" i="5"/>
  <c r="I230" i="5"/>
  <c r="H230" i="5"/>
  <c r="E270" i="12"/>
  <c r="AN8" i="4"/>
  <c r="E281" i="12"/>
  <c r="AN19" i="4"/>
  <c r="E274" i="11"/>
  <c r="AI12" i="4"/>
  <c r="E290" i="12"/>
  <c r="AN28" i="4"/>
  <c r="E277" i="10"/>
  <c r="AE15" i="4" s="1"/>
  <c r="AD15" i="4"/>
  <c r="E303" i="9"/>
  <c r="Z41" i="4" s="1"/>
  <c r="Y41" i="4"/>
  <c r="AN10" i="4"/>
  <c r="E272" i="12"/>
  <c r="AD43" i="4"/>
  <c r="E305" i="10"/>
  <c r="AE43" i="4" s="1"/>
  <c r="E278" i="8"/>
  <c r="U16" i="4" s="1"/>
  <c r="T16" i="4"/>
  <c r="E275" i="10"/>
  <c r="AE13" i="4" s="1"/>
  <c r="AD13" i="4"/>
  <c r="E267" i="8"/>
  <c r="U5" i="4" s="1"/>
  <c r="T5" i="4"/>
  <c r="K308" i="5"/>
  <c r="E278" i="7"/>
  <c r="P16" i="4" s="1"/>
  <c r="O16" i="4"/>
  <c r="E283" i="9"/>
  <c r="Z21" i="4" s="1"/>
  <c r="Y21" i="4"/>
  <c r="H245" i="5"/>
  <c r="N245" i="5" s="1"/>
  <c r="O245" i="5"/>
  <c r="K270" i="5"/>
  <c r="E266" i="7"/>
  <c r="P4" i="4" s="1"/>
  <c r="O4" i="4"/>
  <c r="E280" i="3"/>
  <c r="F18" i="4" s="1"/>
  <c r="E18" i="4"/>
  <c r="E284" i="9"/>
  <c r="Z22" i="4" s="1"/>
  <c r="Y22" i="4"/>
  <c r="L303" i="5"/>
  <c r="K303" i="5"/>
  <c r="J303" i="5"/>
  <c r="N303" i="5" s="1"/>
  <c r="E295" i="12"/>
  <c r="AN33" i="4"/>
  <c r="O298" i="5"/>
  <c r="J247" i="5"/>
  <c r="E41" i="4"/>
  <c r="E303" i="3"/>
  <c r="E298" i="8"/>
  <c r="U36" i="4" s="1"/>
  <c r="T36" i="4"/>
  <c r="O180" i="5"/>
  <c r="E23" i="4"/>
  <c r="E285" i="3"/>
  <c r="F23" i="4" s="1"/>
  <c r="O9" i="5"/>
  <c r="K9" i="5"/>
  <c r="K146" i="5"/>
  <c r="K130" i="5"/>
  <c r="I195" i="5"/>
  <c r="H292" i="5"/>
  <c r="N292" i="5" s="1"/>
  <c r="O292" i="5"/>
  <c r="K284" i="5"/>
  <c r="J284" i="5"/>
  <c r="J220" i="5"/>
  <c r="K220" i="5"/>
  <c r="O22" i="5"/>
  <c r="H22" i="5"/>
  <c r="N22" i="5" s="1"/>
  <c r="E283" i="3"/>
  <c r="F21" i="4" s="1"/>
  <c r="E21" i="4"/>
  <c r="K231" i="5"/>
  <c r="L231" i="5"/>
  <c r="I231" i="5"/>
  <c r="K19" i="5"/>
  <c r="I19" i="5"/>
  <c r="N294" i="5"/>
  <c r="H173" i="5"/>
  <c r="E278" i="6"/>
  <c r="K16" i="4" s="1"/>
  <c r="J16" i="4"/>
  <c r="J307" i="5"/>
  <c r="H25" i="5"/>
  <c r="L186" i="5"/>
  <c r="H186" i="5"/>
  <c r="N186" i="5" s="1"/>
  <c r="K103" i="5"/>
  <c r="L103" i="5"/>
  <c r="I9" i="5"/>
  <c r="N9" i="5" s="1"/>
  <c r="J9" i="5"/>
  <c r="L9" i="5"/>
  <c r="H305" i="5"/>
  <c r="O305" i="5"/>
  <c r="O202" i="5"/>
  <c r="K202" i="5"/>
  <c r="J135" i="5"/>
  <c r="K91" i="5"/>
  <c r="H91" i="5"/>
  <c r="L91" i="5"/>
  <c r="E6" i="4"/>
  <c r="E268" i="3"/>
  <c r="F6" i="4" s="1"/>
  <c r="E300" i="11"/>
  <c r="AI38" i="4"/>
  <c r="J286" i="5"/>
  <c r="O286" i="5"/>
  <c r="J230" i="5"/>
  <c r="H291" i="5"/>
  <c r="I178" i="5"/>
  <c r="K134" i="5"/>
  <c r="O168" i="5"/>
  <c r="O79" i="5"/>
  <c r="E268" i="6"/>
  <c r="K6" i="4" s="1"/>
  <c r="J6" i="4"/>
  <c r="J122" i="5"/>
  <c r="L153" i="5"/>
  <c r="I153" i="5"/>
  <c r="K153" i="5"/>
  <c r="N216" i="5"/>
  <c r="AN45" i="4"/>
  <c r="E307" i="12"/>
  <c r="N120" i="5"/>
  <c r="K144" i="5"/>
  <c r="I270" i="5"/>
  <c r="K118" i="5"/>
  <c r="H153" i="5"/>
  <c r="L298" i="5"/>
  <c r="H298" i="5"/>
  <c r="I46" i="5"/>
  <c r="L45" i="5"/>
  <c r="E282" i="11"/>
  <c r="AI20" i="4"/>
  <c r="K291" i="5"/>
  <c r="J73" i="5"/>
  <c r="I73" i="5"/>
  <c r="N73" i="5" s="1"/>
  <c r="K73" i="5"/>
  <c r="E4" i="4"/>
  <c r="E266" i="3"/>
  <c r="F4" i="4" s="1"/>
  <c r="N297" i="5"/>
  <c r="N129" i="5"/>
  <c r="K43" i="5"/>
  <c r="H43" i="5"/>
  <c r="I43" i="5"/>
  <c r="L133" i="5"/>
  <c r="J301" i="5"/>
  <c r="L180" i="5"/>
  <c r="N50" i="5"/>
  <c r="E275" i="8"/>
  <c r="U13" i="4" s="1"/>
  <c r="T13" i="4"/>
  <c r="E292" i="6"/>
  <c r="K30" i="4" s="1"/>
  <c r="J30" i="4"/>
  <c r="J234" i="5"/>
  <c r="E271" i="3"/>
  <c r="F9" i="4" s="1"/>
  <c r="E9" i="4"/>
  <c r="K79" i="5"/>
  <c r="L79" i="5"/>
  <c r="L8" i="5"/>
  <c r="K8" i="5"/>
  <c r="O58" i="5"/>
  <c r="H58" i="5"/>
  <c r="N58" i="5" s="1"/>
  <c r="E275" i="3"/>
  <c r="F13" i="4" s="1"/>
  <c r="E13" i="4"/>
  <c r="K298" i="5"/>
  <c r="J178" i="5"/>
  <c r="O178" i="5"/>
  <c r="K34" i="5"/>
  <c r="I15" i="5"/>
  <c r="N15" i="5" s="1"/>
  <c r="K15" i="5"/>
  <c r="J159" i="5"/>
  <c r="O54" i="5"/>
  <c r="E274" i="3"/>
  <c r="F12" i="4" s="1"/>
  <c r="E12" i="4"/>
  <c r="L167" i="5"/>
  <c r="H167" i="5"/>
  <c r="K167" i="5"/>
  <c r="H74" i="5"/>
  <c r="L74" i="5"/>
  <c r="I74" i="5"/>
  <c r="O235" i="5"/>
  <c r="H45" i="5"/>
  <c r="E274" i="9"/>
  <c r="Z12" i="4" s="1"/>
  <c r="Y12" i="4"/>
  <c r="N202" i="5"/>
  <c r="O13" i="5"/>
  <c r="O103" i="5"/>
  <c r="H103" i="5"/>
  <c r="K93" i="5"/>
  <c r="L93" i="5"/>
  <c r="H33" i="5"/>
  <c r="N33" i="5" s="1"/>
  <c r="O33" i="5"/>
  <c r="I65" i="5"/>
  <c r="N65" i="5" s="1"/>
  <c r="K135" i="5"/>
  <c r="K51" i="5"/>
  <c r="E286" i="8"/>
  <c r="U24" i="4" s="1"/>
  <c r="T24" i="4"/>
  <c r="N179" i="5"/>
  <c r="H220" i="5"/>
  <c r="N220" i="5" s="1"/>
  <c r="O220" i="5"/>
  <c r="O97" i="5"/>
  <c r="H282" i="5"/>
  <c r="H154" i="5"/>
  <c r="N154" i="5" s="1"/>
  <c r="L154" i="5"/>
  <c r="J25" i="5"/>
  <c r="J278" i="5"/>
  <c r="L195" i="5"/>
  <c r="N145" i="5"/>
  <c r="L257" i="5"/>
  <c r="E305" i="11"/>
  <c r="AI43" i="4"/>
  <c r="J74" i="5"/>
  <c r="J185" i="5"/>
  <c r="K185" i="5"/>
  <c r="J175" i="5"/>
  <c r="E36" i="4"/>
  <c r="E298" i="3"/>
  <c r="L283" i="5"/>
  <c r="N283" i="5" s="1"/>
  <c r="E28" i="4"/>
  <c r="E290" i="3"/>
  <c r="F28" i="4" s="1"/>
  <c r="H233" i="5"/>
  <c r="O23" i="5"/>
  <c r="O104" i="5"/>
  <c r="H104" i="5"/>
  <c r="N104" i="5" s="1"/>
  <c r="H206" i="5"/>
  <c r="L206" i="5"/>
  <c r="I89" i="5"/>
  <c r="N89" i="5" s="1"/>
  <c r="K89" i="5"/>
  <c r="J89" i="5"/>
  <c r="O85" i="5"/>
  <c r="I85" i="5"/>
  <c r="N126" i="5"/>
  <c r="L128" i="5"/>
  <c r="J128" i="5"/>
  <c r="E301" i="11"/>
  <c r="AI39" i="4"/>
  <c r="E297" i="12"/>
  <c r="AN35" i="4"/>
  <c r="E270" i="9"/>
  <c r="Z8" i="4" s="1"/>
  <c r="Y8" i="4"/>
  <c r="E280" i="10"/>
  <c r="AE18" i="4" s="1"/>
  <c r="AD18" i="4"/>
  <c r="L86" i="5"/>
  <c r="N51" i="5"/>
  <c r="L34" i="5"/>
  <c r="I34" i="5"/>
  <c r="L66" i="5"/>
  <c r="H66" i="5"/>
  <c r="E290" i="11"/>
  <c r="AI28" i="4"/>
  <c r="N308" i="5"/>
  <c r="O302" i="5"/>
  <c r="J302" i="5"/>
  <c r="N302" i="5" s="1"/>
  <c r="O290" i="5"/>
  <c r="H290" i="5"/>
  <c r="N290" i="5" s="1"/>
  <c r="H117" i="5"/>
  <c r="N117" i="5" s="1"/>
  <c r="O117" i="5"/>
  <c r="H36" i="5"/>
  <c r="N36" i="5" s="1"/>
  <c r="O36" i="5"/>
  <c r="I53" i="5"/>
  <c r="J53" i="5"/>
  <c r="I146" i="5"/>
  <c r="H161" i="5"/>
  <c r="O161" i="5"/>
  <c r="F43" i="4"/>
  <c r="O15" i="1"/>
  <c r="E300" i="12"/>
  <c r="AN38" i="4"/>
  <c r="E286" i="12"/>
  <c r="AN24" i="4"/>
  <c r="E277" i="11"/>
  <c r="AI15" i="4"/>
  <c r="E302" i="10"/>
  <c r="AE40" i="4" s="1"/>
  <c r="AD40" i="4"/>
  <c r="E277" i="8"/>
  <c r="U15" i="4" s="1"/>
  <c r="T15" i="4"/>
  <c r="E298" i="6"/>
  <c r="K36" i="4" s="1"/>
  <c r="J36" i="4"/>
  <c r="E27" i="4"/>
  <c r="E289" i="3"/>
  <c r="F27" i="4" s="1"/>
  <c r="O142" i="5"/>
  <c r="I142" i="5"/>
  <c r="I64" i="5"/>
  <c r="O64" i="5"/>
  <c r="N198" i="5"/>
  <c r="O75" i="5"/>
  <c r="E29" i="4"/>
  <c r="E291" i="3"/>
  <c r="F29" i="4" s="1"/>
  <c r="J262" i="5"/>
  <c r="E304" i="12"/>
  <c r="AN42" i="4"/>
  <c r="E291" i="9"/>
  <c r="Z29" i="4" s="1"/>
  <c r="Y29" i="4"/>
  <c r="E306" i="10"/>
  <c r="AE44" i="4" s="1"/>
  <c r="AD44" i="4"/>
  <c r="E288" i="12"/>
  <c r="AN26" i="4"/>
  <c r="E304" i="8"/>
  <c r="U42" i="4" s="1"/>
  <c r="T42" i="4"/>
  <c r="J195" i="5"/>
  <c r="K14" i="5"/>
  <c r="N14" i="5" s="1"/>
  <c r="H175" i="5"/>
  <c r="O175" i="5"/>
  <c r="E5" i="4"/>
  <c r="E267" i="3"/>
  <c r="F5" i="4" s="1"/>
  <c r="O106" i="5"/>
  <c r="H106" i="5"/>
  <c r="N203" i="5"/>
  <c r="E279" i="3"/>
  <c r="F17" i="4" s="1"/>
  <c r="E17" i="4"/>
  <c r="J29" i="5"/>
  <c r="N29" i="5" s="1"/>
  <c r="O29" i="5"/>
  <c r="K173" i="5"/>
  <c r="E266" i="11"/>
  <c r="AI4" i="4"/>
  <c r="H304" i="5"/>
  <c r="O304" i="5"/>
  <c r="H225" i="5"/>
  <c r="O229" i="5"/>
  <c r="H229" i="5"/>
  <c r="N229" i="5" s="1"/>
  <c r="N116" i="5"/>
  <c r="K223" i="5"/>
  <c r="L223" i="5"/>
  <c r="I223" i="5"/>
  <c r="N223" i="5" s="1"/>
  <c r="N79" i="5"/>
  <c r="L6" i="5"/>
  <c r="N6" i="5" s="1"/>
  <c r="O6" i="5"/>
  <c r="J113" i="5"/>
  <c r="E298" i="10"/>
  <c r="AE36" i="4" s="1"/>
  <c r="AD36" i="4"/>
  <c r="T44" i="4"/>
  <c r="E306" i="8"/>
  <c r="U44" i="4" s="1"/>
  <c r="O27" i="4"/>
  <c r="E289" i="7"/>
  <c r="P27" i="4" s="1"/>
  <c r="E307" i="6"/>
  <c r="K45" i="4" s="1"/>
  <c r="J45" i="4"/>
  <c r="L125" i="5"/>
  <c r="O125" i="5"/>
  <c r="K169" i="5"/>
  <c r="I169" i="5"/>
  <c r="K46" i="5"/>
  <c r="E299" i="8"/>
  <c r="U37" i="4" s="1"/>
  <c r="T37" i="4"/>
  <c r="J40" i="4"/>
  <c r="E302" i="6"/>
  <c r="K40" i="4" s="1"/>
  <c r="L49" i="5"/>
  <c r="E46" i="4"/>
  <c r="E308" i="3"/>
  <c r="F46" i="4" s="1"/>
  <c r="L190" i="5"/>
  <c r="N258" i="5"/>
  <c r="O162" i="5"/>
  <c r="H162" i="5"/>
  <c r="N162" i="5" s="1"/>
  <c r="L296" i="5"/>
  <c r="J296" i="5"/>
  <c r="H296" i="5"/>
  <c r="L233" i="5"/>
  <c r="I25" i="5"/>
  <c r="O46" i="5"/>
  <c r="H46" i="5"/>
  <c r="N46" i="5" s="1"/>
  <c r="I41" i="5"/>
  <c r="L225" i="5"/>
  <c r="E285" i="10"/>
  <c r="AE23" i="4" s="1"/>
  <c r="AD23" i="4"/>
  <c r="H118" i="5"/>
  <c r="O118" i="5"/>
  <c r="I308" i="5"/>
  <c r="E308" i="12"/>
  <c r="AN46" i="4"/>
  <c r="H208" i="5"/>
  <c r="N208" i="5" s="1"/>
  <c r="O208" i="5"/>
  <c r="K112" i="5"/>
  <c r="J112" i="5"/>
  <c r="L19" i="5"/>
  <c r="L293" i="5"/>
  <c r="J206" i="5"/>
  <c r="H144" i="5"/>
  <c r="L275" i="5"/>
  <c r="K275" i="5"/>
  <c r="I275" i="5"/>
  <c r="H275" i="5"/>
  <c r="N275" i="5" s="1"/>
  <c r="J138" i="5"/>
  <c r="I138" i="5"/>
  <c r="I27" i="5"/>
  <c r="H27" i="5"/>
  <c r="L27" i="5"/>
  <c r="K27" i="5"/>
  <c r="H247" i="5"/>
  <c r="O247" i="5"/>
  <c r="J282" i="5"/>
  <c r="N110" i="5"/>
  <c r="L182" i="5"/>
  <c r="I182" i="5"/>
  <c r="N17" i="5"/>
  <c r="E305" i="6"/>
  <c r="K43" i="4" s="1"/>
  <c r="J43" i="4"/>
  <c r="E299" i="11"/>
  <c r="AI37" i="4"/>
  <c r="H163" i="5"/>
  <c r="L163" i="5"/>
  <c r="K163" i="5"/>
  <c r="I86" i="5"/>
  <c r="L63" i="5"/>
  <c r="I63" i="5"/>
  <c r="N63" i="5" s="1"/>
  <c r="K63" i="5"/>
  <c r="O134" i="5"/>
  <c r="J56" i="5"/>
  <c r="L56" i="5"/>
  <c r="K296" i="5"/>
  <c r="I190" i="5"/>
  <c r="N190" i="5" s="1"/>
  <c r="O15" i="5"/>
  <c r="K193" i="5"/>
  <c r="J287" i="5"/>
  <c r="O271" i="5"/>
  <c r="I271" i="5"/>
  <c r="J184" i="5"/>
  <c r="J14" i="5"/>
  <c r="O34" i="5"/>
  <c r="H34" i="5"/>
  <c r="L88" i="5"/>
  <c r="H88" i="5"/>
  <c r="N88" i="5" s="1"/>
  <c r="K20" i="5"/>
  <c r="H20" i="5"/>
  <c r="E269" i="6"/>
  <c r="K7" i="4" s="1"/>
  <c r="J7" i="4"/>
  <c r="N256" i="5"/>
  <c r="N188" i="5"/>
  <c r="L14" i="5"/>
  <c r="J98" i="5"/>
  <c r="H98" i="5"/>
  <c r="N98" i="5" s="1"/>
  <c r="K234" i="5"/>
  <c r="K61" i="5"/>
  <c r="J118" i="5"/>
  <c r="E280" i="12"/>
  <c r="AN18" i="4"/>
  <c r="E308" i="11"/>
  <c r="AI46" i="4"/>
  <c r="E269" i="10"/>
  <c r="AE7" i="4" s="1"/>
  <c r="AD7" i="4"/>
  <c r="E269" i="9"/>
  <c r="Z7" i="4" s="1"/>
  <c r="Y7" i="4"/>
  <c r="E273" i="8"/>
  <c r="U11" i="4" s="1"/>
  <c r="T11" i="4"/>
  <c r="J4" i="4"/>
  <c r="E266" i="6"/>
  <c r="K4" i="4" s="1"/>
  <c r="O36" i="4"/>
  <c r="E298" i="7"/>
  <c r="P36" i="4" s="1"/>
  <c r="E301" i="6"/>
  <c r="K39" i="4" s="1"/>
  <c r="J39" i="4"/>
  <c r="E282" i="6"/>
  <c r="K20" i="4" s="1"/>
  <c r="J20" i="4"/>
  <c r="H142" i="5"/>
  <c r="L142" i="5"/>
  <c r="K240" i="5"/>
  <c r="N240" i="5" s="1"/>
  <c r="O240" i="5"/>
  <c r="K175" i="5"/>
  <c r="I175" i="5"/>
  <c r="J152" i="5"/>
  <c r="H152" i="5"/>
  <c r="L152" i="5"/>
  <c r="K152" i="5"/>
  <c r="J134" i="5"/>
  <c r="H134" i="5"/>
  <c r="I134" i="5"/>
  <c r="L295" i="5"/>
  <c r="K295" i="5"/>
  <c r="I295" i="5"/>
  <c r="T25" i="4"/>
  <c r="E287" i="8"/>
  <c r="U25" i="4" s="1"/>
  <c r="T45" i="4"/>
  <c r="E307" i="8"/>
  <c r="U45" i="4" s="1"/>
  <c r="H128" i="5"/>
  <c r="E274" i="10"/>
  <c r="AE12" i="4" s="1"/>
  <c r="AD12" i="4"/>
  <c r="E290" i="8"/>
  <c r="U28" i="4" s="1"/>
  <c r="T28" i="4"/>
  <c r="E300" i="10"/>
  <c r="AE38" i="4" s="1"/>
  <c r="AD38" i="4"/>
  <c r="E274" i="8"/>
  <c r="U12" i="4" s="1"/>
  <c r="T12" i="4"/>
  <c r="H169" i="5"/>
  <c r="O169" i="5"/>
  <c r="I298" i="5"/>
  <c r="L58" i="5"/>
  <c r="K58" i="5"/>
  <c r="I58" i="5"/>
  <c r="E306" i="3"/>
  <c r="F44" i="4" s="1"/>
  <c r="E44" i="4"/>
  <c r="E272" i="11"/>
  <c r="AI10" i="4"/>
  <c r="N194" i="5"/>
  <c r="L247" i="5"/>
  <c r="E33" i="4"/>
  <c r="E295" i="3"/>
  <c r="E302" i="11"/>
  <c r="AI40" i="4"/>
  <c r="E284" i="11"/>
  <c r="AI22" i="4"/>
  <c r="E271" i="9"/>
  <c r="Z9" i="4" s="1"/>
  <c r="Y9" i="4"/>
  <c r="E269" i="8"/>
  <c r="U7" i="4" s="1"/>
  <c r="T7" i="4"/>
  <c r="E271" i="6"/>
  <c r="K9" i="4" s="1"/>
  <c r="J9" i="4"/>
  <c r="E270" i="10"/>
  <c r="AE8" i="4" s="1"/>
  <c r="AD8" i="4"/>
  <c r="L77" i="5"/>
  <c r="I123" i="5"/>
  <c r="J38" i="4"/>
  <c r="E300" i="6"/>
  <c r="K38" i="4" s="1"/>
  <c r="I160" i="5"/>
  <c r="H295" i="5"/>
  <c r="L89" i="5"/>
  <c r="J306" i="5"/>
  <c r="L306" i="5"/>
  <c r="K306" i="5"/>
  <c r="O7" i="5"/>
  <c r="H7" i="5"/>
  <c r="N7" i="5" s="1"/>
  <c r="I233" i="5"/>
  <c r="N136" i="5"/>
  <c r="J41" i="5"/>
  <c r="H130" i="5"/>
  <c r="L130" i="5"/>
  <c r="K115" i="5"/>
  <c r="I115" i="5"/>
  <c r="L115" i="5"/>
  <c r="E283" i="10"/>
  <c r="AE21" i="4" s="1"/>
  <c r="AD21" i="4"/>
  <c r="E283" i="8"/>
  <c r="U21" i="4" s="1"/>
  <c r="T21" i="4"/>
  <c r="E282" i="8"/>
  <c r="U20" i="4" s="1"/>
  <c r="T20" i="4"/>
  <c r="E281" i="9"/>
  <c r="Z19" i="4" s="1"/>
  <c r="Y19" i="4"/>
  <c r="E292" i="8"/>
  <c r="U30" i="4" s="1"/>
  <c r="T30" i="4"/>
  <c r="L109" i="5"/>
  <c r="K40" i="5"/>
  <c r="E15" i="4"/>
  <c r="E277" i="3"/>
  <c r="F15" i="4" s="1"/>
  <c r="E290" i="6"/>
  <c r="K28" i="4" s="1"/>
  <c r="J28" i="4"/>
  <c r="K278" i="5"/>
  <c r="O270" i="5"/>
  <c r="H270" i="5"/>
  <c r="O259" i="5"/>
  <c r="I173" i="5"/>
  <c r="J173" i="5"/>
  <c r="L304" i="5"/>
  <c r="J304" i="5"/>
  <c r="E266" i="12"/>
  <c r="AN4" i="4"/>
  <c r="E286" i="11"/>
  <c r="AI24" i="4"/>
  <c r="E292" i="11"/>
  <c r="AI30" i="4"/>
  <c r="E273" i="12"/>
  <c r="AN11" i="4"/>
  <c r="E289" i="12"/>
  <c r="AN27" i="4"/>
  <c r="E287" i="12"/>
  <c r="AN25" i="4"/>
  <c r="E266" i="9"/>
  <c r="Z4" i="4" s="1"/>
  <c r="Y4" i="4"/>
  <c r="E266" i="8"/>
  <c r="U4" i="4" s="1"/>
  <c r="T4" i="4"/>
  <c r="I247" i="5"/>
  <c r="H209" i="5"/>
  <c r="N209" i="5" s="1"/>
  <c r="O209" i="5"/>
  <c r="H269" i="5"/>
  <c r="T14" i="4"/>
  <c r="E276" i="8"/>
  <c r="U14" i="4" s="1"/>
  <c r="K86" i="5"/>
  <c r="N86" i="5" s="1"/>
  <c r="E294" i="12"/>
  <c r="AN32" i="4"/>
  <c r="O218" i="5"/>
  <c r="H218" i="5"/>
  <c r="N218" i="5" s="1"/>
  <c r="E272" i="3"/>
  <c r="F10" i="4" s="1"/>
  <c r="E10" i="4"/>
  <c r="H80" i="5"/>
  <c r="O80" i="5"/>
  <c r="H10" i="5"/>
  <c r="N10" i="5" s="1"/>
  <c r="O10" i="5"/>
  <c r="H271" i="5"/>
  <c r="N271" i="5" s="1"/>
  <c r="K271" i="5"/>
  <c r="L271" i="5"/>
  <c r="L30" i="5"/>
  <c r="H30" i="5"/>
  <c r="O148" i="5"/>
  <c r="H148" i="5"/>
  <c r="N148" i="5" s="1"/>
  <c r="O211" i="5"/>
  <c r="J274" i="5"/>
  <c r="H274" i="5"/>
  <c r="L274" i="5"/>
  <c r="E304" i="3"/>
  <c r="E42" i="4"/>
  <c r="I59" i="5"/>
  <c r="K255" i="5"/>
  <c r="H255" i="5"/>
  <c r="N255" i="5" s="1"/>
  <c r="E306" i="6"/>
  <c r="K44" i="4" s="1"/>
  <c r="J44" i="4"/>
  <c r="H207" i="5"/>
  <c r="K207" i="5"/>
  <c r="H205" i="5"/>
  <c r="N205" i="5" s="1"/>
  <c r="O205" i="5"/>
  <c r="L99" i="5"/>
  <c r="I99" i="5"/>
  <c r="H99" i="5"/>
  <c r="N99" i="5" s="1"/>
  <c r="J46" i="5"/>
  <c r="L53" i="5"/>
  <c r="O84" i="5"/>
  <c r="I201" i="5"/>
  <c r="K201" i="5"/>
  <c r="J201" i="5"/>
  <c r="E271" i="12"/>
  <c r="AN9" i="4"/>
  <c r="E267" i="10"/>
  <c r="AE5" i="4" s="1"/>
  <c r="AD5" i="4"/>
  <c r="E279" i="9"/>
  <c r="Z17" i="4" s="1"/>
  <c r="Y17" i="4"/>
  <c r="E301" i="9"/>
  <c r="Z39" i="4" s="1"/>
  <c r="Y39" i="4"/>
  <c r="E293" i="9"/>
  <c r="Z31" i="4" s="1"/>
  <c r="Y31" i="4"/>
  <c r="E297" i="9"/>
  <c r="Z35" i="4" s="1"/>
  <c r="Y35" i="4"/>
  <c r="I49" i="5"/>
  <c r="E283" i="6"/>
  <c r="K21" i="4" s="1"/>
  <c r="J21" i="4"/>
  <c r="L307" i="5"/>
  <c r="N257" i="5"/>
  <c r="E283" i="12"/>
  <c r="AN21" i="4"/>
  <c r="E298" i="12"/>
  <c r="AN36" i="4"/>
  <c r="E291" i="12"/>
  <c r="AN29" i="4"/>
  <c r="E267" i="9"/>
  <c r="Z5" i="4" s="1"/>
  <c r="Y5" i="4"/>
  <c r="J27" i="4"/>
  <c r="E289" i="6"/>
  <c r="K27" i="4" s="1"/>
  <c r="E275" i="9"/>
  <c r="Z13" i="4" s="1"/>
  <c r="Y13" i="4"/>
  <c r="E305" i="8"/>
  <c r="U43" i="4" s="1"/>
  <c r="T43" i="4"/>
  <c r="E274" i="7"/>
  <c r="P12" i="4" s="1"/>
  <c r="O12" i="4"/>
  <c r="E295" i="9"/>
  <c r="Z33" i="4" s="1"/>
  <c r="Y33" i="4"/>
  <c r="E303" i="6"/>
  <c r="K41" i="4" s="1"/>
  <c r="J41" i="4"/>
  <c r="J295" i="5"/>
  <c r="I139" i="5"/>
  <c r="N139" i="5" s="1"/>
  <c r="O139" i="5"/>
  <c r="I152" i="5"/>
  <c r="I301" i="5"/>
  <c r="L290" i="5"/>
  <c r="J290" i="5"/>
  <c r="E276" i="10"/>
  <c r="AE14" i="4" s="1"/>
  <c r="AD14" i="4"/>
  <c r="E295" i="10"/>
  <c r="AE33" i="4" s="1"/>
  <c r="AD33" i="4"/>
  <c r="E275" i="7"/>
  <c r="P13" i="4" s="1"/>
  <c r="O13" i="4"/>
  <c r="E295" i="6"/>
  <c r="K33" i="4" s="1"/>
  <c r="J33" i="4"/>
  <c r="E303" i="10"/>
  <c r="AE41" i="4" s="1"/>
  <c r="AD41" i="4"/>
  <c r="E293" i="8"/>
  <c r="U31" i="4" s="1"/>
  <c r="T31" i="4"/>
  <c r="E307" i="7"/>
  <c r="P45" i="4" s="1"/>
  <c r="O45" i="4"/>
  <c r="E286" i="9"/>
  <c r="Z24" i="4" s="1"/>
  <c r="Y24" i="4"/>
  <c r="O275" i="5"/>
  <c r="E39" i="4"/>
  <c r="E301" i="3"/>
  <c r="J153" i="5"/>
  <c r="H78" i="5"/>
  <c r="E273" i="11"/>
  <c r="AI11" i="4"/>
  <c r="I10" i="5"/>
  <c r="I100" i="5"/>
  <c r="O159" i="5"/>
  <c r="H159" i="5"/>
  <c r="N159" i="5" s="1"/>
  <c r="K149" i="5"/>
  <c r="N35" i="5"/>
  <c r="L244" i="5"/>
  <c r="K244" i="5"/>
  <c r="N244" i="5" s="1"/>
  <c r="K151" i="5"/>
  <c r="H151" i="5"/>
  <c r="N151" i="5" s="1"/>
  <c r="L272" i="5"/>
  <c r="K272" i="5"/>
  <c r="J272" i="5"/>
  <c r="H272" i="5"/>
  <c r="N197" i="5"/>
  <c r="L144" i="5"/>
  <c r="N47" i="5"/>
  <c r="K190" i="5"/>
  <c r="H231" i="5"/>
  <c r="N231" i="5" s="1"/>
  <c r="N125" i="5"/>
  <c r="K161" i="5"/>
  <c r="J161" i="5"/>
  <c r="I161" i="5"/>
  <c r="K206" i="5"/>
  <c r="H287" i="5"/>
  <c r="N24" i="5"/>
  <c r="H127" i="5"/>
  <c r="L127" i="5"/>
  <c r="I127" i="5"/>
  <c r="K233" i="5"/>
  <c r="N150" i="5"/>
  <c r="H53" i="5"/>
  <c r="N53" i="5" s="1"/>
  <c r="L220" i="5"/>
  <c r="N31" i="5"/>
  <c r="E273" i="3"/>
  <c r="F11" i="4" s="1"/>
  <c r="E11" i="4"/>
  <c r="I274" i="5"/>
  <c r="H100" i="5"/>
  <c r="E278" i="3"/>
  <c r="F16" i="4" s="1"/>
  <c r="E16" i="4"/>
  <c r="H26" i="5"/>
  <c r="J26" i="5"/>
  <c r="I26" i="5"/>
  <c r="N13" i="5"/>
  <c r="I243" i="5"/>
  <c r="H243" i="5"/>
  <c r="H281" i="5"/>
  <c r="N281" i="5" s="1"/>
  <c r="O281" i="5"/>
  <c r="L171" i="5"/>
  <c r="H171" i="5"/>
  <c r="K171" i="5"/>
  <c r="I272" i="5"/>
  <c r="E286" i="10"/>
  <c r="AE24" i="4" s="1"/>
  <c r="AD24" i="4"/>
  <c r="E285" i="11"/>
  <c r="AI23" i="4"/>
  <c r="E296" i="10"/>
  <c r="AE34" i="4" s="1"/>
  <c r="AD34" i="4"/>
  <c r="E278" i="11"/>
  <c r="AI16" i="4"/>
  <c r="E282" i="12"/>
  <c r="AN20" i="4"/>
  <c r="E288" i="9"/>
  <c r="Z26" i="4" s="1"/>
  <c r="Y26" i="4"/>
  <c r="E268" i="8"/>
  <c r="U6" i="4" s="1"/>
  <c r="T6" i="4"/>
  <c r="E308" i="7"/>
  <c r="P46" i="4" s="1"/>
  <c r="O46" i="4"/>
  <c r="O167" i="5"/>
  <c r="E288" i="6"/>
  <c r="K26" i="4" s="1"/>
  <c r="J26" i="4"/>
  <c r="E303" i="8"/>
  <c r="U41" i="4" s="1"/>
  <c r="T41" i="4"/>
  <c r="I250" i="5"/>
  <c r="N250" i="5" s="1"/>
  <c r="O250" i="5"/>
  <c r="L287" i="5"/>
  <c r="I246" i="5"/>
  <c r="N246" i="5" s="1"/>
  <c r="L246" i="5"/>
  <c r="I148" i="5"/>
  <c r="O35" i="5"/>
  <c r="L122" i="5"/>
  <c r="H138" i="5"/>
  <c r="O138" i="5"/>
  <c r="H67" i="5"/>
  <c r="N67" i="5" s="1"/>
  <c r="O67" i="5"/>
  <c r="H254" i="5"/>
  <c r="L254" i="5"/>
  <c r="I254" i="5"/>
  <c r="K133" i="5"/>
  <c r="O47" i="5"/>
  <c r="K259" i="5"/>
  <c r="I259" i="5"/>
  <c r="E268" i="9"/>
  <c r="Z6" i="4" s="1"/>
  <c r="Y6" i="4"/>
  <c r="H92" i="5"/>
  <c r="N92" i="5" s="1"/>
  <c r="O92" i="5"/>
  <c r="E40" i="4"/>
  <c r="E302" i="3"/>
  <c r="H64" i="5"/>
  <c r="L64" i="5"/>
  <c r="K64" i="5"/>
  <c r="J64" i="5"/>
  <c r="I154" i="5"/>
  <c r="O154" i="5"/>
  <c r="L90" i="5"/>
  <c r="J90" i="5"/>
  <c r="N90" i="5" s="1"/>
  <c r="E293" i="12"/>
  <c r="AN31" i="4"/>
  <c r="E298" i="9"/>
  <c r="Z36" i="4" s="1"/>
  <c r="Y36" i="4"/>
  <c r="J43" i="5"/>
  <c r="O287" i="5"/>
  <c r="N199" i="5"/>
  <c r="N131" i="5"/>
  <c r="E8" i="4"/>
  <c r="E270" i="3"/>
  <c r="F8" i="4" s="1"/>
  <c r="L226" i="5"/>
  <c r="K226" i="5"/>
  <c r="H226" i="5"/>
  <c r="N226" i="5" s="1"/>
  <c r="L41" i="5"/>
  <c r="K139" i="5"/>
  <c r="L139" i="5"/>
  <c r="I163" i="5"/>
  <c r="K77" i="5"/>
  <c r="O31" i="5"/>
  <c r="O274" i="5"/>
  <c r="N200" i="5"/>
  <c r="L16" i="5"/>
  <c r="K16" i="5"/>
  <c r="J16" i="5"/>
  <c r="N16" i="5" s="1"/>
  <c r="E293" i="6"/>
  <c r="K31" i="4" s="1"/>
  <c r="J31" i="4"/>
  <c r="H284" i="5"/>
  <c r="J187" i="5"/>
  <c r="O113" i="5"/>
  <c r="J164" i="5"/>
  <c r="H164" i="5"/>
  <c r="N164" i="5" s="1"/>
  <c r="L164" i="5"/>
  <c r="K164" i="5"/>
  <c r="H87" i="5"/>
  <c r="K87" i="5"/>
  <c r="I87" i="5"/>
  <c r="O232" i="5"/>
  <c r="K249" i="5"/>
  <c r="N76" i="5"/>
  <c r="L269" i="5"/>
  <c r="L95" i="5"/>
  <c r="N95" i="5" s="1"/>
  <c r="J300" i="5"/>
  <c r="K45" i="5"/>
  <c r="N82" i="5"/>
  <c r="L184" i="5"/>
  <c r="H268" i="5"/>
  <c r="N268" i="5" s="1"/>
  <c r="I30" i="5"/>
  <c r="O249" i="5"/>
  <c r="N84" i="5"/>
  <c r="I186" i="5"/>
  <c r="O115" i="5"/>
  <c r="H115" i="5"/>
  <c r="K230" i="5"/>
  <c r="F31" i="4"/>
  <c r="O27" i="1"/>
  <c r="N55" i="5"/>
  <c r="H18" i="5"/>
  <c r="N18" i="5" s="1"/>
  <c r="L284" i="5"/>
  <c r="J78" i="5"/>
  <c r="K160" i="5"/>
  <c r="K44" i="5"/>
  <c r="J44" i="5"/>
  <c r="H44" i="5"/>
  <c r="N44" i="5" s="1"/>
  <c r="I300" i="5"/>
  <c r="H49" i="5"/>
  <c r="N49" i="5" s="1"/>
  <c r="O49" i="5"/>
  <c r="J91" i="5"/>
  <c r="E306" i="12"/>
  <c r="AN44" i="4"/>
  <c r="E291" i="10"/>
  <c r="AE29" i="4" s="1"/>
  <c r="AD29" i="4"/>
  <c r="E308" i="8"/>
  <c r="U46" i="4" s="1"/>
  <c r="T46" i="4"/>
  <c r="E299" i="9"/>
  <c r="Z37" i="4" s="1"/>
  <c r="Y37" i="4"/>
  <c r="E287" i="10"/>
  <c r="AE25" i="4" s="1"/>
  <c r="AD25" i="4"/>
  <c r="E280" i="9"/>
  <c r="Z18" i="4" s="1"/>
  <c r="Y18" i="4"/>
  <c r="E289" i="10"/>
  <c r="AE27" i="4" s="1"/>
  <c r="AD27" i="4"/>
  <c r="E284" i="8"/>
  <c r="U22" i="4" s="1"/>
  <c r="T22" i="4"/>
  <c r="E287" i="6"/>
  <c r="K25" i="4" s="1"/>
  <c r="J25" i="4"/>
  <c r="E287" i="9"/>
  <c r="Z25" i="4" s="1"/>
  <c r="Y25" i="4"/>
  <c r="E299" i="7"/>
  <c r="P37" i="4" s="1"/>
  <c r="O37" i="4"/>
  <c r="O93" i="5"/>
  <c r="I93" i="5"/>
  <c r="N93" i="5" s="1"/>
  <c r="H301" i="5"/>
  <c r="O301" i="5"/>
  <c r="J243" i="5"/>
  <c r="N165" i="5"/>
  <c r="E279" i="10"/>
  <c r="AE17" i="4" s="1"/>
  <c r="AD17" i="4"/>
  <c r="E271" i="8"/>
  <c r="U9" i="4" s="1"/>
  <c r="T9" i="4"/>
  <c r="I238" i="5"/>
  <c r="O238" i="5"/>
  <c r="O133" i="5"/>
  <c r="I133" i="5"/>
  <c r="N133" i="5" s="1"/>
  <c r="H135" i="5"/>
  <c r="O57" i="5"/>
  <c r="I244" i="5"/>
  <c r="H41" i="5"/>
  <c r="O41" i="5"/>
  <c r="K253" i="5"/>
  <c r="H253" i="5"/>
  <c r="N253" i="5" s="1"/>
  <c r="L161" i="5"/>
  <c r="E307" i="3"/>
  <c r="F45" i="4" s="1"/>
  <c r="E45" i="4"/>
  <c r="T40" i="4"/>
  <c r="E302" i="8"/>
  <c r="U40" i="4" s="1"/>
  <c r="N285" i="5"/>
  <c r="O215" i="5"/>
  <c r="J86" i="5"/>
  <c r="L146" i="5"/>
  <c r="N105" i="5"/>
  <c r="L28" i="5"/>
  <c r="J28" i="5"/>
  <c r="K28" i="5"/>
  <c r="N23" i="5"/>
  <c r="N224" i="5"/>
  <c r="H214" i="5"/>
  <c r="L214" i="5"/>
  <c r="K214" i="5"/>
  <c r="J214" i="5"/>
  <c r="I214" i="5"/>
  <c r="J59" i="5"/>
  <c r="H112" i="5"/>
  <c r="H157" i="5"/>
  <c r="J157" i="5"/>
  <c r="I287" i="5"/>
  <c r="I180" i="5"/>
  <c r="N180" i="5" s="1"/>
  <c r="N81" i="5"/>
  <c r="I284" i="5"/>
  <c r="I118" i="5"/>
  <c r="O127" i="5"/>
  <c r="O158" i="5"/>
  <c r="J158" i="5"/>
  <c r="H56" i="5"/>
  <c r="O56" i="5"/>
  <c r="L207" i="5"/>
  <c r="N68" i="5"/>
  <c r="L106" i="5"/>
  <c r="K106" i="5"/>
  <c r="E299" i="10"/>
  <c r="AE37" i="4" s="1"/>
  <c r="AD37" i="4"/>
  <c r="H234" i="5"/>
  <c r="O234" i="5"/>
  <c r="H21" i="5"/>
  <c r="N21" i="5" s="1"/>
  <c r="O21" i="5"/>
  <c r="I262" i="5"/>
  <c r="H196" i="5"/>
  <c r="N196" i="5" s="1"/>
  <c r="J77" i="5"/>
  <c r="L273" i="5"/>
  <c r="J273" i="5"/>
  <c r="I273" i="5"/>
  <c r="N273" i="5" s="1"/>
  <c r="K273" i="5"/>
  <c r="I282" i="5"/>
  <c r="N111" i="5"/>
  <c r="N11" i="5"/>
  <c r="N232" i="5"/>
  <c r="N101" i="5"/>
  <c r="L102" i="5"/>
  <c r="J102" i="5"/>
  <c r="H102" i="5"/>
  <c r="N102" i="5" s="1"/>
  <c r="K250" i="5"/>
  <c r="J80" i="5"/>
  <c r="L80" i="5"/>
  <c r="L250" i="5"/>
  <c r="N267" i="5"/>
  <c r="I128" i="5"/>
  <c r="O19" i="5"/>
  <c r="H19" i="5"/>
  <c r="H249" i="5"/>
  <c r="E20" i="4"/>
  <c r="E282" i="3"/>
  <c r="F20" i="4" s="1"/>
  <c r="K124" i="5"/>
  <c r="O124" i="5"/>
  <c r="H8" i="5"/>
  <c r="N8" i="5" s="1"/>
  <c r="E288" i="8"/>
  <c r="U26" i="4" s="1"/>
  <c r="T26" i="4"/>
  <c r="E271" i="7"/>
  <c r="P9" i="4" s="1"/>
  <c r="O9" i="4"/>
  <c r="E7" i="4"/>
  <c r="E269" i="3"/>
  <c r="F7" i="4" s="1"/>
  <c r="H193" i="5"/>
  <c r="N193" i="5" s="1"/>
  <c r="O193" i="5"/>
  <c r="N32" i="5"/>
  <c r="I167" i="5"/>
  <c r="N80" i="5" l="1"/>
  <c r="N166" i="5"/>
  <c r="N207" i="5"/>
  <c r="O22" i="1"/>
  <c r="F36" i="4"/>
  <c r="F38" i="4"/>
  <c r="O20" i="1"/>
  <c r="N149" i="5"/>
  <c r="N122" i="5"/>
  <c r="N112" i="5"/>
  <c r="N138" i="5"/>
  <c r="N287" i="5"/>
  <c r="N106" i="5"/>
  <c r="N43" i="5"/>
  <c r="N77" i="5"/>
  <c r="N160" i="5"/>
  <c r="N262" i="5"/>
  <c r="N293" i="5"/>
  <c r="F39" i="4"/>
  <c r="O19" i="1"/>
  <c r="N175" i="5"/>
  <c r="O17" i="1"/>
  <c r="F41" i="4"/>
  <c r="N214" i="5"/>
  <c r="N26" i="5"/>
  <c r="N295" i="5"/>
  <c r="N115" i="5"/>
  <c r="O18" i="1"/>
  <c r="F40" i="4"/>
  <c r="F37" i="4"/>
  <c r="O21" i="1"/>
  <c r="N284" i="5"/>
  <c r="N269" i="5"/>
  <c r="N40" i="5"/>
  <c r="N171" i="5"/>
  <c r="N127" i="5"/>
  <c r="N270" i="5"/>
  <c r="N291" i="5"/>
  <c r="N272" i="5"/>
  <c r="N142" i="5"/>
  <c r="N249" i="5"/>
  <c r="N30" i="5"/>
  <c r="N123" i="5"/>
  <c r="N152" i="5"/>
  <c r="N118" i="5"/>
  <c r="N282" i="5"/>
  <c r="N74" i="5"/>
  <c r="N173" i="5"/>
  <c r="N306" i="5"/>
  <c r="N78" i="5"/>
  <c r="N247" i="5"/>
  <c r="N304" i="5"/>
  <c r="N206" i="5"/>
  <c r="N195" i="5"/>
  <c r="F34" i="4"/>
  <c r="O24" i="1"/>
  <c r="N182" i="5"/>
  <c r="O16" i="1"/>
  <c r="F42" i="4"/>
  <c r="N27" i="5"/>
  <c r="N64" i="5"/>
  <c r="N233" i="5"/>
  <c r="N187" i="5"/>
  <c r="N286" i="5"/>
  <c r="N254" i="5"/>
  <c r="N274" i="5"/>
  <c r="N34" i="5"/>
  <c r="N91" i="5"/>
  <c r="N109" i="5"/>
  <c r="N130" i="5"/>
  <c r="N161" i="5"/>
  <c r="N100" i="5"/>
  <c r="N134" i="5"/>
  <c r="N45" i="5"/>
  <c r="N25" i="5"/>
  <c r="N178" i="5"/>
  <c r="N238" i="5"/>
  <c r="N157" i="5"/>
  <c r="N296" i="5"/>
  <c r="N56" i="5"/>
  <c r="N41" i="5"/>
  <c r="N128" i="5"/>
  <c r="N225" i="5"/>
  <c r="N300" i="5"/>
  <c r="N19" i="5"/>
  <c r="N87" i="5"/>
  <c r="N243" i="5"/>
  <c r="O25" i="1"/>
  <c r="F33" i="4"/>
  <c r="N144" i="5"/>
  <c r="N298" i="5"/>
  <c r="N305" i="5"/>
  <c r="N230" i="5"/>
  <c r="N234" i="5"/>
  <c r="N135" i="5"/>
  <c r="N301" i="5"/>
  <c r="N169" i="5"/>
  <c r="N20" i="5"/>
  <c r="N163" i="5"/>
  <c r="N66" i="5"/>
  <c r="N103" i="5"/>
  <c r="N167" i="5"/>
  <c r="N153" i="5"/>
  <c r="N185" i="5"/>
</calcChain>
</file>

<file path=xl/sharedStrings.xml><?xml version="1.0" encoding="utf-8"?>
<sst xmlns="http://schemas.openxmlformats.org/spreadsheetml/2006/main" count="155" uniqueCount="70">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</sst>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4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0" fontId="0" fillId="0" borderId="0" xfId="0"/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GDP'!$A$7:$A$309</c:f>
              <c:numCache>
                <c:formatCode>m/d/yyyy</c:formatCode>
                <c:ptCount val="303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</c:numCache>
            </c:numRef>
          </c:cat>
          <c:val>
            <c:numRef>
              <c:f>'U.S. GDP'!$E$7:$E$309</c:f>
              <c:numCache>
                <c:formatCode>0.00%</c:formatCode>
                <c:ptCount val="303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2.9295182360887351E-2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A27-4EAB-A47F-FA76984D9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GDP'!$B$6:$B$309</c:f>
              <c:numCache>
                <c:formatCode>0.0</c:formatCode>
                <c:ptCount val="304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20039.405999999999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0-4999-A0AC-653138EF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GDP'!$C$258:$C$309</c:f>
              <c:numCache>
                <c:formatCode>0.00%</c:formatCode>
                <c:ptCount val="52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7.2446864382997543E-3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B-407D-9034-6F91C88F4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'U.S. GDP'!$D$6:$D$309</c:f>
              <c:numCache>
                <c:formatCode>0.00%</c:formatCode>
                <c:ptCount val="304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1.8645837961175738E-2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7-4FED-BA17-D70A720C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GDP'!$A$258:$A$309</c:f>
              <c:numCache>
                <c:formatCode>m/d/yyyy</c:formatCode>
                <c:ptCount val="52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</c:numCache>
            </c:numRef>
          </c:cat>
          <c:val>
            <c:numRef>
              <c:f>'U.S. GDP'!$E$258:$E$309</c:f>
              <c:numCache>
                <c:formatCode>0.00%</c:formatCode>
                <c:ptCount val="52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2.9295182360887351E-2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4-4CE8-955D-368604216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PersonalConsumption!$B$6:$B$309</c:f>
              <c:numCache>
                <c:formatCode>0.0</c:formatCode>
                <c:ptCount val="304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14159.892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6-43B1-9E66-A88581BA0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PersonalConsumption!$C$6:$C$309</c:f>
              <c:numCache>
                <c:formatCode>0.00%</c:formatCode>
                <c:ptCount val="304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4.2864065110029556E-3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F-414E-ACC4-6BBE92544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PersonalConsumption!$D$6:$D$309</c:f>
              <c:numCache>
                <c:formatCode>0.00%</c:formatCode>
                <c:ptCount val="304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2.0577184044624296E-2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4-4BCC-BCDA-0D418BB29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PersonalConsumption!$E$6:$E$309</c:f>
              <c:numCache>
                <c:formatCode>0.00%</c:formatCode>
                <c:ptCount val="304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1.7256181087655476E-2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8-417F-9100-7FD633764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PrivateInvestment!$B$6:$B$308</c:f>
              <c:numCache>
                <c:formatCode>0.0</c:formatCode>
                <c:ptCount val="303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3658.8040000000001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75A-9A47-51521F6A4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PrivateInvestment!$C$6:$C$308</c:f>
              <c:numCache>
                <c:formatCode>0.00%</c:formatCode>
                <c:ptCount val="303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-2.3530727336439274E-2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A-4655-840F-56CCF7903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PrivateInvestment!$D$6:$D$308</c:f>
              <c:numCache>
                <c:formatCode>0.00%</c:formatCode>
                <c:ptCount val="303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2.0857409913366137E-2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1-4C5C-8894-A284A24CB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PrivateInvestment!$E$6:$E$308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-9.0852547390000371E-2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D-4505-855E-759CDEB8C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Exports!$B$6:$B$308</c:f>
              <c:numCache>
                <c:formatCode>0.0</c:formatCode>
                <c:ptCount val="303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2608.2649999999999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5-4FC3-844B-63E0C77C9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Exports!$C$6:$C$308</c:f>
              <c:numCache>
                <c:formatCode>0.00%</c:formatCode>
                <c:ptCount val="303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3.6289079385663787E-2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2-42D6-8FE3-A2655449B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Exports!$D$6:$D$308</c:f>
              <c:numCache>
                <c:formatCode>0.00%</c:formatCode>
                <c:ptCount val="303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0.11520314687930909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C-49D7-994C-25B5A211F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Exports!$E$6:$E$308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0.1532505914171951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6-48CE-AED2-064DCFE80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Imports!$B$6:$B$308</c:f>
              <c:numCache>
                <c:formatCode>0.0</c:formatCode>
                <c:ptCount val="303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3872.9789999999998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C0-4B05-9426-7E4C0ED24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Imports!$C$6:$C$308</c:f>
              <c:numCache>
                <c:formatCode>0.00%</c:formatCode>
                <c:ptCount val="303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-1.8871064823259138E-2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B-46E0-A34D-CD3BBA611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Imports!$D$6:$D$308</c:f>
              <c:numCache>
                <c:formatCode>0.00%</c:formatCode>
                <c:ptCount val="303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7.3953153426949553E-2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E-4328-A260-D33F30B95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Imports!$E$6:$E$308</c:f>
              <c:numCache>
                <c:formatCode>0.00%</c:formatCode>
                <c:ptCount val="303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-7.3374311182851093E-2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9-4AE1-AF78-A38B96132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Government!$B$6:$B$308</c:f>
              <c:numCache>
                <c:formatCode>0.0</c:formatCode>
                <c:ptCount val="303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3404.922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8-4A6C-B0E0-6FBF79DDD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Government!$C$6:$C$308</c:f>
              <c:numCache>
                <c:formatCode>0.00%</c:formatCode>
                <c:ptCount val="303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7.5227126861112346E-3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A-401E-A419-E43FAA904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Government!$D$6:$D$308</c:f>
              <c:numCache>
                <c:formatCode>0.00%</c:formatCode>
                <c:ptCount val="303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-4.7131783670841601E-3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2-43E9-A00F-2217153B1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Government!$E$6:$E$308</c:f>
              <c:numCache>
                <c:formatCode>0.00%</c:formatCode>
                <c:ptCount val="303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3.0432104061494547E-2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CC-4E86-AC0B-044C9EE59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GDPPriceIndex!$B$6:$B$308</c:f>
              <c:numCache>
                <c:formatCode>0.0</c:formatCode>
                <c:ptCount val="303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0-4E8D-BD9F-C0D88304C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GDPPriceIndex!$C$6:$C$308</c:f>
              <c:numCache>
                <c:formatCode>0.00%</c:formatCode>
                <c:ptCount val="303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1.0511054729974541E-2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6-4DE0-BD13-392683EED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GDPPriceIndex!$D$6:$D$308</c:f>
              <c:numCache>
                <c:formatCode>0.00%</c:formatCode>
                <c:ptCount val="303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7.0848258644155421E-2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3-423F-AC80-07400A8A6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GDPPriceIndex!$E$6:$E$308</c:f>
              <c:numCache>
                <c:formatCode>0.00%</c:formatCode>
                <c:ptCount val="303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4.2711769896260687E-2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C-4E3C-96B0-472C0A2B0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CorePCE!$B$6:$B$308</c:f>
              <c:numCache>
                <c:formatCode>0.0</c:formatCode>
                <c:ptCount val="303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B5-474C-A184-54E6FA449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CorePCE!$C$6:$C$308</c:f>
              <c:numCache>
                <c:formatCode>0.00%</c:formatCode>
                <c:ptCount val="303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1.1297637692508525E-2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1-4924-86AF-12CE20B2F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CorePCE!$D$6:$D$308</c:f>
              <c:numCache>
                <c:formatCode>0.00%</c:formatCode>
                <c:ptCount val="303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4.9300900534904213E-2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D-4C2B-A22E-AA0F5CC46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CorePCE!$A$6:$A$308</c:f>
              <c:numCache>
                <c:formatCode>m/d/yyyy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</c:numCache>
            </c:numRef>
          </c:cat>
          <c:val>
            <c:numRef>
              <c:f>CorePCE!$E$6:$E$308</c:f>
              <c:numCache>
                <c:formatCode>0.00%</c:formatCode>
                <c:ptCount val="303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4.596215473476728E-2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8-42AE-85C1-9C584517B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8" totalsRowShown="0" dataDxfId="85" headerRowBorderDxfId="86" tableBorderDxfId="84" totalsRowBorderDxfId="83">
  <autoFilter ref="A5:E308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8" totalsRowShown="0" headerRowDxfId="77" dataDxfId="75" headerRowBorderDxfId="76">
  <autoFilter ref="A5:L308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8" totalsRowShown="0" dataDxfId="61" headerRowBorderDxfId="62" tableBorderDxfId="60" totalsRowBorderDxfId="59">
  <autoFilter ref="A5:E308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8" totalsRowShown="0" dataDxfId="52" headerRowBorderDxfId="53" tableBorderDxfId="51" totalsRowBorderDxfId="50">
  <autoFilter ref="A5:E308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8" totalsRowShown="0" dataDxfId="43" headerRowBorderDxfId="44" tableBorderDxfId="42" totalsRowBorderDxfId="41">
  <autoFilter ref="A5:E308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8" totalsRowShown="0" dataDxfId="34" headerRowBorderDxfId="35" tableBorderDxfId="33" totalsRowBorderDxfId="32">
  <autoFilter ref="A5:E308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8" totalsRowShown="0" dataDxfId="25" headerRowBorderDxfId="26" tableBorderDxfId="24" totalsRowBorderDxfId="23">
  <autoFilter ref="A5:E308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8" totalsRowShown="0" dataDxfId="16" headerRowBorderDxfId="17" tableBorderDxfId="15" totalsRowBorderDxfId="14">
  <autoFilter ref="A5:E308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8" totalsRowShown="0" dataDxfId="7" headerRowBorderDxfId="8" tableBorderDxfId="6" totalsRowBorderDxfId="5">
  <autoFilter ref="A5:E308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7" customWidth="1"/>
    <col min="2" max="10" width="12.81640625" style="77" customWidth="1"/>
    <col min="11" max="12" width="6.6328125" style="77" customWidth="1"/>
    <col min="13" max="15" width="24.1796875" style="77" customWidth="1"/>
    <col min="16" max="27" width="9.1796875" style="77" customWidth="1"/>
    <col min="28" max="16384" width="9.1796875" style="77"/>
  </cols>
  <sheetData>
    <row r="1" spans="2:15" x14ac:dyDescent="0.35">
      <c r="B1" s="83"/>
      <c r="C1" s="84"/>
      <c r="D1" s="84"/>
      <c r="E1" s="84"/>
      <c r="F1" s="84"/>
      <c r="G1" s="84"/>
      <c r="H1" s="84"/>
      <c r="I1" s="84"/>
      <c r="J1" s="84"/>
    </row>
    <row r="2" spans="2:15" ht="16" customHeight="1" thickBot="1" x14ac:dyDescent="0.4">
      <c r="B2" s="85"/>
      <c r="C2" s="85"/>
      <c r="D2" s="85"/>
      <c r="E2" s="85"/>
      <c r="F2" s="85"/>
      <c r="G2" s="85"/>
      <c r="H2" s="85"/>
      <c r="I2" s="85"/>
      <c r="J2" s="85"/>
    </row>
    <row r="3" spans="2:15" ht="16" customHeight="1" thickBot="1" x14ac:dyDescent="0.4">
      <c r="B3" s="86" t="s">
        <v>0</v>
      </c>
      <c r="C3" s="87"/>
      <c r="D3" s="87"/>
      <c r="E3" s="87"/>
      <c r="F3" s="87"/>
      <c r="G3" s="87"/>
      <c r="H3" s="87"/>
      <c r="I3" s="87"/>
      <c r="J3" s="88"/>
    </row>
    <row r="5" spans="2:15" x14ac:dyDescent="0.35">
      <c r="B5" s="80" t="s">
        <v>1</v>
      </c>
      <c r="C5" s="81"/>
      <c r="D5" s="81"/>
      <c r="E5" s="81"/>
      <c r="F5" s="81"/>
      <c r="G5" s="81"/>
      <c r="H5" s="81"/>
      <c r="I5" s="81"/>
      <c r="J5" s="82"/>
    </row>
    <row r="7" spans="2:15" ht="182" customHeight="1" x14ac:dyDescent="0.35">
      <c r="B7" s="89" t="s">
        <v>2</v>
      </c>
      <c r="C7" s="84"/>
      <c r="D7" s="84"/>
      <c r="E7" s="84"/>
      <c r="F7" s="84"/>
      <c r="G7" s="84"/>
      <c r="H7" s="84"/>
      <c r="I7" s="84"/>
      <c r="J7" s="84"/>
      <c r="N7" s="15"/>
    </row>
    <row r="8" spans="2:15" ht="30.75" customHeight="1" x14ac:dyDescent="0.35">
      <c r="B8" s="1" t="s">
        <v>3</v>
      </c>
      <c r="C8" s="76"/>
      <c r="D8" s="76"/>
      <c r="E8" s="76"/>
      <c r="F8" s="76"/>
      <c r="G8" s="76"/>
      <c r="H8" s="76"/>
      <c r="I8" s="76"/>
      <c r="J8" s="76"/>
    </row>
    <row r="9" spans="2:15" x14ac:dyDescent="0.35">
      <c r="B9" s="8"/>
      <c r="C9" s="9"/>
      <c r="D9" s="9"/>
      <c r="E9" s="9"/>
    </row>
    <row r="10" spans="2:15" x14ac:dyDescent="0.35">
      <c r="B10" s="80" t="s">
        <v>4</v>
      </c>
      <c r="C10" s="81"/>
      <c r="D10" s="81"/>
      <c r="E10" s="81"/>
      <c r="F10" s="81"/>
      <c r="G10" s="81"/>
      <c r="H10" s="81"/>
      <c r="I10" s="81"/>
      <c r="J10" s="82"/>
      <c r="M10" s="80" t="s">
        <v>5</v>
      </c>
      <c r="N10" s="81"/>
      <c r="O10" s="82"/>
    </row>
    <row r="12" spans="2:15" x14ac:dyDescent="0.35">
      <c r="B12" s="80" t="s">
        <v>6</v>
      </c>
      <c r="C12" s="81"/>
      <c r="D12" s="81"/>
      <c r="E12" s="81"/>
      <c r="F12" s="82"/>
      <c r="G12" s="80" t="s">
        <v>7</v>
      </c>
      <c r="H12" s="81"/>
      <c r="I12" s="81"/>
      <c r="J12" s="82"/>
    </row>
    <row r="13" spans="2:15" ht="16" customHeight="1" thickBot="1" x14ac:dyDescent="0.4"/>
    <row r="14" spans="2:15" ht="16" customHeight="1" thickBot="1" x14ac:dyDescent="0.4">
      <c r="B14" s="91" t="s">
        <v>8</v>
      </c>
      <c r="C14" s="84"/>
      <c r="D14" s="84"/>
      <c r="E14" s="84"/>
      <c r="F14" s="84"/>
      <c r="N14" s="30" t="s">
        <v>9</v>
      </c>
      <c r="O14" s="31" t="s">
        <v>10</v>
      </c>
    </row>
    <row r="15" spans="2:15" ht="16" customHeight="1" thickBot="1" x14ac:dyDescent="0.4">
      <c r="B15" s="84" t="s">
        <v>11</v>
      </c>
      <c r="C15" s="84"/>
      <c r="D15" s="84"/>
      <c r="E15" s="84"/>
      <c r="F15" s="84"/>
      <c r="G15" s="84" t="s">
        <v>12</v>
      </c>
      <c r="H15" s="84"/>
      <c r="I15" s="84"/>
      <c r="J15" s="84"/>
      <c r="M15" s="32">
        <v>44470</v>
      </c>
      <c r="N15" s="57">
        <f>VLOOKUP(M15,'U.S. GDP'!A:E,4,)</f>
        <v>5.7171000908780578E-2</v>
      </c>
      <c r="O15" s="58">
        <f>VLOOKUP(M15,'U.S. GDP'!A:F,5,)</f>
        <v>6.9572573442330254E-2</v>
      </c>
    </row>
    <row r="16" spans="2:15" ht="16" customHeight="1" thickBot="1" x14ac:dyDescent="0.4">
      <c r="B16" s="26" t="s">
        <v>13</v>
      </c>
      <c r="G16" s="77" t="s">
        <v>14</v>
      </c>
      <c r="M16" s="33">
        <v>44378</v>
      </c>
      <c r="N16" s="57">
        <f>VLOOKUP(M16,'U.S. GDP'!A:E,4,)</f>
        <v>4.9556544805406812E-2</v>
      </c>
      <c r="O16" s="58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7">
        <f>VLOOKUP(M17,'U.S. GDP'!A:E,4,)</f>
        <v>0.12460854406241384</v>
      </c>
      <c r="O17" s="58">
        <f>VLOOKUP(M17,'U.S. GDP'!A:F,5,)</f>
        <v>7.0048959400919264E-2</v>
      </c>
    </row>
    <row r="18" spans="2:15" ht="16" customHeight="1" thickBot="1" x14ac:dyDescent="0.4">
      <c r="B18" s="26" t="s">
        <v>16</v>
      </c>
      <c r="G18" s="84" t="s">
        <v>17</v>
      </c>
      <c r="H18" s="84"/>
      <c r="I18" s="84"/>
      <c r="J18" s="84"/>
      <c r="M18" s="33">
        <v>44197</v>
      </c>
      <c r="N18" s="57">
        <f>VLOOKUP(M18,'U.S. GDP'!A:E,4,)</f>
        <v>1.1919350504481832E-2</v>
      </c>
      <c r="O18" s="58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7">
        <f>VLOOKUP(M19,'U.S. GDP'!A:E,4,)</f>
        <v>-1.5166199331577517E-2</v>
      </c>
      <c r="O19" s="58">
        <f>VLOOKUP(M19,'U.S. GDP'!A:F,5,)</f>
        <v>3.9088782255552346E-2</v>
      </c>
    </row>
    <row r="20" spans="2:15" ht="16" customHeight="1" thickBot="1" x14ac:dyDescent="0.4">
      <c r="B20" s="26" t="s">
        <v>19</v>
      </c>
      <c r="G20" s="84"/>
      <c r="H20" s="84"/>
      <c r="I20" s="84"/>
      <c r="J20" s="84"/>
      <c r="M20" s="33">
        <v>44013</v>
      </c>
      <c r="N20" s="57">
        <f>VLOOKUP(M20,'U.S. GDP'!A:E,4,)</f>
        <v>-2.0240101214096601E-2</v>
      </c>
      <c r="O20" s="58">
        <f>VLOOKUP(M20,'U.S. GDP'!A:F,5,)</f>
        <v>0.35317139137290665</v>
      </c>
    </row>
    <row r="21" spans="2:15" ht="16" customHeight="1" thickBot="1" x14ac:dyDescent="0.4">
      <c r="B21" s="26" t="s">
        <v>20</v>
      </c>
      <c r="G21" s="84"/>
      <c r="H21" s="84"/>
      <c r="I21" s="84"/>
      <c r="J21" s="84"/>
      <c r="M21" s="33">
        <v>43922</v>
      </c>
      <c r="N21" s="57">
        <f>VLOOKUP(M21,'U.S. GDP'!A:E,4,)</f>
        <v>-8.3506401559947624E-2</v>
      </c>
      <c r="O21" s="58">
        <f>VLOOKUP(M21,'U.S. GDP'!A:F,5,)</f>
        <v>-0.29857419774143357</v>
      </c>
    </row>
    <row r="22" spans="2:15" ht="16" customHeight="1" thickBot="1" x14ac:dyDescent="0.4">
      <c r="B22" s="26" t="s">
        <v>21</v>
      </c>
      <c r="G22" s="84"/>
      <c r="H22" s="84"/>
      <c r="I22" s="84"/>
      <c r="J22" s="84"/>
      <c r="M22" s="33">
        <v>43831</v>
      </c>
      <c r="N22" s="57">
        <f>VLOOKUP(M22,'U.S. GDP'!A:E,4,)</f>
        <v>8.2008298093415831E-3</v>
      </c>
      <c r="O22" s="58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7">
        <f>VLOOKUP(M23,'U.S. GDP'!A:E,4,)</f>
        <v>2.5726308482646208E-2</v>
      </c>
      <c r="O23" s="58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7">
        <f>VLOOKUP(M24,'U.S. GDP'!A:E,4,)</f>
        <v>2.3058278646321925E-2</v>
      </c>
      <c r="O24" s="58">
        <f>VLOOKUP(M24,'U.S. GDP'!A:F,5,)</f>
        <v>3.607670893327275E-2</v>
      </c>
    </row>
    <row r="25" spans="2:15" ht="16" customHeight="1" thickBot="1" x14ac:dyDescent="0.4">
      <c r="M25" s="33">
        <v>43556</v>
      </c>
      <c r="N25" s="57">
        <f>VLOOKUP(M25,'U.S. GDP'!A:E,4,)</f>
        <v>2.1355406155772076E-2</v>
      </c>
      <c r="O25" s="58">
        <f>VLOOKUP(M25,'U.S. GDP'!A:F,5,)</f>
        <v>2.7193343623263422E-2</v>
      </c>
    </row>
    <row r="26" spans="2:15" ht="16" customHeight="1" thickBot="1" x14ac:dyDescent="0.4">
      <c r="M26" s="33">
        <v>43466</v>
      </c>
      <c r="N26" s="57">
        <f>VLOOKUP(M26,'U.S. GDP'!A:E,4,)</f>
        <v>2.1602281092927313E-2</v>
      </c>
      <c r="O26" s="58">
        <f>VLOOKUP(M26,'U.S. GDP'!A:F,5,)</f>
        <v>2.1885785527535617E-2</v>
      </c>
    </row>
    <row r="27" spans="2:15" ht="16" customHeight="1" thickBot="1" x14ac:dyDescent="0.4">
      <c r="M27" s="34">
        <v>43374</v>
      </c>
      <c r="N27" s="57">
        <f>VLOOKUP(M27,'U.S. GDP'!A:E,4,)</f>
        <v>2.3125836277942062E-2</v>
      </c>
      <c r="O27" s="58">
        <f>VLOOKUP(M27,'U.S. GDP'!A:F,5,)</f>
        <v>7.2911790523160214E-3</v>
      </c>
    </row>
    <row r="28" spans="2:15" x14ac:dyDescent="0.35">
      <c r="B28" s="10"/>
    </row>
    <row r="29" spans="2:15" x14ac:dyDescent="0.35">
      <c r="B29" s="90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</row>
    <row r="30" spans="2:15" x14ac:dyDescent="0.35">
      <c r="B30" s="11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defaultColWidth="8.81640625" defaultRowHeight="14.5" x14ac:dyDescent="0.35"/>
  <cols>
    <col min="1" max="1" width="12.6328125" style="56" customWidth="1"/>
    <col min="2" max="2" width="15.6328125" style="56" customWidth="1"/>
    <col min="3" max="4" width="11.6328125" style="56" customWidth="1"/>
    <col min="5" max="5" width="12.6328125" style="56" customWidth="1"/>
    <col min="6" max="6" width="10.6328125" style="56" customWidth="1"/>
    <col min="7" max="8" width="11.6328125" style="56" customWidth="1"/>
    <col min="9" max="9" width="10.6328125" style="56" customWidth="1"/>
    <col min="10" max="10" width="12.6328125" style="56" customWidth="1"/>
    <col min="11" max="256" width="9.1796875" style="56" customWidth="1"/>
    <col min="257" max="257" width="12.6328125" style="56" customWidth="1"/>
    <col min="258" max="258" width="15.6328125" style="56" customWidth="1"/>
    <col min="259" max="260" width="11.6328125" style="56" customWidth="1"/>
    <col min="261" max="261" width="12.6328125" style="56" customWidth="1"/>
    <col min="262" max="262" width="10.6328125" style="56" customWidth="1"/>
    <col min="263" max="264" width="11.6328125" style="56" customWidth="1"/>
    <col min="265" max="265" width="10.6328125" style="56" customWidth="1"/>
    <col min="266" max="266" width="12.6328125" style="56" customWidth="1"/>
    <col min="267" max="512" width="9.1796875" style="56" customWidth="1"/>
    <col min="513" max="513" width="12.6328125" style="56" customWidth="1"/>
    <col min="514" max="514" width="15.6328125" style="56" customWidth="1"/>
    <col min="515" max="516" width="11.6328125" style="56" customWidth="1"/>
    <col min="517" max="517" width="12.6328125" style="56" customWidth="1"/>
    <col min="518" max="518" width="10.6328125" style="56" customWidth="1"/>
    <col min="519" max="520" width="11.6328125" style="56" customWidth="1"/>
    <col min="521" max="521" width="10.6328125" style="56" customWidth="1"/>
    <col min="522" max="522" width="12.6328125" style="56" customWidth="1"/>
    <col min="523" max="768" width="9.1796875" style="56" customWidth="1"/>
    <col min="769" max="769" width="12.6328125" style="56" customWidth="1"/>
    <col min="770" max="770" width="15.6328125" style="56" customWidth="1"/>
    <col min="771" max="772" width="11.6328125" style="56" customWidth="1"/>
    <col min="773" max="773" width="12.6328125" style="56" customWidth="1"/>
    <col min="774" max="774" width="10.6328125" style="56" customWidth="1"/>
    <col min="775" max="776" width="11.6328125" style="56" customWidth="1"/>
    <col min="777" max="777" width="10.6328125" style="56" customWidth="1"/>
    <col min="778" max="778" width="12.6328125" style="56" customWidth="1"/>
    <col min="779" max="1024" width="9.1796875" style="56" customWidth="1"/>
    <col min="1025" max="1025" width="12.6328125" style="56" customWidth="1"/>
    <col min="1026" max="1026" width="15.6328125" style="56" customWidth="1"/>
    <col min="1027" max="1028" width="11.6328125" style="56" customWidth="1"/>
    <col min="1029" max="1029" width="12.6328125" style="56" customWidth="1"/>
    <col min="1030" max="1030" width="10.6328125" style="56" customWidth="1"/>
    <col min="1031" max="1032" width="11.6328125" style="56" customWidth="1"/>
    <col min="1033" max="1033" width="10.6328125" style="56" customWidth="1"/>
    <col min="1034" max="1034" width="12.6328125" style="56" customWidth="1"/>
    <col min="1035" max="1280" width="9.1796875" style="56" customWidth="1"/>
    <col min="1281" max="1281" width="12.6328125" style="56" customWidth="1"/>
    <col min="1282" max="1282" width="15.6328125" style="56" customWidth="1"/>
    <col min="1283" max="1284" width="11.6328125" style="56" customWidth="1"/>
    <col min="1285" max="1285" width="12.6328125" style="56" customWidth="1"/>
    <col min="1286" max="1286" width="10.6328125" style="56" customWidth="1"/>
    <col min="1287" max="1288" width="11.6328125" style="56" customWidth="1"/>
    <col min="1289" max="1289" width="10.6328125" style="56" customWidth="1"/>
    <col min="1290" max="1290" width="12.6328125" style="56" customWidth="1"/>
    <col min="1291" max="1536" width="9.1796875" style="56" customWidth="1"/>
    <col min="1537" max="1537" width="12.6328125" style="56" customWidth="1"/>
    <col min="1538" max="1538" width="15.6328125" style="56" customWidth="1"/>
    <col min="1539" max="1540" width="11.6328125" style="56" customWidth="1"/>
    <col min="1541" max="1541" width="12.6328125" style="56" customWidth="1"/>
    <col min="1542" max="1542" width="10.6328125" style="56" customWidth="1"/>
    <col min="1543" max="1544" width="11.6328125" style="56" customWidth="1"/>
    <col min="1545" max="1545" width="10.6328125" style="56" customWidth="1"/>
    <col min="1546" max="1546" width="12.6328125" style="56" customWidth="1"/>
    <col min="1547" max="1792" width="9.1796875" style="56" customWidth="1"/>
    <col min="1793" max="1793" width="12.6328125" style="56" customWidth="1"/>
    <col min="1794" max="1794" width="15.6328125" style="56" customWidth="1"/>
    <col min="1795" max="1796" width="11.6328125" style="56" customWidth="1"/>
    <col min="1797" max="1797" width="12.6328125" style="56" customWidth="1"/>
    <col min="1798" max="1798" width="10.6328125" style="56" customWidth="1"/>
    <col min="1799" max="1800" width="11.6328125" style="56" customWidth="1"/>
    <col min="1801" max="1801" width="10.6328125" style="56" customWidth="1"/>
    <col min="1802" max="1802" width="12.6328125" style="56" customWidth="1"/>
    <col min="1803" max="2048" width="9.1796875" style="56" customWidth="1"/>
    <col min="2049" max="2049" width="12.6328125" style="56" customWidth="1"/>
    <col min="2050" max="2050" width="15.6328125" style="56" customWidth="1"/>
    <col min="2051" max="2052" width="11.6328125" style="56" customWidth="1"/>
    <col min="2053" max="2053" width="12.6328125" style="56" customWidth="1"/>
    <col min="2054" max="2054" width="10.6328125" style="56" customWidth="1"/>
    <col min="2055" max="2056" width="11.6328125" style="56" customWidth="1"/>
    <col min="2057" max="2057" width="10.6328125" style="56" customWidth="1"/>
    <col min="2058" max="2058" width="12.6328125" style="56" customWidth="1"/>
    <col min="2059" max="2304" width="9.1796875" style="56" customWidth="1"/>
    <col min="2305" max="2305" width="12.6328125" style="56" customWidth="1"/>
    <col min="2306" max="2306" width="15.6328125" style="56" customWidth="1"/>
    <col min="2307" max="2308" width="11.6328125" style="56" customWidth="1"/>
    <col min="2309" max="2309" width="12.6328125" style="56" customWidth="1"/>
    <col min="2310" max="2310" width="10.6328125" style="56" customWidth="1"/>
    <col min="2311" max="2312" width="11.6328125" style="56" customWidth="1"/>
    <col min="2313" max="2313" width="10.6328125" style="56" customWidth="1"/>
    <col min="2314" max="2314" width="12.6328125" style="56" customWidth="1"/>
    <col min="2315" max="2560" width="9.1796875" style="56" customWidth="1"/>
    <col min="2561" max="2561" width="12.6328125" style="56" customWidth="1"/>
    <col min="2562" max="2562" width="15.6328125" style="56" customWidth="1"/>
    <col min="2563" max="2564" width="11.6328125" style="56" customWidth="1"/>
    <col min="2565" max="2565" width="12.6328125" style="56" customWidth="1"/>
    <col min="2566" max="2566" width="10.6328125" style="56" customWidth="1"/>
    <col min="2567" max="2568" width="11.6328125" style="56" customWidth="1"/>
    <col min="2569" max="2569" width="10.6328125" style="56" customWidth="1"/>
    <col min="2570" max="2570" width="12.6328125" style="56" customWidth="1"/>
    <col min="2571" max="2816" width="9.1796875" style="56" customWidth="1"/>
    <col min="2817" max="2817" width="12.6328125" style="56" customWidth="1"/>
    <col min="2818" max="2818" width="15.6328125" style="56" customWidth="1"/>
    <col min="2819" max="2820" width="11.6328125" style="56" customWidth="1"/>
    <col min="2821" max="2821" width="12.6328125" style="56" customWidth="1"/>
    <col min="2822" max="2822" width="10.6328125" style="56" customWidth="1"/>
    <col min="2823" max="2824" width="11.6328125" style="56" customWidth="1"/>
    <col min="2825" max="2825" width="10.6328125" style="56" customWidth="1"/>
    <col min="2826" max="2826" width="12.6328125" style="56" customWidth="1"/>
    <col min="2827" max="3072" width="9.1796875" style="56" customWidth="1"/>
    <col min="3073" max="3073" width="12.6328125" style="56" customWidth="1"/>
    <col min="3074" max="3074" width="15.6328125" style="56" customWidth="1"/>
    <col min="3075" max="3076" width="11.6328125" style="56" customWidth="1"/>
    <col min="3077" max="3077" width="12.6328125" style="56" customWidth="1"/>
    <col min="3078" max="3078" width="10.6328125" style="56" customWidth="1"/>
    <col min="3079" max="3080" width="11.6328125" style="56" customWidth="1"/>
    <col min="3081" max="3081" width="10.6328125" style="56" customWidth="1"/>
    <col min="3082" max="3082" width="12.6328125" style="56" customWidth="1"/>
    <col min="3083" max="3328" width="9.1796875" style="56" customWidth="1"/>
    <col min="3329" max="3329" width="12.6328125" style="56" customWidth="1"/>
    <col min="3330" max="3330" width="15.6328125" style="56" customWidth="1"/>
    <col min="3331" max="3332" width="11.6328125" style="56" customWidth="1"/>
    <col min="3333" max="3333" width="12.6328125" style="56" customWidth="1"/>
    <col min="3334" max="3334" width="10.6328125" style="56" customWidth="1"/>
    <col min="3335" max="3336" width="11.6328125" style="56" customWidth="1"/>
    <col min="3337" max="3337" width="10.6328125" style="56" customWidth="1"/>
    <col min="3338" max="3338" width="12.6328125" style="56" customWidth="1"/>
    <col min="3339" max="3584" width="9.1796875" style="56" customWidth="1"/>
    <col min="3585" max="3585" width="12.6328125" style="56" customWidth="1"/>
    <col min="3586" max="3586" width="15.6328125" style="56" customWidth="1"/>
    <col min="3587" max="3588" width="11.6328125" style="56" customWidth="1"/>
    <col min="3589" max="3589" width="12.6328125" style="56" customWidth="1"/>
    <col min="3590" max="3590" width="10.6328125" style="56" customWidth="1"/>
    <col min="3591" max="3592" width="11.6328125" style="56" customWidth="1"/>
    <col min="3593" max="3593" width="10.6328125" style="56" customWidth="1"/>
    <col min="3594" max="3594" width="12.6328125" style="56" customWidth="1"/>
    <col min="3595" max="3840" width="9.1796875" style="56" customWidth="1"/>
    <col min="3841" max="3841" width="12.6328125" style="56" customWidth="1"/>
    <col min="3842" max="3842" width="15.6328125" style="56" customWidth="1"/>
    <col min="3843" max="3844" width="11.6328125" style="56" customWidth="1"/>
    <col min="3845" max="3845" width="12.6328125" style="56" customWidth="1"/>
    <col min="3846" max="3846" width="10.6328125" style="56" customWidth="1"/>
    <col min="3847" max="3848" width="11.6328125" style="56" customWidth="1"/>
    <col min="3849" max="3849" width="10.6328125" style="56" customWidth="1"/>
    <col min="3850" max="3850" width="12.6328125" style="56" customWidth="1"/>
    <col min="3851" max="4096" width="9.1796875" style="56" customWidth="1"/>
    <col min="4097" max="4097" width="12.6328125" style="56" customWidth="1"/>
    <col min="4098" max="4098" width="15.6328125" style="56" customWidth="1"/>
    <col min="4099" max="4100" width="11.6328125" style="56" customWidth="1"/>
    <col min="4101" max="4101" width="12.6328125" style="56" customWidth="1"/>
    <col min="4102" max="4102" width="10.6328125" style="56" customWidth="1"/>
    <col min="4103" max="4104" width="11.6328125" style="56" customWidth="1"/>
    <col min="4105" max="4105" width="10.6328125" style="56" customWidth="1"/>
    <col min="4106" max="4106" width="12.6328125" style="56" customWidth="1"/>
    <col min="4107" max="4352" width="9.1796875" style="56" customWidth="1"/>
    <col min="4353" max="4353" width="12.6328125" style="56" customWidth="1"/>
    <col min="4354" max="4354" width="15.6328125" style="56" customWidth="1"/>
    <col min="4355" max="4356" width="11.6328125" style="56" customWidth="1"/>
    <col min="4357" max="4357" width="12.6328125" style="56" customWidth="1"/>
    <col min="4358" max="4358" width="10.6328125" style="56" customWidth="1"/>
    <col min="4359" max="4360" width="11.6328125" style="56" customWidth="1"/>
    <col min="4361" max="4361" width="10.6328125" style="56" customWidth="1"/>
    <col min="4362" max="4362" width="12.6328125" style="56" customWidth="1"/>
    <col min="4363" max="4608" width="9.1796875" style="56" customWidth="1"/>
    <col min="4609" max="4609" width="12.6328125" style="56" customWidth="1"/>
    <col min="4610" max="4610" width="15.6328125" style="56" customWidth="1"/>
    <col min="4611" max="4612" width="11.6328125" style="56" customWidth="1"/>
    <col min="4613" max="4613" width="12.6328125" style="56" customWidth="1"/>
    <col min="4614" max="4614" width="10.6328125" style="56" customWidth="1"/>
    <col min="4615" max="4616" width="11.6328125" style="56" customWidth="1"/>
    <col min="4617" max="4617" width="10.6328125" style="56" customWidth="1"/>
    <col min="4618" max="4618" width="12.6328125" style="56" customWidth="1"/>
    <col min="4619" max="4864" width="9.1796875" style="56" customWidth="1"/>
    <col min="4865" max="4865" width="12.6328125" style="56" customWidth="1"/>
    <col min="4866" max="4866" width="15.6328125" style="56" customWidth="1"/>
    <col min="4867" max="4868" width="11.6328125" style="56" customWidth="1"/>
    <col min="4869" max="4869" width="12.6328125" style="56" customWidth="1"/>
    <col min="4870" max="4870" width="10.6328125" style="56" customWidth="1"/>
    <col min="4871" max="4872" width="11.6328125" style="56" customWidth="1"/>
    <col min="4873" max="4873" width="10.6328125" style="56" customWidth="1"/>
    <col min="4874" max="4874" width="12.6328125" style="56" customWidth="1"/>
    <col min="4875" max="5120" width="9.1796875" style="56" customWidth="1"/>
    <col min="5121" max="5121" width="12.6328125" style="56" customWidth="1"/>
    <col min="5122" max="5122" width="15.6328125" style="56" customWidth="1"/>
    <col min="5123" max="5124" width="11.6328125" style="56" customWidth="1"/>
    <col min="5125" max="5125" width="12.6328125" style="56" customWidth="1"/>
    <col min="5126" max="5126" width="10.6328125" style="56" customWidth="1"/>
    <col min="5127" max="5128" width="11.6328125" style="56" customWidth="1"/>
    <col min="5129" max="5129" width="10.6328125" style="56" customWidth="1"/>
    <col min="5130" max="5130" width="12.6328125" style="56" customWidth="1"/>
    <col min="5131" max="5376" width="9.1796875" style="56" customWidth="1"/>
    <col min="5377" max="5377" width="12.6328125" style="56" customWidth="1"/>
    <col min="5378" max="5378" width="15.6328125" style="56" customWidth="1"/>
    <col min="5379" max="5380" width="11.6328125" style="56" customWidth="1"/>
    <col min="5381" max="5381" width="12.6328125" style="56" customWidth="1"/>
    <col min="5382" max="5382" width="10.6328125" style="56" customWidth="1"/>
    <col min="5383" max="5384" width="11.6328125" style="56" customWidth="1"/>
    <col min="5385" max="5385" width="10.6328125" style="56" customWidth="1"/>
    <col min="5386" max="5386" width="12.6328125" style="56" customWidth="1"/>
    <col min="5387" max="5632" width="9.1796875" style="56" customWidth="1"/>
    <col min="5633" max="5633" width="12.6328125" style="56" customWidth="1"/>
    <col min="5634" max="5634" width="15.6328125" style="56" customWidth="1"/>
    <col min="5635" max="5636" width="11.6328125" style="56" customWidth="1"/>
    <col min="5637" max="5637" width="12.6328125" style="56" customWidth="1"/>
    <col min="5638" max="5638" width="10.6328125" style="56" customWidth="1"/>
    <col min="5639" max="5640" width="11.6328125" style="56" customWidth="1"/>
    <col min="5641" max="5641" width="10.6328125" style="56" customWidth="1"/>
    <col min="5642" max="5642" width="12.6328125" style="56" customWidth="1"/>
    <col min="5643" max="5888" width="9.1796875" style="56" customWidth="1"/>
    <col min="5889" max="5889" width="12.6328125" style="56" customWidth="1"/>
    <col min="5890" max="5890" width="15.6328125" style="56" customWidth="1"/>
    <col min="5891" max="5892" width="11.6328125" style="56" customWidth="1"/>
    <col min="5893" max="5893" width="12.6328125" style="56" customWidth="1"/>
    <col min="5894" max="5894" width="10.6328125" style="56" customWidth="1"/>
    <col min="5895" max="5896" width="11.6328125" style="56" customWidth="1"/>
    <col min="5897" max="5897" width="10.6328125" style="56" customWidth="1"/>
    <col min="5898" max="5898" width="12.6328125" style="56" customWidth="1"/>
    <col min="5899" max="6144" width="9.1796875" style="56" customWidth="1"/>
    <col min="6145" max="6145" width="12.6328125" style="56" customWidth="1"/>
    <col min="6146" max="6146" width="15.6328125" style="56" customWidth="1"/>
    <col min="6147" max="6148" width="11.6328125" style="56" customWidth="1"/>
    <col min="6149" max="6149" width="12.6328125" style="56" customWidth="1"/>
    <col min="6150" max="6150" width="10.6328125" style="56" customWidth="1"/>
    <col min="6151" max="6152" width="11.6328125" style="56" customWidth="1"/>
    <col min="6153" max="6153" width="10.6328125" style="56" customWidth="1"/>
    <col min="6154" max="6154" width="12.6328125" style="56" customWidth="1"/>
    <col min="6155" max="6400" width="9.1796875" style="56" customWidth="1"/>
    <col min="6401" max="6401" width="12.6328125" style="56" customWidth="1"/>
    <col min="6402" max="6402" width="15.6328125" style="56" customWidth="1"/>
    <col min="6403" max="6404" width="11.6328125" style="56" customWidth="1"/>
    <col min="6405" max="6405" width="12.6328125" style="56" customWidth="1"/>
    <col min="6406" max="6406" width="10.6328125" style="56" customWidth="1"/>
    <col min="6407" max="6408" width="11.6328125" style="56" customWidth="1"/>
    <col min="6409" max="6409" width="10.6328125" style="56" customWidth="1"/>
    <col min="6410" max="6410" width="12.6328125" style="56" customWidth="1"/>
    <col min="6411" max="6656" width="9.1796875" style="56" customWidth="1"/>
    <col min="6657" max="6657" width="12.6328125" style="56" customWidth="1"/>
    <col min="6658" max="6658" width="15.6328125" style="56" customWidth="1"/>
    <col min="6659" max="6660" width="11.6328125" style="56" customWidth="1"/>
    <col min="6661" max="6661" width="12.6328125" style="56" customWidth="1"/>
    <col min="6662" max="6662" width="10.6328125" style="56" customWidth="1"/>
    <col min="6663" max="6664" width="11.6328125" style="56" customWidth="1"/>
    <col min="6665" max="6665" width="10.6328125" style="56" customWidth="1"/>
    <col min="6666" max="6666" width="12.6328125" style="56" customWidth="1"/>
    <col min="6667" max="6912" width="9.1796875" style="56" customWidth="1"/>
    <col min="6913" max="6913" width="12.6328125" style="56" customWidth="1"/>
    <col min="6914" max="6914" width="15.6328125" style="56" customWidth="1"/>
    <col min="6915" max="6916" width="11.6328125" style="56" customWidth="1"/>
    <col min="6917" max="6917" width="12.6328125" style="56" customWidth="1"/>
    <col min="6918" max="6918" width="10.6328125" style="56" customWidth="1"/>
    <col min="6919" max="6920" width="11.6328125" style="56" customWidth="1"/>
    <col min="6921" max="6921" width="10.6328125" style="56" customWidth="1"/>
    <col min="6922" max="6922" width="12.6328125" style="56" customWidth="1"/>
    <col min="6923" max="7168" width="9.1796875" style="56" customWidth="1"/>
    <col min="7169" max="7169" width="12.6328125" style="56" customWidth="1"/>
    <col min="7170" max="7170" width="15.6328125" style="56" customWidth="1"/>
    <col min="7171" max="7172" width="11.6328125" style="56" customWidth="1"/>
    <col min="7173" max="7173" width="12.6328125" style="56" customWidth="1"/>
    <col min="7174" max="7174" width="10.6328125" style="56" customWidth="1"/>
    <col min="7175" max="7176" width="11.6328125" style="56" customWidth="1"/>
    <col min="7177" max="7177" width="10.6328125" style="56" customWidth="1"/>
    <col min="7178" max="7178" width="12.6328125" style="56" customWidth="1"/>
    <col min="7179" max="7424" width="9.1796875" style="56" customWidth="1"/>
    <col min="7425" max="7425" width="12.6328125" style="56" customWidth="1"/>
    <col min="7426" max="7426" width="15.6328125" style="56" customWidth="1"/>
    <col min="7427" max="7428" width="11.6328125" style="56" customWidth="1"/>
    <col min="7429" max="7429" width="12.6328125" style="56" customWidth="1"/>
    <col min="7430" max="7430" width="10.6328125" style="56" customWidth="1"/>
    <col min="7431" max="7432" width="11.6328125" style="56" customWidth="1"/>
    <col min="7433" max="7433" width="10.6328125" style="56" customWidth="1"/>
    <col min="7434" max="7434" width="12.6328125" style="56" customWidth="1"/>
    <col min="7435" max="7680" width="9.1796875" style="56" customWidth="1"/>
    <col min="7681" max="7681" width="12.6328125" style="56" customWidth="1"/>
    <col min="7682" max="7682" width="15.6328125" style="56" customWidth="1"/>
    <col min="7683" max="7684" width="11.6328125" style="56" customWidth="1"/>
    <col min="7685" max="7685" width="12.6328125" style="56" customWidth="1"/>
    <col min="7686" max="7686" width="10.6328125" style="56" customWidth="1"/>
    <col min="7687" max="7688" width="11.6328125" style="56" customWidth="1"/>
    <col min="7689" max="7689" width="10.6328125" style="56" customWidth="1"/>
    <col min="7690" max="7690" width="12.6328125" style="56" customWidth="1"/>
    <col min="7691" max="7936" width="9.1796875" style="56" customWidth="1"/>
    <col min="7937" max="7937" width="12.6328125" style="56" customWidth="1"/>
    <col min="7938" max="7938" width="15.6328125" style="56" customWidth="1"/>
    <col min="7939" max="7940" width="11.6328125" style="56" customWidth="1"/>
    <col min="7941" max="7941" width="12.6328125" style="56" customWidth="1"/>
    <col min="7942" max="7942" width="10.6328125" style="56" customWidth="1"/>
    <col min="7943" max="7944" width="11.6328125" style="56" customWidth="1"/>
    <col min="7945" max="7945" width="10.6328125" style="56" customWidth="1"/>
    <col min="7946" max="7946" width="12.6328125" style="56" customWidth="1"/>
    <col min="7947" max="8192" width="9.1796875" style="56" customWidth="1"/>
    <col min="8193" max="8193" width="12.6328125" style="56" customWidth="1"/>
    <col min="8194" max="8194" width="15.6328125" style="56" customWidth="1"/>
    <col min="8195" max="8196" width="11.6328125" style="56" customWidth="1"/>
    <col min="8197" max="8197" width="12.6328125" style="56" customWidth="1"/>
    <col min="8198" max="8198" width="10.6328125" style="56" customWidth="1"/>
    <col min="8199" max="8200" width="11.6328125" style="56" customWidth="1"/>
    <col min="8201" max="8201" width="10.6328125" style="56" customWidth="1"/>
    <col min="8202" max="8202" width="12.6328125" style="56" customWidth="1"/>
    <col min="8203" max="8448" width="9.1796875" style="56" customWidth="1"/>
    <col min="8449" max="8449" width="12.6328125" style="56" customWidth="1"/>
    <col min="8450" max="8450" width="15.6328125" style="56" customWidth="1"/>
    <col min="8451" max="8452" width="11.6328125" style="56" customWidth="1"/>
    <col min="8453" max="8453" width="12.6328125" style="56" customWidth="1"/>
    <col min="8454" max="8454" width="10.6328125" style="56" customWidth="1"/>
    <col min="8455" max="8456" width="11.6328125" style="56" customWidth="1"/>
    <col min="8457" max="8457" width="10.6328125" style="56" customWidth="1"/>
    <col min="8458" max="8458" width="12.6328125" style="56" customWidth="1"/>
    <col min="8459" max="8704" width="9.1796875" style="56" customWidth="1"/>
    <col min="8705" max="8705" width="12.6328125" style="56" customWidth="1"/>
    <col min="8706" max="8706" width="15.6328125" style="56" customWidth="1"/>
    <col min="8707" max="8708" width="11.6328125" style="56" customWidth="1"/>
    <col min="8709" max="8709" width="12.6328125" style="56" customWidth="1"/>
    <col min="8710" max="8710" width="10.6328125" style="56" customWidth="1"/>
    <col min="8711" max="8712" width="11.6328125" style="56" customWidth="1"/>
    <col min="8713" max="8713" width="10.6328125" style="56" customWidth="1"/>
    <col min="8714" max="8714" width="12.6328125" style="56" customWidth="1"/>
    <col min="8715" max="8960" width="9.1796875" style="56" customWidth="1"/>
    <col min="8961" max="8961" width="12.6328125" style="56" customWidth="1"/>
    <col min="8962" max="8962" width="15.6328125" style="56" customWidth="1"/>
    <col min="8963" max="8964" width="11.6328125" style="56" customWidth="1"/>
    <col min="8965" max="8965" width="12.6328125" style="56" customWidth="1"/>
    <col min="8966" max="8966" width="10.6328125" style="56" customWidth="1"/>
    <col min="8967" max="8968" width="11.6328125" style="56" customWidth="1"/>
    <col min="8969" max="8969" width="10.6328125" style="56" customWidth="1"/>
    <col min="8970" max="8970" width="12.6328125" style="56" customWidth="1"/>
    <col min="8971" max="9216" width="9.1796875" style="56" customWidth="1"/>
    <col min="9217" max="9217" width="12.6328125" style="56" customWidth="1"/>
    <col min="9218" max="9218" width="15.6328125" style="56" customWidth="1"/>
    <col min="9219" max="9220" width="11.6328125" style="56" customWidth="1"/>
    <col min="9221" max="9221" width="12.6328125" style="56" customWidth="1"/>
    <col min="9222" max="9222" width="10.6328125" style="56" customWidth="1"/>
    <col min="9223" max="9224" width="11.6328125" style="56" customWidth="1"/>
    <col min="9225" max="9225" width="10.6328125" style="56" customWidth="1"/>
    <col min="9226" max="9226" width="12.6328125" style="56" customWidth="1"/>
    <col min="9227" max="9472" width="9.1796875" style="56" customWidth="1"/>
    <col min="9473" max="9473" width="12.6328125" style="56" customWidth="1"/>
    <col min="9474" max="9474" width="15.6328125" style="56" customWidth="1"/>
    <col min="9475" max="9476" width="11.6328125" style="56" customWidth="1"/>
    <col min="9477" max="9477" width="12.6328125" style="56" customWidth="1"/>
    <col min="9478" max="9478" width="10.6328125" style="56" customWidth="1"/>
    <col min="9479" max="9480" width="11.6328125" style="56" customWidth="1"/>
    <col min="9481" max="9481" width="10.6328125" style="56" customWidth="1"/>
    <col min="9482" max="9482" width="12.6328125" style="56" customWidth="1"/>
    <col min="9483" max="9728" width="9.1796875" style="56" customWidth="1"/>
    <col min="9729" max="9729" width="12.6328125" style="56" customWidth="1"/>
    <col min="9730" max="9730" width="15.6328125" style="56" customWidth="1"/>
    <col min="9731" max="9732" width="11.6328125" style="56" customWidth="1"/>
    <col min="9733" max="9733" width="12.6328125" style="56" customWidth="1"/>
    <col min="9734" max="9734" width="10.6328125" style="56" customWidth="1"/>
    <col min="9735" max="9736" width="11.6328125" style="56" customWidth="1"/>
    <col min="9737" max="9737" width="10.6328125" style="56" customWidth="1"/>
    <col min="9738" max="9738" width="12.6328125" style="56" customWidth="1"/>
    <col min="9739" max="9984" width="9.1796875" style="56" customWidth="1"/>
    <col min="9985" max="9985" width="12.6328125" style="56" customWidth="1"/>
    <col min="9986" max="9986" width="15.6328125" style="56" customWidth="1"/>
    <col min="9987" max="9988" width="11.6328125" style="56" customWidth="1"/>
    <col min="9989" max="9989" width="12.6328125" style="56" customWidth="1"/>
    <col min="9990" max="9990" width="10.6328125" style="56" customWidth="1"/>
    <col min="9991" max="9992" width="11.6328125" style="56" customWidth="1"/>
    <col min="9993" max="9993" width="10.6328125" style="56" customWidth="1"/>
    <col min="9994" max="9994" width="12.6328125" style="56" customWidth="1"/>
    <col min="9995" max="10240" width="9.1796875" style="56" customWidth="1"/>
    <col min="10241" max="10241" width="12.6328125" style="56" customWidth="1"/>
    <col min="10242" max="10242" width="15.6328125" style="56" customWidth="1"/>
    <col min="10243" max="10244" width="11.6328125" style="56" customWidth="1"/>
    <col min="10245" max="10245" width="12.6328125" style="56" customWidth="1"/>
    <col min="10246" max="10246" width="10.6328125" style="56" customWidth="1"/>
    <col min="10247" max="10248" width="11.6328125" style="56" customWidth="1"/>
    <col min="10249" max="10249" width="10.6328125" style="56" customWidth="1"/>
    <col min="10250" max="10250" width="12.6328125" style="56" customWidth="1"/>
    <col min="10251" max="10496" width="9.1796875" style="56" customWidth="1"/>
    <col min="10497" max="10497" width="12.6328125" style="56" customWidth="1"/>
    <col min="10498" max="10498" width="15.6328125" style="56" customWidth="1"/>
    <col min="10499" max="10500" width="11.6328125" style="56" customWidth="1"/>
    <col min="10501" max="10501" width="12.6328125" style="56" customWidth="1"/>
    <col min="10502" max="10502" width="10.6328125" style="56" customWidth="1"/>
    <col min="10503" max="10504" width="11.6328125" style="56" customWidth="1"/>
    <col min="10505" max="10505" width="10.6328125" style="56" customWidth="1"/>
    <col min="10506" max="10506" width="12.6328125" style="56" customWidth="1"/>
    <col min="10507" max="10752" width="9.1796875" style="56" customWidth="1"/>
    <col min="10753" max="10753" width="12.6328125" style="56" customWidth="1"/>
    <col min="10754" max="10754" width="15.6328125" style="56" customWidth="1"/>
    <col min="10755" max="10756" width="11.6328125" style="56" customWidth="1"/>
    <col min="10757" max="10757" width="12.6328125" style="56" customWidth="1"/>
    <col min="10758" max="10758" width="10.6328125" style="56" customWidth="1"/>
    <col min="10759" max="10760" width="11.6328125" style="56" customWidth="1"/>
    <col min="10761" max="10761" width="10.6328125" style="56" customWidth="1"/>
    <col min="10762" max="10762" width="12.6328125" style="56" customWidth="1"/>
    <col min="10763" max="11008" width="9.1796875" style="56" customWidth="1"/>
    <col min="11009" max="11009" width="12.6328125" style="56" customWidth="1"/>
    <col min="11010" max="11010" width="15.6328125" style="56" customWidth="1"/>
    <col min="11011" max="11012" width="11.6328125" style="56" customWidth="1"/>
    <col min="11013" max="11013" width="12.6328125" style="56" customWidth="1"/>
    <col min="11014" max="11014" width="10.6328125" style="56" customWidth="1"/>
    <col min="11015" max="11016" width="11.6328125" style="56" customWidth="1"/>
    <col min="11017" max="11017" width="10.6328125" style="56" customWidth="1"/>
    <col min="11018" max="11018" width="12.6328125" style="56" customWidth="1"/>
    <col min="11019" max="11264" width="9.1796875" style="56" customWidth="1"/>
    <col min="11265" max="11265" width="12.6328125" style="56" customWidth="1"/>
    <col min="11266" max="11266" width="15.6328125" style="56" customWidth="1"/>
    <col min="11267" max="11268" width="11.6328125" style="56" customWidth="1"/>
    <col min="11269" max="11269" width="12.6328125" style="56" customWidth="1"/>
    <col min="11270" max="11270" width="10.6328125" style="56" customWidth="1"/>
    <col min="11271" max="11272" width="11.6328125" style="56" customWidth="1"/>
    <col min="11273" max="11273" width="10.6328125" style="56" customWidth="1"/>
    <col min="11274" max="11274" width="12.6328125" style="56" customWidth="1"/>
    <col min="11275" max="11520" width="9.1796875" style="56" customWidth="1"/>
    <col min="11521" max="11521" width="12.6328125" style="56" customWidth="1"/>
    <col min="11522" max="11522" width="15.6328125" style="56" customWidth="1"/>
    <col min="11523" max="11524" width="11.6328125" style="56" customWidth="1"/>
    <col min="11525" max="11525" width="12.6328125" style="56" customWidth="1"/>
    <col min="11526" max="11526" width="10.6328125" style="56" customWidth="1"/>
    <col min="11527" max="11528" width="11.6328125" style="56" customWidth="1"/>
    <col min="11529" max="11529" width="10.6328125" style="56" customWidth="1"/>
    <col min="11530" max="11530" width="12.6328125" style="56" customWidth="1"/>
    <col min="11531" max="11776" width="9.1796875" style="56" customWidth="1"/>
    <col min="11777" max="11777" width="12.6328125" style="56" customWidth="1"/>
    <col min="11778" max="11778" width="15.6328125" style="56" customWidth="1"/>
    <col min="11779" max="11780" width="11.6328125" style="56" customWidth="1"/>
    <col min="11781" max="11781" width="12.6328125" style="56" customWidth="1"/>
    <col min="11782" max="11782" width="10.6328125" style="56" customWidth="1"/>
    <col min="11783" max="11784" width="11.6328125" style="56" customWidth="1"/>
    <col min="11785" max="11785" width="10.6328125" style="56" customWidth="1"/>
    <col min="11786" max="11786" width="12.6328125" style="56" customWidth="1"/>
    <col min="11787" max="12032" width="9.1796875" style="56" customWidth="1"/>
    <col min="12033" max="12033" width="12.6328125" style="56" customWidth="1"/>
    <col min="12034" max="12034" width="15.6328125" style="56" customWidth="1"/>
    <col min="12035" max="12036" width="11.6328125" style="56" customWidth="1"/>
    <col min="12037" max="12037" width="12.6328125" style="56" customWidth="1"/>
    <col min="12038" max="12038" width="10.6328125" style="56" customWidth="1"/>
    <col min="12039" max="12040" width="11.6328125" style="56" customWidth="1"/>
    <col min="12041" max="12041" width="10.6328125" style="56" customWidth="1"/>
    <col min="12042" max="12042" width="12.6328125" style="56" customWidth="1"/>
    <col min="12043" max="12288" width="9.1796875" style="56" customWidth="1"/>
    <col min="12289" max="12289" width="12.6328125" style="56" customWidth="1"/>
    <col min="12290" max="12290" width="15.6328125" style="56" customWidth="1"/>
    <col min="12291" max="12292" width="11.6328125" style="56" customWidth="1"/>
    <col min="12293" max="12293" width="12.6328125" style="56" customWidth="1"/>
    <col min="12294" max="12294" width="10.6328125" style="56" customWidth="1"/>
    <col min="12295" max="12296" width="11.6328125" style="56" customWidth="1"/>
    <col min="12297" max="12297" width="10.6328125" style="56" customWidth="1"/>
    <col min="12298" max="12298" width="12.6328125" style="56" customWidth="1"/>
    <col min="12299" max="12544" width="9.1796875" style="56" customWidth="1"/>
    <col min="12545" max="12545" width="12.6328125" style="56" customWidth="1"/>
    <col min="12546" max="12546" width="15.6328125" style="56" customWidth="1"/>
    <col min="12547" max="12548" width="11.6328125" style="56" customWidth="1"/>
    <col min="12549" max="12549" width="12.6328125" style="56" customWidth="1"/>
    <col min="12550" max="12550" width="10.6328125" style="56" customWidth="1"/>
    <col min="12551" max="12552" width="11.6328125" style="56" customWidth="1"/>
    <col min="12553" max="12553" width="10.6328125" style="56" customWidth="1"/>
    <col min="12554" max="12554" width="12.6328125" style="56" customWidth="1"/>
    <col min="12555" max="12800" width="9.1796875" style="56" customWidth="1"/>
    <col min="12801" max="12801" width="12.6328125" style="56" customWidth="1"/>
    <col min="12802" max="12802" width="15.6328125" style="56" customWidth="1"/>
    <col min="12803" max="12804" width="11.6328125" style="56" customWidth="1"/>
    <col min="12805" max="12805" width="12.6328125" style="56" customWidth="1"/>
    <col min="12806" max="12806" width="10.6328125" style="56" customWidth="1"/>
    <col min="12807" max="12808" width="11.6328125" style="56" customWidth="1"/>
    <col min="12809" max="12809" width="10.6328125" style="56" customWidth="1"/>
    <col min="12810" max="12810" width="12.6328125" style="56" customWidth="1"/>
    <col min="12811" max="13056" width="9.1796875" style="56" customWidth="1"/>
    <col min="13057" max="13057" width="12.6328125" style="56" customWidth="1"/>
    <col min="13058" max="13058" width="15.6328125" style="56" customWidth="1"/>
    <col min="13059" max="13060" width="11.6328125" style="56" customWidth="1"/>
    <col min="13061" max="13061" width="12.6328125" style="56" customWidth="1"/>
    <col min="13062" max="13062" width="10.6328125" style="56" customWidth="1"/>
    <col min="13063" max="13064" width="11.6328125" style="56" customWidth="1"/>
    <col min="13065" max="13065" width="10.6328125" style="56" customWidth="1"/>
    <col min="13066" max="13066" width="12.6328125" style="56" customWidth="1"/>
    <col min="13067" max="13312" width="9.1796875" style="56" customWidth="1"/>
    <col min="13313" max="13313" width="12.6328125" style="56" customWidth="1"/>
    <col min="13314" max="13314" width="15.6328125" style="56" customWidth="1"/>
    <col min="13315" max="13316" width="11.6328125" style="56" customWidth="1"/>
    <col min="13317" max="13317" width="12.6328125" style="56" customWidth="1"/>
    <col min="13318" max="13318" width="10.6328125" style="56" customWidth="1"/>
    <col min="13319" max="13320" width="11.6328125" style="56" customWidth="1"/>
    <col min="13321" max="13321" width="10.6328125" style="56" customWidth="1"/>
    <col min="13322" max="13322" width="12.6328125" style="56" customWidth="1"/>
    <col min="13323" max="13568" width="9.1796875" style="56" customWidth="1"/>
    <col min="13569" max="13569" width="12.6328125" style="56" customWidth="1"/>
    <col min="13570" max="13570" width="15.6328125" style="56" customWidth="1"/>
    <col min="13571" max="13572" width="11.6328125" style="56" customWidth="1"/>
    <col min="13573" max="13573" width="12.6328125" style="56" customWidth="1"/>
    <col min="13574" max="13574" width="10.6328125" style="56" customWidth="1"/>
    <col min="13575" max="13576" width="11.6328125" style="56" customWidth="1"/>
    <col min="13577" max="13577" width="10.6328125" style="56" customWidth="1"/>
    <col min="13578" max="13578" width="12.6328125" style="56" customWidth="1"/>
    <col min="13579" max="13824" width="9.1796875" style="56" customWidth="1"/>
    <col min="13825" max="13825" width="12.6328125" style="56" customWidth="1"/>
    <col min="13826" max="13826" width="15.6328125" style="56" customWidth="1"/>
    <col min="13827" max="13828" width="11.6328125" style="56" customWidth="1"/>
    <col min="13829" max="13829" width="12.6328125" style="56" customWidth="1"/>
    <col min="13830" max="13830" width="10.6328125" style="56" customWidth="1"/>
    <col min="13831" max="13832" width="11.6328125" style="56" customWidth="1"/>
    <col min="13833" max="13833" width="10.6328125" style="56" customWidth="1"/>
    <col min="13834" max="13834" width="12.6328125" style="56" customWidth="1"/>
    <col min="13835" max="14080" width="9.1796875" style="56" customWidth="1"/>
    <col min="14081" max="14081" width="12.6328125" style="56" customWidth="1"/>
    <col min="14082" max="14082" width="15.6328125" style="56" customWidth="1"/>
    <col min="14083" max="14084" width="11.6328125" style="56" customWidth="1"/>
    <col min="14085" max="14085" width="12.6328125" style="56" customWidth="1"/>
    <col min="14086" max="14086" width="10.6328125" style="56" customWidth="1"/>
    <col min="14087" max="14088" width="11.6328125" style="56" customWidth="1"/>
    <col min="14089" max="14089" width="10.6328125" style="56" customWidth="1"/>
    <col min="14090" max="14090" width="12.6328125" style="56" customWidth="1"/>
    <col min="14091" max="14336" width="9.1796875" style="56" customWidth="1"/>
    <col min="14337" max="14337" width="12.6328125" style="56" customWidth="1"/>
    <col min="14338" max="14338" width="15.6328125" style="56" customWidth="1"/>
    <col min="14339" max="14340" width="11.6328125" style="56" customWidth="1"/>
    <col min="14341" max="14341" width="12.6328125" style="56" customWidth="1"/>
    <col min="14342" max="14342" width="10.6328125" style="56" customWidth="1"/>
    <col min="14343" max="14344" width="11.6328125" style="56" customWidth="1"/>
    <col min="14345" max="14345" width="10.6328125" style="56" customWidth="1"/>
    <col min="14346" max="14346" width="12.6328125" style="56" customWidth="1"/>
    <col min="14347" max="14592" width="9.1796875" style="56" customWidth="1"/>
    <col min="14593" max="14593" width="12.6328125" style="56" customWidth="1"/>
    <col min="14594" max="14594" width="15.6328125" style="56" customWidth="1"/>
    <col min="14595" max="14596" width="11.6328125" style="56" customWidth="1"/>
    <col min="14597" max="14597" width="12.6328125" style="56" customWidth="1"/>
    <col min="14598" max="14598" width="10.6328125" style="56" customWidth="1"/>
    <col min="14599" max="14600" width="11.6328125" style="56" customWidth="1"/>
    <col min="14601" max="14601" width="10.6328125" style="56" customWidth="1"/>
    <col min="14602" max="14602" width="12.6328125" style="56" customWidth="1"/>
    <col min="14603" max="14848" width="9.1796875" style="56" customWidth="1"/>
    <col min="14849" max="14849" width="12.6328125" style="56" customWidth="1"/>
    <col min="14850" max="14850" width="15.6328125" style="56" customWidth="1"/>
    <col min="14851" max="14852" width="11.6328125" style="56" customWidth="1"/>
    <col min="14853" max="14853" width="12.6328125" style="56" customWidth="1"/>
    <col min="14854" max="14854" width="10.6328125" style="56" customWidth="1"/>
    <col min="14855" max="14856" width="11.6328125" style="56" customWidth="1"/>
    <col min="14857" max="14857" width="10.6328125" style="56" customWidth="1"/>
    <col min="14858" max="14858" width="12.6328125" style="56" customWidth="1"/>
    <col min="14859" max="15104" width="9.1796875" style="56" customWidth="1"/>
    <col min="15105" max="15105" width="12.6328125" style="56" customWidth="1"/>
    <col min="15106" max="15106" width="15.6328125" style="56" customWidth="1"/>
    <col min="15107" max="15108" width="11.6328125" style="56" customWidth="1"/>
    <col min="15109" max="15109" width="12.6328125" style="56" customWidth="1"/>
    <col min="15110" max="15110" width="10.6328125" style="56" customWidth="1"/>
    <col min="15111" max="15112" width="11.6328125" style="56" customWidth="1"/>
    <col min="15113" max="15113" width="10.6328125" style="56" customWidth="1"/>
    <col min="15114" max="15114" width="12.6328125" style="56" customWidth="1"/>
    <col min="15115" max="15360" width="9.1796875" style="56" customWidth="1"/>
    <col min="15361" max="15361" width="12.6328125" style="56" customWidth="1"/>
    <col min="15362" max="15362" width="15.6328125" style="56" customWidth="1"/>
    <col min="15363" max="15364" width="11.6328125" style="56" customWidth="1"/>
    <col min="15365" max="15365" width="12.6328125" style="56" customWidth="1"/>
    <col min="15366" max="15366" width="10.6328125" style="56" customWidth="1"/>
    <col min="15367" max="15368" width="11.6328125" style="56" customWidth="1"/>
    <col min="15369" max="15369" width="10.6328125" style="56" customWidth="1"/>
    <col min="15370" max="15370" width="12.6328125" style="56" customWidth="1"/>
    <col min="15371" max="15616" width="9.1796875" style="56" customWidth="1"/>
    <col min="15617" max="15617" width="12.6328125" style="56" customWidth="1"/>
    <col min="15618" max="15618" width="15.6328125" style="56" customWidth="1"/>
    <col min="15619" max="15620" width="11.6328125" style="56" customWidth="1"/>
    <col min="15621" max="15621" width="12.6328125" style="56" customWidth="1"/>
    <col min="15622" max="15622" width="10.6328125" style="56" customWidth="1"/>
    <col min="15623" max="15624" width="11.6328125" style="56" customWidth="1"/>
    <col min="15625" max="15625" width="10.6328125" style="56" customWidth="1"/>
    <col min="15626" max="15626" width="12.6328125" style="56" customWidth="1"/>
    <col min="15627" max="15872" width="9.1796875" style="56" customWidth="1"/>
    <col min="15873" max="15873" width="12.6328125" style="56" customWidth="1"/>
    <col min="15874" max="15874" width="15.6328125" style="56" customWidth="1"/>
    <col min="15875" max="15876" width="11.6328125" style="56" customWidth="1"/>
    <col min="15877" max="15877" width="12.6328125" style="56" customWidth="1"/>
    <col min="15878" max="15878" width="10.6328125" style="56" customWidth="1"/>
    <col min="15879" max="15880" width="11.6328125" style="56" customWidth="1"/>
    <col min="15881" max="15881" width="10.6328125" style="56" customWidth="1"/>
    <col min="15882" max="15882" width="12.6328125" style="56" customWidth="1"/>
    <col min="15883" max="16128" width="9.1796875" style="56" customWidth="1"/>
    <col min="16129" max="16129" width="12.6328125" style="56" customWidth="1"/>
    <col min="16130" max="16130" width="15.6328125" style="56" customWidth="1"/>
    <col min="16131" max="16132" width="11.6328125" style="56" customWidth="1"/>
    <col min="16133" max="16133" width="12.6328125" style="56" customWidth="1"/>
    <col min="16134" max="16134" width="10.6328125" style="56" customWidth="1"/>
    <col min="16135" max="16136" width="11.6328125" style="56" customWidth="1"/>
    <col min="16137" max="16137" width="10.6328125" style="56" customWidth="1"/>
    <col min="16138" max="16138" width="12.6328125" style="56" customWidth="1"/>
    <col min="16139" max="16384" width="9.1796875" style="56" customWidth="1"/>
  </cols>
  <sheetData>
    <row r="1" spans="1:10" x14ac:dyDescent="0.35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35">
      <c r="A2" s="79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35">
      <c r="A3" s="79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35">
      <c r="A4" s="79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35">
      <c r="A5" s="79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35">
      <c r="A6" s="79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35">
      <c r="A7" s="79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35">
      <c r="A8" s="79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35">
      <c r="A9" s="79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35">
      <c r="A10" s="79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35">
      <c r="A11" s="79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35">
      <c r="A12" s="79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35">
      <c r="A13" s="79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35">
      <c r="A14" s="79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35">
      <c r="A15" s="79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35">
      <c r="A16" s="79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35">
      <c r="A17" s="79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35">
      <c r="A18" s="79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35">
      <c r="A19" s="79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35">
      <c r="A20" s="79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35">
      <c r="A21" s="79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35">
      <c r="A22" s="79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35">
      <c r="A23" s="79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35">
      <c r="A24" s="79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35">
      <c r="A25" s="79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35">
      <c r="A26" s="79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35">
      <c r="A27" s="79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35">
      <c r="A28" s="79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35">
      <c r="A29" s="79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35">
      <c r="A30" s="79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35">
      <c r="A31" s="79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35">
      <c r="A32" s="79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35">
      <c r="A33" s="79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35">
      <c r="A34" s="79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35">
      <c r="A35" s="79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35">
      <c r="A36" s="79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35">
      <c r="A37" s="79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35">
      <c r="A38" s="79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35">
      <c r="A39" s="79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35">
      <c r="A40" s="79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35">
      <c r="A41" s="79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35">
      <c r="A42" s="79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35">
      <c r="A43" s="79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35">
      <c r="A44" s="79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35">
      <c r="A45" s="79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35">
      <c r="A46" s="79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35">
      <c r="A47" s="79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35">
      <c r="A48" s="79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35">
      <c r="A49" s="79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35">
      <c r="A50" s="79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35">
      <c r="A51" s="79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35">
      <c r="A52" s="79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35">
      <c r="A53" s="79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35">
      <c r="A54" s="79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35">
      <c r="A55" s="79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35">
      <c r="A56" s="79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35">
      <c r="A57" s="79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35">
      <c r="A58" s="79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35">
      <c r="A59" s="79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35">
      <c r="A60" s="79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35">
      <c r="A61" s="79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35">
      <c r="A62" s="79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35">
      <c r="A63" s="79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35">
      <c r="A64" s="79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35">
      <c r="A65" s="79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35">
      <c r="A66" s="79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35">
      <c r="A67" s="79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35">
      <c r="A68" s="79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35">
      <c r="A69" s="79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35">
      <c r="A70" s="79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35">
      <c r="A71" s="79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35">
      <c r="A72" s="79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35">
      <c r="A73" s="79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35">
      <c r="A74" s="79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35">
      <c r="A75" s="79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35">
      <c r="A76" s="79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35">
      <c r="A77" s="79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35">
      <c r="A78" s="79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35">
      <c r="A79" s="79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35">
      <c r="A80" s="79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35">
      <c r="A81" s="79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35">
      <c r="A82" s="79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35">
      <c r="A83" s="79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35">
      <c r="A84" s="79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35">
      <c r="A85" s="79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35">
      <c r="A86" s="79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35">
      <c r="A87" s="79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35">
      <c r="A88" s="79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35">
      <c r="A89" s="79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35">
      <c r="A90" s="79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35">
      <c r="A91" s="79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35">
      <c r="A92" s="79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35">
      <c r="A93" s="79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35">
      <c r="A94" s="79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35">
      <c r="A95" s="79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35">
      <c r="A96" s="79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35">
      <c r="A97" s="79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35">
      <c r="A98" s="79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35">
      <c r="A99" s="79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35">
      <c r="A100" s="79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35">
      <c r="A101" s="79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35">
      <c r="A102" s="79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35">
      <c r="A103" s="79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35">
      <c r="A104" s="79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35">
      <c r="A105" s="79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35">
      <c r="A106" s="79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35">
      <c r="A107" s="79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35">
      <c r="A108" s="79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35">
      <c r="A109" s="79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35">
      <c r="A110" s="79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35">
      <c r="A111" s="79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35">
      <c r="A112" s="79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35">
      <c r="A113" s="79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35">
      <c r="A114" s="79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35">
      <c r="A115" s="79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35">
      <c r="A116" s="79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35">
      <c r="A117" s="79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35">
      <c r="A118" s="79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35">
      <c r="A119" s="79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35">
      <c r="A120" s="79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35">
      <c r="A121" s="79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35">
      <c r="A122" s="79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35">
      <c r="A123" s="79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35">
      <c r="A124" s="79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35">
      <c r="A125" s="79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35">
      <c r="A126" s="79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35">
      <c r="A127" s="79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35">
      <c r="A128" s="79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35">
      <c r="A129" s="79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35">
      <c r="A130" s="79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35">
      <c r="A131" s="79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35">
      <c r="A132" s="79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35">
      <c r="A133" s="79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35">
      <c r="A134" s="79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35">
      <c r="A135" s="79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35">
      <c r="A136" s="79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35">
      <c r="A137" s="79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35">
      <c r="A138" s="79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35">
      <c r="A139" s="79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35">
      <c r="A140" s="79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35">
      <c r="A141" s="79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35">
      <c r="A142" s="79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35">
      <c r="A143" s="79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35">
      <c r="A144" s="79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35">
      <c r="A145" s="79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35">
      <c r="A146" s="79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35">
      <c r="A147" s="79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35">
      <c r="A148" s="79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35">
      <c r="A149" s="79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35">
      <c r="A150" s="79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35">
      <c r="A151" s="79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35">
      <c r="A152" s="79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35">
      <c r="A153" s="79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35">
      <c r="A154" s="79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35">
      <c r="A155" s="79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35">
      <c r="A156" s="79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35">
      <c r="A157" s="79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35">
      <c r="A158" s="79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35">
      <c r="A159" s="79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35">
      <c r="A160" s="79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35">
      <c r="A161" s="79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35">
      <c r="A162" s="79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35">
      <c r="A163" s="79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35">
      <c r="A164" s="79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35">
      <c r="A165" s="79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35">
      <c r="A166" s="79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35">
      <c r="A167" s="79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35">
      <c r="A168" s="79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35">
      <c r="A169" s="79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35">
      <c r="A170" s="79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35">
      <c r="A171" s="79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35">
      <c r="A172" s="79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35">
      <c r="A173" s="79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35">
      <c r="A174" s="79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35">
      <c r="A175" s="79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35">
      <c r="A176" s="79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35">
      <c r="A177" s="79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35">
      <c r="A178" s="79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35">
      <c r="A179" s="79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35">
      <c r="A180" s="79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35">
      <c r="A181" s="79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35">
      <c r="A182" s="79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35">
      <c r="A183" s="79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35">
      <c r="A184" s="79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35">
      <c r="A185" s="79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35">
      <c r="A186" s="79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35">
      <c r="A187" s="79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35">
      <c r="A188" s="79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35">
      <c r="A189" s="79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35">
      <c r="A190" s="79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35">
      <c r="A191" s="79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35">
      <c r="A192" s="79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35">
      <c r="A193" s="79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35">
      <c r="A194" s="79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35">
      <c r="A195" s="79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35">
      <c r="A196" s="79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35">
      <c r="A197" s="79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35">
      <c r="A198" s="79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35">
      <c r="A199" s="79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35">
      <c r="A200" s="79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35">
      <c r="A201" s="79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35">
      <c r="A202" s="79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35">
      <c r="A203" s="79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35">
      <c r="A204" s="79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35">
      <c r="A205" s="79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35">
      <c r="A206" s="79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35">
      <c r="A207" s="79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35">
      <c r="A208" s="79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35">
      <c r="A209" s="79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35">
      <c r="A210" s="79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35">
      <c r="A211" s="79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35">
      <c r="A212" s="79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35">
      <c r="A213" s="79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35">
      <c r="A214" s="79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35">
      <c r="A215" s="79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35">
      <c r="A216" s="79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35">
      <c r="A217" s="79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35">
      <c r="A218" s="79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35">
      <c r="A219" s="79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35">
      <c r="A220" s="79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35">
      <c r="A221" s="79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35">
      <c r="A222" s="79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35">
      <c r="A223" s="79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35">
      <c r="A224" s="79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35">
      <c r="A225" s="79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35">
      <c r="A226" s="79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35">
      <c r="A227" s="79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35">
      <c r="A228" s="79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35">
      <c r="A229" s="79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35">
      <c r="A230" s="79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35">
      <c r="A231" s="79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35">
      <c r="A232" s="79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35">
      <c r="A233" s="79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35">
      <c r="A234" s="79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35">
      <c r="A235" s="79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35">
      <c r="A236" s="79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35">
      <c r="A237" s="79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35">
      <c r="A238" s="79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35">
      <c r="A239" s="79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35">
      <c r="A240" s="79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35">
      <c r="A241" s="79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35">
      <c r="A242" s="79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35">
      <c r="A243" s="79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35">
      <c r="A244" s="79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35">
      <c r="A245" s="79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35">
      <c r="A246" s="79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35">
      <c r="A247" s="79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35">
      <c r="A248" s="79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35">
      <c r="A249" s="79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35">
      <c r="A250" s="79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35">
      <c r="A251" s="79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35">
      <c r="A252" s="79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35">
      <c r="A253" s="79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35">
      <c r="A254" s="79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35">
      <c r="A255" s="79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35">
      <c r="A256" s="79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35">
      <c r="A257" s="79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35">
      <c r="A258" s="79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35">
      <c r="A259" s="79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35">
      <c r="A260" s="79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35">
      <c r="A261" s="79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35">
      <c r="A262" s="79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35">
      <c r="A263" s="79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35">
      <c r="A264" s="79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35">
      <c r="A265" s="79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35">
      <c r="A266" s="79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35">
      <c r="A267" s="79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35">
      <c r="A268" s="79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35">
      <c r="A269" s="79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35">
      <c r="A270" s="79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35">
      <c r="A271" s="79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35">
      <c r="A272" s="79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35">
      <c r="A273" s="79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35">
      <c r="A274" s="79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35">
      <c r="A275" s="79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35">
      <c r="A276" s="79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35">
      <c r="A277" s="79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35">
      <c r="A278" s="79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35">
      <c r="A279" s="79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35">
      <c r="A280" s="79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35">
      <c r="A281" s="79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35">
      <c r="A282" s="79">
        <v>42736</v>
      </c>
      <c r="B282">
        <v>1.9</v>
      </c>
      <c r="C282">
        <v>2460.7539999999999</v>
      </c>
      <c r="D282">
        <v>3152.232</v>
      </c>
      <c r="E282">
        <v>17889.094000000001</v>
      </c>
      <c r="F282">
        <v>107.02200000000001</v>
      </c>
      <c r="G282">
        <v>3131.9169999999999</v>
      </c>
      <c r="H282">
        <v>3241.8359999999998</v>
      </c>
      <c r="I282">
        <v>107.328</v>
      </c>
      <c r="J282">
        <v>12369.906999999999</v>
      </c>
    </row>
    <row r="283" spans="1:10" x14ac:dyDescent="0.35">
      <c r="A283" s="79">
        <v>42826</v>
      </c>
      <c r="B283">
        <v>1.5</v>
      </c>
      <c r="C283">
        <v>2468.9459999999999</v>
      </c>
      <c r="D283">
        <v>3157.8739999999998</v>
      </c>
      <c r="E283">
        <v>17979.218000000001</v>
      </c>
      <c r="F283">
        <v>107.363</v>
      </c>
      <c r="G283">
        <v>3187.7809999999999</v>
      </c>
      <c r="H283">
        <v>3273.4029999999998</v>
      </c>
      <c r="I283">
        <v>107.738</v>
      </c>
      <c r="J283">
        <v>12419.406999999999</v>
      </c>
    </row>
    <row r="284" spans="1:10" x14ac:dyDescent="0.35">
      <c r="A284" s="79">
        <v>42917</v>
      </c>
      <c r="B284">
        <v>1.3</v>
      </c>
      <c r="C284">
        <v>2483.4670000000001</v>
      </c>
      <c r="D284">
        <v>3157.0859999999998</v>
      </c>
      <c r="E284">
        <v>18127.993999999999</v>
      </c>
      <c r="F284">
        <v>107.94799999999999</v>
      </c>
      <c r="G284">
        <v>3250.8249999999998</v>
      </c>
      <c r="H284">
        <v>3270.7570000000001</v>
      </c>
      <c r="I284">
        <v>108.077</v>
      </c>
      <c r="J284">
        <v>12493.466</v>
      </c>
    </row>
    <row r="285" spans="1:10" x14ac:dyDescent="0.35">
      <c r="A285" s="79">
        <v>43009</v>
      </c>
      <c r="B285">
        <v>2</v>
      </c>
      <c r="C285">
        <v>2547.9969999999998</v>
      </c>
      <c r="D285">
        <v>3181.9989999999998</v>
      </c>
      <c r="E285">
        <v>18310.3</v>
      </c>
      <c r="F285">
        <v>108.639</v>
      </c>
      <c r="G285">
        <v>3293.4409999999998</v>
      </c>
      <c r="H285">
        <v>3362.9569999999999</v>
      </c>
      <c r="I285">
        <v>108.608</v>
      </c>
      <c r="J285">
        <v>12630.132</v>
      </c>
    </row>
    <row r="286" spans="1:10" x14ac:dyDescent="0.35">
      <c r="A286" s="79">
        <v>43101</v>
      </c>
      <c r="B286">
        <v>2.6</v>
      </c>
      <c r="C286">
        <v>2564.6610000000001</v>
      </c>
      <c r="D286">
        <v>3187.7139999999999</v>
      </c>
      <c r="E286">
        <v>18437.127</v>
      </c>
      <c r="F286">
        <v>109.36499999999999</v>
      </c>
      <c r="G286">
        <v>3342.884</v>
      </c>
      <c r="H286">
        <v>3391.2579999999998</v>
      </c>
      <c r="I286">
        <v>109.318</v>
      </c>
      <c r="J286">
        <v>12713.156000000001</v>
      </c>
    </row>
    <row r="287" spans="1:10" x14ac:dyDescent="0.35">
      <c r="A287" s="79">
        <v>43191</v>
      </c>
      <c r="B287">
        <v>2.2000000000000002</v>
      </c>
      <c r="C287">
        <v>2578.61</v>
      </c>
      <c r="D287">
        <v>3210.0369999999998</v>
      </c>
      <c r="E287">
        <v>18565.697</v>
      </c>
      <c r="F287">
        <v>110.176</v>
      </c>
      <c r="G287">
        <v>3349.047</v>
      </c>
      <c r="H287">
        <v>3395.2829999999999</v>
      </c>
      <c r="I287">
        <v>109.926</v>
      </c>
      <c r="J287">
        <v>12805.609</v>
      </c>
    </row>
    <row r="288" spans="1:10" x14ac:dyDescent="0.35">
      <c r="A288" s="79">
        <v>43282</v>
      </c>
      <c r="B288">
        <v>1.4</v>
      </c>
      <c r="C288">
        <v>2544.5520000000001</v>
      </c>
      <c r="D288">
        <v>3231.3359999999998</v>
      </c>
      <c r="E288">
        <v>18699.748</v>
      </c>
      <c r="F288">
        <v>110.68</v>
      </c>
      <c r="G288">
        <v>3453.0590000000002</v>
      </c>
      <c r="H288">
        <v>3441.0680000000002</v>
      </c>
      <c r="I288">
        <v>110.313</v>
      </c>
      <c r="J288">
        <v>12887.074000000001</v>
      </c>
    </row>
    <row r="289" spans="1:10" x14ac:dyDescent="0.35">
      <c r="A289" s="79">
        <v>43374</v>
      </c>
      <c r="B289">
        <v>1.9</v>
      </c>
      <c r="C289">
        <v>2552.4369999999999</v>
      </c>
      <c r="D289">
        <v>3232.3029999999999</v>
      </c>
      <c r="E289">
        <v>18733.741000000002</v>
      </c>
      <c r="F289">
        <v>111.155</v>
      </c>
      <c r="G289">
        <v>3450.6080000000002</v>
      </c>
      <c r="H289">
        <v>3474.268</v>
      </c>
      <c r="I289">
        <v>110.822</v>
      </c>
      <c r="J289">
        <v>12943.375</v>
      </c>
    </row>
    <row r="290" spans="1:10" x14ac:dyDescent="0.35">
      <c r="A290" s="79">
        <v>43466</v>
      </c>
      <c r="B290">
        <v>1.5</v>
      </c>
      <c r="C290">
        <v>2582.2849999999999</v>
      </c>
      <c r="D290">
        <v>3270.9659999999999</v>
      </c>
      <c r="E290">
        <v>18835.411</v>
      </c>
      <c r="F290">
        <v>111.56</v>
      </c>
      <c r="G290">
        <v>3484.3490000000002</v>
      </c>
      <c r="H290">
        <v>3485.931</v>
      </c>
      <c r="I290">
        <v>111.23</v>
      </c>
      <c r="J290">
        <v>12955.727000000001</v>
      </c>
    </row>
    <row r="291" spans="1:10" x14ac:dyDescent="0.35">
      <c r="A291" s="79">
        <v>43556</v>
      </c>
      <c r="B291">
        <v>2.1</v>
      </c>
      <c r="C291">
        <v>2567.2809999999999</v>
      </c>
      <c r="D291">
        <v>3313.8</v>
      </c>
      <c r="E291">
        <v>18962.174999999999</v>
      </c>
      <c r="F291">
        <v>112.184</v>
      </c>
      <c r="G291">
        <v>3504.855</v>
      </c>
      <c r="H291">
        <v>3491.7510000000002</v>
      </c>
      <c r="I291">
        <v>111.80800000000001</v>
      </c>
      <c r="J291">
        <v>13038.853999999999</v>
      </c>
    </row>
    <row r="292" spans="1:10" x14ac:dyDescent="0.35">
      <c r="A292" s="79">
        <v>43647</v>
      </c>
      <c r="B292">
        <v>1.6</v>
      </c>
      <c r="C292">
        <v>2567.0100000000002</v>
      </c>
      <c r="D292">
        <v>3341.2289999999998</v>
      </c>
      <c r="E292">
        <v>19130.932000000001</v>
      </c>
      <c r="F292">
        <v>112.55800000000001</v>
      </c>
      <c r="G292">
        <v>3527.1930000000002</v>
      </c>
      <c r="H292">
        <v>3476.3820000000001</v>
      </c>
      <c r="I292">
        <v>112.255</v>
      </c>
      <c r="J292">
        <v>13148.857</v>
      </c>
    </row>
    <row r="293" spans="1:10" x14ac:dyDescent="0.35">
      <c r="A293" s="79">
        <v>43739</v>
      </c>
      <c r="B293">
        <v>1.2</v>
      </c>
      <c r="C293">
        <v>2571.8449999999998</v>
      </c>
      <c r="D293">
        <v>3360.85</v>
      </c>
      <c r="E293">
        <v>19215.690999999999</v>
      </c>
      <c r="F293">
        <v>112.91</v>
      </c>
      <c r="G293">
        <v>3454.3539999999998</v>
      </c>
      <c r="H293">
        <v>3404.66</v>
      </c>
      <c r="I293">
        <v>112.59699999999999</v>
      </c>
      <c r="J293">
        <v>13225.609</v>
      </c>
    </row>
    <row r="294" spans="1:10" x14ac:dyDescent="0.35">
      <c r="A294" s="79">
        <v>43831</v>
      </c>
      <c r="B294">
        <v>1.9</v>
      </c>
      <c r="C294">
        <v>2467.3040000000001</v>
      </c>
      <c r="D294">
        <v>3387.944</v>
      </c>
      <c r="E294">
        <v>18989.877</v>
      </c>
      <c r="F294">
        <v>113.42700000000001</v>
      </c>
      <c r="G294">
        <v>3409.8829999999998</v>
      </c>
      <c r="H294">
        <v>3295.4929999999999</v>
      </c>
      <c r="I294">
        <v>113.119</v>
      </c>
      <c r="J294">
        <v>13016.75</v>
      </c>
    </row>
    <row r="295" spans="1:10" x14ac:dyDescent="0.35">
      <c r="A295" s="79">
        <v>43922</v>
      </c>
      <c r="B295">
        <v>-1</v>
      </c>
      <c r="C295">
        <v>1951.3679999999999</v>
      </c>
      <c r="D295">
        <v>3448.0430000000001</v>
      </c>
      <c r="E295">
        <v>17378.712</v>
      </c>
      <c r="F295">
        <v>113.053</v>
      </c>
      <c r="G295">
        <v>2884.223</v>
      </c>
      <c r="H295">
        <v>2718.6190000000001</v>
      </c>
      <c r="I295">
        <v>112.846</v>
      </c>
      <c r="J295">
        <v>11817.147000000001</v>
      </c>
    </row>
    <row r="296" spans="1:10" x14ac:dyDescent="0.35">
      <c r="A296" s="79">
        <v>44013</v>
      </c>
      <c r="B296">
        <v>3.2</v>
      </c>
      <c r="C296">
        <v>2193.0329999999999</v>
      </c>
      <c r="D296">
        <v>3395.877</v>
      </c>
      <c r="E296">
        <v>18743.72</v>
      </c>
      <c r="F296">
        <v>114.032</v>
      </c>
      <c r="G296">
        <v>3394.1419999999998</v>
      </c>
      <c r="H296">
        <v>3184.18</v>
      </c>
      <c r="I296">
        <v>113.729</v>
      </c>
      <c r="J296">
        <v>12922.380999999999</v>
      </c>
    </row>
    <row r="297" spans="1:10" x14ac:dyDescent="0.35">
      <c r="A297" s="79">
        <v>44105</v>
      </c>
      <c r="B297">
        <v>1.5</v>
      </c>
      <c r="C297">
        <v>2315.0329999999999</v>
      </c>
      <c r="D297">
        <v>3394.7950000000001</v>
      </c>
      <c r="E297">
        <v>18924.261999999999</v>
      </c>
      <c r="F297">
        <v>114.744</v>
      </c>
      <c r="G297">
        <v>3537.645</v>
      </c>
      <c r="H297">
        <v>3419.0010000000002</v>
      </c>
      <c r="I297">
        <v>114.163</v>
      </c>
      <c r="J297">
        <v>13046.614</v>
      </c>
    </row>
    <row r="298" spans="1:10" x14ac:dyDescent="0.35">
      <c r="A298" s="79">
        <v>44197</v>
      </c>
      <c r="B298">
        <v>3.2</v>
      </c>
      <c r="C298">
        <v>2317.5050000000001</v>
      </c>
      <c r="D298">
        <v>3448.7429999999999</v>
      </c>
      <c r="E298">
        <v>19216.223999999998</v>
      </c>
      <c r="F298">
        <v>116.199</v>
      </c>
      <c r="G298">
        <v>3489.2939999999999</v>
      </c>
      <c r="H298">
        <v>3482.0349999999999</v>
      </c>
      <c r="I298">
        <v>115.072</v>
      </c>
      <c r="J298">
        <v>13386.763000000001</v>
      </c>
    </row>
    <row r="299" spans="1:10" x14ac:dyDescent="0.35">
      <c r="A299" s="79">
        <v>44287</v>
      </c>
      <c r="B299">
        <v>6</v>
      </c>
      <c r="C299">
        <v>2345.1320000000001</v>
      </c>
      <c r="D299">
        <v>3422.3629999999998</v>
      </c>
      <c r="E299">
        <v>19544.248</v>
      </c>
      <c r="F299">
        <v>117.974</v>
      </c>
      <c r="G299">
        <v>3496.8670000000002</v>
      </c>
      <c r="H299">
        <v>3549.002</v>
      </c>
      <c r="I299">
        <v>116.774</v>
      </c>
      <c r="J299">
        <v>13773.688</v>
      </c>
    </row>
    <row r="300" spans="1:10" x14ac:dyDescent="0.35">
      <c r="A300" s="79">
        <v>44378</v>
      </c>
      <c r="B300">
        <v>4.8</v>
      </c>
      <c r="C300">
        <v>2338.8249999999998</v>
      </c>
      <c r="D300">
        <v>3421.0459999999998</v>
      </c>
      <c r="E300">
        <v>19672.594000000001</v>
      </c>
      <c r="F300">
        <v>119.76300000000001</v>
      </c>
      <c r="G300">
        <v>3584.05</v>
      </c>
      <c r="H300">
        <v>3606.2829999999999</v>
      </c>
      <c r="I300">
        <v>118.152</v>
      </c>
      <c r="J300">
        <v>13874.396000000001</v>
      </c>
    </row>
    <row r="301" spans="1:10" x14ac:dyDescent="0.35">
      <c r="A301" s="79">
        <v>44470</v>
      </c>
      <c r="B301">
        <v>4.8</v>
      </c>
      <c r="C301">
        <v>2465.672</v>
      </c>
      <c r="D301">
        <v>3412.8580000000002</v>
      </c>
      <c r="E301">
        <v>20006.181</v>
      </c>
      <c r="F301">
        <v>121.758</v>
      </c>
      <c r="G301">
        <v>3841.7710000000002</v>
      </c>
      <c r="H301">
        <v>3763.3159999999998</v>
      </c>
      <c r="I301">
        <v>119.55500000000001</v>
      </c>
      <c r="J301">
        <v>13981.513999999999</v>
      </c>
    </row>
    <row r="302" spans="1:10" x14ac:dyDescent="0.35">
      <c r="A302" s="79">
        <v>44562</v>
      </c>
      <c r="B302">
        <v>5.6</v>
      </c>
      <c r="C302">
        <v>2436.9340000000002</v>
      </c>
      <c r="D302">
        <v>3393.3890000000001</v>
      </c>
      <c r="E302">
        <v>19924.088</v>
      </c>
      <c r="F302">
        <v>124.209</v>
      </c>
      <c r="G302">
        <v>3892.48</v>
      </c>
      <c r="H302">
        <v>3925.6329999999998</v>
      </c>
      <c r="I302">
        <v>121.206</v>
      </c>
      <c r="J302">
        <v>14028.383</v>
      </c>
    </row>
    <row r="303" spans="1:10" x14ac:dyDescent="0.35">
      <c r="A303" s="79">
        <v>44652</v>
      </c>
      <c r="B303">
        <v>4.7</v>
      </c>
      <c r="C303">
        <v>2516.9279999999999</v>
      </c>
      <c r="D303">
        <v>3379.4989999999998</v>
      </c>
      <c r="E303">
        <v>19895.271000000001</v>
      </c>
      <c r="F303">
        <v>126.914</v>
      </c>
      <c r="G303">
        <v>3746.973</v>
      </c>
      <c r="H303">
        <v>3947.4720000000002</v>
      </c>
      <c r="I303">
        <v>122.592</v>
      </c>
      <c r="J303">
        <v>14099.456</v>
      </c>
    </row>
    <row r="304" spans="1:10" x14ac:dyDescent="0.35">
      <c r="A304" s="79">
        <v>44743</v>
      </c>
      <c r="B304">
        <v>4.5999999999999996</v>
      </c>
      <c r="C304">
        <v>2608.2649999999999</v>
      </c>
      <c r="D304">
        <v>3404.922</v>
      </c>
      <c r="E304">
        <v>20039.405999999999</v>
      </c>
      <c r="F304">
        <v>128.24799999999999</v>
      </c>
      <c r="G304">
        <v>3658.8040000000001</v>
      </c>
      <c r="H304">
        <v>3872.9789999999998</v>
      </c>
      <c r="I304">
        <v>123.977</v>
      </c>
      <c r="J304">
        <v>14159.892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8"/>
  <sheetViews>
    <sheetView zoomScale="70" zoomScaleNormal="70" workbookViewId="0">
      <pane ySplit="5" topLeftCell="A281" activePane="bottomLeft" state="frozen"/>
      <selection activeCell="I311" sqref="I311"/>
      <selection pane="bottomLeft" activeCell="U333" sqref="U333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21.36328125" style="56" customWidth="1"/>
    <col min="6" max="17" width="10.81640625" style="56" customWidth="1"/>
    <col min="18" max="16384" width="10.81640625" style="56"/>
  </cols>
  <sheetData>
    <row r="1" spans="1:16" ht="16" customHeight="1" x14ac:dyDescent="0.35">
      <c r="A1" s="38" t="s">
        <v>18</v>
      </c>
      <c r="B1" s="39" t="s">
        <v>25</v>
      </c>
      <c r="C1" s="13"/>
      <c r="D1" s="15" t="s">
        <v>26</v>
      </c>
      <c r="E1" s="14"/>
      <c r="F1" s="14"/>
      <c r="G1" s="14"/>
      <c r="H1" s="14"/>
      <c r="I1" s="15" t="s">
        <v>27</v>
      </c>
      <c r="J1" s="14"/>
      <c r="K1" s="14"/>
      <c r="L1" s="77"/>
      <c r="M1" s="77"/>
      <c r="N1" s="77"/>
      <c r="O1" s="77"/>
      <c r="P1" s="77"/>
    </row>
    <row r="2" spans="1:16" x14ac:dyDescent="0.35">
      <c r="A2" s="60" t="s">
        <v>28</v>
      </c>
      <c r="B2" s="12"/>
      <c r="C2" s="13"/>
      <c r="D2" s="13"/>
      <c r="E2" s="14"/>
      <c r="F2" s="61"/>
      <c r="G2" s="14"/>
      <c r="H2" s="16"/>
      <c r="I2" s="14" t="s">
        <v>29</v>
      </c>
      <c r="J2" s="14"/>
      <c r="K2" s="14"/>
      <c r="L2" s="77"/>
      <c r="M2" s="77"/>
      <c r="N2" s="77"/>
      <c r="O2" s="77"/>
      <c r="P2" s="77"/>
    </row>
    <row r="3" spans="1:16" x14ac:dyDescent="0.35">
      <c r="A3" s="62"/>
      <c r="B3" s="12"/>
      <c r="C3" s="13"/>
      <c r="D3" s="13"/>
      <c r="E3" s="14"/>
      <c r="F3" s="14"/>
      <c r="G3" s="14"/>
      <c r="H3" s="14"/>
      <c r="I3" s="14"/>
      <c r="J3" s="14"/>
      <c r="K3" s="14"/>
      <c r="L3" s="77"/>
      <c r="M3" s="77"/>
      <c r="N3" s="77"/>
      <c r="O3" s="77"/>
      <c r="P3" s="77"/>
    </row>
    <row r="4" spans="1:16" x14ac:dyDescent="0.35">
      <c r="A4" s="62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7"/>
      <c r="M4" s="77"/>
      <c r="N4" s="77"/>
      <c r="O4" s="77"/>
      <c r="P4" s="77"/>
    </row>
    <row r="5" spans="1:16" x14ac:dyDescent="0.35">
      <c r="A5" s="49" t="s">
        <v>30</v>
      </c>
      <c r="B5" s="63" t="s">
        <v>31</v>
      </c>
      <c r="C5" s="50" t="s">
        <v>32</v>
      </c>
      <c r="D5" s="51" t="s">
        <v>33</v>
      </c>
      <c r="E5" s="52" t="s">
        <v>34</v>
      </c>
    </row>
    <row r="6" spans="1:16" x14ac:dyDescent="0.35">
      <c r="A6" s="35">
        <v>17168</v>
      </c>
      <c r="B6" s="64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4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4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4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4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4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4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4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4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4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4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4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4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4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4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4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4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4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4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4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4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4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4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4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4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4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4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4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4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4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4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4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4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4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4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4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4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4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4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4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4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4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4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4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4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4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4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4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4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4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4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4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4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4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4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4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4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4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4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4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4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4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4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4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4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4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4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4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4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4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4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4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4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4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4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4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4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4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4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4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4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4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4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4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4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4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4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4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4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4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4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4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4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4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4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4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4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4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4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4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4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4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4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4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4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4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4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4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4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4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4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4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4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4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4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4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4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4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4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4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4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4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4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4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4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4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4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4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4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4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4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4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4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4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4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4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4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4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4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4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4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4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4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4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4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4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4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4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4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4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4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4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4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4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4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4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4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4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4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4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4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4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4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4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4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4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4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4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4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4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4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4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4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4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4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4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4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4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4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4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4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4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4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4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4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4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4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4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4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4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4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4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4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4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4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4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4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4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4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4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4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4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4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4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4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4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4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4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4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4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4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4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4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4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4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4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4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4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4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4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4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4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4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4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4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4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4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4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4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4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4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4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4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4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4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4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4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4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4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4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4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4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4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4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4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4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4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4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4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4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4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4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4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4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4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4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4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8" si="12">((1+C262)^4)-1</f>
        <v>-9.6018742909375066E-3</v>
      </c>
    </row>
    <row r="263" spans="1:5" x14ac:dyDescent="0.35">
      <c r="A263" s="35">
        <v>40634</v>
      </c>
      <c r="B263" s="64">
        <f>VLOOKUP(A263,Database!A:L,MATCH($A$1,Database!$A$1:$L$1,),)</f>
        <v>15876.839</v>
      </c>
      <c r="C263" s="37">
        <f t="shared" ref="C263:C326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4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4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4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29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4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4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4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4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4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4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4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4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4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4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4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4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4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4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4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4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4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4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4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4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4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4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4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4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4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4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4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4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4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4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4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4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4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4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4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4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4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5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4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4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4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4">
        <f>VLOOKUP(A308,Database!A:L,MATCH($A$1,Database!$A$1:$L$1,),)</f>
        <v>20039.405999999999</v>
      </c>
      <c r="C308" s="37">
        <f t="shared" si="13"/>
        <v>7.2446864382997543E-3</v>
      </c>
      <c r="D308" s="36">
        <f t="shared" si="14"/>
        <v>1.8645837961175738E-2</v>
      </c>
      <c r="E308" s="36">
        <f t="shared" si="12"/>
        <v>2.9295182360887351E-2</v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topLeftCell="T1" zoomScale="120" zoomScaleNormal="120" workbookViewId="0">
      <pane ySplit="3" topLeftCell="A31" activePane="bottomLeft" state="frozen"/>
      <selection pane="bottomLeft" activeCell="A4" sqref="A4:XFD4"/>
    </sheetView>
  </sheetViews>
  <sheetFormatPr defaultColWidth="8.81640625" defaultRowHeight="14.5" x14ac:dyDescent="0.35"/>
  <cols>
    <col min="1" max="2" width="1" style="77" customWidth="1"/>
    <col min="3" max="3" width="6.36328125" style="56" customWidth="1"/>
    <col min="4" max="4" width="7.6328125" style="56" customWidth="1"/>
    <col min="5" max="6" width="5.6328125" style="56" customWidth="1"/>
    <col min="7" max="7" width="3.36328125" style="77" customWidth="1"/>
    <col min="8" max="8" width="6.453125" style="56" customWidth="1"/>
    <col min="9" max="9" width="7.6328125" style="56" customWidth="1"/>
    <col min="10" max="11" width="5.6328125" style="56" customWidth="1"/>
    <col min="12" max="12" width="3.36328125" style="77" customWidth="1"/>
    <col min="13" max="13" width="6.36328125" style="56" customWidth="1"/>
    <col min="14" max="14" width="9.1796875" style="56" customWidth="1"/>
    <col min="15" max="16" width="5.6328125" style="56" customWidth="1"/>
    <col min="17" max="17" width="3.453125" style="77" customWidth="1"/>
    <col min="18" max="18" width="5.6328125" style="56" customWidth="1"/>
    <col min="19" max="19" width="7.6328125" style="56" customWidth="1"/>
    <col min="20" max="21" width="5.6328125" style="56" customWidth="1"/>
    <col min="22" max="22" width="3.453125" style="77" customWidth="1"/>
    <col min="23" max="23" width="6.453125" style="56" customWidth="1"/>
    <col min="24" max="24" width="7.6328125" style="56" customWidth="1"/>
    <col min="25" max="26" width="5.6328125" style="56" customWidth="1"/>
    <col min="27" max="27" width="2.453125" style="77" customWidth="1"/>
    <col min="28" max="28" width="6" style="56" customWidth="1"/>
    <col min="29" max="29" width="7.6328125" style="56" customWidth="1"/>
    <col min="30" max="31" width="5.6328125" style="56" customWidth="1"/>
    <col min="32" max="32" width="2.6328125" style="77" customWidth="1"/>
    <col min="33" max="33" width="6" style="56" customWidth="1"/>
    <col min="34" max="34" width="7.6328125" style="56" customWidth="1"/>
    <col min="35" max="36" width="5.6328125" style="56" customWidth="1"/>
    <col min="37" max="37" width="3.36328125" style="77" customWidth="1"/>
    <col min="38" max="38" width="6" style="56" customWidth="1"/>
    <col min="39" max="39" width="7.6328125" style="56" customWidth="1"/>
    <col min="40" max="41" width="5.6328125" style="56" customWidth="1"/>
    <col min="42" max="154" width="9.1796875" style="77" customWidth="1"/>
  </cols>
  <sheetData>
    <row r="1" spans="1:154" s="77" customFormat="1" ht="16" customHeight="1" thickBot="1" x14ac:dyDescent="0.4">
      <c r="F1" s="27"/>
      <c r="K1" s="27"/>
    </row>
    <row r="2" spans="1:154" s="77" customFormat="1" ht="16" customHeight="1" thickBot="1" x14ac:dyDescent="0.4">
      <c r="C2" s="93" t="s">
        <v>35</v>
      </c>
      <c r="D2" s="87"/>
      <c r="E2" s="87"/>
      <c r="F2" s="88"/>
      <c r="H2" s="93" t="s">
        <v>36</v>
      </c>
      <c r="I2" s="87"/>
      <c r="J2" s="87"/>
      <c r="K2" s="88"/>
      <c r="M2" s="92" t="s">
        <v>37</v>
      </c>
      <c r="N2" s="87"/>
      <c r="O2" s="87"/>
      <c r="P2" s="88"/>
      <c r="R2" s="92" t="s">
        <v>38</v>
      </c>
      <c r="S2" s="87"/>
      <c r="T2" s="87"/>
      <c r="U2" s="88"/>
      <c r="W2" s="92" t="s">
        <v>39</v>
      </c>
      <c r="X2" s="87"/>
      <c r="Y2" s="87"/>
      <c r="Z2" s="88"/>
      <c r="AB2" s="92" t="s">
        <v>40</v>
      </c>
      <c r="AC2" s="87"/>
      <c r="AD2" s="87"/>
      <c r="AE2" s="88"/>
      <c r="AG2" s="92" t="s">
        <v>41</v>
      </c>
      <c r="AH2" s="87"/>
      <c r="AI2" s="87"/>
      <c r="AJ2" s="88"/>
      <c r="AL2" s="93" t="s">
        <v>42</v>
      </c>
      <c r="AM2" s="87"/>
      <c r="AN2" s="87"/>
      <c r="AO2" s="88"/>
    </row>
    <row r="3" spans="1:154" s="4" customFormat="1" ht="13" customHeight="1" x14ac:dyDescent="0.3">
      <c r="A3" s="7"/>
      <c r="B3" s="7"/>
      <c r="C3" s="66" t="s">
        <v>30</v>
      </c>
      <c r="D3" s="28" t="s">
        <v>43</v>
      </c>
      <c r="E3" s="29" t="s">
        <v>44</v>
      </c>
      <c r="F3" s="29" t="s">
        <v>45</v>
      </c>
      <c r="G3" s="7"/>
      <c r="H3" s="67" t="s">
        <v>30</v>
      </c>
      <c r="I3" s="2" t="s">
        <v>43</v>
      </c>
      <c r="J3" s="3" t="s">
        <v>44</v>
      </c>
      <c r="K3" s="3" t="s">
        <v>45</v>
      </c>
      <c r="L3" s="7"/>
      <c r="M3" s="67" t="s">
        <v>30</v>
      </c>
      <c r="N3" s="2" t="s">
        <v>43</v>
      </c>
      <c r="O3" s="3" t="s">
        <v>44</v>
      </c>
      <c r="P3" s="3" t="s">
        <v>45</v>
      </c>
      <c r="Q3" s="7"/>
      <c r="R3" s="67" t="s">
        <v>30</v>
      </c>
      <c r="S3" s="2" t="s">
        <v>43</v>
      </c>
      <c r="T3" s="3" t="s">
        <v>44</v>
      </c>
      <c r="U3" s="3" t="s">
        <v>45</v>
      </c>
      <c r="V3" s="7"/>
      <c r="W3" s="67" t="s">
        <v>30</v>
      </c>
      <c r="X3" s="2" t="s">
        <v>43</v>
      </c>
      <c r="Y3" s="3" t="s">
        <v>44</v>
      </c>
      <c r="Z3" s="3" t="s">
        <v>45</v>
      </c>
      <c r="AA3" s="7"/>
      <c r="AB3" s="67" t="s">
        <v>30</v>
      </c>
      <c r="AC3" s="2" t="s">
        <v>43</v>
      </c>
      <c r="AD3" s="3" t="s">
        <v>44</v>
      </c>
      <c r="AE3" s="3" t="s">
        <v>45</v>
      </c>
      <c r="AF3" s="7"/>
      <c r="AG3" s="67" t="s">
        <v>30</v>
      </c>
      <c r="AH3" s="2" t="s">
        <v>43</v>
      </c>
      <c r="AI3" s="3" t="s">
        <v>44</v>
      </c>
      <c r="AJ3" s="3" t="s">
        <v>45</v>
      </c>
      <c r="AK3" s="7"/>
      <c r="AL3" s="67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8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8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8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8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8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8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8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8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8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8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8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8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8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8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8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8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8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8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8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8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8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8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8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8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8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8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8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8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8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8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8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8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8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8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8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8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8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8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8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8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8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8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8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8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8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8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8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8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8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8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8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8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8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8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8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8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8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8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8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8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8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8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8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8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8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8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8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8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8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8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8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8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8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8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8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8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8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8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8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8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8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8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8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8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8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8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8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8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8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8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8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8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8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8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8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8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8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8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8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8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8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8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8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8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8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8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8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8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8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8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8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8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8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8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8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8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8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8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8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8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8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8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8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8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8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8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8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8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8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8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8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8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8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8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8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8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8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8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8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8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8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8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8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8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8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8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8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8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8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8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8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8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8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8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8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8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8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8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8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8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8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8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8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8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8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8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8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8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8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8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8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8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8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8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8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8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8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8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8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8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8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8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8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8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8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8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8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8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8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8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8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8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8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8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8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8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8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8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8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8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7" customFormat="1" x14ac:dyDescent="0.35">
      <c r="C29" s="68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8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8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8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8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8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8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8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7" customFormat="1" x14ac:dyDescent="0.35">
      <c r="C30" s="68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8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8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8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8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8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8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8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7" customFormat="1" x14ac:dyDescent="0.35">
      <c r="C31" s="68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8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8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8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8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8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8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8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7" customFormat="1" x14ac:dyDescent="0.35">
      <c r="C32" s="68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8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8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8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8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8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8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8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7" customFormat="1" x14ac:dyDescent="0.35">
      <c r="C33" s="68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8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8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8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8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8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8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8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7" customFormat="1" x14ac:dyDescent="0.35">
      <c r="C34" s="68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8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8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8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8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8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8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8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7" customFormat="1" x14ac:dyDescent="0.35">
      <c r="C35" s="68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8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8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8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8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8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8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8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7" customFormat="1" x14ac:dyDescent="0.35">
      <c r="C36" s="68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8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8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8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8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8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8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8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7" customFormat="1" x14ac:dyDescent="0.35">
      <c r="C37" s="68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8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8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8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8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8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8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8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7" customFormat="1" x14ac:dyDescent="0.35">
      <c r="C38" s="68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8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8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8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8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8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8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8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7" customFormat="1" x14ac:dyDescent="0.35">
      <c r="C39" s="68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8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8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8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8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8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8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8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7" customFormat="1" x14ac:dyDescent="0.35">
      <c r="C40" s="68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8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8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8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8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8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8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8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7" customFormat="1" x14ac:dyDescent="0.35">
      <c r="C41" s="68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8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8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8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8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8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8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8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7" customFormat="1" x14ac:dyDescent="0.35">
      <c r="C42" s="68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8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8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8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8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8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8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8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7" customFormat="1" x14ac:dyDescent="0.35">
      <c r="C43" s="68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8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8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8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8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8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8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8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7" customFormat="1" x14ac:dyDescent="0.35">
      <c r="C44" s="68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8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8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8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8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8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8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8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7" customFormat="1" x14ac:dyDescent="0.35">
      <c r="C45" s="68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8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8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8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8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8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8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8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7" customFormat="1" x14ac:dyDescent="0.35">
      <c r="C46" s="68">
        <f>'U.S. GDP'!A308</f>
        <v>44743</v>
      </c>
      <c r="D46" s="5">
        <f>'U.S. GDP'!B308</f>
        <v>20039.405999999999</v>
      </c>
      <c r="E46" s="6">
        <f>'U.S. GDP'!C308</f>
        <v>7.2446864382997543E-3</v>
      </c>
      <c r="F46" s="6">
        <f>'U.S. GDP'!E308</f>
        <v>2.9295182360887351E-2</v>
      </c>
      <c r="H46" s="68">
        <f>PersonalConsumption!A308</f>
        <v>44743</v>
      </c>
      <c r="I46" s="5">
        <f>PersonalConsumption!B308</f>
        <v>14159.892</v>
      </c>
      <c r="J46" s="6">
        <f>PersonalConsumption!C308</f>
        <v>4.2864065110029556E-3</v>
      </c>
      <c r="K46" s="6">
        <f>PersonalConsumption!E308</f>
        <v>1.7256181087655476E-2</v>
      </c>
      <c r="M46" s="68">
        <f>PrivateInvestment!A308</f>
        <v>44743</v>
      </c>
      <c r="N46" s="5">
        <f>PrivateInvestment!B308</f>
        <v>3658.8040000000001</v>
      </c>
      <c r="O46" s="6">
        <f>PrivateInvestment!C308</f>
        <v>-2.3530727336439274E-2</v>
      </c>
      <c r="P46" s="6">
        <f>PrivateInvestment!E308</f>
        <v>-9.0852547390000371E-2</v>
      </c>
      <c r="R46" s="68">
        <f>Exports!A308</f>
        <v>44743</v>
      </c>
      <c r="S46" s="5">
        <f>Exports!B308</f>
        <v>2608.2649999999999</v>
      </c>
      <c r="T46" s="6">
        <f>Exports!C308</f>
        <v>3.6289079385663787E-2</v>
      </c>
      <c r="U46" s="6">
        <f>Exports!E308</f>
        <v>0.1532505914171951</v>
      </c>
      <c r="W46" s="68">
        <f>Imports!A308</f>
        <v>44743</v>
      </c>
      <c r="X46" s="5">
        <f>Imports!B308</f>
        <v>3872.9789999999998</v>
      </c>
      <c r="Y46" s="6">
        <f>Imports!C308</f>
        <v>-1.8871064823259138E-2</v>
      </c>
      <c r="Z46" s="6">
        <f>Imports!E308</f>
        <v>-7.3374311182851093E-2</v>
      </c>
      <c r="AB46" s="68">
        <f>Government!A308</f>
        <v>44743</v>
      </c>
      <c r="AC46" s="5">
        <f>Government!B308</f>
        <v>3404.922</v>
      </c>
      <c r="AD46" s="6">
        <f>Government!C308</f>
        <v>7.5227126861112346E-3</v>
      </c>
      <c r="AE46" s="6">
        <f>Government!E308</f>
        <v>3.0432104061494547E-2</v>
      </c>
      <c r="AG46" s="68">
        <f>GDPPriceIndex!A308</f>
        <v>44743</v>
      </c>
      <c r="AH46" s="5">
        <f>GDPPriceIndex!B308</f>
        <v>128.24799999999999</v>
      </c>
      <c r="AI46" s="6">
        <f>GDPPriceIndex!C308</f>
        <v>1.0511054729974541E-2</v>
      </c>
      <c r="AJ46" s="6">
        <f>GDPPriceIndex!D308</f>
        <v>7.0848258644155421E-2</v>
      </c>
      <c r="AL46" s="68">
        <f>CorePCE!A308</f>
        <v>44743</v>
      </c>
      <c r="AM46" s="5">
        <f>CorePCE!B308</f>
        <v>123.977</v>
      </c>
      <c r="AN46" s="6">
        <f>CorePCE!C308</f>
        <v>1.1297637692508525E-2</v>
      </c>
      <c r="AO46" s="6">
        <f>CorePCE!D308</f>
        <v>4.9300900534904213E-2</v>
      </c>
    </row>
    <row r="47" spans="3:41" s="77" customFormat="1" x14ac:dyDescent="0.35"/>
    <row r="48" spans="3:41" s="77" customFormat="1" x14ac:dyDescent="0.35"/>
    <row r="49" s="77" customFormat="1" x14ac:dyDescent="0.35"/>
    <row r="50" s="77" customFormat="1" x14ac:dyDescent="0.35"/>
    <row r="51" s="77" customFormat="1" x14ac:dyDescent="0.35"/>
    <row r="52" s="77" customFormat="1" x14ac:dyDescent="0.35"/>
    <row r="53" s="77" customFormat="1" x14ac:dyDescent="0.35"/>
    <row r="54" s="77" customFormat="1" x14ac:dyDescent="0.35"/>
    <row r="55" s="77" customFormat="1" x14ac:dyDescent="0.35"/>
    <row r="56" s="77" customFormat="1" x14ac:dyDescent="0.35"/>
    <row r="57" s="77" customFormat="1" x14ac:dyDescent="0.35"/>
    <row r="58" s="77" customFormat="1" x14ac:dyDescent="0.35"/>
    <row r="59" s="77" customFormat="1" x14ac:dyDescent="0.35"/>
    <row r="60" s="77" customFormat="1" x14ac:dyDescent="0.35"/>
    <row r="61" s="77" customFormat="1" x14ac:dyDescent="0.35"/>
    <row r="62" s="77" customFormat="1" x14ac:dyDescent="0.35"/>
    <row r="63" s="77" customFormat="1" x14ac:dyDescent="0.35"/>
    <row r="64" s="77" customFormat="1" x14ac:dyDescent="0.35"/>
    <row r="65" s="77" customFormat="1" x14ac:dyDescent="0.35"/>
    <row r="66" s="77" customFormat="1" x14ac:dyDescent="0.35"/>
    <row r="67" s="77" customFormat="1" x14ac:dyDescent="0.35"/>
    <row r="68" s="77" customFormat="1" x14ac:dyDescent="0.35"/>
    <row r="69" s="77" customFormat="1" x14ac:dyDescent="0.35"/>
    <row r="70" s="77" customFormat="1" x14ac:dyDescent="0.35"/>
    <row r="71" s="77" customFormat="1" x14ac:dyDescent="0.35"/>
    <row r="72" s="77" customFormat="1" x14ac:dyDescent="0.35"/>
    <row r="73" s="77" customFormat="1" x14ac:dyDescent="0.35"/>
    <row r="74" s="77" customFormat="1" x14ac:dyDescent="0.35"/>
    <row r="75" s="77" customFormat="1" x14ac:dyDescent="0.35"/>
    <row r="76" s="77" customFormat="1" x14ac:dyDescent="0.35"/>
    <row r="77" s="77" customFormat="1" x14ac:dyDescent="0.35"/>
    <row r="78" s="77" customFormat="1" x14ac:dyDescent="0.35"/>
    <row r="79" s="77" customFormat="1" x14ac:dyDescent="0.35"/>
    <row r="80" s="77" customFormat="1" x14ac:dyDescent="0.35"/>
    <row r="81" s="77" customFormat="1" x14ac:dyDescent="0.35"/>
    <row r="82" s="77" customFormat="1" x14ac:dyDescent="0.35"/>
    <row r="83" s="77" customFormat="1" x14ac:dyDescent="0.35"/>
    <row r="84" s="77" customFormat="1" x14ac:dyDescent="0.35"/>
    <row r="85" s="77" customFormat="1" x14ac:dyDescent="0.35"/>
    <row r="86" s="77" customFormat="1" x14ac:dyDescent="0.35"/>
    <row r="87" s="77" customFormat="1" x14ac:dyDescent="0.35"/>
    <row r="88" s="77" customFormat="1" x14ac:dyDescent="0.35"/>
    <row r="89" s="77" customFormat="1" x14ac:dyDescent="0.35"/>
    <row r="90" s="77" customFormat="1" x14ac:dyDescent="0.35"/>
    <row r="91" s="77" customFormat="1" x14ac:dyDescent="0.35"/>
    <row r="92" s="77" customFormat="1" x14ac:dyDescent="0.35"/>
    <row r="93" s="77" customFormat="1" x14ac:dyDescent="0.35"/>
    <row r="94" s="77" customFormat="1" x14ac:dyDescent="0.35"/>
    <row r="95" s="77" customFormat="1" x14ac:dyDescent="0.35"/>
    <row r="96" s="77" customFormat="1" x14ac:dyDescent="0.35"/>
    <row r="97" s="77" customFormat="1" x14ac:dyDescent="0.35"/>
    <row r="98" s="77" customFormat="1" x14ac:dyDescent="0.35"/>
    <row r="99" s="77" customFormat="1" x14ac:dyDescent="0.35"/>
    <row r="100" s="77" customFormat="1" x14ac:dyDescent="0.35"/>
    <row r="101" s="77" customFormat="1" x14ac:dyDescent="0.35"/>
    <row r="102" s="77" customFormat="1" x14ac:dyDescent="0.35"/>
    <row r="103" s="77" customFormat="1" x14ac:dyDescent="0.35"/>
    <row r="104" s="77" customFormat="1" x14ac:dyDescent="0.35"/>
    <row r="105" s="77" customFormat="1" x14ac:dyDescent="0.35"/>
    <row r="106" s="77" customFormat="1" x14ac:dyDescent="0.35"/>
    <row r="107" s="77" customFormat="1" x14ac:dyDescent="0.35"/>
    <row r="108" s="77" customFormat="1" x14ac:dyDescent="0.35"/>
    <row r="109" s="77" customFormat="1" x14ac:dyDescent="0.35"/>
    <row r="110" s="77" customFormat="1" x14ac:dyDescent="0.35"/>
    <row r="111" s="77" customFormat="1" x14ac:dyDescent="0.35"/>
    <row r="112" s="77" customFormat="1" x14ac:dyDescent="0.35"/>
    <row r="113" s="77" customFormat="1" x14ac:dyDescent="0.35"/>
    <row r="114" s="77" customFormat="1" x14ac:dyDescent="0.35"/>
    <row r="115" s="77" customFormat="1" x14ac:dyDescent="0.35"/>
    <row r="116" s="77" customFormat="1" x14ac:dyDescent="0.35"/>
    <row r="117" s="77" customFormat="1" x14ac:dyDescent="0.35"/>
    <row r="118" s="77" customFormat="1" x14ac:dyDescent="0.35"/>
    <row r="119" s="77" customFormat="1" x14ac:dyDescent="0.35"/>
    <row r="120" s="77" customFormat="1" x14ac:dyDescent="0.35"/>
    <row r="121" s="77" customFormat="1" x14ac:dyDescent="0.35"/>
    <row r="122" s="77" customFormat="1" x14ac:dyDescent="0.35"/>
    <row r="123" s="77" customFormat="1" x14ac:dyDescent="0.35"/>
    <row r="124" s="77" customFormat="1" x14ac:dyDescent="0.35"/>
    <row r="125" s="77" customFormat="1" x14ac:dyDescent="0.35"/>
    <row r="126" s="77" customFormat="1" x14ac:dyDescent="0.35"/>
    <row r="127" s="77" customFormat="1" x14ac:dyDescent="0.35"/>
    <row r="128" s="77" customFormat="1" x14ac:dyDescent="0.35"/>
    <row r="129" s="77" customFormat="1" x14ac:dyDescent="0.35"/>
    <row r="130" s="77" customFormat="1" x14ac:dyDescent="0.35"/>
    <row r="131" s="77" customFormat="1" x14ac:dyDescent="0.35"/>
    <row r="132" s="77" customFormat="1" x14ac:dyDescent="0.35"/>
    <row r="133" s="77" customFormat="1" x14ac:dyDescent="0.35"/>
    <row r="134" s="77" customFormat="1" x14ac:dyDescent="0.35"/>
    <row r="135" s="77" customFormat="1" x14ac:dyDescent="0.35"/>
    <row r="136" s="77" customFormat="1" x14ac:dyDescent="0.35"/>
    <row r="137" s="77" customFormat="1" x14ac:dyDescent="0.35"/>
    <row r="138" s="77" customFormat="1" x14ac:dyDescent="0.35"/>
    <row r="139" s="77" customFormat="1" x14ac:dyDescent="0.35"/>
    <row r="140" s="77" customFormat="1" x14ac:dyDescent="0.35"/>
    <row r="141" s="77" customFormat="1" x14ac:dyDescent="0.35"/>
    <row r="142" s="77" customFormat="1" x14ac:dyDescent="0.35"/>
    <row r="143" s="77" customFormat="1" x14ac:dyDescent="0.35"/>
    <row r="144" s="77" customFormat="1" x14ac:dyDescent="0.35"/>
    <row r="145" s="77" customFormat="1" x14ac:dyDescent="0.35"/>
    <row r="146" s="77" customFormat="1" x14ac:dyDescent="0.35"/>
    <row r="147" s="77" customFormat="1" x14ac:dyDescent="0.35"/>
    <row r="148" s="77" customFormat="1" x14ac:dyDescent="0.35"/>
    <row r="149" s="77" customFormat="1" x14ac:dyDescent="0.35"/>
    <row r="150" s="77" customFormat="1" x14ac:dyDescent="0.35"/>
    <row r="151" s="77" customFormat="1" x14ac:dyDescent="0.35"/>
    <row r="152" s="77" customFormat="1" x14ac:dyDescent="0.35"/>
    <row r="153" s="77" customFormat="1" x14ac:dyDescent="0.35"/>
    <row r="154" s="77" customFormat="1" x14ac:dyDescent="0.35"/>
    <row r="155" s="77" customFormat="1" x14ac:dyDescent="0.35"/>
    <row r="156" s="77" customFormat="1" x14ac:dyDescent="0.35"/>
    <row r="157" s="77" customFormat="1" x14ac:dyDescent="0.35"/>
    <row r="158" s="77" customFormat="1" x14ac:dyDescent="0.35"/>
    <row r="159" s="77" customFormat="1" x14ac:dyDescent="0.35"/>
    <row r="160" s="77" customFormat="1" x14ac:dyDescent="0.35"/>
    <row r="161" s="77" customFormat="1" x14ac:dyDescent="0.35"/>
    <row r="162" s="77" customFormat="1" x14ac:dyDescent="0.35"/>
    <row r="163" s="77" customFormat="1" x14ac:dyDescent="0.35"/>
    <row r="164" s="77" customFormat="1" x14ac:dyDescent="0.35"/>
    <row r="165" s="77" customFormat="1" x14ac:dyDescent="0.35"/>
    <row r="166" s="77" customFormat="1" x14ac:dyDescent="0.35"/>
    <row r="167" s="77" customFormat="1" x14ac:dyDescent="0.35"/>
    <row r="168" s="77" customFormat="1" x14ac:dyDescent="0.35"/>
    <row r="169" s="77" customFormat="1" x14ac:dyDescent="0.35"/>
    <row r="170" s="77" customFormat="1" x14ac:dyDescent="0.35"/>
    <row r="171" s="77" customFormat="1" x14ac:dyDescent="0.35"/>
    <row r="172" s="77" customFormat="1" x14ac:dyDescent="0.35"/>
    <row r="173" s="77" customFormat="1" x14ac:dyDescent="0.35"/>
    <row r="174" s="77" customFormat="1" x14ac:dyDescent="0.35"/>
    <row r="175" s="77" customFormat="1" x14ac:dyDescent="0.35"/>
    <row r="176" s="77" customFormat="1" x14ac:dyDescent="0.35"/>
    <row r="177" s="77" customFormat="1" x14ac:dyDescent="0.35"/>
    <row r="178" s="77" customFormat="1" x14ac:dyDescent="0.35"/>
    <row r="179" s="77" customFormat="1" x14ac:dyDescent="0.35"/>
    <row r="180" s="77" customFormat="1" x14ac:dyDescent="0.35"/>
    <row r="181" s="77" customFormat="1" x14ac:dyDescent="0.35"/>
    <row r="182" s="77" customFormat="1" x14ac:dyDescent="0.35"/>
    <row r="183" s="77" customFormat="1" x14ac:dyDescent="0.35"/>
    <row r="184" s="77" customFormat="1" x14ac:dyDescent="0.35"/>
    <row r="185" s="77" customFormat="1" x14ac:dyDescent="0.35"/>
    <row r="186" s="77" customFormat="1" x14ac:dyDescent="0.35"/>
    <row r="187" s="77" customFormat="1" x14ac:dyDescent="0.35"/>
    <row r="188" s="77" customFormat="1" x14ac:dyDescent="0.35"/>
    <row r="189" s="77" customFormat="1" x14ac:dyDescent="0.35"/>
    <row r="190" s="77" customFormat="1" x14ac:dyDescent="0.35"/>
    <row r="191" s="77" customFormat="1" x14ac:dyDescent="0.35"/>
    <row r="192" s="77" customFormat="1" x14ac:dyDescent="0.35"/>
    <row r="193" s="77" customFormat="1" x14ac:dyDescent="0.35"/>
    <row r="194" s="77" customFormat="1" x14ac:dyDescent="0.35"/>
    <row r="195" s="77" customFormat="1" x14ac:dyDescent="0.35"/>
    <row r="196" s="77" customFormat="1" x14ac:dyDescent="0.35"/>
    <row r="197" s="77" customFormat="1" x14ac:dyDescent="0.35"/>
    <row r="198" s="77" customFormat="1" x14ac:dyDescent="0.35"/>
    <row r="199" s="77" customFormat="1" x14ac:dyDescent="0.35"/>
    <row r="200" s="77" customFormat="1" x14ac:dyDescent="0.35"/>
    <row r="201" s="77" customFormat="1" x14ac:dyDescent="0.35"/>
    <row r="202" s="77" customFormat="1" x14ac:dyDescent="0.35"/>
    <row r="203" s="77" customFormat="1" x14ac:dyDescent="0.35"/>
    <row r="204" s="77" customFormat="1" x14ac:dyDescent="0.35"/>
    <row r="205" s="77" customFormat="1" x14ac:dyDescent="0.35"/>
    <row r="206" s="77" customFormat="1" x14ac:dyDescent="0.35"/>
    <row r="207" s="77" customFormat="1" x14ac:dyDescent="0.35"/>
    <row r="208" s="77" customFormat="1" x14ac:dyDescent="0.35"/>
    <row r="209" s="77" customFormat="1" x14ac:dyDescent="0.35"/>
    <row r="210" s="77" customFormat="1" x14ac:dyDescent="0.35"/>
    <row r="211" s="77" customFormat="1" x14ac:dyDescent="0.35"/>
    <row r="212" s="77" customFormat="1" x14ac:dyDescent="0.35"/>
    <row r="213" s="77" customFormat="1" x14ac:dyDescent="0.35"/>
    <row r="214" s="77" customFormat="1" x14ac:dyDescent="0.35"/>
    <row r="215" s="77" customFormat="1" x14ac:dyDescent="0.35"/>
    <row r="216" s="77" customFormat="1" x14ac:dyDescent="0.35"/>
    <row r="217" s="77" customFormat="1" x14ac:dyDescent="0.35"/>
    <row r="218" s="77" customFormat="1" x14ac:dyDescent="0.35"/>
    <row r="219" s="77" customFormat="1" x14ac:dyDescent="0.35"/>
    <row r="220" s="77" customFormat="1" x14ac:dyDescent="0.35"/>
    <row r="221" s="77" customFormat="1" x14ac:dyDescent="0.35"/>
    <row r="222" s="77" customFormat="1" x14ac:dyDescent="0.35"/>
    <row r="223" s="77" customFormat="1" x14ac:dyDescent="0.35"/>
    <row r="224" s="77" customFormat="1" x14ac:dyDescent="0.35"/>
    <row r="225" s="77" customFormat="1" x14ac:dyDescent="0.35"/>
    <row r="226" s="77" customFormat="1" x14ac:dyDescent="0.35"/>
    <row r="227" s="77" customFormat="1" x14ac:dyDescent="0.35"/>
    <row r="228" s="77" customFormat="1" x14ac:dyDescent="0.35"/>
    <row r="229" s="77" customFormat="1" x14ac:dyDescent="0.35"/>
    <row r="230" s="77" customFormat="1" x14ac:dyDescent="0.35"/>
    <row r="231" s="77" customFormat="1" x14ac:dyDescent="0.35"/>
    <row r="232" s="77" customFormat="1" x14ac:dyDescent="0.35"/>
    <row r="233" s="77" customFormat="1" x14ac:dyDescent="0.35"/>
    <row r="234" s="77" customFormat="1" x14ac:dyDescent="0.35"/>
    <row r="235" s="77" customFormat="1" x14ac:dyDescent="0.35"/>
    <row r="236" s="77" customFormat="1" x14ac:dyDescent="0.35"/>
    <row r="237" s="77" customFormat="1" x14ac:dyDescent="0.35"/>
    <row r="238" s="77" customFormat="1" x14ac:dyDescent="0.35"/>
    <row r="239" s="77" customFormat="1" x14ac:dyDescent="0.35"/>
    <row r="240" s="77" customFormat="1" x14ac:dyDescent="0.35"/>
    <row r="241" s="77" customFormat="1" x14ac:dyDescent="0.35"/>
    <row r="242" s="77" customFormat="1" x14ac:dyDescent="0.35"/>
    <row r="243" s="77" customFormat="1" x14ac:dyDescent="0.35"/>
    <row r="244" s="77" customFormat="1" x14ac:dyDescent="0.35"/>
    <row r="245" s="77" customFormat="1" x14ac:dyDescent="0.35"/>
    <row r="246" s="77" customFormat="1" x14ac:dyDescent="0.35"/>
    <row r="247" s="77" customFormat="1" x14ac:dyDescent="0.35"/>
    <row r="248" s="77" customFormat="1" x14ac:dyDescent="0.35"/>
    <row r="249" s="77" customFormat="1" x14ac:dyDescent="0.35"/>
    <row r="250" s="77" customFormat="1" x14ac:dyDescent="0.35"/>
    <row r="251" s="77" customFormat="1" x14ac:dyDescent="0.35"/>
    <row r="252" s="77" customFormat="1" x14ac:dyDescent="0.35"/>
    <row r="253" s="77" customFormat="1" x14ac:dyDescent="0.35"/>
    <row r="254" s="77" customFormat="1" x14ac:dyDescent="0.35"/>
    <row r="255" s="77" customFormat="1" x14ac:dyDescent="0.35"/>
    <row r="256" s="77" customFormat="1" x14ac:dyDescent="0.35"/>
    <row r="257" s="77" customFormat="1" x14ac:dyDescent="0.35"/>
    <row r="258" s="77" customFormat="1" x14ac:dyDescent="0.35"/>
    <row r="259" s="77" customFormat="1" x14ac:dyDescent="0.35"/>
    <row r="260" s="77" customFormat="1" x14ac:dyDescent="0.35"/>
    <row r="261" s="77" customFormat="1" x14ac:dyDescent="0.35"/>
    <row r="262" s="77" customFormat="1" x14ac:dyDescent="0.35"/>
    <row r="263" s="77" customFormat="1" x14ac:dyDescent="0.35"/>
    <row r="264" s="77" customFormat="1" x14ac:dyDescent="0.35"/>
    <row r="265" s="77" customFormat="1" x14ac:dyDescent="0.35"/>
    <row r="266" s="77" customFormat="1" x14ac:dyDescent="0.35"/>
    <row r="267" s="77" customFormat="1" x14ac:dyDescent="0.35"/>
    <row r="268" s="77" customFormat="1" x14ac:dyDescent="0.35"/>
    <row r="269" s="77" customFormat="1" x14ac:dyDescent="0.35"/>
    <row r="270" s="77" customFormat="1" x14ac:dyDescent="0.35"/>
    <row r="271" s="77" customFormat="1" x14ac:dyDescent="0.35"/>
    <row r="272" s="77" customFormat="1" x14ac:dyDescent="0.35"/>
    <row r="273" s="77" customFormat="1" x14ac:dyDescent="0.35"/>
    <row r="274" s="77" customFormat="1" x14ac:dyDescent="0.35"/>
    <row r="275" s="77" customFormat="1" x14ac:dyDescent="0.35"/>
    <row r="276" s="77" customFormat="1" x14ac:dyDescent="0.35"/>
    <row r="277" s="77" customFormat="1" x14ac:dyDescent="0.35"/>
    <row r="278" s="77" customFormat="1" x14ac:dyDescent="0.35"/>
    <row r="279" s="77" customFormat="1" x14ac:dyDescent="0.35"/>
    <row r="280" s="77" customFormat="1" x14ac:dyDescent="0.35"/>
    <row r="281" s="77" customFormat="1" x14ac:dyDescent="0.35"/>
    <row r="282" s="77" customFormat="1" x14ac:dyDescent="0.35"/>
    <row r="283" s="77" customFormat="1" x14ac:dyDescent="0.35"/>
    <row r="284" s="77" customFormat="1" x14ac:dyDescent="0.35"/>
    <row r="285" s="77" customFormat="1" x14ac:dyDescent="0.35"/>
    <row r="286" s="77" customFormat="1" x14ac:dyDescent="0.35"/>
    <row r="287" s="77" customFormat="1" x14ac:dyDescent="0.35"/>
    <row r="288" s="77" customFormat="1" x14ac:dyDescent="0.35"/>
    <row r="289" s="77" customFormat="1" x14ac:dyDescent="0.35"/>
    <row r="290" s="77" customFormat="1" x14ac:dyDescent="0.35"/>
    <row r="291" s="77" customFormat="1" x14ac:dyDescent="0.35"/>
    <row r="292" s="77" customFormat="1" x14ac:dyDescent="0.35"/>
    <row r="293" s="77" customFormat="1" x14ac:dyDescent="0.35"/>
    <row r="294" s="77" customFormat="1" x14ac:dyDescent="0.35"/>
    <row r="295" s="77" customFormat="1" x14ac:dyDescent="0.35"/>
    <row r="296" s="77" customFormat="1" x14ac:dyDescent="0.35"/>
    <row r="297" s="77" customFormat="1" x14ac:dyDescent="0.35"/>
    <row r="298" s="77" customFormat="1" x14ac:dyDescent="0.35"/>
    <row r="299" s="77" customFormat="1" x14ac:dyDescent="0.35"/>
    <row r="300" s="77" customFormat="1" x14ac:dyDescent="0.35"/>
    <row r="301" s="77" customFormat="1" x14ac:dyDescent="0.35"/>
    <row r="302" s="77" customFormat="1" x14ac:dyDescent="0.35"/>
    <row r="303" s="77" customFormat="1" x14ac:dyDescent="0.35"/>
    <row r="304" s="77" customFormat="1" x14ac:dyDescent="0.35"/>
    <row r="305" s="77" customFormat="1" x14ac:dyDescent="0.35"/>
    <row r="306" s="77" customFormat="1" x14ac:dyDescent="0.35"/>
    <row r="307" s="77" customFormat="1" x14ac:dyDescent="0.35"/>
    <row r="308" s="77" customFormat="1" x14ac:dyDescent="0.35"/>
    <row r="309" s="77" customFormat="1" x14ac:dyDescent="0.35"/>
    <row r="310" s="77" customFormat="1" x14ac:dyDescent="0.35"/>
    <row r="311" s="77" customFormat="1" x14ac:dyDescent="0.35"/>
    <row r="312" s="77" customFormat="1" x14ac:dyDescent="0.35"/>
    <row r="313" s="77" customFormat="1" x14ac:dyDescent="0.35"/>
    <row r="314" s="77" customFormat="1" x14ac:dyDescent="0.35"/>
    <row r="315" s="77" customFormat="1" x14ac:dyDescent="0.35"/>
    <row r="316" s="77" customFormat="1" x14ac:dyDescent="0.35"/>
    <row r="317" s="77" customFormat="1" x14ac:dyDescent="0.35"/>
    <row r="318" s="77" customFormat="1" x14ac:dyDescent="0.35"/>
    <row r="319" s="77" customFormat="1" x14ac:dyDescent="0.35"/>
    <row r="320" s="77" customFormat="1" x14ac:dyDescent="0.35"/>
    <row r="321" s="77" customFormat="1" x14ac:dyDescent="0.35"/>
    <row r="322" s="77" customFormat="1" x14ac:dyDescent="0.35"/>
    <row r="323" s="77" customFormat="1" x14ac:dyDescent="0.35"/>
    <row r="324" s="77" customFormat="1" x14ac:dyDescent="0.35"/>
    <row r="325" s="77" customFormat="1" x14ac:dyDescent="0.35"/>
    <row r="326" s="77" customFormat="1" x14ac:dyDescent="0.35"/>
    <row r="327" s="77" customFormat="1" x14ac:dyDescent="0.35"/>
    <row r="328" s="77" customFormat="1" x14ac:dyDescent="0.35"/>
    <row r="329" s="77" customFormat="1" x14ac:dyDescent="0.35"/>
    <row r="330" s="77" customFormat="1" x14ac:dyDescent="0.35"/>
    <row r="331" s="77" customFormat="1" x14ac:dyDescent="0.35"/>
    <row r="332" s="77" customFormat="1" x14ac:dyDescent="0.35"/>
    <row r="333" s="77" customFormat="1" x14ac:dyDescent="0.35"/>
    <row r="334" s="77" customFormat="1" x14ac:dyDescent="0.35"/>
    <row r="335" s="77" customFormat="1" x14ac:dyDescent="0.35"/>
    <row r="336" s="77" customFormat="1" x14ac:dyDescent="0.35"/>
    <row r="337" s="77" customFormat="1" x14ac:dyDescent="0.35"/>
    <row r="338" s="77" customFormat="1" x14ac:dyDescent="0.35"/>
    <row r="339" s="77" customFormat="1" x14ac:dyDescent="0.35"/>
    <row r="340" s="77" customFormat="1" x14ac:dyDescent="0.35"/>
    <row r="341" s="77" customFormat="1" x14ac:dyDescent="0.35"/>
    <row r="342" s="77" customFormat="1" x14ac:dyDescent="0.35"/>
    <row r="343" s="77" customFormat="1" x14ac:dyDescent="0.35"/>
    <row r="344" s="77" customFormat="1" x14ac:dyDescent="0.35"/>
    <row r="345" s="77" customFormat="1" x14ac:dyDescent="0.35"/>
    <row r="346" s="77" customFormat="1" x14ac:dyDescent="0.35"/>
    <row r="347" s="77" customFormat="1" x14ac:dyDescent="0.35"/>
    <row r="348" s="77" customFormat="1" x14ac:dyDescent="0.35"/>
    <row r="349" s="77" customFormat="1" x14ac:dyDescent="0.35"/>
    <row r="350" s="77" customFormat="1" x14ac:dyDescent="0.35"/>
    <row r="351" s="77" customFormat="1" x14ac:dyDescent="0.35"/>
    <row r="352" s="77" customFormat="1" x14ac:dyDescent="0.35"/>
    <row r="353" s="77" customFormat="1" x14ac:dyDescent="0.35"/>
    <row r="354" s="77" customFormat="1" x14ac:dyDescent="0.35"/>
    <row r="355" s="77" customFormat="1" x14ac:dyDescent="0.35"/>
    <row r="356" s="77" customFormat="1" x14ac:dyDescent="0.35"/>
    <row r="357" s="77" customFormat="1" x14ac:dyDescent="0.35"/>
    <row r="358" s="77" customFormat="1" x14ac:dyDescent="0.35"/>
    <row r="359" s="77" customFormat="1" x14ac:dyDescent="0.35"/>
    <row r="360" s="77" customFormat="1" x14ac:dyDescent="0.35"/>
    <row r="361" s="77" customFormat="1" x14ac:dyDescent="0.35"/>
    <row r="362" s="77" customFormat="1" x14ac:dyDescent="0.35"/>
    <row r="363" s="77" customFormat="1" x14ac:dyDescent="0.35"/>
    <row r="364" s="77" customFormat="1" x14ac:dyDescent="0.35"/>
    <row r="365" s="77" customFormat="1" x14ac:dyDescent="0.35"/>
    <row r="366" s="77" customFormat="1" x14ac:dyDescent="0.35"/>
    <row r="367" s="77" customFormat="1" x14ac:dyDescent="0.35"/>
    <row r="368" s="77" customFormat="1" x14ac:dyDescent="0.35"/>
    <row r="369" s="77" customFormat="1" x14ac:dyDescent="0.35"/>
    <row r="370" s="77" customFormat="1" x14ac:dyDescent="0.35"/>
    <row r="371" s="77" customFormat="1" x14ac:dyDescent="0.35"/>
    <row r="372" s="77" customFormat="1" x14ac:dyDescent="0.35"/>
    <row r="373" s="77" customFormat="1" x14ac:dyDescent="0.35"/>
    <row r="374" s="77" customFormat="1" x14ac:dyDescent="0.35"/>
    <row r="375" s="77" customFormat="1" x14ac:dyDescent="0.35"/>
    <row r="376" s="77" customFormat="1" x14ac:dyDescent="0.35"/>
    <row r="377" s="77" customFormat="1" x14ac:dyDescent="0.35"/>
    <row r="378" s="77" customFormat="1" x14ac:dyDescent="0.35"/>
    <row r="379" s="77" customFormat="1" x14ac:dyDescent="0.35"/>
    <row r="380" s="77" customFormat="1" x14ac:dyDescent="0.35"/>
    <row r="381" s="77" customFormat="1" x14ac:dyDescent="0.35"/>
    <row r="382" s="77" customFormat="1" x14ac:dyDescent="0.35"/>
    <row r="383" s="77" customFormat="1" x14ac:dyDescent="0.35"/>
    <row r="384" s="77" customFormat="1" x14ac:dyDescent="0.35"/>
    <row r="385" s="77" customFormat="1" x14ac:dyDescent="0.35"/>
    <row r="386" s="77" customFormat="1" x14ac:dyDescent="0.35"/>
    <row r="387" s="77" customFormat="1" x14ac:dyDescent="0.35"/>
    <row r="388" s="77" customFormat="1" x14ac:dyDescent="0.35"/>
    <row r="389" s="77" customFormat="1" x14ac:dyDescent="0.35"/>
    <row r="390" s="77" customFormat="1" x14ac:dyDescent="0.35"/>
    <row r="391" s="77" customFormat="1" x14ac:dyDescent="0.35"/>
    <row r="392" s="77" customFormat="1" x14ac:dyDescent="0.35"/>
    <row r="393" s="77" customFormat="1" x14ac:dyDescent="0.35"/>
    <row r="394" s="77" customFormat="1" x14ac:dyDescent="0.35"/>
    <row r="395" s="77" customFormat="1" x14ac:dyDescent="0.35"/>
    <row r="396" s="77" customFormat="1" x14ac:dyDescent="0.35"/>
    <row r="397" s="77" customFormat="1" x14ac:dyDescent="0.35"/>
    <row r="398" s="77" customFormat="1" x14ac:dyDescent="0.35"/>
    <row r="399" s="77" customFormat="1" x14ac:dyDescent="0.35"/>
    <row r="400" s="77" customFormat="1" x14ac:dyDescent="0.35"/>
    <row r="401" s="77" customFormat="1" x14ac:dyDescent="0.35"/>
    <row r="402" s="77" customFormat="1" x14ac:dyDescent="0.35"/>
    <row r="403" s="77" customFormat="1" x14ac:dyDescent="0.35"/>
    <row r="404" s="77" customFormat="1" x14ac:dyDescent="0.35"/>
    <row r="405" s="77" customFormat="1" x14ac:dyDescent="0.35"/>
    <row r="406" s="77" customFormat="1" x14ac:dyDescent="0.35"/>
    <row r="407" s="77" customFormat="1" x14ac:dyDescent="0.35"/>
    <row r="408" s="77" customFormat="1" x14ac:dyDescent="0.35"/>
    <row r="409" s="77" customFormat="1" x14ac:dyDescent="0.35"/>
    <row r="410" s="77" customFormat="1" x14ac:dyDescent="0.35"/>
    <row r="411" s="77" customFormat="1" x14ac:dyDescent="0.35"/>
    <row r="412" s="77" customFormat="1" x14ac:dyDescent="0.35"/>
    <row r="413" s="77" customFormat="1" x14ac:dyDescent="0.35"/>
    <row r="414" s="77" customFormat="1" x14ac:dyDescent="0.35"/>
    <row r="415" s="77" customFormat="1" x14ac:dyDescent="0.35"/>
    <row r="416" s="77" customFormat="1" x14ac:dyDescent="0.35"/>
    <row r="417" s="77" customFormat="1" x14ac:dyDescent="0.35"/>
    <row r="418" s="77" customFormat="1" x14ac:dyDescent="0.35"/>
    <row r="419" s="77" customFormat="1" x14ac:dyDescent="0.35"/>
    <row r="420" s="77" customFormat="1" x14ac:dyDescent="0.35"/>
    <row r="421" s="77" customFormat="1" x14ac:dyDescent="0.35"/>
    <row r="422" s="77" customFormat="1" x14ac:dyDescent="0.35"/>
    <row r="423" s="77" customFormat="1" x14ac:dyDescent="0.35"/>
    <row r="424" s="77" customFormat="1" x14ac:dyDescent="0.35"/>
    <row r="425" s="77" customFormat="1" x14ac:dyDescent="0.35"/>
    <row r="426" s="77" customFormat="1" x14ac:dyDescent="0.35"/>
    <row r="427" s="77" customFormat="1" x14ac:dyDescent="0.35"/>
    <row r="428" s="77" customFormat="1" x14ac:dyDescent="0.35"/>
    <row r="429" s="77" customFormat="1" x14ac:dyDescent="0.35"/>
    <row r="430" s="77" customFormat="1" x14ac:dyDescent="0.35"/>
    <row r="431" s="77" customFormat="1" x14ac:dyDescent="0.35"/>
    <row r="432" s="77" customFormat="1" x14ac:dyDescent="0.35"/>
    <row r="433" s="77" customFormat="1" x14ac:dyDescent="0.35"/>
    <row r="434" s="77" customFormat="1" x14ac:dyDescent="0.35"/>
    <row r="435" s="77" customFormat="1" x14ac:dyDescent="0.35"/>
    <row r="436" s="77" customFormat="1" x14ac:dyDescent="0.35"/>
    <row r="437" s="77" customFormat="1" x14ac:dyDescent="0.35"/>
    <row r="438" s="77" customFormat="1" x14ac:dyDescent="0.35"/>
    <row r="439" s="77" customFormat="1" x14ac:dyDescent="0.35"/>
    <row r="440" s="77" customFormat="1" x14ac:dyDescent="0.35"/>
    <row r="441" s="77" customFormat="1" x14ac:dyDescent="0.35"/>
    <row r="442" s="77" customFormat="1" x14ac:dyDescent="0.35"/>
    <row r="443" s="77" customFormat="1" x14ac:dyDescent="0.35"/>
    <row r="444" s="77" customFormat="1" x14ac:dyDescent="0.35"/>
    <row r="445" s="77" customFormat="1" x14ac:dyDescent="0.35"/>
    <row r="446" s="77" customFormat="1" x14ac:dyDescent="0.35"/>
    <row r="447" s="77" customFormat="1" x14ac:dyDescent="0.35"/>
    <row r="448" s="77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8"/>
  <sheetViews>
    <sheetView zoomScaleNormal="100" workbookViewId="0">
      <pane ySplit="5" topLeftCell="A281" activePane="bottomLeft" state="frozen"/>
      <selection pane="bottomLeft" activeCell="E310" sqref="E310"/>
    </sheetView>
  </sheetViews>
  <sheetFormatPr defaultColWidth="8.81640625" defaultRowHeight="14.5" x14ac:dyDescent="0.35"/>
  <cols>
    <col min="1" max="1" width="10.81640625" style="17" customWidth="1"/>
    <col min="2" max="3" width="10.81640625" style="69" customWidth="1"/>
    <col min="4" max="4" width="10.81640625" style="18" customWidth="1"/>
    <col min="5" max="7" width="10.81640625" style="19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7" customWidth="1"/>
    <col min="15" max="15" width="9.1796875" style="23" customWidth="1"/>
    <col min="16" max="253" width="9.1796875" style="77" customWidth="1"/>
    <col min="254" max="254" width="10.81640625" style="77" customWidth="1"/>
    <col min="255" max="255" width="18.1796875" style="77" customWidth="1"/>
    <col min="256" max="256" width="15" style="77" customWidth="1"/>
    <col min="257" max="260" width="13" style="77" customWidth="1"/>
    <col min="261" max="261" width="17.453125" style="77" customWidth="1"/>
    <col min="262" max="509" width="9.1796875" style="77" customWidth="1"/>
    <col min="510" max="510" width="10.81640625" style="77" customWidth="1"/>
    <col min="511" max="511" width="18.1796875" style="77" customWidth="1"/>
    <col min="512" max="512" width="15" style="77" customWidth="1"/>
    <col min="513" max="516" width="13" style="77" customWidth="1"/>
    <col min="517" max="517" width="17.453125" style="77" customWidth="1"/>
    <col min="518" max="765" width="9.1796875" style="77" customWidth="1"/>
    <col min="766" max="766" width="10.81640625" style="77" customWidth="1"/>
    <col min="767" max="767" width="18.1796875" style="77" customWidth="1"/>
    <col min="768" max="768" width="15" style="77" customWidth="1"/>
    <col min="769" max="772" width="13" style="77" customWidth="1"/>
    <col min="773" max="773" width="17.453125" style="77" customWidth="1"/>
    <col min="774" max="1021" width="9.1796875" style="77" customWidth="1"/>
    <col min="1022" max="1022" width="10.81640625" style="77" customWidth="1"/>
    <col min="1023" max="1023" width="18.1796875" style="77" customWidth="1"/>
    <col min="1024" max="1024" width="15" style="77" customWidth="1"/>
    <col min="1025" max="1028" width="13" style="77" customWidth="1"/>
    <col min="1029" max="1029" width="17.453125" style="77" customWidth="1"/>
    <col min="1030" max="1277" width="9.1796875" style="77" customWidth="1"/>
    <col min="1278" max="1278" width="10.81640625" style="77" customWidth="1"/>
    <col min="1279" max="1279" width="18.1796875" style="77" customWidth="1"/>
    <col min="1280" max="1280" width="15" style="77" customWidth="1"/>
    <col min="1281" max="1284" width="13" style="77" customWidth="1"/>
    <col min="1285" max="1285" width="17.453125" style="77" customWidth="1"/>
    <col min="1286" max="1533" width="9.1796875" style="77" customWidth="1"/>
    <col min="1534" max="1534" width="10.81640625" style="77" customWidth="1"/>
    <col min="1535" max="1535" width="18.1796875" style="77" customWidth="1"/>
    <col min="1536" max="1536" width="15" style="77" customWidth="1"/>
    <col min="1537" max="1540" width="13" style="77" customWidth="1"/>
    <col min="1541" max="1541" width="17.453125" style="77" customWidth="1"/>
    <col min="1542" max="1789" width="9.1796875" style="77" customWidth="1"/>
    <col min="1790" max="1790" width="10.81640625" style="77" customWidth="1"/>
    <col min="1791" max="1791" width="18.1796875" style="77" customWidth="1"/>
    <col min="1792" max="1792" width="15" style="77" customWidth="1"/>
    <col min="1793" max="1796" width="13" style="77" customWidth="1"/>
    <col min="1797" max="1797" width="17.453125" style="77" customWidth="1"/>
    <col min="1798" max="2045" width="9.1796875" style="77" customWidth="1"/>
    <col min="2046" max="2046" width="10.81640625" style="77" customWidth="1"/>
    <col min="2047" max="2047" width="18.1796875" style="77" customWidth="1"/>
    <col min="2048" max="2048" width="15" style="77" customWidth="1"/>
    <col min="2049" max="2052" width="13" style="77" customWidth="1"/>
    <col min="2053" max="2053" width="17.453125" style="77" customWidth="1"/>
    <col min="2054" max="2301" width="9.1796875" style="77" customWidth="1"/>
    <col min="2302" max="2302" width="10.81640625" style="77" customWidth="1"/>
    <col min="2303" max="2303" width="18.1796875" style="77" customWidth="1"/>
    <col min="2304" max="2304" width="15" style="77" customWidth="1"/>
    <col min="2305" max="2308" width="13" style="77" customWidth="1"/>
    <col min="2309" max="2309" width="17.453125" style="77" customWidth="1"/>
    <col min="2310" max="2557" width="9.1796875" style="77" customWidth="1"/>
    <col min="2558" max="2558" width="10.81640625" style="77" customWidth="1"/>
    <col min="2559" max="2559" width="18.1796875" style="77" customWidth="1"/>
    <col min="2560" max="2560" width="15" style="77" customWidth="1"/>
    <col min="2561" max="2564" width="13" style="77" customWidth="1"/>
    <col min="2565" max="2565" width="17.453125" style="77" customWidth="1"/>
    <col min="2566" max="2813" width="9.1796875" style="77" customWidth="1"/>
    <col min="2814" max="2814" width="10.81640625" style="77" customWidth="1"/>
    <col min="2815" max="2815" width="18.1796875" style="77" customWidth="1"/>
    <col min="2816" max="2816" width="15" style="77" customWidth="1"/>
    <col min="2817" max="2820" width="13" style="77" customWidth="1"/>
    <col min="2821" max="2821" width="17.453125" style="77" customWidth="1"/>
    <col min="2822" max="3069" width="9.1796875" style="77" customWidth="1"/>
    <col min="3070" max="3070" width="10.81640625" style="77" customWidth="1"/>
    <col min="3071" max="3071" width="18.1796875" style="77" customWidth="1"/>
    <col min="3072" max="3072" width="15" style="77" customWidth="1"/>
    <col min="3073" max="3076" width="13" style="77" customWidth="1"/>
    <col min="3077" max="3077" width="17.453125" style="77" customWidth="1"/>
    <col min="3078" max="3325" width="9.1796875" style="77" customWidth="1"/>
    <col min="3326" max="3326" width="10.81640625" style="77" customWidth="1"/>
    <col min="3327" max="3327" width="18.1796875" style="77" customWidth="1"/>
    <col min="3328" max="3328" width="15" style="77" customWidth="1"/>
    <col min="3329" max="3332" width="13" style="77" customWidth="1"/>
    <col min="3333" max="3333" width="17.453125" style="77" customWidth="1"/>
    <col min="3334" max="3581" width="9.1796875" style="77" customWidth="1"/>
    <col min="3582" max="3582" width="10.81640625" style="77" customWidth="1"/>
    <col min="3583" max="3583" width="18.1796875" style="77" customWidth="1"/>
    <col min="3584" max="3584" width="15" style="77" customWidth="1"/>
    <col min="3585" max="3588" width="13" style="77" customWidth="1"/>
    <col min="3589" max="3589" width="17.453125" style="77" customWidth="1"/>
    <col min="3590" max="3837" width="9.1796875" style="77" customWidth="1"/>
    <col min="3838" max="3838" width="10.81640625" style="77" customWidth="1"/>
    <col min="3839" max="3839" width="18.1796875" style="77" customWidth="1"/>
    <col min="3840" max="3840" width="15" style="77" customWidth="1"/>
    <col min="3841" max="3844" width="13" style="77" customWidth="1"/>
    <col min="3845" max="3845" width="17.453125" style="77" customWidth="1"/>
    <col min="3846" max="4093" width="9.1796875" style="77" customWidth="1"/>
    <col min="4094" max="4094" width="10.81640625" style="77" customWidth="1"/>
    <col min="4095" max="4095" width="18.1796875" style="77" customWidth="1"/>
    <col min="4096" max="4096" width="15" style="77" customWidth="1"/>
    <col min="4097" max="4100" width="13" style="77" customWidth="1"/>
    <col min="4101" max="4101" width="17.453125" style="77" customWidth="1"/>
    <col min="4102" max="4349" width="9.1796875" style="77" customWidth="1"/>
    <col min="4350" max="4350" width="10.81640625" style="77" customWidth="1"/>
    <col min="4351" max="4351" width="18.1796875" style="77" customWidth="1"/>
    <col min="4352" max="4352" width="15" style="77" customWidth="1"/>
    <col min="4353" max="4356" width="13" style="77" customWidth="1"/>
    <col min="4357" max="4357" width="17.453125" style="77" customWidth="1"/>
    <col min="4358" max="4605" width="9.1796875" style="77" customWidth="1"/>
    <col min="4606" max="4606" width="10.81640625" style="77" customWidth="1"/>
    <col min="4607" max="4607" width="18.1796875" style="77" customWidth="1"/>
    <col min="4608" max="4608" width="15" style="77" customWidth="1"/>
    <col min="4609" max="4612" width="13" style="77" customWidth="1"/>
    <col min="4613" max="4613" width="17.453125" style="77" customWidth="1"/>
    <col min="4614" max="4861" width="9.1796875" style="77" customWidth="1"/>
    <col min="4862" max="4862" width="10.81640625" style="77" customWidth="1"/>
    <col min="4863" max="4863" width="18.1796875" style="77" customWidth="1"/>
    <col min="4864" max="4864" width="15" style="77" customWidth="1"/>
    <col min="4865" max="4868" width="13" style="77" customWidth="1"/>
    <col min="4869" max="4869" width="17.453125" style="77" customWidth="1"/>
    <col min="4870" max="5117" width="9.1796875" style="77" customWidth="1"/>
    <col min="5118" max="5118" width="10.81640625" style="77" customWidth="1"/>
    <col min="5119" max="5119" width="18.1796875" style="77" customWidth="1"/>
    <col min="5120" max="5120" width="15" style="77" customWidth="1"/>
    <col min="5121" max="5124" width="13" style="77" customWidth="1"/>
    <col min="5125" max="5125" width="17.453125" style="77" customWidth="1"/>
    <col min="5126" max="5373" width="9.1796875" style="77" customWidth="1"/>
    <col min="5374" max="5374" width="10.81640625" style="77" customWidth="1"/>
    <col min="5375" max="5375" width="18.1796875" style="77" customWidth="1"/>
    <col min="5376" max="5376" width="15" style="77" customWidth="1"/>
    <col min="5377" max="5380" width="13" style="77" customWidth="1"/>
    <col min="5381" max="5381" width="17.453125" style="77" customWidth="1"/>
    <col min="5382" max="5629" width="9.1796875" style="77" customWidth="1"/>
    <col min="5630" max="5630" width="10.81640625" style="77" customWidth="1"/>
    <col min="5631" max="5631" width="18.1796875" style="77" customWidth="1"/>
    <col min="5632" max="5632" width="15" style="77" customWidth="1"/>
    <col min="5633" max="5636" width="13" style="77" customWidth="1"/>
    <col min="5637" max="5637" width="17.453125" style="77" customWidth="1"/>
    <col min="5638" max="5885" width="9.1796875" style="77" customWidth="1"/>
    <col min="5886" max="5886" width="10.81640625" style="77" customWidth="1"/>
    <col min="5887" max="5887" width="18.1796875" style="77" customWidth="1"/>
    <col min="5888" max="5888" width="15" style="77" customWidth="1"/>
    <col min="5889" max="5892" width="13" style="77" customWidth="1"/>
    <col min="5893" max="5893" width="17.453125" style="77" customWidth="1"/>
    <col min="5894" max="6141" width="9.1796875" style="77" customWidth="1"/>
    <col min="6142" max="6142" width="10.81640625" style="77" customWidth="1"/>
    <col min="6143" max="6143" width="18.1796875" style="77" customWidth="1"/>
    <col min="6144" max="6144" width="15" style="77" customWidth="1"/>
    <col min="6145" max="6148" width="13" style="77" customWidth="1"/>
    <col min="6149" max="6149" width="17.453125" style="77" customWidth="1"/>
    <col min="6150" max="6397" width="9.1796875" style="77" customWidth="1"/>
    <col min="6398" max="6398" width="10.81640625" style="77" customWidth="1"/>
    <col min="6399" max="6399" width="18.1796875" style="77" customWidth="1"/>
    <col min="6400" max="6400" width="15" style="77" customWidth="1"/>
    <col min="6401" max="6404" width="13" style="77" customWidth="1"/>
    <col min="6405" max="6405" width="17.453125" style="77" customWidth="1"/>
    <col min="6406" max="6653" width="9.1796875" style="77" customWidth="1"/>
    <col min="6654" max="6654" width="10.81640625" style="77" customWidth="1"/>
    <col min="6655" max="6655" width="18.1796875" style="77" customWidth="1"/>
    <col min="6656" max="6656" width="15" style="77" customWidth="1"/>
    <col min="6657" max="6660" width="13" style="77" customWidth="1"/>
    <col min="6661" max="6661" width="17.453125" style="77" customWidth="1"/>
    <col min="6662" max="6909" width="9.1796875" style="77" customWidth="1"/>
    <col min="6910" max="6910" width="10.81640625" style="77" customWidth="1"/>
    <col min="6911" max="6911" width="18.1796875" style="77" customWidth="1"/>
    <col min="6912" max="6912" width="15" style="77" customWidth="1"/>
    <col min="6913" max="6916" width="13" style="77" customWidth="1"/>
    <col min="6917" max="6917" width="17.453125" style="77" customWidth="1"/>
    <col min="6918" max="7165" width="9.1796875" style="77" customWidth="1"/>
    <col min="7166" max="7166" width="10.81640625" style="77" customWidth="1"/>
    <col min="7167" max="7167" width="18.1796875" style="77" customWidth="1"/>
    <col min="7168" max="7168" width="15" style="77" customWidth="1"/>
    <col min="7169" max="7172" width="13" style="77" customWidth="1"/>
    <col min="7173" max="7173" width="17.453125" style="77" customWidth="1"/>
    <col min="7174" max="7421" width="9.1796875" style="77" customWidth="1"/>
    <col min="7422" max="7422" width="10.81640625" style="77" customWidth="1"/>
    <col min="7423" max="7423" width="18.1796875" style="77" customWidth="1"/>
    <col min="7424" max="7424" width="15" style="77" customWidth="1"/>
    <col min="7425" max="7428" width="13" style="77" customWidth="1"/>
    <col min="7429" max="7429" width="17.453125" style="77" customWidth="1"/>
    <col min="7430" max="7677" width="9.1796875" style="77" customWidth="1"/>
    <col min="7678" max="7678" width="10.81640625" style="77" customWidth="1"/>
    <col min="7679" max="7679" width="18.1796875" style="77" customWidth="1"/>
    <col min="7680" max="7680" width="15" style="77" customWidth="1"/>
    <col min="7681" max="7684" width="13" style="77" customWidth="1"/>
    <col min="7685" max="7685" width="17.453125" style="77" customWidth="1"/>
    <col min="7686" max="7933" width="9.1796875" style="77" customWidth="1"/>
    <col min="7934" max="7934" width="10.81640625" style="77" customWidth="1"/>
    <col min="7935" max="7935" width="18.1796875" style="77" customWidth="1"/>
    <col min="7936" max="7936" width="15" style="77" customWidth="1"/>
    <col min="7937" max="7940" width="13" style="77" customWidth="1"/>
    <col min="7941" max="7941" width="17.453125" style="77" customWidth="1"/>
    <col min="7942" max="8189" width="9.1796875" style="77" customWidth="1"/>
    <col min="8190" max="8190" width="10.81640625" style="77" customWidth="1"/>
    <col min="8191" max="8191" width="18.1796875" style="77" customWidth="1"/>
    <col min="8192" max="8192" width="15" style="77" customWidth="1"/>
    <col min="8193" max="8196" width="13" style="77" customWidth="1"/>
    <col min="8197" max="8197" width="17.453125" style="77" customWidth="1"/>
    <col min="8198" max="8445" width="9.1796875" style="77" customWidth="1"/>
    <col min="8446" max="8446" width="10.81640625" style="77" customWidth="1"/>
    <col min="8447" max="8447" width="18.1796875" style="77" customWidth="1"/>
    <col min="8448" max="8448" width="15" style="77" customWidth="1"/>
    <col min="8449" max="8452" width="13" style="77" customWidth="1"/>
    <col min="8453" max="8453" width="17.453125" style="77" customWidth="1"/>
    <col min="8454" max="8701" width="9.1796875" style="77" customWidth="1"/>
    <col min="8702" max="8702" width="10.81640625" style="77" customWidth="1"/>
    <col min="8703" max="8703" width="18.1796875" style="77" customWidth="1"/>
    <col min="8704" max="8704" width="15" style="77" customWidth="1"/>
    <col min="8705" max="8708" width="13" style="77" customWidth="1"/>
    <col min="8709" max="8709" width="17.453125" style="77" customWidth="1"/>
    <col min="8710" max="8957" width="9.1796875" style="77" customWidth="1"/>
    <col min="8958" max="8958" width="10.81640625" style="77" customWidth="1"/>
    <col min="8959" max="8959" width="18.1796875" style="77" customWidth="1"/>
    <col min="8960" max="8960" width="15" style="77" customWidth="1"/>
    <col min="8961" max="8964" width="13" style="77" customWidth="1"/>
    <col min="8965" max="8965" width="17.453125" style="77" customWidth="1"/>
    <col min="8966" max="9213" width="9.1796875" style="77" customWidth="1"/>
    <col min="9214" max="9214" width="10.81640625" style="77" customWidth="1"/>
    <col min="9215" max="9215" width="18.1796875" style="77" customWidth="1"/>
    <col min="9216" max="9216" width="15" style="77" customWidth="1"/>
    <col min="9217" max="9220" width="13" style="77" customWidth="1"/>
    <col min="9221" max="9221" width="17.453125" style="77" customWidth="1"/>
    <col min="9222" max="9469" width="9.1796875" style="77" customWidth="1"/>
    <col min="9470" max="9470" width="10.81640625" style="77" customWidth="1"/>
    <col min="9471" max="9471" width="18.1796875" style="77" customWidth="1"/>
    <col min="9472" max="9472" width="15" style="77" customWidth="1"/>
    <col min="9473" max="9476" width="13" style="77" customWidth="1"/>
    <col min="9477" max="9477" width="17.453125" style="77" customWidth="1"/>
    <col min="9478" max="9725" width="9.1796875" style="77" customWidth="1"/>
    <col min="9726" max="9726" width="10.81640625" style="77" customWidth="1"/>
    <col min="9727" max="9727" width="18.1796875" style="77" customWidth="1"/>
    <col min="9728" max="9728" width="15" style="77" customWidth="1"/>
    <col min="9729" max="9732" width="13" style="77" customWidth="1"/>
    <col min="9733" max="9733" width="17.453125" style="77" customWidth="1"/>
    <col min="9734" max="9981" width="9.1796875" style="77" customWidth="1"/>
    <col min="9982" max="9982" width="10.81640625" style="77" customWidth="1"/>
    <col min="9983" max="9983" width="18.1796875" style="77" customWidth="1"/>
    <col min="9984" max="9984" width="15" style="77" customWidth="1"/>
    <col min="9985" max="9988" width="13" style="77" customWidth="1"/>
    <col min="9989" max="9989" width="17.453125" style="77" customWidth="1"/>
    <col min="9990" max="10237" width="9.1796875" style="77" customWidth="1"/>
    <col min="10238" max="10238" width="10.81640625" style="77" customWidth="1"/>
    <col min="10239" max="10239" width="18.1796875" style="77" customWidth="1"/>
    <col min="10240" max="10240" width="15" style="77" customWidth="1"/>
    <col min="10241" max="10244" width="13" style="77" customWidth="1"/>
    <col min="10245" max="10245" width="17.453125" style="77" customWidth="1"/>
    <col min="10246" max="10493" width="9.1796875" style="77" customWidth="1"/>
    <col min="10494" max="10494" width="10.81640625" style="77" customWidth="1"/>
    <col min="10495" max="10495" width="18.1796875" style="77" customWidth="1"/>
    <col min="10496" max="10496" width="15" style="77" customWidth="1"/>
    <col min="10497" max="10500" width="13" style="77" customWidth="1"/>
    <col min="10501" max="10501" width="17.453125" style="77" customWidth="1"/>
    <col min="10502" max="10749" width="9.1796875" style="77" customWidth="1"/>
    <col min="10750" max="10750" width="10.81640625" style="77" customWidth="1"/>
    <col min="10751" max="10751" width="18.1796875" style="77" customWidth="1"/>
    <col min="10752" max="10752" width="15" style="77" customWidth="1"/>
    <col min="10753" max="10756" width="13" style="77" customWidth="1"/>
    <col min="10757" max="10757" width="17.453125" style="77" customWidth="1"/>
    <col min="10758" max="11005" width="9.1796875" style="77" customWidth="1"/>
    <col min="11006" max="11006" width="10.81640625" style="77" customWidth="1"/>
    <col min="11007" max="11007" width="18.1796875" style="77" customWidth="1"/>
    <col min="11008" max="11008" width="15" style="77" customWidth="1"/>
    <col min="11009" max="11012" width="13" style="77" customWidth="1"/>
    <col min="11013" max="11013" width="17.453125" style="77" customWidth="1"/>
    <col min="11014" max="11261" width="9.1796875" style="77" customWidth="1"/>
    <col min="11262" max="11262" width="10.81640625" style="77" customWidth="1"/>
    <col min="11263" max="11263" width="18.1796875" style="77" customWidth="1"/>
    <col min="11264" max="11264" width="15" style="77" customWidth="1"/>
    <col min="11265" max="11268" width="13" style="77" customWidth="1"/>
    <col min="11269" max="11269" width="17.453125" style="77" customWidth="1"/>
    <col min="11270" max="11517" width="9.1796875" style="77" customWidth="1"/>
    <col min="11518" max="11518" width="10.81640625" style="77" customWidth="1"/>
    <col min="11519" max="11519" width="18.1796875" style="77" customWidth="1"/>
    <col min="11520" max="11520" width="15" style="77" customWidth="1"/>
    <col min="11521" max="11524" width="13" style="77" customWidth="1"/>
    <col min="11525" max="11525" width="17.453125" style="77" customWidth="1"/>
    <col min="11526" max="11773" width="9.1796875" style="77" customWidth="1"/>
    <col min="11774" max="11774" width="10.81640625" style="77" customWidth="1"/>
    <col min="11775" max="11775" width="18.1796875" style="77" customWidth="1"/>
    <col min="11776" max="11776" width="15" style="77" customWidth="1"/>
    <col min="11777" max="11780" width="13" style="77" customWidth="1"/>
    <col min="11781" max="11781" width="17.453125" style="77" customWidth="1"/>
    <col min="11782" max="12029" width="9.1796875" style="77" customWidth="1"/>
    <col min="12030" max="12030" width="10.81640625" style="77" customWidth="1"/>
    <col min="12031" max="12031" width="18.1796875" style="77" customWidth="1"/>
    <col min="12032" max="12032" width="15" style="77" customWidth="1"/>
    <col min="12033" max="12036" width="13" style="77" customWidth="1"/>
    <col min="12037" max="12037" width="17.453125" style="77" customWidth="1"/>
    <col min="12038" max="12285" width="9.1796875" style="77" customWidth="1"/>
    <col min="12286" max="12286" width="10.81640625" style="77" customWidth="1"/>
    <col min="12287" max="12287" width="18.1796875" style="77" customWidth="1"/>
    <col min="12288" max="12288" width="15" style="77" customWidth="1"/>
    <col min="12289" max="12292" width="13" style="77" customWidth="1"/>
    <col min="12293" max="12293" width="17.453125" style="77" customWidth="1"/>
    <col min="12294" max="12541" width="9.1796875" style="77" customWidth="1"/>
    <col min="12542" max="12542" width="10.81640625" style="77" customWidth="1"/>
    <col min="12543" max="12543" width="18.1796875" style="77" customWidth="1"/>
    <col min="12544" max="12544" width="15" style="77" customWidth="1"/>
    <col min="12545" max="12548" width="13" style="77" customWidth="1"/>
    <col min="12549" max="12549" width="17.453125" style="77" customWidth="1"/>
    <col min="12550" max="12797" width="9.1796875" style="77" customWidth="1"/>
    <col min="12798" max="12798" width="10.81640625" style="77" customWidth="1"/>
    <col min="12799" max="12799" width="18.1796875" style="77" customWidth="1"/>
    <col min="12800" max="12800" width="15" style="77" customWidth="1"/>
    <col min="12801" max="12804" width="13" style="77" customWidth="1"/>
    <col min="12805" max="12805" width="17.453125" style="77" customWidth="1"/>
    <col min="12806" max="13053" width="9.1796875" style="77" customWidth="1"/>
    <col min="13054" max="13054" width="10.81640625" style="77" customWidth="1"/>
    <col min="13055" max="13055" width="18.1796875" style="77" customWidth="1"/>
    <col min="13056" max="13056" width="15" style="77" customWidth="1"/>
    <col min="13057" max="13060" width="13" style="77" customWidth="1"/>
    <col min="13061" max="13061" width="17.453125" style="77" customWidth="1"/>
    <col min="13062" max="13309" width="9.1796875" style="77" customWidth="1"/>
    <col min="13310" max="13310" width="10.81640625" style="77" customWidth="1"/>
    <col min="13311" max="13311" width="18.1796875" style="77" customWidth="1"/>
    <col min="13312" max="13312" width="15" style="77" customWidth="1"/>
    <col min="13313" max="13316" width="13" style="77" customWidth="1"/>
    <col min="13317" max="13317" width="17.453125" style="77" customWidth="1"/>
    <col min="13318" max="13565" width="9.1796875" style="77" customWidth="1"/>
    <col min="13566" max="13566" width="10.81640625" style="77" customWidth="1"/>
    <col min="13567" max="13567" width="18.1796875" style="77" customWidth="1"/>
    <col min="13568" max="13568" width="15" style="77" customWidth="1"/>
    <col min="13569" max="13572" width="13" style="77" customWidth="1"/>
    <col min="13573" max="13573" width="17.453125" style="77" customWidth="1"/>
    <col min="13574" max="13821" width="9.1796875" style="77" customWidth="1"/>
    <col min="13822" max="13822" width="10.81640625" style="77" customWidth="1"/>
    <col min="13823" max="13823" width="18.1796875" style="77" customWidth="1"/>
    <col min="13824" max="13824" width="15" style="77" customWidth="1"/>
    <col min="13825" max="13828" width="13" style="77" customWidth="1"/>
    <col min="13829" max="13829" width="17.453125" style="77" customWidth="1"/>
    <col min="13830" max="14077" width="9.1796875" style="77" customWidth="1"/>
    <col min="14078" max="14078" width="10.81640625" style="77" customWidth="1"/>
    <col min="14079" max="14079" width="18.1796875" style="77" customWidth="1"/>
    <col min="14080" max="14080" width="15" style="77" customWidth="1"/>
    <col min="14081" max="14084" width="13" style="77" customWidth="1"/>
    <col min="14085" max="14085" width="17.453125" style="77" customWidth="1"/>
    <col min="14086" max="14333" width="9.1796875" style="77" customWidth="1"/>
    <col min="14334" max="14334" width="10.81640625" style="77" customWidth="1"/>
    <col min="14335" max="14335" width="18.1796875" style="77" customWidth="1"/>
    <col min="14336" max="14336" width="15" style="77" customWidth="1"/>
    <col min="14337" max="14340" width="13" style="77" customWidth="1"/>
    <col min="14341" max="14341" width="17.453125" style="77" customWidth="1"/>
    <col min="14342" max="14589" width="9.1796875" style="77" customWidth="1"/>
    <col min="14590" max="14590" width="10.81640625" style="77" customWidth="1"/>
    <col min="14591" max="14591" width="18.1796875" style="77" customWidth="1"/>
    <col min="14592" max="14592" width="15" style="77" customWidth="1"/>
    <col min="14593" max="14596" width="13" style="77" customWidth="1"/>
    <col min="14597" max="14597" width="17.453125" style="77" customWidth="1"/>
    <col min="14598" max="14845" width="9.1796875" style="77" customWidth="1"/>
    <col min="14846" max="14846" width="10.81640625" style="77" customWidth="1"/>
    <col min="14847" max="14847" width="18.1796875" style="77" customWidth="1"/>
    <col min="14848" max="14848" width="15" style="77" customWidth="1"/>
    <col min="14849" max="14852" width="13" style="77" customWidth="1"/>
    <col min="14853" max="14853" width="17.453125" style="77" customWidth="1"/>
    <col min="14854" max="15101" width="9.1796875" style="77" customWidth="1"/>
    <col min="15102" max="15102" width="10.81640625" style="77" customWidth="1"/>
    <col min="15103" max="15103" width="18.1796875" style="77" customWidth="1"/>
    <col min="15104" max="15104" width="15" style="77" customWidth="1"/>
    <col min="15105" max="15108" width="13" style="77" customWidth="1"/>
    <col min="15109" max="15109" width="17.453125" style="77" customWidth="1"/>
    <col min="15110" max="15357" width="9.1796875" style="77" customWidth="1"/>
    <col min="15358" max="15358" width="10.81640625" style="77" customWidth="1"/>
    <col min="15359" max="15359" width="18.1796875" style="77" customWidth="1"/>
    <col min="15360" max="15360" width="15" style="77" customWidth="1"/>
    <col min="15361" max="15364" width="13" style="77" customWidth="1"/>
    <col min="15365" max="15365" width="17.453125" style="77" customWidth="1"/>
    <col min="15366" max="15613" width="9.1796875" style="77" customWidth="1"/>
    <col min="15614" max="15614" width="10.81640625" style="77" customWidth="1"/>
    <col min="15615" max="15615" width="18.1796875" style="77" customWidth="1"/>
    <col min="15616" max="15616" width="15" style="77" customWidth="1"/>
    <col min="15617" max="15620" width="13" style="77" customWidth="1"/>
    <col min="15621" max="15621" width="17.453125" style="77" customWidth="1"/>
    <col min="15622" max="15869" width="9.1796875" style="77" customWidth="1"/>
    <col min="15870" max="15870" width="10.81640625" style="77" customWidth="1"/>
    <col min="15871" max="15871" width="18.1796875" style="77" customWidth="1"/>
    <col min="15872" max="15872" width="15" style="77" customWidth="1"/>
    <col min="15873" max="15876" width="13" style="77" customWidth="1"/>
    <col min="15877" max="15877" width="17.453125" style="77" customWidth="1"/>
    <col min="15878" max="16125" width="9.1796875" style="77" customWidth="1"/>
    <col min="16126" max="16126" width="10.81640625" style="77" customWidth="1"/>
    <col min="16127" max="16127" width="18.1796875" style="77" customWidth="1"/>
    <col min="16128" max="16128" width="15" style="77" customWidth="1"/>
    <col min="16129" max="16132" width="13" style="77" customWidth="1"/>
    <col min="16133" max="16133" width="17.453125" style="77" customWidth="1"/>
    <col min="16134" max="16384" width="9.1796875" style="77" customWidth="1"/>
  </cols>
  <sheetData>
    <row r="2" spans="1:18" x14ac:dyDescent="0.35">
      <c r="A2" s="70"/>
      <c r="B2" s="71"/>
      <c r="C2" s="71"/>
      <c r="P2" s="71"/>
      <c r="R2" s="20"/>
    </row>
    <row r="4" spans="1:18" ht="16" customHeight="1" thickBot="1" x14ac:dyDescent="0.4"/>
    <row r="5" spans="1:18" s="76" customFormat="1" ht="23.25" customHeight="1" x14ac:dyDescent="0.35">
      <c r="A5" s="40" t="s">
        <v>30</v>
      </c>
      <c r="B5" s="72" t="s">
        <v>46</v>
      </c>
      <c r="C5" s="72" t="s">
        <v>36</v>
      </c>
      <c r="D5" s="41" t="s">
        <v>37</v>
      </c>
      <c r="E5" s="42" t="s">
        <v>38</v>
      </c>
      <c r="F5" s="42" t="s">
        <v>39</v>
      </c>
      <c r="G5" s="43" t="s">
        <v>40</v>
      </c>
      <c r="H5" s="41" t="s">
        <v>47</v>
      </c>
      <c r="I5" s="43" t="s">
        <v>48</v>
      </c>
      <c r="J5" s="43" t="s">
        <v>49</v>
      </c>
      <c r="K5" s="43" t="s">
        <v>50</v>
      </c>
      <c r="L5" s="44" t="s">
        <v>51</v>
      </c>
      <c r="N5" s="22" t="s">
        <v>52</v>
      </c>
      <c r="O5" s="24" t="s">
        <v>52</v>
      </c>
    </row>
    <row r="6" spans="1:18" x14ac:dyDescent="0.35">
      <c r="A6" s="45">
        <v>17168</v>
      </c>
      <c r="B6" s="64">
        <f>VLOOKUP(A6,'U.S. GDP'!A:B,2,)</f>
        <v>2034.45</v>
      </c>
      <c r="C6" s="64">
        <f>VLOOKUP(A6,PersonalConsumption!A:B,2,)</f>
        <v>1277.44</v>
      </c>
      <c r="D6" s="64">
        <f>VLOOKUP(A6,PrivateInvestment!A:B,2,)</f>
        <v>218.09100000000001</v>
      </c>
      <c r="E6" s="64">
        <f>VLOOKUP(A6,Exports!A:B,2,)</f>
        <v>97.63</v>
      </c>
      <c r="F6" s="64">
        <f>VLOOKUP(A6,Imports!A:B,2,)</f>
        <v>60.396000000000001</v>
      </c>
      <c r="G6" s="64">
        <f>VLOOKUP(A6,Government!A:B,2,)</f>
        <v>524.02599999999995</v>
      </c>
      <c r="H6" s="37">
        <f>Table58[[#This Row],[Personal Consumption]]/Table58[[#This Row],[GDP]]</f>
        <v>0.62790434761237679</v>
      </c>
      <c r="I6" s="37">
        <f>Table58[[#This Row],[Private Investment]]/Table58[[#This Row],[GDP]]</f>
        <v>0.10719899727198998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9">
        <f>SUM(Table58[[#This Row],[PC%]:[G%]])</f>
        <v>1.0109813463098134</v>
      </c>
      <c r="O6" s="2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35">
      <c r="A7" s="45">
        <v>17258</v>
      </c>
      <c r="B7" s="64">
        <f>VLOOKUP(A7,'U.S. GDP'!A:B,2,)</f>
        <v>2029.0239999999999</v>
      </c>
      <c r="C7" s="64">
        <f>VLOOKUP(A7,PersonalConsumption!A:B,2,)</f>
        <v>1298.692</v>
      </c>
      <c r="D7" s="64">
        <f>VLOOKUP(A7,PrivateInvestment!A:B,2,)</f>
        <v>201.386</v>
      </c>
      <c r="E7" s="64">
        <f>VLOOKUP(A7,Exports!A:B,2,)</f>
        <v>96.399000000000001</v>
      </c>
      <c r="F7" s="64">
        <f>VLOOKUP(A7,Imports!A:B,2,)</f>
        <v>61.558999999999997</v>
      </c>
      <c r="G7" s="64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9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4">
        <f>VLOOKUP(A8,'U.S. GDP'!A:B,2,)</f>
        <v>2024.8340000000001</v>
      </c>
      <c r="C8" s="64">
        <f>VLOOKUP(A8,PersonalConsumption!A:B,2,)</f>
        <v>1302.925</v>
      </c>
      <c r="D8" s="64">
        <f>VLOOKUP(A8,PrivateInvestment!A:B,2,)</f>
        <v>195.46100000000001</v>
      </c>
      <c r="E8" s="64">
        <f>VLOOKUP(A8,Exports!A:B,2,)</f>
        <v>91.506</v>
      </c>
      <c r="F8" s="64">
        <f>VLOOKUP(A8,Imports!A:B,2,)</f>
        <v>54.594000000000001</v>
      </c>
      <c r="G8" s="64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9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4">
        <f>VLOOKUP(A9,'U.S. GDP'!A:B,2,)</f>
        <v>2056.5079999999998</v>
      </c>
      <c r="C9" s="64">
        <f>VLOOKUP(A9,PersonalConsumption!A:B,2,)</f>
        <v>1303.3399999999999</v>
      </c>
      <c r="D9" s="64">
        <f>VLOOKUP(A9,PrivateInvestment!A:B,2,)</f>
        <v>233.28399999999999</v>
      </c>
      <c r="E9" s="64">
        <f>VLOOKUP(A9,Exports!A:B,2,)</f>
        <v>81.138999999999996</v>
      </c>
      <c r="F9" s="64">
        <f>VLOOKUP(A9,Imports!A:B,2,)</f>
        <v>57.537999999999997</v>
      </c>
      <c r="G9" s="64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9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4">
        <f>VLOOKUP(A10,'U.S. GDP'!A:B,2,)</f>
        <v>2087.442</v>
      </c>
      <c r="C10" s="64">
        <f>VLOOKUP(A10,PersonalConsumption!A:B,2,)</f>
        <v>1309.8340000000001</v>
      </c>
      <c r="D10" s="64">
        <f>VLOOKUP(A10,PrivateInvestment!A:B,2,)</f>
        <v>257.22000000000003</v>
      </c>
      <c r="E10" s="64">
        <f>VLOOKUP(A10,Exports!A:B,2,)</f>
        <v>77.436999999999998</v>
      </c>
      <c r="F10" s="64">
        <f>VLOOKUP(A10,Imports!A:B,2,)</f>
        <v>64.882999999999996</v>
      </c>
      <c r="G10" s="64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9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4">
        <f>VLOOKUP(A11,'U.S. GDP'!A:B,2,)</f>
        <v>2121.8989999999999</v>
      </c>
      <c r="C11" s="64">
        <f>VLOOKUP(A11,PersonalConsumption!A:B,2,)</f>
        <v>1325.075</v>
      </c>
      <c r="D11" s="64">
        <f>VLOOKUP(A11,PrivateInvestment!A:B,2,)</f>
        <v>273.13799999999998</v>
      </c>
      <c r="E11" s="64">
        <f>VLOOKUP(A11,Exports!A:B,2,)</f>
        <v>70.197999999999993</v>
      </c>
      <c r="F11" s="64">
        <f>VLOOKUP(A11,Imports!A:B,2,)</f>
        <v>67.454999999999998</v>
      </c>
      <c r="G11" s="64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9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4">
        <f>VLOOKUP(A12,'U.S. GDP'!A:B,2,)</f>
        <v>2134.056</v>
      </c>
      <c r="C12" s="64">
        <f>VLOOKUP(A12,PersonalConsumption!A:B,2,)</f>
        <v>1327.0309999999999</v>
      </c>
      <c r="D12" s="64">
        <f>VLOOKUP(A12,PrivateInvestment!A:B,2,)</f>
        <v>275.93599999999998</v>
      </c>
      <c r="E12" s="64">
        <f>VLOOKUP(A12,Exports!A:B,2,)</f>
        <v>71.847999999999999</v>
      </c>
      <c r="F12" s="64">
        <f>VLOOKUP(A12,Imports!A:B,2,)</f>
        <v>70.977000000000004</v>
      </c>
      <c r="G12" s="64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9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4">
        <f>VLOOKUP(A13,'U.S. GDP'!A:B,2,)</f>
        <v>2136.44</v>
      </c>
      <c r="C13" s="64">
        <f>VLOOKUP(A13,PersonalConsumption!A:B,2,)</f>
        <v>1337.6220000000001</v>
      </c>
      <c r="D13" s="64">
        <f>VLOOKUP(A13,PrivateInvestment!A:B,2,)</f>
        <v>262.74099999999999</v>
      </c>
      <c r="E13" s="64">
        <f>VLOOKUP(A13,Exports!A:B,2,)</f>
        <v>69.316000000000003</v>
      </c>
      <c r="F13" s="64">
        <f>VLOOKUP(A13,Imports!A:B,2,)</f>
        <v>69.825999999999993</v>
      </c>
      <c r="G13" s="64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9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4">
        <f>VLOOKUP(A14,'U.S. GDP'!A:B,2,)</f>
        <v>2107.0010000000002</v>
      </c>
      <c r="C14" s="64">
        <f>VLOOKUP(A14,PersonalConsumption!A:B,2,)</f>
        <v>1339.787</v>
      </c>
      <c r="D14" s="64">
        <f>VLOOKUP(A14,PrivateInvestment!A:B,2,)</f>
        <v>223.50700000000001</v>
      </c>
      <c r="E14" s="64">
        <f>VLOOKUP(A14,Exports!A:B,2,)</f>
        <v>77.611999999999995</v>
      </c>
      <c r="F14" s="64">
        <f>VLOOKUP(A14,Imports!A:B,2,)</f>
        <v>67.730999999999995</v>
      </c>
      <c r="G14" s="64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9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4">
        <f>VLOOKUP(A15,'U.S. GDP'!A:B,2,)</f>
        <v>2099.8139999999999</v>
      </c>
      <c r="C15" s="64">
        <f>VLOOKUP(A15,PersonalConsumption!A:B,2,)</f>
        <v>1360.3219999999999</v>
      </c>
      <c r="D15" s="64">
        <f>VLOOKUP(A15,PrivateInvestment!A:B,2,)</f>
        <v>193.79499999999999</v>
      </c>
      <c r="E15" s="64">
        <f>VLOOKUP(A15,Exports!A:B,2,)</f>
        <v>76.947000000000003</v>
      </c>
      <c r="F15" s="64">
        <f>VLOOKUP(A15,Imports!A:B,2,)</f>
        <v>66.742999999999995</v>
      </c>
      <c r="G15" s="64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9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4">
        <f>VLOOKUP(A16,'U.S. GDP'!A:B,2,)</f>
        <v>2121.4929999999999</v>
      </c>
      <c r="C16" s="64">
        <f>VLOOKUP(A16,PersonalConsumption!A:B,2,)</f>
        <v>1363.4069999999999</v>
      </c>
      <c r="D16" s="64">
        <f>VLOOKUP(A16,PrivateInvestment!A:B,2,)</f>
        <v>209.86199999999999</v>
      </c>
      <c r="E16" s="64">
        <f>VLOOKUP(A16,Exports!A:B,2,)</f>
        <v>70.52</v>
      </c>
      <c r="F16" s="64">
        <f>VLOOKUP(A16,Imports!A:B,2,)</f>
        <v>64.022999999999996</v>
      </c>
      <c r="G16" s="64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9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4">
        <f>VLOOKUP(A17,'U.S. GDP'!A:B,2,)</f>
        <v>2103.6880000000001</v>
      </c>
      <c r="C17" s="64">
        <f>VLOOKUP(A17,PersonalConsumption!A:B,2,)</f>
        <v>1383.396</v>
      </c>
      <c r="D17" s="64">
        <f>VLOOKUP(A17,PrivateInvestment!A:B,2,)</f>
        <v>199.54</v>
      </c>
      <c r="E17" s="64">
        <f>VLOOKUP(A17,Exports!A:B,2,)</f>
        <v>61.046999999999997</v>
      </c>
      <c r="F17" s="64">
        <f>VLOOKUP(A17,Imports!A:B,2,)</f>
        <v>64.986999999999995</v>
      </c>
      <c r="G17" s="64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9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4">
        <f>VLOOKUP(A18,'U.S. GDP'!A:B,2,)</f>
        <v>2186.3649999999998</v>
      </c>
      <c r="C18" s="64">
        <f>VLOOKUP(A18,PersonalConsumption!A:B,2,)</f>
        <v>1406.4290000000001</v>
      </c>
      <c r="D18" s="64">
        <f>VLOOKUP(A18,PrivateInvestment!A:B,2,)</f>
        <v>246.911</v>
      </c>
      <c r="E18" s="64">
        <f>VLOOKUP(A18,Exports!A:B,2,)</f>
        <v>60.040999999999997</v>
      </c>
      <c r="F18" s="64">
        <f>VLOOKUP(A18,Imports!A:B,2,)</f>
        <v>66.802999999999997</v>
      </c>
      <c r="G18" s="64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9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4">
        <f>VLOOKUP(A19,'U.S. GDP'!A:B,2,)</f>
        <v>2253.0450000000001</v>
      </c>
      <c r="C19" s="64">
        <f>VLOOKUP(A19,PersonalConsumption!A:B,2,)</f>
        <v>1429.5909999999999</v>
      </c>
      <c r="D19" s="64">
        <f>VLOOKUP(A19,PrivateInvestment!A:B,2,)</f>
        <v>273.33499999999998</v>
      </c>
      <c r="E19" s="64">
        <f>VLOOKUP(A19,Exports!A:B,2,)</f>
        <v>60.765999999999998</v>
      </c>
      <c r="F19" s="64">
        <f>VLOOKUP(A19,Imports!A:B,2,)</f>
        <v>70.489999999999995</v>
      </c>
      <c r="G19" s="64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9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4">
        <f>VLOOKUP(A20,'U.S. GDP'!A:B,2,)</f>
        <v>2340.1120000000001</v>
      </c>
      <c r="C20" s="64">
        <f>VLOOKUP(A20,PersonalConsumption!A:B,2,)</f>
        <v>1503.0029999999999</v>
      </c>
      <c r="D20" s="64">
        <f>VLOOKUP(A20,PrivateInvestment!A:B,2,)</f>
        <v>296.83100000000002</v>
      </c>
      <c r="E20" s="64">
        <f>VLOOKUP(A20,Exports!A:B,2,)</f>
        <v>62.341999999999999</v>
      </c>
      <c r="F20" s="64">
        <f>VLOOKUP(A20,Imports!A:B,2,)</f>
        <v>86.986000000000004</v>
      </c>
      <c r="G20" s="64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9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4">
        <f>VLOOKUP(A21,'U.S. GDP'!A:B,2,)</f>
        <v>2384.92</v>
      </c>
      <c r="C21" s="64">
        <f>VLOOKUP(A21,PersonalConsumption!A:B,2,)</f>
        <v>1457.694</v>
      </c>
      <c r="D21" s="64">
        <f>VLOOKUP(A21,PrivateInvestment!A:B,2,)</f>
        <v>334.548</v>
      </c>
      <c r="E21" s="64">
        <f>VLOOKUP(A21,Exports!A:B,2,)</f>
        <v>67.394999999999996</v>
      </c>
      <c r="F21" s="64">
        <f>VLOOKUP(A21,Imports!A:B,2,)</f>
        <v>87.149000000000001</v>
      </c>
      <c r="G21" s="64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9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4">
        <f>VLOOKUP(A22,'U.S. GDP'!A:B,2,)</f>
        <v>2417.3110000000001</v>
      </c>
      <c r="C22" s="64">
        <f>VLOOKUP(A22,PersonalConsumption!A:B,2,)</f>
        <v>1492.942</v>
      </c>
      <c r="D22" s="64">
        <f>VLOOKUP(A22,PrivateInvestment!A:B,2,)</f>
        <v>300.363</v>
      </c>
      <c r="E22" s="64">
        <f>VLOOKUP(A22,Exports!A:B,2,)</f>
        <v>70.763000000000005</v>
      </c>
      <c r="F22" s="64">
        <f>VLOOKUP(A22,Imports!A:B,2,)</f>
        <v>87.153999999999996</v>
      </c>
      <c r="G22" s="64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9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4">
        <f>VLOOKUP(A23,'U.S. GDP'!A:B,2,)</f>
        <v>2459.1959999999999</v>
      </c>
      <c r="C23" s="64">
        <f>VLOOKUP(A23,PersonalConsumption!A:B,2,)</f>
        <v>1450.7529999999999</v>
      </c>
      <c r="D23" s="64">
        <f>VLOOKUP(A23,PrivateInvestment!A:B,2,)</f>
        <v>307.32600000000002</v>
      </c>
      <c r="E23" s="64">
        <f>VLOOKUP(A23,Exports!A:B,2,)</f>
        <v>77.727000000000004</v>
      </c>
      <c r="F23" s="64">
        <f>VLOOKUP(A23,Imports!A:B,2,)</f>
        <v>84.266000000000005</v>
      </c>
      <c r="G23" s="64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9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4">
        <f>VLOOKUP(A24,'U.S. GDP'!A:B,2,)</f>
        <v>2509.88</v>
      </c>
      <c r="C24" s="64">
        <f>VLOOKUP(A24,PersonalConsumption!A:B,2,)</f>
        <v>1467.654</v>
      </c>
      <c r="D24" s="64">
        <f>VLOOKUP(A24,PrivateInvestment!A:B,2,)</f>
        <v>284.697</v>
      </c>
      <c r="E24" s="64">
        <f>VLOOKUP(A24,Exports!A:B,2,)</f>
        <v>79.635999999999996</v>
      </c>
      <c r="F24" s="64">
        <f>VLOOKUP(A24,Imports!A:B,2,)</f>
        <v>77.13</v>
      </c>
      <c r="G24" s="64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9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4">
        <f>VLOOKUP(A25,'U.S. GDP'!A:B,2,)</f>
        <v>2515.4079999999999</v>
      </c>
      <c r="C25" s="64">
        <f>VLOOKUP(A25,PersonalConsumption!A:B,2,)</f>
        <v>1476.2049999999999</v>
      </c>
      <c r="D25" s="64">
        <f>VLOOKUP(A25,PrivateInvestment!A:B,2,)</f>
        <v>262.01299999999998</v>
      </c>
      <c r="E25" s="64">
        <f>VLOOKUP(A25,Exports!A:B,2,)</f>
        <v>78.888999999999996</v>
      </c>
      <c r="F25" s="64">
        <f>VLOOKUP(A25,Imports!A:B,2,)</f>
        <v>75.113</v>
      </c>
      <c r="G25" s="64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9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4">
        <f>VLOOKUP(A26,'U.S. GDP'!A:B,2,)</f>
        <v>2542.2860000000001</v>
      </c>
      <c r="C26" s="64">
        <f>VLOOKUP(A26,PersonalConsumption!A:B,2,)</f>
        <v>1479.625</v>
      </c>
      <c r="D26" s="64">
        <f>VLOOKUP(A26,PrivateInvestment!A:B,2,)</f>
        <v>268.85000000000002</v>
      </c>
      <c r="E26" s="64">
        <f>VLOOKUP(A26,Exports!A:B,2,)</f>
        <v>83.087999999999994</v>
      </c>
      <c r="F26" s="64">
        <f>VLOOKUP(A26,Imports!A:B,2,)</f>
        <v>83.828000000000003</v>
      </c>
      <c r="G26" s="64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9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4">
        <f>VLOOKUP(A27,'U.S. GDP'!A:B,2,)</f>
        <v>2547.7620000000002</v>
      </c>
      <c r="C27" s="64">
        <f>VLOOKUP(A27,PersonalConsumption!A:B,2,)</f>
        <v>1508.6010000000001</v>
      </c>
      <c r="D27" s="64">
        <f>VLOOKUP(A27,PrivateInvestment!A:B,2,)</f>
        <v>248.58</v>
      </c>
      <c r="E27" s="64">
        <f>VLOOKUP(A27,Exports!A:B,2,)</f>
        <v>73.953999999999994</v>
      </c>
      <c r="F27" s="64">
        <f>VLOOKUP(A27,Imports!A:B,2,)</f>
        <v>83.394000000000005</v>
      </c>
      <c r="G27" s="64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9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4">
        <f>VLOOKUP(A28,'U.S. GDP'!A:B,2,)</f>
        <v>2566.1529999999998</v>
      </c>
      <c r="C28" s="64">
        <f>VLOOKUP(A28,PersonalConsumption!A:B,2,)</f>
        <v>1515.837</v>
      </c>
      <c r="D28" s="64">
        <f>VLOOKUP(A28,PrivateInvestment!A:B,2,)</f>
        <v>261.90600000000001</v>
      </c>
      <c r="E28" s="64">
        <f>VLOOKUP(A28,Exports!A:B,2,)</f>
        <v>68.114000000000004</v>
      </c>
      <c r="F28" s="64">
        <f>VLOOKUP(A28,Imports!A:B,2,)</f>
        <v>88.497</v>
      </c>
      <c r="G28" s="64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9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4">
        <f>VLOOKUP(A29,'U.S. GDP'!A:B,2,)</f>
        <v>2650.431</v>
      </c>
      <c r="C29" s="64">
        <f>VLOOKUP(A29,PersonalConsumption!A:B,2,)</f>
        <v>1569.3130000000001</v>
      </c>
      <c r="D29" s="64">
        <f>VLOOKUP(A29,PrivateInvestment!A:B,2,)</f>
        <v>280.77199999999999</v>
      </c>
      <c r="E29" s="64">
        <f>VLOOKUP(A29,Exports!A:B,2,)</f>
        <v>68.58</v>
      </c>
      <c r="F29" s="64">
        <f>VLOOKUP(A29,Imports!A:B,2,)</f>
        <v>96.430999999999997</v>
      </c>
      <c r="G29" s="64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9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4">
        <f>VLOOKUP(A30,'U.S. GDP'!A:B,2,)</f>
        <v>2699.6990000000001</v>
      </c>
      <c r="C30" s="64">
        <f>VLOOKUP(A30,PersonalConsumption!A:B,2,)</f>
        <v>1587.7429999999999</v>
      </c>
      <c r="D30" s="64">
        <f>VLOOKUP(A30,PrivateInvestment!A:B,2,)</f>
        <v>286.81299999999999</v>
      </c>
      <c r="E30" s="64">
        <f>VLOOKUP(A30,Exports!A:B,2,)</f>
        <v>67.42</v>
      </c>
      <c r="F30" s="64">
        <f>VLOOKUP(A30,Imports!A:B,2,)</f>
        <v>94.054000000000002</v>
      </c>
      <c r="G30" s="64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9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4">
        <f>VLOOKUP(A31,'U.S. GDP'!A:B,2,)</f>
        <v>2720.5659999999998</v>
      </c>
      <c r="C31" s="64">
        <f>VLOOKUP(A31,PersonalConsumption!A:B,2,)</f>
        <v>1597.3019999999999</v>
      </c>
      <c r="D31" s="64">
        <f>VLOOKUP(A31,PrivateInvestment!A:B,2,)</f>
        <v>288.44499999999999</v>
      </c>
      <c r="E31" s="64">
        <f>VLOOKUP(A31,Exports!A:B,2,)</f>
        <v>67.84</v>
      </c>
      <c r="F31" s="64">
        <f>VLOOKUP(A31,Imports!A:B,2,)</f>
        <v>98.932000000000002</v>
      </c>
      <c r="G31" s="64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9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4">
        <f>VLOOKUP(A32,'U.S. GDP'!A:B,2,)</f>
        <v>2705.2579999999998</v>
      </c>
      <c r="C32" s="64">
        <f>VLOOKUP(A32,PersonalConsumption!A:B,2,)</f>
        <v>1593.4970000000001</v>
      </c>
      <c r="D32" s="64">
        <f>VLOOKUP(A32,PrivateInvestment!A:B,2,)</f>
        <v>282.411</v>
      </c>
      <c r="E32" s="64">
        <f>VLOOKUP(A32,Exports!A:B,2,)</f>
        <v>70.56</v>
      </c>
      <c r="F32" s="64">
        <f>VLOOKUP(A32,Imports!A:B,2,)</f>
        <v>98.555000000000007</v>
      </c>
      <c r="G32" s="64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9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4">
        <f>VLOOKUP(A33,'U.S. GDP'!A:B,2,)</f>
        <v>2664.3020000000001</v>
      </c>
      <c r="C33" s="64">
        <f>VLOOKUP(A33,PersonalConsumption!A:B,2,)</f>
        <v>1582.8119999999999</v>
      </c>
      <c r="D33" s="64">
        <f>VLOOKUP(A33,PrivateInvestment!A:B,2,)</f>
        <v>262.005</v>
      </c>
      <c r="E33" s="64">
        <f>VLOOKUP(A33,Exports!A:B,2,)</f>
        <v>68.233999999999995</v>
      </c>
      <c r="F33" s="64">
        <f>VLOOKUP(A33,Imports!A:B,2,)</f>
        <v>93.706999999999994</v>
      </c>
      <c r="G33" s="64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9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4">
        <f>VLOOKUP(A34,'U.S. GDP'!A:B,2,)</f>
        <v>2651.5659999999998</v>
      </c>
      <c r="C34" s="64">
        <f>VLOOKUP(A34,PersonalConsumption!A:B,2,)</f>
        <v>1588.65</v>
      </c>
      <c r="D34" s="64">
        <f>VLOOKUP(A34,PrivateInvestment!A:B,2,)</f>
        <v>260.12700000000001</v>
      </c>
      <c r="E34" s="64">
        <f>VLOOKUP(A34,Exports!A:B,2,)</f>
        <v>65.174000000000007</v>
      </c>
      <c r="F34" s="64">
        <f>VLOOKUP(A34,Imports!A:B,2,)</f>
        <v>88.296000000000006</v>
      </c>
      <c r="G34" s="64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9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4">
        <f>VLOOKUP(A35,'U.S. GDP'!A:B,2,)</f>
        <v>2654.4560000000001</v>
      </c>
      <c r="C35" s="64">
        <f>VLOOKUP(A35,PersonalConsumption!A:B,2,)</f>
        <v>1609.28</v>
      </c>
      <c r="D35" s="64">
        <f>VLOOKUP(A35,PrivateInvestment!A:B,2,)</f>
        <v>259.51299999999998</v>
      </c>
      <c r="E35" s="64">
        <f>VLOOKUP(A35,Exports!A:B,2,)</f>
        <v>74.537999999999997</v>
      </c>
      <c r="F35" s="64">
        <f>VLOOKUP(A35,Imports!A:B,2,)</f>
        <v>96.236999999999995</v>
      </c>
      <c r="G35" s="64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9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4">
        <f>VLOOKUP(A36,'U.S. GDP'!A:B,2,)</f>
        <v>2684.4340000000002</v>
      </c>
      <c r="C36" s="64">
        <f>VLOOKUP(A36,PersonalConsumption!A:B,2,)</f>
        <v>1631.059</v>
      </c>
      <c r="D36" s="64">
        <f>VLOOKUP(A36,PrivateInvestment!A:B,2,)</f>
        <v>272.03699999999998</v>
      </c>
      <c r="E36" s="64">
        <f>VLOOKUP(A36,Exports!A:B,2,)</f>
        <v>72.143000000000001</v>
      </c>
      <c r="F36" s="64">
        <f>VLOOKUP(A36,Imports!A:B,2,)</f>
        <v>90.432000000000002</v>
      </c>
      <c r="G36" s="64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9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4">
        <f>VLOOKUP(A37,'U.S. GDP'!A:B,2,)</f>
        <v>2736.96</v>
      </c>
      <c r="C37" s="64">
        <f>VLOOKUP(A37,PersonalConsumption!A:B,2,)</f>
        <v>1665.2909999999999</v>
      </c>
      <c r="D37" s="64">
        <f>VLOOKUP(A37,PrivateInvestment!A:B,2,)</f>
        <v>283.96800000000002</v>
      </c>
      <c r="E37" s="64">
        <f>VLOOKUP(A37,Exports!A:B,2,)</f>
        <v>75.465000000000003</v>
      </c>
      <c r="F37" s="64">
        <f>VLOOKUP(A37,Imports!A:B,2,)</f>
        <v>91.29</v>
      </c>
      <c r="G37" s="64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9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4">
        <f>VLOOKUP(A38,'U.S. GDP'!A:B,2,)</f>
        <v>2815.134</v>
      </c>
      <c r="C38" s="64">
        <f>VLOOKUP(A38,PersonalConsumption!A:B,2,)</f>
        <v>1702.6559999999999</v>
      </c>
      <c r="D38" s="64">
        <f>VLOOKUP(A38,PrivateInvestment!A:B,2,)</f>
        <v>312.33699999999999</v>
      </c>
      <c r="E38" s="64">
        <f>VLOOKUP(A38,Exports!A:B,2,)</f>
        <v>78.269000000000005</v>
      </c>
      <c r="F38" s="64">
        <f>VLOOKUP(A38,Imports!A:B,2,)</f>
        <v>96.683999999999997</v>
      </c>
      <c r="G38" s="64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9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4">
        <f>VLOOKUP(A39,'U.S. GDP'!A:B,2,)</f>
        <v>2860.942</v>
      </c>
      <c r="C39" s="64">
        <f>VLOOKUP(A39,PersonalConsumption!A:B,2,)</f>
        <v>1735.2739999999999</v>
      </c>
      <c r="D39" s="64">
        <f>VLOOKUP(A39,PrivateInvestment!A:B,2,)</f>
        <v>331.33300000000003</v>
      </c>
      <c r="E39" s="64">
        <f>VLOOKUP(A39,Exports!A:B,2,)</f>
        <v>76.444000000000003</v>
      </c>
      <c r="F39" s="64">
        <f>VLOOKUP(A39,Imports!A:B,2,)</f>
        <v>102.167</v>
      </c>
      <c r="G39" s="64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9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4">
        <f>VLOOKUP(A40,'U.S. GDP'!A:B,2,)</f>
        <v>2899.578</v>
      </c>
      <c r="C40" s="64">
        <f>VLOOKUP(A40,PersonalConsumption!A:B,2,)</f>
        <v>1756.7070000000001</v>
      </c>
      <c r="D40" s="64">
        <f>VLOOKUP(A40,PrivateInvestment!A:B,2,)</f>
        <v>336.41800000000001</v>
      </c>
      <c r="E40" s="64">
        <f>VLOOKUP(A40,Exports!A:B,2,)</f>
        <v>81.460999999999999</v>
      </c>
      <c r="F40" s="64">
        <f>VLOOKUP(A40,Imports!A:B,2,)</f>
        <v>103.886</v>
      </c>
      <c r="G40" s="64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9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4">
        <f>VLOOKUP(A41,'U.S. GDP'!A:B,2,)</f>
        <v>2916.9850000000001</v>
      </c>
      <c r="C41" s="64">
        <f>VLOOKUP(A41,PersonalConsumption!A:B,2,)</f>
        <v>1778.7670000000001</v>
      </c>
      <c r="D41" s="64">
        <f>VLOOKUP(A41,PrivateInvestment!A:B,2,)</f>
        <v>344.21800000000002</v>
      </c>
      <c r="E41" s="64">
        <f>VLOOKUP(A41,Exports!A:B,2,)</f>
        <v>81.828999999999994</v>
      </c>
      <c r="F41" s="64">
        <f>VLOOKUP(A41,Imports!A:B,2,)</f>
        <v>107.65</v>
      </c>
      <c r="G41" s="64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9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4">
        <f>VLOOKUP(A42,'U.S. GDP'!A:B,2,)</f>
        <v>2905.6559999999999</v>
      </c>
      <c r="C42" s="64">
        <f>VLOOKUP(A42,PersonalConsumption!A:B,2,)</f>
        <v>1781.6569999999999</v>
      </c>
      <c r="D42" s="64">
        <f>VLOOKUP(A42,PrivateInvestment!A:B,2,)</f>
        <v>334.39</v>
      </c>
      <c r="E42" s="64">
        <f>VLOOKUP(A42,Exports!A:B,2,)</f>
        <v>85.712999999999994</v>
      </c>
      <c r="F42" s="64">
        <f>VLOOKUP(A42,Imports!A:B,2,)</f>
        <v>112.169</v>
      </c>
      <c r="G42" s="64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9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4">
        <f>VLOOKUP(A43,'U.S. GDP'!A:B,2,)</f>
        <v>2929.6660000000002</v>
      </c>
      <c r="C43" s="64">
        <f>VLOOKUP(A43,PersonalConsumption!A:B,2,)</f>
        <v>1787.5830000000001</v>
      </c>
      <c r="D43" s="64">
        <f>VLOOKUP(A43,PrivateInvestment!A:B,2,)</f>
        <v>331.75900000000001</v>
      </c>
      <c r="E43" s="64">
        <f>VLOOKUP(A43,Exports!A:B,2,)</f>
        <v>91.488</v>
      </c>
      <c r="F43" s="64">
        <f>VLOOKUP(A43,Imports!A:B,2,)</f>
        <v>111.58499999999999</v>
      </c>
      <c r="G43" s="64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9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4">
        <f>VLOOKUP(A44,'U.S. GDP'!A:B,2,)</f>
        <v>2927.0340000000001</v>
      </c>
      <c r="C44" s="64">
        <f>VLOOKUP(A44,PersonalConsumption!A:B,2,)</f>
        <v>1791.625</v>
      </c>
      <c r="D44" s="64">
        <f>VLOOKUP(A44,PrivateInvestment!A:B,2,)</f>
        <v>328.78800000000001</v>
      </c>
      <c r="E44" s="64">
        <f>VLOOKUP(A44,Exports!A:B,2,)</f>
        <v>94.531999999999996</v>
      </c>
      <c r="F44" s="64">
        <f>VLOOKUP(A44,Imports!A:B,2,)</f>
        <v>112.55500000000001</v>
      </c>
      <c r="G44" s="64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9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4">
        <f>VLOOKUP(A45,'U.S. GDP'!A:B,2,)</f>
        <v>2975.2089999999998</v>
      </c>
      <c r="C45" s="64">
        <f>VLOOKUP(A45,PersonalConsumption!A:B,2,)</f>
        <v>1816.3240000000001</v>
      </c>
      <c r="D45" s="64">
        <f>VLOOKUP(A45,PrivateInvestment!A:B,2,)</f>
        <v>325.73899999999998</v>
      </c>
      <c r="E45" s="64">
        <f>VLOOKUP(A45,Exports!A:B,2,)</f>
        <v>98.769000000000005</v>
      </c>
      <c r="F45" s="64">
        <f>VLOOKUP(A45,Imports!A:B,2,)</f>
        <v>107.392</v>
      </c>
      <c r="G45" s="64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9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4">
        <f>VLOOKUP(A46,'U.S. GDP'!A:B,2,)</f>
        <v>2994.259</v>
      </c>
      <c r="C46" s="64">
        <f>VLOOKUP(A46,PersonalConsumption!A:B,2,)</f>
        <v>1828.9559999999999</v>
      </c>
      <c r="D46" s="64">
        <f>VLOOKUP(A46,PrivateInvestment!A:B,2,)</f>
        <v>320.68200000000002</v>
      </c>
      <c r="E46" s="64">
        <f>VLOOKUP(A46,Exports!A:B,2,)</f>
        <v>105.205</v>
      </c>
      <c r="F46" s="64">
        <f>VLOOKUP(A46,Imports!A:B,2,)</f>
        <v>115.93600000000001</v>
      </c>
      <c r="G46" s="64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9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4">
        <f>VLOOKUP(A47,'U.S. GDP'!A:B,2,)</f>
        <v>2987.6990000000001</v>
      </c>
      <c r="C47" s="64">
        <f>VLOOKUP(A47,PersonalConsumption!A:B,2,)</f>
        <v>1832.145</v>
      </c>
      <c r="D47" s="64">
        <f>VLOOKUP(A47,PrivateInvestment!A:B,2,)</f>
        <v>320.35700000000003</v>
      </c>
      <c r="E47" s="64">
        <f>VLOOKUP(A47,Exports!A:B,2,)</f>
        <v>102.08799999999999</v>
      </c>
      <c r="F47" s="64">
        <f>VLOOKUP(A47,Imports!A:B,2,)</f>
        <v>116.84</v>
      </c>
      <c r="G47" s="64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9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4">
        <f>VLOOKUP(A48,'U.S. GDP'!A:B,2,)</f>
        <v>3016.9789999999998</v>
      </c>
      <c r="C48" s="64">
        <f>VLOOKUP(A48,PersonalConsumption!A:B,2,)</f>
        <v>1846.623</v>
      </c>
      <c r="D48" s="64">
        <f>VLOOKUP(A48,PrivateInvestment!A:B,2,)</f>
        <v>327.70100000000002</v>
      </c>
      <c r="E48" s="64">
        <f>VLOOKUP(A48,Exports!A:B,2,)</f>
        <v>99.233999999999995</v>
      </c>
      <c r="F48" s="64">
        <f>VLOOKUP(A48,Imports!A:B,2,)</f>
        <v>114.584</v>
      </c>
      <c r="G48" s="64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9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4">
        <f>VLOOKUP(A49,'U.S. GDP'!A:B,2,)</f>
        <v>2985.7750000000001</v>
      </c>
      <c r="C49" s="64">
        <f>VLOOKUP(A49,PersonalConsumption!A:B,2,)</f>
        <v>1847.3910000000001</v>
      </c>
      <c r="D49" s="64">
        <f>VLOOKUP(A49,PrivateInvestment!A:B,2,)</f>
        <v>302.50299999999999</v>
      </c>
      <c r="E49" s="64">
        <f>VLOOKUP(A49,Exports!A:B,2,)</f>
        <v>96.277000000000001</v>
      </c>
      <c r="F49" s="64">
        <f>VLOOKUP(A49,Imports!A:B,2,)</f>
        <v>114.971</v>
      </c>
      <c r="G49" s="64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9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4">
        <f>VLOOKUP(A50,'U.S. GDP'!A:B,2,)</f>
        <v>2908.2809999999999</v>
      </c>
      <c r="C50" s="64">
        <f>VLOOKUP(A50,PersonalConsumption!A:B,2,)</f>
        <v>1821.8340000000001</v>
      </c>
      <c r="D50" s="64">
        <f>VLOOKUP(A50,PrivateInvestment!A:B,2,)</f>
        <v>282.096</v>
      </c>
      <c r="E50" s="64">
        <f>VLOOKUP(A50,Exports!A:B,2,)</f>
        <v>86.733999999999995</v>
      </c>
      <c r="F50" s="64">
        <f>VLOOKUP(A50,Imports!A:B,2,)</f>
        <v>116.672</v>
      </c>
      <c r="G50" s="64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9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4">
        <f>VLOOKUP(A51,'U.S. GDP'!A:B,2,)</f>
        <v>2927.395</v>
      </c>
      <c r="C51" s="64">
        <f>VLOOKUP(A51,PersonalConsumption!A:B,2,)</f>
        <v>1836.8969999999999</v>
      </c>
      <c r="D51" s="64">
        <f>VLOOKUP(A51,PrivateInvestment!A:B,2,)</f>
        <v>276.41300000000001</v>
      </c>
      <c r="E51" s="64">
        <f>VLOOKUP(A51,Exports!A:B,2,)</f>
        <v>87.14</v>
      </c>
      <c r="F51" s="64">
        <f>VLOOKUP(A51,Imports!A:B,2,)</f>
        <v>121.661</v>
      </c>
      <c r="G51" s="64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9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4">
        <f>VLOOKUP(A52,'U.S. GDP'!A:B,2,)</f>
        <v>2995.1120000000001</v>
      </c>
      <c r="C52" s="64">
        <f>VLOOKUP(A52,PersonalConsumption!A:B,2,)</f>
        <v>1867.373</v>
      </c>
      <c r="D52" s="64">
        <f>VLOOKUP(A52,PrivateInvestment!A:B,2,)</f>
        <v>297.62700000000001</v>
      </c>
      <c r="E52" s="64">
        <f>VLOOKUP(A52,Exports!A:B,2,)</f>
        <v>87.394000000000005</v>
      </c>
      <c r="F52" s="64">
        <f>VLOOKUP(A52,Imports!A:B,2,)</f>
        <v>119.82899999999999</v>
      </c>
      <c r="G52" s="64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9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4">
        <f>VLOOKUP(A53,'U.S. GDP'!A:B,2,)</f>
        <v>3065.1410000000001</v>
      </c>
      <c r="C53" s="64">
        <f>VLOOKUP(A53,PersonalConsumption!A:B,2,)</f>
        <v>1892.7380000000001</v>
      </c>
      <c r="D53" s="64">
        <f>VLOOKUP(A53,PrivateInvestment!A:B,2,)</f>
        <v>323.00400000000002</v>
      </c>
      <c r="E53" s="64">
        <f>VLOOKUP(A53,Exports!A:B,2,)</f>
        <v>87.08</v>
      </c>
      <c r="F53" s="64">
        <f>VLOOKUP(A53,Imports!A:B,2,)</f>
        <v>126.13200000000001</v>
      </c>
      <c r="G53" s="64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9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4">
        <f>VLOOKUP(A54,'U.S. GDP'!A:B,2,)</f>
        <v>3123.9780000000001</v>
      </c>
      <c r="C54" s="64">
        <f>VLOOKUP(A54,PersonalConsumption!A:B,2,)</f>
        <v>1927.43</v>
      </c>
      <c r="D54" s="64">
        <f>VLOOKUP(A54,PrivateInvestment!A:B,2,)</f>
        <v>340.60399999999998</v>
      </c>
      <c r="E54" s="64">
        <f>VLOOKUP(A54,Exports!A:B,2,)</f>
        <v>93.393000000000001</v>
      </c>
      <c r="F54" s="64">
        <f>VLOOKUP(A54,Imports!A:B,2,)</f>
        <v>129.446</v>
      </c>
      <c r="G54" s="64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9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4">
        <f>VLOOKUP(A55,'U.S. GDP'!A:B,2,)</f>
        <v>3194.4290000000001</v>
      </c>
      <c r="C55" s="64">
        <f>VLOOKUP(A55,PersonalConsumption!A:B,2,)</f>
        <v>1957.1969999999999</v>
      </c>
      <c r="D55" s="64">
        <f>VLOOKUP(A55,PrivateInvestment!A:B,2,)</f>
        <v>367.09899999999999</v>
      </c>
      <c r="E55" s="64">
        <f>VLOOKUP(A55,Exports!A:B,2,)</f>
        <v>92.647000000000006</v>
      </c>
      <c r="F55" s="64">
        <f>VLOOKUP(A55,Imports!A:B,2,)</f>
        <v>135.745</v>
      </c>
      <c r="G55" s="64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9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4">
        <f>VLOOKUP(A56,'U.S. GDP'!A:B,2,)</f>
        <v>3196.683</v>
      </c>
      <c r="C56" s="64">
        <f>VLOOKUP(A56,PersonalConsumption!A:B,2,)</f>
        <v>1977.643</v>
      </c>
      <c r="D56" s="64">
        <f>VLOOKUP(A56,PrivateInvestment!A:B,2,)</f>
        <v>343.39100000000002</v>
      </c>
      <c r="E56" s="64">
        <f>VLOOKUP(A56,Exports!A:B,2,)</f>
        <v>101.58199999999999</v>
      </c>
      <c r="F56" s="64">
        <f>VLOOKUP(A56,Imports!A:B,2,)</f>
        <v>137.041</v>
      </c>
      <c r="G56" s="64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9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4">
        <f>VLOOKUP(A57,'U.S. GDP'!A:B,2,)</f>
        <v>3205.79</v>
      </c>
      <c r="C57" s="64">
        <f>VLOOKUP(A57,PersonalConsumption!A:B,2,)</f>
        <v>1979.8710000000001</v>
      </c>
      <c r="D57" s="64">
        <f>VLOOKUP(A57,PrivateInvestment!A:B,2,)</f>
        <v>354.56700000000001</v>
      </c>
      <c r="E57" s="64">
        <f>VLOOKUP(A57,Exports!A:B,2,)</f>
        <v>96.555000000000007</v>
      </c>
      <c r="F57" s="64">
        <f>VLOOKUP(A57,Imports!A:B,2,)</f>
        <v>133.56100000000001</v>
      </c>
      <c r="G57" s="64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9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4">
        <f>VLOOKUP(A58,'U.S. GDP'!A:B,2,)</f>
        <v>3277.8470000000002</v>
      </c>
      <c r="C58" s="64">
        <f>VLOOKUP(A58,PersonalConsumption!A:B,2,)</f>
        <v>1998.8109999999999</v>
      </c>
      <c r="D58" s="64">
        <f>VLOOKUP(A58,PrivateInvestment!A:B,2,)</f>
        <v>390.21</v>
      </c>
      <c r="E58" s="64">
        <f>VLOOKUP(A58,Exports!A:B,2,)</f>
        <v>108.999</v>
      </c>
      <c r="F58" s="64">
        <f>VLOOKUP(A58,Imports!A:B,2,)</f>
        <v>138.60599999999999</v>
      </c>
      <c r="G58" s="64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9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4">
        <f>VLOOKUP(A59,'U.S. GDP'!A:B,2,)</f>
        <v>3260.1770000000001</v>
      </c>
      <c r="C59" s="64">
        <f>VLOOKUP(A59,PersonalConsumption!A:B,2,)</f>
        <v>2024.0250000000001</v>
      </c>
      <c r="D59" s="64">
        <f>VLOOKUP(A59,PrivateInvestment!A:B,2,)</f>
        <v>353.84100000000001</v>
      </c>
      <c r="E59" s="64">
        <f>VLOOKUP(A59,Exports!A:B,2,)</f>
        <v>112.126</v>
      </c>
      <c r="F59" s="64">
        <f>VLOOKUP(A59,Imports!A:B,2,)</f>
        <v>139.636</v>
      </c>
      <c r="G59" s="64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9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4">
        <f>VLOOKUP(A60,'U.S. GDP'!A:B,2,)</f>
        <v>3276.1329999999998</v>
      </c>
      <c r="C60" s="64">
        <f>VLOOKUP(A60,PersonalConsumption!A:B,2,)</f>
        <v>2015.934</v>
      </c>
      <c r="D60" s="64">
        <f>VLOOKUP(A60,PrivateInvestment!A:B,2,)</f>
        <v>352.94200000000001</v>
      </c>
      <c r="E60" s="64">
        <f>VLOOKUP(A60,Exports!A:B,2,)</f>
        <v>114.57</v>
      </c>
      <c r="F60" s="64">
        <f>VLOOKUP(A60,Imports!A:B,2,)</f>
        <v>135.52099999999999</v>
      </c>
      <c r="G60" s="64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9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4">
        <f>VLOOKUP(A61,'U.S. GDP'!A:B,2,)</f>
        <v>3234.087</v>
      </c>
      <c r="C61" s="64">
        <f>VLOOKUP(A61,PersonalConsumption!A:B,2,)</f>
        <v>2018.5450000000001</v>
      </c>
      <c r="D61" s="64">
        <f>VLOOKUP(A61,PrivateInvestment!A:B,2,)</f>
        <v>313.84300000000002</v>
      </c>
      <c r="E61" s="64">
        <f>VLOOKUP(A61,Exports!A:B,2,)</f>
        <v>115.18</v>
      </c>
      <c r="F61" s="64">
        <f>VLOOKUP(A61,Imports!A:B,2,)</f>
        <v>129.12799999999999</v>
      </c>
      <c r="G61" s="64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9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4">
        <f>VLOOKUP(A62,'U.S. GDP'!A:B,2,)</f>
        <v>3255.9140000000002</v>
      </c>
      <c r="C62" s="64">
        <f>VLOOKUP(A62,PersonalConsumption!A:B,2,)</f>
        <v>2017.7950000000001</v>
      </c>
      <c r="D62" s="64">
        <f>VLOOKUP(A62,PrivateInvestment!A:B,2,)</f>
        <v>321.988</v>
      </c>
      <c r="E62" s="64">
        <f>VLOOKUP(A62,Exports!A:B,2,)</f>
        <v>114.38800000000001</v>
      </c>
      <c r="F62" s="64">
        <f>VLOOKUP(A62,Imports!A:B,2,)</f>
        <v>128.50299999999999</v>
      </c>
      <c r="G62" s="64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9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4">
        <f>VLOOKUP(A63,'U.S. GDP'!A:B,2,)</f>
        <v>3311.181</v>
      </c>
      <c r="C63" s="64">
        <f>VLOOKUP(A63,PersonalConsumption!A:B,2,)</f>
        <v>2047.8230000000001</v>
      </c>
      <c r="D63" s="64">
        <f>VLOOKUP(A63,PrivateInvestment!A:B,2,)</f>
        <v>344.54899999999998</v>
      </c>
      <c r="E63" s="64">
        <f>VLOOKUP(A63,Exports!A:B,2,)</f>
        <v>109.06399999999999</v>
      </c>
      <c r="F63" s="64">
        <f>VLOOKUP(A63,Imports!A:B,2,)</f>
        <v>130.07300000000001</v>
      </c>
      <c r="G63" s="64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9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4">
        <f>VLOOKUP(A64,'U.S. GDP'!A:B,2,)</f>
        <v>3374.7420000000002</v>
      </c>
      <c r="C64" s="64">
        <f>VLOOKUP(A64,PersonalConsumption!A:B,2,)</f>
        <v>2057.7820000000002</v>
      </c>
      <c r="D64" s="64">
        <f>VLOOKUP(A64,PrivateInvestment!A:B,2,)</f>
        <v>371.33499999999998</v>
      </c>
      <c r="E64" s="64">
        <f>VLOOKUP(A64,Exports!A:B,2,)</f>
        <v>113.99299999999999</v>
      </c>
      <c r="F64" s="64">
        <f>VLOOKUP(A64,Imports!A:B,2,)</f>
        <v>138.68799999999999</v>
      </c>
      <c r="G64" s="64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9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4">
        <f>VLOOKUP(A65,'U.S. GDP'!A:B,2,)</f>
        <v>3440.924</v>
      </c>
      <c r="C65" s="64">
        <f>VLOOKUP(A65,PersonalConsumption!A:B,2,)</f>
        <v>2099.1729999999998</v>
      </c>
      <c r="D65" s="64">
        <f>VLOOKUP(A65,PrivateInvestment!A:B,2,)</f>
        <v>377.47899999999998</v>
      </c>
      <c r="E65" s="64">
        <f>VLOOKUP(A65,Exports!A:B,2,)</f>
        <v>115.852</v>
      </c>
      <c r="F65" s="64">
        <f>VLOOKUP(A65,Imports!A:B,2,)</f>
        <v>141.98599999999999</v>
      </c>
      <c r="G65" s="64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9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4">
        <f>VLOOKUP(A66,'U.S. GDP'!A:B,2,)</f>
        <v>3502.2979999999998</v>
      </c>
      <c r="C66" s="64">
        <f>VLOOKUP(A66,PersonalConsumption!A:B,2,)</f>
        <v>2121.4090000000001</v>
      </c>
      <c r="D66" s="64">
        <f>VLOOKUP(A66,PrivateInvestment!A:B,2,)</f>
        <v>397.83100000000002</v>
      </c>
      <c r="E66" s="64">
        <f>VLOOKUP(A66,Exports!A:B,2,)</f>
        <v>115.17</v>
      </c>
      <c r="F66" s="64">
        <f>VLOOKUP(A66,Imports!A:B,2,)</f>
        <v>146.30799999999999</v>
      </c>
      <c r="G66" s="64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9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4">
        <f>VLOOKUP(A67,'U.S. GDP'!A:B,2,)</f>
        <v>3533.9470000000001</v>
      </c>
      <c r="C67" s="64">
        <f>VLOOKUP(A67,PersonalConsumption!A:B,2,)</f>
        <v>2147.489</v>
      </c>
      <c r="D67" s="64">
        <f>VLOOKUP(A67,PrivateInvestment!A:B,2,)</f>
        <v>394.69400000000002</v>
      </c>
      <c r="E67" s="64">
        <f>VLOOKUP(A67,Exports!A:B,2,)</f>
        <v>121.789</v>
      </c>
      <c r="F67" s="64">
        <f>VLOOKUP(A67,Imports!A:B,2,)</f>
        <v>149.5</v>
      </c>
      <c r="G67" s="64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9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4">
        <f>VLOOKUP(A68,'U.S. GDP'!A:B,2,)</f>
        <v>3577.3620000000001</v>
      </c>
      <c r="C68" s="64">
        <f>VLOOKUP(A68,PersonalConsumption!A:B,2,)</f>
        <v>2164.7959999999998</v>
      </c>
      <c r="D68" s="64">
        <f>VLOOKUP(A68,PrivateInvestment!A:B,2,)</f>
        <v>401.40100000000001</v>
      </c>
      <c r="E68" s="64">
        <f>VLOOKUP(A68,Exports!A:B,2,)</f>
        <v>121.57599999999999</v>
      </c>
      <c r="F68" s="64">
        <f>VLOOKUP(A68,Imports!A:B,2,)</f>
        <v>151.39500000000001</v>
      </c>
      <c r="G68" s="64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9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4">
        <f>VLOOKUP(A69,'U.S. GDP'!A:B,2,)</f>
        <v>3589.1280000000002</v>
      </c>
      <c r="C69" s="64">
        <f>VLOOKUP(A69,PersonalConsumption!A:B,2,)</f>
        <v>2195.4270000000001</v>
      </c>
      <c r="D69" s="64">
        <f>VLOOKUP(A69,PrivateInvestment!A:B,2,)</f>
        <v>389.65699999999998</v>
      </c>
      <c r="E69" s="64">
        <f>VLOOKUP(A69,Exports!A:B,2,)</f>
        <v>117.64400000000001</v>
      </c>
      <c r="F69" s="64">
        <f>VLOOKUP(A69,Imports!A:B,2,)</f>
        <v>153.24600000000001</v>
      </c>
      <c r="G69" s="64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9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4">
        <f>VLOOKUP(A70,'U.S. GDP'!A:B,2,)</f>
        <v>3628.306</v>
      </c>
      <c r="C70" s="64">
        <f>VLOOKUP(A70,PersonalConsumption!A:B,2,)</f>
        <v>2210.8049999999998</v>
      </c>
      <c r="D70" s="64">
        <f>VLOOKUP(A70,PrivateInvestment!A:B,2,)</f>
        <v>410.15800000000002</v>
      </c>
      <c r="E70" s="64">
        <f>VLOOKUP(A70,Exports!A:B,2,)</f>
        <v>119.43</v>
      </c>
      <c r="F70" s="64">
        <f>VLOOKUP(A70,Imports!A:B,2,)</f>
        <v>149.69900000000001</v>
      </c>
      <c r="G70" s="64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9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4">
        <f>VLOOKUP(A71,'U.S. GDP'!A:B,2,)</f>
        <v>3669.02</v>
      </c>
      <c r="C71" s="64">
        <f>VLOOKUP(A71,PersonalConsumption!A:B,2,)</f>
        <v>2231.6669999999999</v>
      </c>
      <c r="D71" s="64">
        <f>VLOOKUP(A71,PrivateInvestment!A:B,2,)</f>
        <v>416.68299999999999</v>
      </c>
      <c r="E71" s="64">
        <f>VLOOKUP(A71,Exports!A:B,2,)</f>
        <v>128.977</v>
      </c>
      <c r="F71" s="64">
        <f>VLOOKUP(A71,Imports!A:B,2,)</f>
        <v>153.22300000000001</v>
      </c>
      <c r="G71" s="64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9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4">
        <f>VLOOKUP(A72,'U.S. GDP'!A:B,2,)</f>
        <v>3749.681</v>
      </c>
      <c r="C72" s="64">
        <f>VLOOKUP(A72,PersonalConsumption!A:B,2,)</f>
        <v>2261.942</v>
      </c>
      <c r="D72" s="64">
        <f>VLOOKUP(A72,PrivateInvestment!A:B,2,)</f>
        <v>429.512</v>
      </c>
      <c r="E72" s="64">
        <f>VLOOKUP(A72,Exports!A:B,2,)</f>
        <v>128.33099999999999</v>
      </c>
      <c r="F72" s="64">
        <f>VLOOKUP(A72,Imports!A:B,2,)</f>
        <v>157.114</v>
      </c>
      <c r="G72" s="64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9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4">
        <f>VLOOKUP(A73,'U.S. GDP'!A:B,2,)</f>
        <v>3774.2640000000001</v>
      </c>
      <c r="C73" s="64">
        <f>VLOOKUP(A73,PersonalConsumption!A:B,2,)</f>
        <v>2280.79</v>
      </c>
      <c r="D73" s="64">
        <f>VLOOKUP(A73,PrivateInvestment!A:B,2,)</f>
        <v>434.72699999999998</v>
      </c>
      <c r="E73" s="64">
        <f>VLOOKUP(A73,Exports!A:B,2,)</f>
        <v>133.34700000000001</v>
      </c>
      <c r="F73" s="64">
        <f>VLOOKUP(A73,Imports!A:B,2,)</f>
        <v>156.59800000000001</v>
      </c>
      <c r="G73" s="64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9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4">
        <f>VLOOKUP(A74,'U.S. GDP'!A:B,2,)</f>
        <v>3853.835</v>
      </c>
      <c r="C74" s="64">
        <f>VLOOKUP(A74,PersonalConsumption!A:B,2,)</f>
        <v>2325.5540000000001</v>
      </c>
      <c r="D74" s="64">
        <f>VLOOKUP(A74,PrivateInvestment!A:B,2,)</f>
        <v>450.99700000000001</v>
      </c>
      <c r="E74" s="64">
        <f>VLOOKUP(A74,Exports!A:B,2,)</f>
        <v>140.09100000000001</v>
      </c>
      <c r="F74" s="64">
        <f>VLOOKUP(A74,Imports!A:B,2,)</f>
        <v>156.45099999999999</v>
      </c>
      <c r="G74" s="64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9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4">
        <f>VLOOKUP(A75,'U.S. GDP'!A:B,2,)</f>
        <v>3895.7930000000001</v>
      </c>
      <c r="C75" s="64">
        <f>VLOOKUP(A75,PersonalConsumption!A:B,2,)</f>
        <v>2366.6909999999998</v>
      </c>
      <c r="D75" s="64">
        <f>VLOOKUP(A75,PrivateInvestment!A:B,2,)</f>
        <v>449.37299999999999</v>
      </c>
      <c r="E75" s="64">
        <f>VLOOKUP(A75,Exports!A:B,2,)</f>
        <v>139.51900000000001</v>
      </c>
      <c r="F75" s="64">
        <f>VLOOKUP(A75,Imports!A:B,2,)</f>
        <v>159.97300000000001</v>
      </c>
      <c r="G75" s="64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9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4">
        <f>VLOOKUP(A76,'U.S. GDP'!A:B,2,)</f>
        <v>3956.6570000000002</v>
      </c>
      <c r="C76" s="64">
        <f>VLOOKUP(A76,PersonalConsumption!A:B,2,)</f>
        <v>2410.4079999999999</v>
      </c>
      <c r="D76" s="64">
        <f>VLOOKUP(A76,PrivateInvestment!A:B,2,)</f>
        <v>459.86099999999999</v>
      </c>
      <c r="E76" s="64">
        <f>VLOOKUP(A76,Exports!A:B,2,)</f>
        <v>143.887</v>
      </c>
      <c r="F76" s="64">
        <f>VLOOKUP(A76,Imports!A:B,2,)</f>
        <v>164.26599999999999</v>
      </c>
      <c r="G76" s="64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9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4">
        <f>VLOOKUP(A77,'U.S. GDP'!A:B,2,)</f>
        <v>3968.8780000000002</v>
      </c>
      <c r="C77" s="64">
        <f>VLOOKUP(A77,PersonalConsumption!A:B,2,)</f>
        <v>2417.288</v>
      </c>
      <c r="D77" s="64">
        <f>VLOOKUP(A77,PrivateInvestment!A:B,2,)</f>
        <v>464.22899999999998</v>
      </c>
      <c r="E77" s="64">
        <f>VLOOKUP(A77,Exports!A:B,2,)</f>
        <v>146.78399999999999</v>
      </c>
      <c r="F77" s="64">
        <f>VLOOKUP(A77,Imports!A:B,2,)</f>
        <v>168.709</v>
      </c>
      <c r="G77" s="64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9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4">
        <f>VLOOKUP(A78,'U.S. GDP'!A:B,2,)</f>
        <v>4064.915</v>
      </c>
      <c r="C78" s="64">
        <f>VLOOKUP(A78,PersonalConsumption!A:B,2,)</f>
        <v>2471.1959999999999</v>
      </c>
      <c r="D78" s="64">
        <f>VLOOKUP(A78,PrivateInvestment!A:B,2,)</f>
        <v>508.49099999999999</v>
      </c>
      <c r="E78" s="64">
        <f>VLOOKUP(A78,Exports!A:B,2,)</f>
        <v>129.69999999999999</v>
      </c>
      <c r="F78" s="64">
        <f>VLOOKUP(A78,Imports!A:B,2,)</f>
        <v>162.63499999999999</v>
      </c>
      <c r="G78" s="64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9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4">
        <f>VLOOKUP(A79,'U.S. GDP'!A:B,2,)</f>
        <v>4116.2669999999998</v>
      </c>
      <c r="C79" s="64">
        <f>VLOOKUP(A79,PersonalConsumption!A:B,2,)</f>
        <v>2498.4499999999998</v>
      </c>
      <c r="D79" s="64">
        <f>VLOOKUP(A79,PrivateInvestment!A:B,2,)</f>
        <v>509.827</v>
      </c>
      <c r="E79" s="64">
        <f>VLOOKUP(A79,Exports!A:B,2,)</f>
        <v>151.411</v>
      </c>
      <c r="F79" s="64">
        <f>VLOOKUP(A79,Imports!A:B,2,)</f>
        <v>181.828</v>
      </c>
      <c r="G79" s="64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9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4">
        <f>VLOOKUP(A80,'U.S. GDP'!A:B,2,)</f>
        <v>4207.7820000000002</v>
      </c>
      <c r="C80" s="64">
        <f>VLOOKUP(A80,PersonalConsumption!A:B,2,)</f>
        <v>2541.38</v>
      </c>
      <c r="D80" s="64">
        <f>VLOOKUP(A80,PrivateInvestment!A:B,2,)</f>
        <v>527.57799999999997</v>
      </c>
      <c r="E80" s="64">
        <f>VLOOKUP(A80,Exports!A:B,2,)</f>
        <v>148.04599999999999</v>
      </c>
      <c r="F80" s="64">
        <f>VLOOKUP(A80,Imports!A:B,2,)</f>
        <v>182.57400000000001</v>
      </c>
      <c r="G80" s="64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9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4">
        <f>VLOOKUP(A81,'U.S. GDP'!A:B,2,)</f>
        <v>4304.7309999999998</v>
      </c>
      <c r="C81" s="64">
        <f>VLOOKUP(A81,PersonalConsumption!A:B,2,)</f>
        <v>2612.826</v>
      </c>
      <c r="D81" s="64">
        <f>VLOOKUP(A81,PrivateInvestment!A:B,2,)</f>
        <v>531.072</v>
      </c>
      <c r="E81" s="64">
        <f>VLOOKUP(A81,Exports!A:B,2,)</f>
        <v>157.095</v>
      </c>
      <c r="F81" s="64">
        <f>VLOOKUP(A81,Imports!A:B,2,)</f>
        <v>191.482</v>
      </c>
      <c r="G81" s="64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9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4">
        <f>VLOOKUP(A82,'U.S. GDP'!A:B,2,)</f>
        <v>4409.518</v>
      </c>
      <c r="C82" s="64">
        <f>VLOOKUP(A82,PersonalConsumption!A:B,2,)</f>
        <v>2651.3969999999999</v>
      </c>
      <c r="D82" s="64">
        <f>VLOOKUP(A82,PrivateInvestment!A:B,2,)</f>
        <v>573.50199999999995</v>
      </c>
      <c r="E82" s="64">
        <f>VLOOKUP(A82,Exports!A:B,2,)</f>
        <v>153.22399999999999</v>
      </c>
      <c r="F82" s="64">
        <f>VLOOKUP(A82,Imports!A:B,2,)</f>
        <v>196.417</v>
      </c>
      <c r="G82" s="64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9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4">
        <f>VLOOKUP(A83,'U.S. GDP'!A:B,2,)</f>
        <v>4424.5810000000001</v>
      </c>
      <c r="C83" s="64">
        <f>VLOOKUP(A83,PersonalConsumption!A:B,2,)</f>
        <v>2658.1909999999998</v>
      </c>
      <c r="D83" s="64">
        <f>VLOOKUP(A83,PrivateInvestment!A:B,2,)</f>
        <v>565.01199999999994</v>
      </c>
      <c r="E83" s="64">
        <f>VLOOKUP(A83,Exports!A:B,2,)</f>
        <v>157.828</v>
      </c>
      <c r="F83" s="64">
        <f>VLOOKUP(A83,Imports!A:B,2,)</f>
        <v>201.30199999999999</v>
      </c>
      <c r="G83" s="64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9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4">
        <f>VLOOKUP(A84,'U.S. GDP'!A:B,2,)</f>
        <v>4462.0529999999999</v>
      </c>
      <c r="C84" s="64">
        <f>VLOOKUP(A84,PersonalConsumption!A:B,2,)</f>
        <v>2688.5459999999998</v>
      </c>
      <c r="D84" s="64">
        <f>VLOOKUP(A84,PrivateInvestment!A:B,2,)</f>
        <v>560.84400000000005</v>
      </c>
      <c r="E84" s="64">
        <f>VLOOKUP(A84,Exports!A:B,2,)</f>
        <v>155.94200000000001</v>
      </c>
      <c r="F84" s="64">
        <f>VLOOKUP(A84,Imports!A:B,2,)</f>
        <v>212.59299999999999</v>
      </c>
      <c r="G84" s="64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9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4">
        <f>VLOOKUP(A85,'U.S. GDP'!A:B,2,)</f>
        <v>4498.66</v>
      </c>
      <c r="C85" s="64">
        <f>VLOOKUP(A85,PersonalConsumption!A:B,2,)</f>
        <v>2699.7469999999998</v>
      </c>
      <c r="D85" s="64">
        <f>VLOOKUP(A85,PrivateInvestment!A:B,2,)</f>
        <v>564.13099999999997</v>
      </c>
      <c r="E85" s="64">
        <f>VLOOKUP(A85,Exports!A:B,2,)</f>
        <v>159.81899999999999</v>
      </c>
      <c r="F85" s="64">
        <f>VLOOKUP(A85,Imports!A:B,2,)</f>
        <v>214.98699999999999</v>
      </c>
      <c r="G85" s="64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9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4">
        <f>VLOOKUP(A86,'U.S. GDP'!A:B,2,)</f>
        <v>4538.4979999999996</v>
      </c>
      <c r="C86" s="64">
        <f>VLOOKUP(A86,PersonalConsumption!A:B,2,)</f>
        <v>2715.3029999999999</v>
      </c>
      <c r="D86" s="64">
        <f>VLOOKUP(A86,PrivateInvestment!A:B,2,)</f>
        <v>550.28599999999994</v>
      </c>
      <c r="E86" s="64">
        <f>VLOOKUP(A86,Exports!A:B,2,)</f>
        <v>161.78200000000001</v>
      </c>
      <c r="F86" s="64">
        <f>VLOOKUP(A86,Imports!A:B,2,)</f>
        <v>218.34299999999999</v>
      </c>
      <c r="G86" s="64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9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4">
        <f>VLOOKUP(A87,'U.S. GDP'!A:B,2,)</f>
        <v>4541.28</v>
      </c>
      <c r="C87" s="64">
        <f>VLOOKUP(A87,PersonalConsumption!A:B,2,)</f>
        <v>2752.4259999999999</v>
      </c>
      <c r="D87" s="64">
        <f>VLOOKUP(A87,PrivateInvestment!A:B,2,)</f>
        <v>530.37800000000004</v>
      </c>
      <c r="E87" s="64">
        <f>VLOOKUP(A87,Exports!A:B,2,)</f>
        <v>159.631</v>
      </c>
      <c r="F87" s="64">
        <f>VLOOKUP(A87,Imports!A:B,2,)</f>
        <v>216.608</v>
      </c>
      <c r="G87" s="64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9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4">
        <f>VLOOKUP(A88,'U.S. GDP'!A:B,2,)</f>
        <v>4584.2460000000001</v>
      </c>
      <c r="C88" s="64">
        <f>VLOOKUP(A88,PersonalConsumption!A:B,2,)</f>
        <v>2766.518</v>
      </c>
      <c r="D88" s="64">
        <f>VLOOKUP(A88,PrivateInvestment!A:B,2,)</f>
        <v>545.92999999999995</v>
      </c>
      <c r="E88" s="64">
        <f>VLOOKUP(A88,Exports!A:B,2,)</f>
        <v>158.35</v>
      </c>
      <c r="F88" s="64">
        <f>VLOOKUP(A88,Imports!A:B,2,)</f>
        <v>219.452</v>
      </c>
      <c r="G88" s="64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9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4">
        <f>VLOOKUP(A89,'U.S. GDP'!A:B,2,)</f>
        <v>4618.8119999999999</v>
      </c>
      <c r="C89" s="64">
        <f>VLOOKUP(A89,PersonalConsumption!A:B,2,)</f>
        <v>2783.4470000000001</v>
      </c>
      <c r="D89" s="64">
        <f>VLOOKUP(A89,PrivateInvestment!A:B,2,)</f>
        <v>557.70600000000002</v>
      </c>
      <c r="E89" s="64">
        <f>VLOOKUP(A89,Exports!A:B,2,)</f>
        <v>161.33699999999999</v>
      </c>
      <c r="F89" s="64">
        <f>VLOOKUP(A89,Imports!A:B,2,)</f>
        <v>231.02600000000001</v>
      </c>
      <c r="G89" s="64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9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4">
        <f>VLOOKUP(A90,'U.S. GDP'!A:B,2,)</f>
        <v>4713.0129999999999</v>
      </c>
      <c r="C90" s="64">
        <f>VLOOKUP(A90,PersonalConsumption!A:B,2,)</f>
        <v>2850.1529999999998</v>
      </c>
      <c r="D90" s="64">
        <f>VLOOKUP(A90,PrivateInvestment!A:B,2,)</f>
        <v>568.88699999999994</v>
      </c>
      <c r="E90" s="64">
        <f>VLOOKUP(A90,Exports!A:B,2,)</f>
        <v>165.86799999999999</v>
      </c>
      <c r="F90" s="64">
        <f>VLOOKUP(A90,Imports!A:B,2,)</f>
        <v>244.637</v>
      </c>
      <c r="G90" s="64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9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4">
        <f>VLOOKUP(A91,'U.S. GDP'!A:B,2,)</f>
        <v>4791.7579999999998</v>
      </c>
      <c r="C91" s="64">
        <f>VLOOKUP(A91,PersonalConsumption!A:B,2,)</f>
        <v>2893.5529999999999</v>
      </c>
      <c r="D91" s="64">
        <f>VLOOKUP(A91,PrivateInvestment!A:B,2,)</f>
        <v>590.64700000000005</v>
      </c>
      <c r="E91" s="64">
        <f>VLOOKUP(A91,Exports!A:B,2,)</f>
        <v>168.643</v>
      </c>
      <c r="F91" s="64">
        <f>VLOOKUP(A91,Imports!A:B,2,)</f>
        <v>248.369</v>
      </c>
      <c r="G91" s="64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9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4">
        <f>VLOOKUP(A92,'U.S. GDP'!A:B,2,)</f>
        <v>4828.8919999999998</v>
      </c>
      <c r="C92" s="64">
        <f>VLOOKUP(A92,PersonalConsumption!A:B,2,)</f>
        <v>2947.7840000000001</v>
      </c>
      <c r="D92" s="64">
        <f>VLOOKUP(A92,PrivateInvestment!A:B,2,)</f>
        <v>574.53899999999999</v>
      </c>
      <c r="E92" s="64">
        <f>VLOOKUP(A92,Exports!A:B,2,)</f>
        <v>180.63499999999999</v>
      </c>
      <c r="F92" s="64">
        <f>VLOOKUP(A92,Imports!A:B,2,)</f>
        <v>263.29599999999999</v>
      </c>
      <c r="G92" s="64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9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4">
        <f>VLOOKUP(A93,'U.S. GDP'!A:B,2,)</f>
        <v>4847.8850000000002</v>
      </c>
      <c r="C93" s="64">
        <f>VLOOKUP(A93,PersonalConsumption!A:B,2,)</f>
        <v>2961.0810000000001</v>
      </c>
      <c r="D93" s="64">
        <f>VLOOKUP(A93,PrivateInvestment!A:B,2,)</f>
        <v>580.78899999999999</v>
      </c>
      <c r="E93" s="64">
        <f>VLOOKUP(A93,Exports!A:B,2,)</f>
        <v>176.62100000000001</v>
      </c>
      <c r="F93" s="64">
        <f>VLOOKUP(A93,Imports!A:B,2,)</f>
        <v>261.077</v>
      </c>
      <c r="G93" s="64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9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4">
        <f>VLOOKUP(A94,'U.S. GDP'!A:B,2,)</f>
        <v>4923.76</v>
      </c>
      <c r="C94" s="64">
        <f>VLOOKUP(A94,PersonalConsumption!A:B,2,)</f>
        <v>2993.913</v>
      </c>
      <c r="D94" s="64">
        <f>VLOOKUP(A94,PrivateInvestment!A:B,2,)</f>
        <v>614.98900000000003</v>
      </c>
      <c r="E94" s="64">
        <f>VLOOKUP(A94,Exports!A:B,2,)</f>
        <v>156.09</v>
      </c>
      <c r="F94" s="64">
        <f>VLOOKUP(A94,Imports!A:B,2,)</f>
        <v>236.452</v>
      </c>
      <c r="G94" s="64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9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4">
        <f>VLOOKUP(A95,'U.S. GDP'!A:B,2,)</f>
        <v>4938.7280000000001</v>
      </c>
      <c r="C95" s="64">
        <f>VLOOKUP(A95,PersonalConsumption!A:B,2,)</f>
        <v>3013.2269999999999</v>
      </c>
      <c r="D95" s="64">
        <f>VLOOKUP(A95,PrivateInvestment!A:B,2,)</f>
        <v>611.36599999999999</v>
      </c>
      <c r="E95" s="64">
        <f>VLOOKUP(A95,Exports!A:B,2,)</f>
        <v>190.297</v>
      </c>
      <c r="F95" s="64">
        <f>VLOOKUP(A95,Imports!A:B,2,)</f>
        <v>283.101</v>
      </c>
      <c r="G95" s="64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9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4">
        <f>VLOOKUP(A96,'U.S. GDP'!A:B,2,)</f>
        <v>4971.3490000000002</v>
      </c>
      <c r="C96" s="64">
        <f>VLOOKUP(A96,PersonalConsumption!A:B,2,)</f>
        <v>3027.9180000000001</v>
      </c>
      <c r="D96" s="64">
        <f>VLOOKUP(A96,PrivateInvestment!A:B,2,)</f>
        <v>623.77800000000002</v>
      </c>
      <c r="E96" s="64">
        <f>VLOOKUP(A96,Exports!A:B,2,)</f>
        <v>187.11199999999999</v>
      </c>
      <c r="F96" s="64">
        <f>VLOOKUP(A96,Imports!A:B,2,)</f>
        <v>279.43299999999999</v>
      </c>
      <c r="G96" s="64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9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4">
        <f>VLOOKUP(A97,'U.S. GDP'!A:B,2,)</f>
        <v>4947.1040000000003</v>
      </c>
      <c r="C97" s="64">
        <f>VLOOKUP(A97,PersonalConsumption!A:B,2,)</f>
        <v>3052.1179999999999</v>
      </c>
      <c r="D97" s="64">
        <f>VLOOKUP(A97,PrivateInvestment!A:B,2,)</f>
        <v>593.65899999999999</v>
      </c>
      <c r="E97" s="64">
        <f>VLOOKUP(A97,Exports!A:B,2,)</f>
        <v>192.00700000000001</v>
      </c>
      <c r="F97" s="64">
        <f>VLOOKUP(A97,Imports!A:B,2,)</f>
        <v>276.363</v>
      </c>
      <c r="G97" s="64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9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4">
        <f>VLOOKUP(A98,'U.S. GDP'!A:B,2,)</f>
        <v>4939.759</v>
      </c>
      <c r="C98" s="64">
        <f>VLOOKUP(A98,PersonalConsumption!A:B,2,)</f>
        <v>3071.056</v>
      </c>
      <c r="D98" s="64">
        <f>VLOOKUP(A98,PrivateInvestment!A:B,2,)</f>
        <v>575.95299999999997</v>
      </c>
      <c r="E98" s="64">
        <f>VLOOKUP(A98,Exports!A:B,2,)</f>
        <v>194.54</v>
      </c>
      <c r="F98" s="64">
        <f>VLOOKUP(A98,Imports!A:B,2,)</f>
        <v>275.45800000000003</v>
      </c>
      <c r="G98" s="64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9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4">
        <f>VLOOKUP(A99,'U.S. GDP'!A:B,2,)</f>
        <v>4946.7700000000004</v>
      </c>
      <c r="C99" s="64">
        <f>VLOOKUP(A99,PersonalConsumption!A:B,2,)</f>
        <v>3084.9679999999998</v>
      </c>
      <c r="D99" s="64">
        <f>VLOOKUP(A99,PrivateInvestment!A:B,2,)</f>
        <v>577.20500000000004</v>
      </c>
      <c r="E99" s="64">
        <f>VLOOKUP(A99,Exports!A:B,2,)</f>
        <v>202.078</v>
      </c>
      <c r="F99" s="64">
        <f>VLOOKUP(A99,Imports!A:B,2,)</f>
        <v>280.90199999999999</v>
      </c>
      <c r="G99" s="64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9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4">
        <f>VLOOKUP(A100,'U.S. GDP'!A:B,2,)</f>
        <v>4992.357</v>
      </c>
      <c r="C100" s="64">
        <f>VLOOKUP(A100,PersonalConsumption!A:B,2,)</f>
        <v>3112.0140000000001</v>
      </c>
      <c r="D100" s="64">
        <f>VLOOKUP(A100,PrivateInvestment!A:B,2,)</f>
        <v>586.59799999999996</v>
      </c>
      <c r="E100" s="64">
        <f>VLOOKUP(A100,Exports!A:B,2,)</f>
        <v>202.887</v>
      </c>
      <c r="F100" s="64">
        <f>VLOOKUP(A100,Imports!A:B,2,)</f>
        <v>280.25799999999998</v>
      </c>
      <c r="G100" s="64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9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4">
        <f>VLOOKUP(A101,'U.S. GDP'!A:B,2,)</f>
        <v>4938.857</v>
      </c>
      <c r="C101" s="64">
        <f>VLOOKUP(A101,PersonalConsumption!A:B,2,)</f>
        <v>3103.5650000000001</v>
      </c>
      <c r="D101" s="64">
        <f>VLOOKUP(A101,PrivateInvestment!A:B,2,)</f>
        <v>555.45399999999995</v>
      </c>
      <c r="E101" s="64">
        <f>VLOOKUP(A101,Exports!A:B,2,)</f>
        <v>203.30799999999999</v>
      </c>
      <c r="F101" s="64">
        <f>VLOOKUP(A101,Imports!A:B,2,)</f>
        <v>284.60399999999998</v>
      </c>
      <c r="G101" s="64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9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4">
        <f>VLOOKUP(A102,'U.S. GDP'!A:B,2,)</f>
        <v>5072.9960000000001</v>
      </c>
      <c r="C102" s="64">
        <f>VLOOKUP(A102,PersonalConsumption!A:B,2,)</f>
        <v>3163.1390000000001</v>
      </c>
      <c r="D102" s="64">
        <f>VLOOKUP(A102,PrivateInvestment!A:B,2,)</f>
        <v>620.21199999999999</v>
      </c>
      <c r="E102" s="64">
        <f>VLOOKUP(A102,Exports!A:B,2,)</f>
        <v>205.16399999999999</v>
      </c>
      <c r="F102" s="64">
        <f>VLOOKUP(A102,Imports!A:B,2,)</f>
        <v>281.24900000000002</v>
      </c>
      <c r="G102" s="64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9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4">
        <f>VLOOKUP(A103,'U.S. GDP'!A:B,2,)</f>
        <v>5100.4470000000001</v>
      </c>
      <c r="C103" s="64">
        <f>VLOOKUP(A103,PersonalConsumption!A:B,2,)</f>
        <v>3192.21</v>
      </c>
      <c r="D103" s="64">
        <f>VLOOKUP(A103,PrivateInvestment!A:B,2,)</f>
        <v>637.81100000000004</v>
      </c>
      <c r="E103" s="64">
        <f>VLOOKUP(A103,Exports!A:B,2,)</f>
        <v>203.64699999999999</v>
      </c>
      <c r="F103" s="64">
        <f>VLOOKUP(A103,Imports!A:B,2,)</f>
        <v>302.46600000000001</v>
      </c>
      <c r="G103" s="64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9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4">
        <f>VLOOKUP(A104,'U.S. GDP'!A:B,2,)</f>
        <v>5142.4219999999996</v>
      </c>
      <c r="C104" s="64">
        <f>VLOOKUP(A104,PersonalConsumption!A:B,2,)</f>
        <v>3217.6610000000001</v>
      </c>
      <c r="D104" s="64">
        <f>VLOOKUP(A104,PrivateInvestment!A:B,2,)</f>
        <v>645.54899999999998</v>
      </c>
      <c r="E104" s="64">
        <f>VLOOKUP(A104,Exports!A:B,2,)</f>
        <v>213.827</v>
      </c>
      <c r="F104" s="64">
        <f>VLOOKUP(A104,Imports!A:B,2,)</f>
        <v>309.15199999999999</v>
      </c>
      <c r="G104" s="64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9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4">
        <f>VLOOKUP(A105,'U.S. GDP'!A:B,2,)</f>
        <v>5154.5469999999996</v>
      </c>
      <c r="C105" s="64">
        <f>VLOOKUP(A105,PersonalConsumption!A:B,2,)</f>
        <v>3271.05</v>
      </c>
      <c r="D105" s="64">
        <f>VLOOKUP(A105,PrivateInvestment!A:B,2,)</f>
        <v>628.16499999999996</v>
      </c>
      <c r="E105" s="64">
        <f>VLOOKUP(A105,Exports!A:B,2,)</f>
        <v>194.08799999999999</v>
      </c>
      <c r="F105" s="64">
        <f>VLOOKUP(A105,Imports!A:B,2,)</f>
        <v>288.197</v>
      </c>
      <c r="G105" s="64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9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4">
        <f>VLOOKUP(A106,'U.S. GDP'!A:B,2,)</f>
        <v>5249.3370000000004</v>
      </c>
      <c r="C106" s="64">
        <f>VLOOKUP(A106,PersonalConsumption!A:B,2,)</f>
        <v>3314.2220000000002</v>
      </c>
      <c r="D106" s="64">
        <f>VLOOKUP(A106,PrivateInvestment!A:B,2,)</f>
        <v>669.55799999999999</v>
      </c>
      <c r="E106" s="64">
        <f>VLOOKUP(A106,Exports!A:B,2,)</f>
        <v>216.149</v>
      </c>
      <c r="F106" s="64">
        <f>VLOOKUP(A106,Imports!A:B,2,)</f>
        <v>330.31700000000001</v>
      </c>
      <c r="G106" s="64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9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4">
        <f>VLOOKUP(A107,'U.S. GDP'!A:B,2,)</f>
        <v>5368.4849999999997</v>
      </c>
      <c r="C107" s="64">
        <f>VLOOKUP(A107,PersonalConsumption!A:B,2,)</f>
        <v>3377.3139999999999</v>
      </c>
      <c r="D107" s="64">
        <f>VLOOKUP(A107,PrivateInvestment!A:B,2,)</f>
        <v>707.58900000000006</v>
      </c>
      <c r="E107" s="64">
        <f>VLOOKUP(A107,Exports!A:B,2,)</f>
        <v>209.84200000000001</v>
      </c>
      <c r="F107" s="64">
        <f>VLOOKUP(A107,Imports!A:B,2,)</f>
        <v>318.58100000000002</v>
      </c>
      <c r="G107" s="64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9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4">
        <f>VLOOKUP(A108,'U.S. GDP'!A:B,2,)</f>
        <v>5419.1840000000002</v>
      </c>
      <c r="C108" s="64">
        <f>VLOOKUP(A108,PersonalConsumption!A:B,2,)</f>
        <v>3429.3620000000001</v>
      </c>
      <c r="D108" s="64">
        <f>VLOOKUP(A108,PrivateInvestment!A:B,2,)</f>
        <v>717.63800000000003</v>
      </c>
      <c r="E108" s="64">
        <f>VLOOKUP(A108,Exports!A:B,2,)</f>
        <v>222.49299999999999</v>
      </c>
      <c r="F108" s="64">
        <f>VLOOKUP(A108,Imports!A:B,2,)</f>
        <v>325.21199999999999</v>
      </c>
      <c r="G108" s="64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9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4">
        <f>VLOOKUP(A109,'U.S. GDP'!A:B,2,)</f>
        <v>5509.9260000000004</v>
      </c>
      <c r="C109" s="64">
        <f>VLOOKUP(A109,PersonalConsumption!A:B,2,)</f>
        <v>3509.8380000000002</v>
      </c>
      <c r="D109" s="64">
        <f>VLOOKUP(A109,PrivateInvestment!A:B,2,)</f>
        <v>722.13800000000003</v>
      </c>
      <c r="E109" s="64">
        <f>VLOOKUP(A109,Exports!A:B,2,)</f>
        <v>231.90199999999999</v>
      </c>
      <c r="F109" s="64">
        <f>VLOOKUP(A109,Imports!A:B,2,)</f>
        <v>339.86200000000002</v>
      </c>
      <c r="G109" s="64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9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4">
        <f>VLOOKUP(A110,'U.S. GDP'!A:B,2,)</f>
        <v>5646.2860000000001</v>
      </c>
      <c r="C110" s="64">
        <f>VLOOKUP(A110,PersonalConsumption!A:B,2,)</f>
        <v>3573.9180000000001</v>
      </c>
      <c r="D110" s="64">
        <f>VLOOKUP(A110,PrivateInvestment!A:B,2,)</f>
        <v>764.45799999999997</v>
      </c>
      <c r="E110" s="64">
        <f>VLOOKUP(A110,Exports!A:B,2,)</f>
        <v>248.86699999999999</v>
      </c>
      <c r="F110" s="64">
        <f>VLOOKUP(A110,Imports!A:B,2,)</f>
        <v>355.56599999999997</v>
      </c>
      <c r="G110" s="64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9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4">
        <f>VLOOKUP(A111,'U.S. GDP'!A:B,2,)</f>
        <v>5707.7550000000001</v>
      </c>
      <c r="C111" s="64">
        <f>VLOOKUP(A111,PersonalConsumption!A:B,2,)</f>
        <v>3572.3069999999998</v>
      </c>
      <c r="D111" s="64">
        <f>VLOOKUP(A111,PrivateInvestment!A:B,2,)</f>
        <v>797.04399999999998</v>
      </c>
      <c r="E111" s="64">
        <f>VLOOKUP(A111,Exports!A:B,2,)</f>
        <v>260.85599999999999</v>
      </c>
      <c r="F111" s="64">
        <f>VLOOKUP(A111,Imports!A:B,2,)</f>
        <v>345.31799999999998</v>
      </c>
      <c r="G111" s="64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9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4">
        <f>VLOOKUP(A112,'U.S. GDP'!A:B,2,)</f>
        <v>5677.7380000000003</v>
      </c>
      <c r="C112" s="64">
        <f>VLOOKUP(A112,PersonalConsumption!A:B,2,)</f>
        <v>3584.8809999999999</v>
      </c>
      <c r="D112" s="64">
        <f>VLOOKUP(A112,PrivateInvestment!A:B,2,)</f>
        <v>768.14300000000003</v>
      </c>
      <c r="E112" s="64">
        <f>VLOOKUP(A112,Exports!A:B,2,)</f>
        <v>261.73500000000001</v>
      </c>
      <c r="F112" s="64">
        <f>VLOOKUP(A112,Imports!A:B,2,)</f>
        <v>335.77800000000002</v>
      </c>
      <c r="G112" s="64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9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4">
        <f>VLOOKUP(A113,'U.S. GDP'!A:B,2,)</f>
        <v>5731.6319999999996</v>
      </c>
      <c r="C113" s="64">
        <f>VLOOKUP(A113,PersonalConsumption!A:B,2,)</f>
        <v>3574.1880000000001</v>
      </c>
      <c r="D113" s="64">
        <f>VLOOKUP(A113,PrivateInvestment!A:B,2,)</f>
        <v>795.50400000000002</v>
      </c>
      <c r="E113" s="64">
        <f>VLOOKUP(A113,Exports!A:B,2,)</f>
        <v>274.61</v>
      </c>
      <c r="F113" s="64">
        <f>VLOOKUP(A113,Imports!A:B,2,)</f>
        <v>338.28399999999999</v>
      </c>
      <c r="G113" s="64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9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4">
        <f>VLOOKUP(A114,'U.S. GDP'!A:B,2,)</f>
        <v>5682.3530000000001</v>
      </c>
      <c r="C114" s="64">
        <f>VLOOKUP(A114,PersonalConsumption!A:B,2,)</f>
        <v>3542.2109999999998</v>
      </c>
      <c r="D114" s="64">
        <f>VLOOKUP(A114,PrivateInvestment!A:B,2,)</f>
        <v>750.07600000000002</v>
      </c>
      <c r="E114" s="64">
        <f>VLOOKUP(A114,Exports!A:B,2,)</f>
        <v>278.17099999999999</v>
      </c>
      <c r="F114" s="64">
        <f>VLOOKUP(A114,Imports!A:B,2,)</f>
        <v>326.81</v>
      </c>
      <c r="G114" s="64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9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4">
        <f>VLOOKUP(A115,'U.S. GDP'!A:B,2,)</f>
        <v>5695.8590000000004</v>
      </c>
      <c r="C115" s="64">
        <f>VLOOKUP(A115,PersonalConsumption!A:B,2,)</f>
        <v>3554.9659999999999</v>
      </c>
      <c r="D115" s="64">
        <f>VLOOKUP(A115,PrivateInvestment!A:B,2,)</f>
        <v>747.08199999999999</v>
      </c>
      <c r="E115" s="64">
        <f>VLOOKUP(A115,Exports!A:B,2,)</f>
        <v>291.73500000000001</v>
      </c>
      <c r="F115" s="64">
        <f>VLOOKUP(A115,Imports!A:B,2,)</f>
        <v>344.12299999999999</v>
      </c>
      <c r="G115" s="64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9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4">
        <f>VLOOKUP(A116,'U.S. GDP'!A:B,2,)</f>
        <v>5642.0249999999996</v>
      </c>
      <c r="C116" s="64">
        <f>VLOOKUP(A116,PersonalConsumption!A:B,2,)</f>
        <v>3570.2359999999999</v>
      </c>
      <c r="D116" s="64">
        <f>VLOOKUP(A116,PrivateInvestment!A:B,2,)</f>
        <v>708.36199999999997</v>
      </c>
      <c r="E116" s="64">
        <f>VLOOKUP(A116,Exports!A:B,2,)</f>
        <v>276.01799999999997</v>
      </c>
      <c r="F116" s="64">
        <f>VLOOKUP(A116,Imports!A:B,2,)</f>
        <v>338.10899999999998</v>
      </c>
      <c r="G116" s="64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9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4">
        <f>VLOOKUP(A117,'U.S. GDP'!A:B,2,)</f>
        <v>5620.1260000000002</v>
      </c>
      <c r="C117" s="64">
        <f>VLOOKUP(A117,PersonalConsumption!A:B,2,)</f>
        <v>3518.05</v>
      </c>
      <c r="D117" s="64">
        <f>VLOOKUP(A117,PrivateInvestment!A:B,2,)</f>
        <v>712.66099999999994</v>
      </c>
      <c r="E117" s="64">
        <f>VLOOKUP(A117,Exports!A:B,2,)</f>
        <v>283.22800000000001</v>
      </c>
      <c r="F117" s="64">
        <f>VLOOKUP(A117,Imports!A:B,2,)</f>
        <v>334.75400000000002</v>
      </c>
      <c r="G117" s="64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9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4">
        <f>VLOOKUP(A118,'U.S. GDP'!A:B,2,)</f>
        <v>5551.7129999999997</v>
      </c>
      <c r="C118" s="64">
        <f>VLOOKUP(A118,PersonalConsumption!A:B,2,)</f>
        <v>3547.5569999999998</v>
      </c>
      <c r="D118" s="64">
        <f>VLOOKUP(A118,PrivateInvestment!A:B,2,)</f>
        <v>597.86599999999999</v>
      </c>
      <c r="E118" s="64">
        <f>VLOOKUP(A118,Exports!A:B,2,)</f>
        <v>285.20400000000001</v>
      </c>
      <c r="F118" s="64">
        <f>VLOOKUP(A118,Imports!A:B,2,)</f>
        <v>301.16399999999999</v>
      </c>
      <c r="G118" s="64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9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4">
        <f>VLOOKUP(A119,'U.S. GDP'!A:B,2,)</f>
        <v>5591.3819999999996</v>
      </c>
      <c r="C119" s="64">
        <f>VLOOKUP(A119,PersonalConsumption!A:B,2,)</f>
        <v>3605.9090000000001</v>
      </c>
      <c r="D119" s="64">
        <f>VLOOKUP(A119,PrivateInvestment!A:B,2,)</f>
        <v>580.06700000000001</v>
      </c>
      <c r="E119" s="64">
        <f>VLOOKUP(A119,Exports!A:B,2,)</f>
        <v>276.88900000000001</v>
      </c>
      <c r="F119" s="64">
        <f>VLOOKUP(A119,Imports!A:B,2,)</f>
        <v>277.065</v>
      </c>
      <c r="G119" s="64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9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4">
        <f>VLOOKUP(A120,'U.S. GDP'!A:B,2,)</f>
        <v>5687.0870000000004</v>
      </c>
      <c r="C120" s="64">
        <f>VLOOKUP(A120,PersonalConsumption!A:B,2,)</f>
        <v>3657.1579999999999</v>
      </c>
      <c r="D120" s="64">
        <f>VLOOKUP(A120,PrivateInvestment!A:B,2,)</f>
        <v>625.03700000000003</v>
      </c>
      <c r="E120" s="64">
        <f>VLOOKUP(A120,Exports!A:B,2,)</f>
        <v>272.21800000000002</v>
      </c>
      <c r="F120" s="64">
        <f>VLOOKUP(A120,Imports!A:B,2,)</f>
        <v>300.09800000000001</v>
      </c>
      <c r="G120" s="64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9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4">
        <f>VLOOKUP(A121,'U.S. GDP'!A:B,2,)</f>
        <v>5763.665</v>
      </c>
      <c r="C121" s="64">
        <f>VLOOKUP(A121,PersonalConsumption!A:B,2,)</f>
        <v>3696.4850000000001</v>
      </c>
      <c r="D121" s="64">
        <f>VLOOKUP(A121,PrivateInvestment!A:B,2,)</f>
        <v>642.48400000000004</v>
      </c>
      <c r="E121" s="64">
        <f>VLOOKUP(A121,Exports!A:B,2,)</f>
        <v>287.60899999999998</v>
      </c>
      <c r="F121" s="64">
        <f>VLOOKUP(A121,Imports!A:B,2,)</f>
        <v>316.11700000000002</v>
      </c>
      <c r="G121" s="64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9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4">
        <f>VLOOKUP(A122,'U.S. GDP'!A:B,2,)</f>
        <v>5893.2759999999998</v>
      </c>
      <c r="C122" s="64">
        <f>VLOOKUP(A122,PersonalConsumption!A:B,2,)</f>
        <v>3770.3910000000001</v>
      </c>
      <c r="D122" s="64">
        <f>VLOOKUP(A122,PrivateInvestment!A:B,2,)</f>
        <v>704.47500000000002</v>
      </c>
      <c r="E122" s="64">
        <f>VLOOKUP(A122,Exports!A:B,2,)</f>
        <v>285.62400000000002</v>
      </c>
      <c r="F122" s="64">
        <f>VLOOKUP(A122,Imports!A:B,2,)</f>
        <v>335.92099999999999</v>
      </c>
      <c r="G122" s="64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9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4">
        <f>VLOOKUP(A123,'U.S. GDP'!A:B,2,)</f>
        <v>5936.5150000000003</v>
      </c>
      <c r="C123" s="64">
        <f>VLOOKUP(A123,PersonalConsumption!A:B,2,)</f>
        <v>3805.0810000000001</v>
      </c>
      <c r="D123" s="64">
        <f>VLOOKUP(A123,PrivateInvestment!A:B,2,)</f>
        <v>732.35799999999995</v>
      </c>
      <c r="E123" s="64">
        <f>VLOOKUP(A123,Exports!A:B,2,)</f>
        <v>288.50299999999999</v>
      </c>
      <c r="F123" s="64">
        <f>VLOOKUP(A123,Imports!A:B,2,)</f>
        <v>350.47</v>
      </c>
      <c r="G123" s="64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9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4">
        <f>VLOOKUP(A124,'U.S. GDP'!A:B,2,)</f>
        <v>5969.0889999999999</v>
      </c>
      <c r="C124" s="64">
        <f>VLOOKUP(A124,PersonalConsumption!A:B,2,)</f>
        <v>3845.1439999999998</v>
      </c>
      <c r="D124" s="64">
        <f>VLOOKUP(A124,PrivateInvestment!A:B,2,)</f>
        <v>734.91</v>
      </c>
      <c r="E124" s="64">
        <f>VLOOKUP(A124,Exports!A:B,2,)</f>
        <v>296.88600000000002</v>
      </c>
      <c r="F124" s="64">
        <f>VLOOKUP(A124,Imports!A:B,2,)</f>
        <v>364.76799999999997</v>
      </c>
      <c r="G124" s="64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9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4">
        <f>VLOOKUP(A125,'U.S. GDP'!A:B,2,)</f>
        <v>6012.3559999999998</v>
      </c>
      <c r="C125" s="64">
        <f>VLOOKUP(A125,PersonalConsumption!A:B,2,)</f>
        <v>3895.0340000000001</v>
      </c>
      <c r="D125" s="64">
        <f>VLOOKUP(A125,PrivateInvestment!A:B,2,)</f>
        <v>740.40800000000002</v>
      </c>
      <c r="E125" s="64">
        <f>VLOOKUP(A125,Exports!A:B,2,)</f>
        <v>299.89800000000002</v>
      </c>
      <c r="F125" s="64">
        <f>VLOOKUP(A125,Imports!A:B,2,)</f>
        <v>376.84100000000001</v>
      </c>
      <c r="G125" s="64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9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4">
        <f>VLOOKUP(A126,'U.S. GDP'!A:B,2,)</f>
        <v>6083.3909999999996</v>
      </c>
      <c r="C126" s="64">
        <f>VLOOKUP(A126,PersonalConsumption!A:B,2,)</f>
        <v>3940.944</v>
      </c>
      <c r="D126" s="64">
        <f>VLOOKUP(A126,PrivateInvestment!A:B,2,)</f>
        <v>774.71100000000001</v>
      </c>
      <c r="E126" s="64">
        <f>VLOOKUP(A126,Exports!A:B,2,)</f>
        <v>295.072</v>
      </c>
      <c r="F126" s="64">
        <f>VLOOKUP(A126,Imports!A:B,2,)</f>
        <v>394.68</v>
      </c>
      <c r="G126" s="64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9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4">
        <f>VLOOKUP(A127,'U.S. GDP'!A:B,2,)</f>
        <v>6201.6589999999997</v>
      </c>
      <c r="C127" s="64">
        <f>VLOOKUP(A127,PersonalConsumption!A:B,2,)</f>
        <v>3962.3139999999999</v>
      </c>
      <c r="D127" s="64">
        <f>VLOOKUP(A127,PrivateInvestment!A:B,2,)</f>
        <v>830.25099999999998</v>
      </c>
      <c r="E127" s="64">
        <f>VLOOKUP(A127,Exports!A:B,2,)</f>
        <v>303.024</v>
      </c>
      <c r="F127" s="64">
        <f>VLOOKUP(A127,Imports!A:B,2,)</f>
        <v>398.31900000000002</v>
      </c>
      <c r="G127" s="64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9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4">
        <f>VLOOKUP(A128,'U.S. GDP'!A:B,2,)</f>
        <v>6313.5590000000002</v>
      </c>
      <c r="C128" s="64">
        <f>VLOOKUP(A128,PersonalConsumption!A:B,2,)</f>
        <v>3999.779</v>
      </c>
      <c r="D128" s="64">
        <f>VLOOKUP(A128,PrivateInvestment!A:B,2,)</f>
        <v>872.26400000000001</v>
      </c>
      <c r="E128" s="64">
        <f>VLOOKUP(A128,Exports!A:B,2,)</f>
        <v>305.375</v>
      </c>
      <c r="F128" s="64">
        <f>VLOOKUP(A128,Imports!A:B,2,)</f>
        <v>392.76799999999997</v>
      </c>
      <c r="G128" s="64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9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4">
        <f>VLOOKUP(A129,'U.S. GDP'!A:B,2,)</f>
        <v>6313.6970000000001</v>
      </c>
      <c r="C129" s="64">
        <f>VLOOKUP(A129,PersonalConsumption!A:B,2,)</f>
        <v>4059.9180000000001</v>
      </c>
      <c r="D129" s="64">
        <f>VLOOKUP(A129,PrivateInvestment!A:B,2,)</f>
        <v>850.38300000000004</v>
      </c>
      <c r="E129" s="64">
        <f>VLOOKUP(A129,Exports!A:B,2,)</f>
        <v>295.584</v>
      </c>
      <c r="F129" s="64">
        <f>VLOOKUP(A129,Imports!A:B,2,)</f>
        <v>398.34199999999998</v>
      </c>
      <c r="G129" s="64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9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4">
        <f>VLOOKUP(A130,'U.S. GDP'!A:B,2,)</f>
        <v>6333.848</v>
      </c>
      <c r="C130" s="64">
        <f>VLOOKUP(A130,PersonalConsumption!A:B,2,)</f>
        <v>4082.7260000000001</v>
      </c>
      <c r="D130" s="64">
        <f>VLOOKUP(A130,PrivateInvestment!A:B,2,)</f>
        <v>866.95699999999999</v>
      </c>
      <c r="E130" s="64">
        <f>VLOOKUP(A130,Exports!A:B,2,)</f>
        <v>302.56299999999999</v>
      </c>
      <c r="F130" s="64">
        <f>VLOOKUP(A130,Imports!A:B,2,)</f>
        <v>425.07</v>
      </c>
      <c r="G130" s="64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9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4">
        <f>VLOOKUP(A131,'U.S. GDP'!A:B,2,)</f>
        <v>6578.6049999999996</v>
      </c>
      <c r="C131" s="64">
        <f>VLOOKUP(A131,PersonalConsumption!A:B,2,)</f>
        <v>4170.01</v>
      </c>
      <c r="D131" s="64">
        <f>VLOOKUP(A131,PrivateInvestment!A:B,2,)</f>
        <v>923.26599999999996</v>
      </c>
      <c r="E131" s="64">
        <f>VLOOKUP(A131,Exports!A:B,2,)</f>
        <v>334.10599999999999</v>
      </c>
      <c r="F131" s="64">
        <f>VLOOKUP(A131,Imports!A:B,2,)</f>
        <v>426.41899999999998</v>
      </c>
      <c r="G131" s="64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9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4">
        <f>VLOOKUP(A132,'U.S. GDP'!A:B,2,)</f>
        <v>6644.7539999999999</v>
      </c>
      <c r="C132" s="64">
        <f>VLOOKUP(A132,PersonalConsumption!A:B,2,)</f>
        <v>4187.5200000000004</v>
      </c>
      <c r="D132" s="64">
        <f>VLOOKUP(A132,PrivateInvestment!A:B,2,)</f>
        <v>950.16600000000005</v>
      </c>
      <c r="E132" s="64">
        <f>VLOOKUP(A132,Exports!A:B,2,)</f>
        <v>337.77199999999999</v>
      </c>
      <c r="F132" s="64">
        <f>VLOOKUP(A132,Imports!A:B,2,)</f>
        <v>431.99299999999999</v>
      </c>
      <c r="G132" s="64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9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4">
        <f>VLOOKUP(A133,'U.S. GDP'!A:B,2,)</f>
        <v>6734.0690000000004</v>
      </c>
      <c r="C133" s="64">
        <f>VLOOKUP(A133,PersonalConsumption!A:B,2,)</f>
        <v>4221.3100000000004</v>
      </c>
      <c r="D133" s="64">
        <f>VLOOKUP(A133,PrivateInvestment!A:B,2,)</f>
        <v>972.13900000000001</v>
      </c>
      <c r="E133" s="64">
        <f>VLOOKUP(A133,Exports!A:B,2,)</f>
        <v>351.178</v>
      </c>
      <c r="F133" s="64">
        <f>VLOOKUP(A133,Imports!A:B,2,)</f>
        <v>437.92399999999998</v>
      </c>
      <c r="G133" s="64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9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4">
        <f>VLOOKUP(A134,'U.S. GDP'!A:B,2,)</f>
        <v>6746.1760000000004</v>
      </c>
      <c r="C134" s="64">
        <f>VLOOKUP(A134,PersonalConsumption!A:B,2,)</f>
        <v>4243.1729999999998</v>
      </c>
      <c r="D134" s="64">
        <f>VLOOKUP(A134,PrivateInvestment!A:B,2,)</f>
        <v>973.75400000000002</v>
      </c>
      <c r="E134" s="64">
        <f>VLOOKUP(A134,Exports!A:B,2,)</f>
        <v>351.45299999999997</v>
      </c>
      <c r="F134" s="64">
        <f>VLOOKUP(A134,Imports!A:B,2,)</f>
        <v>436.73399999999998</v>
      </c>
      <c r="G134" s="64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9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4">
        <f>VLOOKUP(A135,'U.S. GDP'!A:B,2,)</f>
        <v>6753.3890000000001</v>
      </c>
      <c r="C135" s="64">
        <f>VLOOKUP(A135,PersonalConsumption!A:B,2,)</f>
        <v>4240.4189999999999</v>
      </c>
      <c r="D135" s="64">
        <f>VLOOKUP(A135,PrivateInvestment!A:B,2,)</f>
        <v>972.87699999999995</v>
      </c>
      <c r="E135" s="64">
        <f>VLOOKUP(A135,Exports!A:B,2,)</f>
        <v>352.36900000000003</v>
      </c>
      <c r="F135" s="64">
        <f>VLOOKUP(A135,Imports!A:B,2,)</f>
        <v>439.09199999999998</v>
      </c>
      <c r="G135" s="64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9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4">
        <f>VLOOKUP(A136,'U.S. GDP'!A:B,2,)</f>
        <v>6803.558</v>
      </c>
      <c r="C136" s="64">
        <f>VLOOKUP(A136,PersonalConsumption!A:B,2,)</f>
        <v>4281.6819999999998</v>
      </c>
      <c r="D136" s="64">
        <f>VLOOKUP(A136,PrivateInvestment!A:B,2,)</f>
        <v>956.49300000000005</v>
      </c>
      <c r="E136" s="64">
        <f>VLOOKUP(A136,Exports!A:B,2,)</f>
        <v>365.05</v>
      </c>
      <c r="F136" s="64">
        <f>VLOOKUP(A136,Imports!A:B,2,)</f>
        <v>432.38600000000002</v>
      </c>
      <c r="G136" s="64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9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4">
        <f>VLOOKUP(A137,'U.S. GDP'!A:B,2,)</f>
        <v>6820.5720000000001</v>
      </c>
      <c r="C137" s="64">
        <f>VLOOKUP(A137,PersonalConsumption!A:B,2,)</f>
        <v>4292.335</v>
      </c>
      <c r="D137" s="64">
        <f>VLOOKUP(A137,PrivateInvestment!A:B,2,)</f>
        <v>939.52599999999995</v>
      </c>
      <c r="E137" s="64">
        <f>VLOOKUP(A137,Exports!A:B,2,)</f>
        <v>388.01900000000001</v>
      </c>
      <c r="F137" s="64">
        <f>VLOOKUP(A137,Imports!A:B,2,)</f>
        <v>441.81599999999997</v>
      </c>
      <c r="G137" s="64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9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4">
        <f>VLOOKUP(A138,'U.S. GDP'!A:B,2,)</f>
        <v>6842.0240000000003</v>
      </c>
      <c r="C138" s="64">
        <f>VLOOKUP(A138,PersonalConsumption!A:B,2,)</f>
        <v>4286.2</v>
      </c>
      <c r="D138" s="64">
        <f>VLOOKUP(A138,PrivateInvestment!A:B,2,)</f>
        <v>933.101</v>
      </c>
      <c r="E138" s="64">
        <f>VLOOKUP(A138,Exports!A:B,2,)</f>
        <v>398.84800000000001</v>
      </c>
      <c r="F138" s="64">
        <f>VLOOKUP(A138,Imports!A:B,2,)</f>
        <v>442.11700000000002</v>
      </c>
      <c r="G138" s="64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9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4">
        <f>VLOOKUP(A139,'U.S. GDP'!A:B,2,)</f>
        <v>6701.0460000000003</v>
      </c>
      <c r="C139" s="64">
        <f>VLOOKUP(A139,PersonalConsumption!A:B,2,)</f>
        <v>4189.6710000000003</v>
      </c>
      <c r="D139" s="64">
        <f>VLOOKUP(A139,PrivateInvestment!A:B,2,)</f>
        <v>853.76</v>
      </c>
      <c r="E139" s="64">
        <f>VLOOKUP(A139,Exports!A:B,2,)</f>
        <v>406.36700000000002</v>
      </c>
      <c r="F139" s="64">
        <f>VLOOKUP(A139,Imports!A:B,2,)</f>
        <v>410.012</v>
      </c>
      <c r="G139" s="64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9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4">
        <f>VLOOKUP(A140,'U.S. GDP'!A:B,2,)</f>
        <v>6693.0820000000003</v>
      </c>
      <c r="C140" s="64">
        <f>VLOOKUP(A140,PersonalConsumption!A:B,2,)</f>
        <v>4235.6289999999999</v>
      </c>
      <c r="D140" s="64">
        <f>VLOOKUP(A140,PrivateInvestment!A:B,2,)</f>
        <v>797.41099999999994</v>
      </c>
      <c r="E140" s="64">
        <f>VLOOKUP(A140,Exports!A:B,2,)</f>
        <v>405.50099999999998</v>
      </c>
      <c r="F140" s="64">
        <f>VLOOKUP(A140,Imports!A:B,2,)</f>
        <v>380.50700000000001</v>
      </c>
      <c r="G140" s="64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9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4">
        <f>VLOOKUP(A141,'U.S. GDP'!A:B,2,)</f>
        <v>6817.9030000000002</v>
      </c>
      <c r="C141" s="64">
        <f>VLOOKUP(A141,PersonalConsumption!A:B,2,)</f>
        <v>4292.8559999999998</v>
      </c>
      <c r="D141" s="64">
        <f>VLOOKUP(A141,PrivateInvestment!A:B,2,)</f>
        <v>871.73299999999995</v>
      </c>
      <c r="E141" s="64">
        <f>VLOOKUP(A141,Exports!A:B,2,)</f>
        <v>403.04500000000002</v>
      </c>
      <c r="F141" s="64">
        <f>VLOOKUP(A141,Imports!A:B,2,)</f>
        <v>400.911</v>
      </c>
      <c r="G141" s="64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9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4">
        <f>VLOOKUP(A142,'U.S. GDP'!A:B,2,)</f>
        <v>6951.4949999999999</v>
      </c>
      <c r="C142" s="64">
        <f>VLOOKUP(A142,PersonalConsumption!A:B,2,)</f>
        <v>4307.2370000000001</v>
      </c>
      <c r="D142" s="64">
        <f>VLOOKUP(A142,PrivateInvestment!A:B,2,)</f>
        <v>952.41800000000001</v>
      </c>
      <c r="E142" s="64">
        <f>VLOOKUP(A142,Exports!A:B,2,)</f>
        <v>410.625</v>
      </c>
      <c r="F142" s="64">
        <f>VLOOKUP(A142,Imports!A:B,2,)</f>
        <v>418.02199999999999</v>
      </c>
      <c r="G142" s="64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9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4">
        <f>VLOOKUP(A143,'U.S. GDP'!A:B,2,)</f>
        <v>6899.98</v>
      </c>
      <c r="C143" s="64">
        <f>VLOOKUP(A143,PersonalConsumption!A:B,2,)</f>
        <v>4307.55</v>
      </c>
      <c r="D143" s="64">
        <f>VLOOKUP(A143,PrivateInvestment!A:B,2,)</f>
        <v>912.94500000000005</v>
      </c>
      <c r="E143" s="64">
        <f>VLOOKUP(A143,Exports!A:B,2,)</f>
        <v>412.84500000000003</v>
      </c>
      <c r="F143" s="64">
        <f>VLOOKUP(A143,Imports!A:B,2,)</f>
        <v>418.63900000000001</v>
      </c>
      <c r="G143" s="64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9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4">
        <f>VLOOKUP(A144,'U.S. GDP'!A:B,2,)</f>
        <v>6982.6090000000004</v>
      </c>
      <c r="C144" s="64">
        <f>VLOOKUP(A144,PersonalConsumption!A:B,2,)</f>
        <v>4327.4759999999997</v>
      </c>
      <c r="D144" s="64">
        <f>VLOOKUP(A144,PrivateInvestment!A:B,2,)</f>
        <v>964.40099999999995</v>
      </c>
      <c r="E144" s="64">
        <f>VLOOKUP(A144,Exports!A:B,2,)</f>
        <v>404.05</v>
      </c>
      <c r="F144" s="64">
        <f>VLOOKUP(A144,Imports!A:B,2,)</f>
        <v>413.84699999999998</v>
      </c>
      <c r="G144" s="64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9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4">
        <f>VLOOKUP(A145,'U.S. GDP'!A:B,2,)</f>
        <v>6906.5290000000005</v>
      </c>
      <c r="C145" s="64">
        <f>VLOOKUP(A145,PersonalConsumption!A:B,2,)</f>
        <v>4297.875</v>
      </c>
      <c r="D145" s="64">
        <f>VLOOKUP(A145,PrivateInvestment!A:B,2,)</f>
        <v>930.44</v>
      </c>
      <c r="E145" s="64">
        <f>VLOOKUP(A145,Exports!A:B,2,)</f>
        <v>405.90499999999997</v>
      </c>
      <c r="F145" s="64">
        <f>VLOOKUP(A145,Imports!A:B,2,)</f>
        <v>425.69600000000003</v>
      </c>
      <c r="G145" s="64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9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4">
        <f>VLOOKUP(A146,'U.S. GDP'!A:B,2,)</f>
        <v>6799.2330000000002</v>
      </c>
      <c r="C146" s="64">
        <f>VLOOKUP(A146,PersonalConsumption!A:B,2,)</f>
        <v>4329.5330000000004</v>
      </c>
      <c r="D146" s="64">
        <f>VLOOKUP(A146,PrivateInvestment!A:B,2,)</f>
        <v>842.42899999999997</v>
      </c>
      <c r="E146" s="64">
        <f>VLOOKUP(A146,Exports!A:B,2,)</f>
        <v>388.28899999999999</v>
      </c>
      <c r="F146" s="64">
        <f>VLOOKUP(A146,Imports!A:B,2,)</f>
        <v>413.53899999999999</v>
      </c>
      <c r="G146" s="64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9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4">
        <f>VLOOKUP(A147,'U.S. GDP'!A:B,2,)</f>
        <v>6830.2510000000002</v>
      </c>
      <c r="C147" s="64">
        <f>VLOOKUP(A147,PersonalConsumption!A:B,2,)</f>
        <v>4342.7209999999995</v>
      </c>
      <c r="D147" s="64">
        <f>VLOOKUP(A147,PrivateInvestment!A:B,2,)</f>
        <v>841.78899999999999</v>
      </c>
      <c r="E147" s="64">
        <f>VLOOKUP(A147,Exports!A:B,2,)</f>
        <v>390.60500000000002</v>
      </c>
      <c r="F147" s="64">
        <f>VLOOKUP(A147,Imports!A:B,2,)</f>
        <v>406.76799999999997</v>
      </c>
      <c r="G147" s="64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9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4">
        <f>VLOOKUP(A148,'U.S. GDP'!A:B,2,)</f>
        <v>6804.1390000000001</v>
      </c>
      <c r="C148" s="64">
        <f>VLOOKUP(A148,PersonalConsumption!A:B,2,)</f>
        <v>4371.8329999999996</v>
      </c>
      <c r="D148" s="64">
        <f>VLOOKUP(A148,PrivateInvestment!A:B,2,)</f>
        <v>834.07500000000005</v>
      </c>
      <c r="E148" s="64">
        <f>VLOOKUP(A148,Exports!A:B,2,)</f>
        <v>373.28300000000002</v>
      </c>
      <c r="F148" s="64">
        <f>VLOOKUP(A148,Imports!A:B,2,)</f>
        <v>425.63499999999999</v>
      </c>
      <c r="G148" s="64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9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4">
        <f>VLOOKUP(A149,'U.S. GDP'!A:B,2,)</f>
        <v>6806.857</v>
      </c>
      <c r="C149" s="64">
        <f>VLOOKUP(A149,PersonalConsumption!A:B,2,)</f>
        <v>4448.4139999999998</v>
      </c>
      <c r="D149" s="64">
        <f>VLOOKUP(A149,PrivateInvestment!A:B,2,)</f>
        <v>769.60199999999998</v>
      </c>
      <c r="E149" s="64">
        <f>VLOOKUP(A149,Exports!A:B,2,)</f>
        <v>356.178</v>
      </c>
      <c r="F149" s="64">
        <f>VLOOKUP(A149,Imports!A:B,2,)</f>
        <v>408.92899999999997</v>
      </c>
      <c r="G149" s="64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9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4">
        <f>VLOOKUP(A150,'U.S. GDP'!A:B,2,)</f>
        <v>6896.5609999999997</v>
      </c>
      <c r="C150" s="64">
        <f>VLOOKUP(A150,PersonalConsumption!A:B,2,)</f>
        <v>4492.3950000000004</v>
      </c>
      <c r="D150" s="64">
        <f>VLOOKUP(A150,PrivateInvestment!A:B,2,)</f>
        <v>796.26599999999996</v>
      </c>
      <c r="E150" s="64">
        <f>VLOOKUP(A150,Exports!A:B,2,)</f>
        <v>361.923</v>
      </c>
      <c r="F150" s="64">
        <f>VLOOKUP(A150,Imports!A:B,2,)</f>
        <v>418.30099999999999</v>
      </c>
      <c r="G150" s="64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9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4">
        <f>VLOOKUP(A151,'U.S. GDP'!A:B,2,)</f>
        <v>7053.5</v>
      </c>
      <c r="C151" s="64">
        <f>VLOOKUP(A151,PersonalConsumption!A:B,2,)</f>
        <v>4583.8729999999996</v>
      </c>
      <c r="D151" s="64">
        <f>VLOOKUP(A151,PrivateInvestment!A:B,2,)</f>
        <v>866.78399999999999</v>
      </c>
      <c r="E151" s="64">
        <f>VLOOKUP(A151,Exports!A:B,2,)</f>
        <v>363.00599999999997</v>
      </c>
      <c r="F151" s="64">
        <f>VLOOKUP(A151,Imports!A:B,2,)</f>
        <v>450.46499999999997</v>
      </c>
      <c r="G151" s="64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9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4">
        <f>VLOOKUP(A152,'U.S. GDP'!A:B,2,)</f>
        <v>7194.5039999999999</v>
      </c>
      <c r="C152" s="64">
        <f>VLOOKUP(A152,PersonalConsumption!A:B,2,)</f>
        <v>4666.07</v>
      </c>
      <c r="D152" s="64">
        <f>VLOOKUP(A152,PrivateInvestment!A:B,2,)</f>
        <v>921.05100000000004</v>
      </c>
      <c r="E152" s="64">
        <f>VLOOKUP(A152,Exports!A:B,2,)</f>
        <v>368.46300000000002</v>
      </c>
      <c r="F152" s="64">
        <f>VLOOKUP(A152,Imports!A:B,2,)</f>
        <v>485.55599999999998</v>
      </c>
      <c r="G152" s="64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9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4">
        <f>VLOOKUP(A153,'U.S. GDP'!A:B,2,)</f>
        <v>7344.5969999999998</v>
      </c>
      <c r="C153" s="64">
        <f>VLOOKUP(A153,PersonalConsumption!A:B,2,)</f>
        <v>4740.4269999999997</v>
      </c>
      <c r="D153" s="64">
        <f>VLOOKUP(A153,PrivateInvestment!A:B,2,)</f>
        <v>1010.654</v>
      </c>
      <c r="E153" s="64">
        <f>VLOOKUP(A153,Exports!A:B,2,)</f>
        <v>375.87799999999999</v>
      </c>
      <c r="F153" s="64">
        <f>VLOOKUP(A153,Imports!A:B,2,)</f>
        <v>509.375</v>
      </c>
      <c r="G153" s="64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9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4">
        <f>VLOOKUP(A154,'U.S. GDP'!A:B,2,)</f>
        <v>7488.1670000000004</v>
      </c>
      <c r="C154" s="64">
        <f>VLOOKUP(A154,PersonalConsumption!A:B,2,)</f>
        <v>4779.7669999999998</v>
      </c>
      <c r="D154" s="64">
        <f>VLOOKUP(A154,PrivateInvestment!A:B,2,)</f>
        <v>1108.328</v>
      </c>
      <c r="E154" s="64">
        <f>VLOOKUP(A154,Exports!A:B,2,)</f>
        <v>383.72300000000001</v>
      </c>
      <c r="F154" s="64">
        <f>VLOOKUP(A154,Imports!A:B,2,)</f>
        <v>550.32399999999996</v>
      </c>
      <c r="G154" s="64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9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4">
        <f>VLOOKUP(A155,'U.S. GDP'!A:B,2,)</f>
        <v>7617.5469999999996</v>
      </c>
      <c r="C155" s="64">
        <f>VLOOKUP(A155,PersonalConsumption!A:B,2,)</f>
        <v>4846.7309999999998</v>
      </c>
      <c r="D155" s="64">
        <f>VLOOKUP(A155,PrivateInvestment!A:B,2,)</f>
        <v>1144.3710000000001</v>
      </c>
      <c r="E155" s="64">
        <f>VLOOKUP(A155,Exports!A:B,2,)</f>
        <v>393.26</v>
      </c>
      <c r="F155" s="64">
        <f>VLOOKUP(A155,Imports!A:B,2,)</f>
        <v>573.37699999999995</v>
      </c>
      <c r="G155" s="64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9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4">
        <f>VLOOKUP(A156,'U.S. GDP'!A:B,2,)</f>
        <v>7690.9849999999997</v>
      </c>
      <c r="C156" s="64">
        <f>VLOOKUP(A156,PersonalConsumption!A:B,2,)</f>
        <v>4882.6760000000004</v>
      </c>
      <c r="D156" s="64">
        <f>VLOOKUP(A156,PrivateInvestment!A:B,2,)</f>
        <v>1169.136</v>
      </c>
      <c r="E156" s="64">
        <f>VLOOKUP(A156,Exports!A:B,2,)</f>
        <v>401.94799999999998</v>
      </c>
      <c r="F156" s="64">
        <f>VLOOKUP(A156,Imports!A:B,2,)</f>
        <v>588.22</v>
      </c>
      <c r="G156" s="64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9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4">
        <f>VLOOKUP(A157,'U.S. GDP'!A:B,2,)</f>
        <v>7754.1170000000002</v>
      </c>
      <c r="C157" s="64">
        <f>VLOOKUP(A157,PersonalConsumption!A:B,2,)</f>
        <v>4945.9260000000004</v>
      </c>
      <c r="D157" s="64">
        <f>VLOOKUP(A157,PrivateInvestment!A:B,2,)</f>
        <v>1153.971</v>
      </c>
      <c r="E157" s="64">
        <f>VLOOKUP(A157,Exports!A:B,2,)</f>
        <v>410.12599999999998</v>
      </c>
      <c r="F157" s="64">
        <f>VLOOKUP(A157,Imports!A:B,2,)</f>
        <v>605.46100000000001</v>
      </c>
      <c r="G157" s="64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9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4">
        <f>VLOOKUP(A158,'U.S. GDP'!A:B,2,)</f>
        <v>7829.26</v>
      </c>
      <c r="C158" s="64">
        <f>VLOOKUP(A158,PersonalConsumption!A:B,2,)</f>
        <v>5029.9589999999998</v>
      </c>
      <c r="D158" s="64">
        <f>VLOOKUP(A158,PrivateInvestment!A:B,2,)</f>
        <v>1122.3309999999999</v>
      </c>
      <c r="E158" s="64">
        <f>VLOOKUP(A158,Exports!A:B,2,)</f>
        <v>411.214</v>
      </c>
      <c r="F158" s="64">
        <f>VLOOKUP(A158,Imports!A:B,2,)</f>
        <v>592.10799999999995</v>
      </c>
      <c r="G158" s="64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9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4">
        <f>VLOOKUP(A159,'U.S. GDP'!A:B,2,)</f>
        <v>7898.1940000000004</v>
      </c>
      <c r="C159" s="64">
        <f>VLOOKUP(A159,PersonalConsumption!A:B,2,)</f>
        <v>5076.1360000000004</v>
      </c>
      <c r="D159" s="64">
        <f>VLOOKUP(A159,PrivateInvestment!A:B,2,)</f>
        <v>1141.4469999999999</v>
      </c>
      <c r="E159" s="64">
        <f>VLOOKUP(A159,Exports!A:B,2,)</f>
        <v>410.33199999999999</v>
      </c>
      <c r="F159" s="64">
        <f>VLOOKUP(A159,Imports!A:B,2,)</f>
        <v>621.20100000000002</v>
      </c>
      <c r="G159" s="64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9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4">
        <f>VLOOKUP(A160,'U.S. GDP'!A:B,2,)</f>
        <v>8018.8090000000002</v>
      </c>
      <c r="C160" s="64">
        <f>VLOOKUP(A160,PersonalConsumption!A:B,2,)</f>
        <v>5172.55</v>
      </c>
      <c r="D160" s="64">
        <f>VLOOKUP(A160,PrivateInvestment!A:B,2,)</f>
        <v>1133.665</v>
      </c>
      <c r="E160" s="64">
        <f>VLOOKUP(A160,Exports!A:B,2,)</f>
        <v>404.34699999999998</v>
      </c>
      <c r="F160" s="64">
        <f>VLOOKUP(A160,Imports!A:B,2,)</f>
        <v>615.19200000000001</v>
      </c>
      <c r="G160" s="64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9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4">
        <f>VLOOKUP(A161,'U.S. GDP'!A:B,2,)</f>
        <v>8078.415</v>
      </c>
      <c r="C161" s="64">
        <f>VLOOKUP(A161,PersonalConsumption!A:B,2,)</f>
        <v>5183.741</v>
      </c>
      <c r="D161" s="64">
        <f>VLOOKUP(A161,PrivateInvestment!A:B,2,)</f>
        <v>1175.45</v>
      </c>
      <c r="E161" s="64">
        <f>VLOOKUP(A161,Exports!A:B,2,)</f>
        <v>416.411</v>
      </c>
      <c r="F161" s="64">
        <f>VLOOKUP(A161,Imports!A:B,2,)</f>
        <v>639.26700000000005</v>
      </c>
      <c r="G161" s="64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9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4">
        <f>VLOOKUP(A162,'U.S. GDP'!A:B,2,)</f>
        <v>8153.8289999999997</v>
      </c>
      <c r="C162" s="64">
        <f>VLOOKUP(A162,PersonalConsumption!A:B,2,)</f>
        <v>5229.0410000000002</v>
      </c>
      <c r="D162" s="64">
        <f>VLOOKUP(A162,PrivateInvestment!A:B,2,)</f>
        <v>1175.105</v>
      </c>
      <c r="E162" s="64">
        <f>VLOOKUP(A162,Exports!A:B,2,)</f>
        <v>429.45299999999997</v>
      </c>
      <c r="F162" s="64">
        <f>VLOOKUP(A162,Imports!A:B,2,)</f>
        <v>638.62900000000002</v>
      </c>
      <c r="G162" s="64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9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4">
        <f>VLOOKUP(A163,'U.S. GDP'!A:B,2,)</f>
        <v>8190.5519999999997</v>
      </c>
      <c r="C163" s="64">
        <f>VLOOKUP(A163,PersonalConsumption!A:B,2,)</f>
        <v>5286.0190000000002</v>
      </c>
      <c r="D163" s="64">
        <f>VLOOKUP(A163,PrivateInvestment!A:B,2,)</f>
        <v>1154.5889999999999</v>
      </c>
      <c r="E163" s="64">
        <f>VLOOKUP(A163,Exports!A:B,2,)</f>
        <v>434.077</v>
      </c>
      <c r="F163" s="64">
        <f>VLOOKUP(A163,Imports!A:B,2,)</f>
        <v>665.80100000000004</v>
      </c>
      <c r="G163" s="64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9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4">
        <f>VLOOKUP(A164,'U.S. GDP'!A:B,2,)</f>
        <v>8268.9349999999995</v>
      </c>
      <c r="C164" s="64">
        <f>VLOOKUP(A164,PersonalConsumption!A:B,2,)</f>
        <v>5379.527</v>
      </c>
      <c r="D164" s="64">
        <f>VLOOKUP(A164,PrivateInvestment!A:B,2,)</f>
        <v>1123.5319999999999</v>
      </c>
      <c r="E164" s="64">
        <f>VLOOKUP(A164,Exports!A:B,2,)</f>
        <v>444.012</v>
      </c>
      <c r="F164" s="64">
        <f>VLOOKUP(A164,Imports!A:B,2,)</f>
        <v>684.25599999999997</v>
      </c>
      <c r="G164" s="64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9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4">
        <f>VLOOKUP(A165,'U.S. GDP'!A:B,2,)</f>
        <v>8313.3379999999997</v>
      </c>
      <c r="C165" s="64">
        <f>VLOOKUP(A165,PersonalConsumption!A:B,2,)</f>
        <v>5412.5150000000003</v>
      </c>
      <c r="D165" s="64">
        <f>VLOOKUP(A165,PrivateInvestment!A:B,2,)</f>
        <v>1126.895</v>
      </c>
      <c r="E165" s="64">
        <f>VLOOKUP(A165,Exports!A:B,2,)</f>
        <v>460.6</v>
      </c>
      <c r="F165" s="64">
        <f>VLOOKUP(A165,Imports!A:B,2,)</f>
        <v>689.56700000000001</v>
      </c>
      <c r="G165" s="64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9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4">
        <f>VLOOKUP(A166,'U.S. GDP'!A:B,2,)</f>
        <v>8375.2739999999994</v>
      </c>
      <c r="C166" s="64">
        <f>VLOOKUP(A166,PersonalConsumption!A:B,2,)</f>
        <v>5417.9040000000005</v>
      </c>
      <c r="D166" s="64">
        <f>VLOOKUP(A166,PrivateInvestment!A:B,2,)</f>
        <v>1157.306</v>
      </c>
      <c r="E166" s="64">
        <f>VLOOKUP(A166,Exports!A:B,2,)</f>
        <v>461.01</v>
      </c>
      <c r="F166" s="64">
        <f>VLOOKUP(A166,Imports!A:B,2,)</f>
        <v>685.524</v>
      </c>
      <c r="G166" s="64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9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4">
        <f>VLOOKUP(A167,'U.S. GDP'!A:B,2,)</f>
        <v>8465.6299999999992</v>
      </c>
      <c r="C167" s="64">
        <f>VLOOKUP(A167,PersonalConsumption!A:B,2,)</f>
        <v>5491.8370000000004</v>
      </c>
      <c r="D167" s="64">
        <f>VLOOKUP(A167,PrivateInvestment!A:B,2,)</f>
        <v>1157.9090000000001</v>
      </c>
      <c r="E167" s="64">
        <f>VLOOKUP(A167,Exports!A:B,2,)</f>
        <v>480.00299999999999</v>
      </c>
      <c r="F167" s="64">
        <f>VLOOKUP(A167,Imports!A:B,2,)</f>
        <v>702.67499999999995</v>
      </c>
      <c r="G167" s="64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9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4">
        <f>VLOOKUP(A168,'U.S. GDP'!A:B,2,)</f>
        <v>8539.0750000000007</v>
      </c>
      <c r="C168" s="64">
        <f>VLOOKUP(A168,PersonalConsumption!A:B,2,)</f>
        <v>5554.5119999999997</v>
      </c>
      <c r="D168" s="64">
        <f>VLOOKUP(A168,PrivateInvestment!A:B,2,)</f>
        <v>1158.077</v>
      </c>
      <c r="E168" s="64">
        <f>VLOOKUP(A168,Exports!A:B,2,)</f>
        <v>500.839</v>
      </c>
      <c r="F168" s="64">
        <f>VLOOKUP(A168,Imports!A:B,2,)</f>
        <v>716.37199999999996</v>
      </c>
      <c r="G168" s="64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9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4">
        <f>VLOOKUP(A169,'U.S. GDP'!A:B,2,)</f>
        <v>8685.6939999999995</v>
      </c>
      <c r="C169" s="64">
        <f>VLOOKUP(A169,PersonalConsumption!A:B,2,)</f>
        <v>5566.2629999999999</v>
      </c>
      <c r="D169" s="64">
        <f>VLOOKUP(A169,PrivateInvestment!A:B,2,)</f>
        <v>1236.9860000000001</v>
      </c>
      <c r="E169" s="64">
        <f>VLOOKUP(A169,Exports!A:B,2,)</f>
        <v>519.52300000000002</v>
      </c>
      <c r="F169" s="64">
        <f>VLOOKUP(A169,Imports!A:B,2,)</f>
        <v>732.84500000000003</v>
      </c>
      <c r="G169" s="64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9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4">
        <f>VLOOKUP(A170,'U.S. GDP'!A:B,2,)</f>
        <v>8730.5689999999995</v>
      </c>
      <c r="C170" s="64">
        <f>VLOOKUP(A170,PersonalConsumption!A:B,2,)</f>
        <v>5664.5929999999998</v>
      </c>
      <c r="D170" s="64">
        <f>VLOOKUP(A170,PrivateInvestment!A:B,2,)</f>
        <v>1177.604</v>
      </c>
      <c r="E170" s="64">
        <f>VLOOKUP(A170,Exports!A:B,2,)</f>
        <v>548.37300000000005</v>
      </c>
      <c r="F170" s="64">
        <f>VLOOKUP(A170,Imports!A:B,2,)</f>
        <v>729.39300000000003</v>
      </c>
      <c r="G170" s="64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9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4">
        <f>VLOOKUP(A171,'U.S. GDP'!A:B,2,)</f>
        <v>8845.2800000000007</v>
      </c>
      <c r="C171" s="64">
        <f>VLOOKUP(A171,PersonalConsumption!A:B,2,)</f>
        <v>5706.4139999999998</v>
      </c>
      <c r="D171" s="64">
        <f>VLOOKUP(A171,PrivateInvestment!A:B,2,)</f>
        <v>1205.662</v>
      </c>
      <c r="E171" s="64">
        <f>VLOOKUP(A171,Exports!A:B,2,)</f>
        <v>563.74099999999999</v>
      </c>
      <c r="F171" s="64">
        <f>VLOOKUP(A171,Imports!A:B,2,)</f>
        <v>720.99199999999996</v>
      </c>
      <c r="G171" s="64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9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4">
        <f>VLOOKUP(A172,'U.S. GDP'!A:B,2,)</f>
        <v>8897.107</v>
      </c>
      <c r="C172" s="64">
        <f>VLOOKUP(A172,PersonalConsumption!A:B,2,)</f>
        <v>5757.12</v>
      </c>
      <c r="D172" s="64">
        <f>VLOOKUP(A172,PrivateInvestment!A:B,2,)</f>
        <v>1212.3599999999999</v>
      </c>
      <c r="E172" s="64">
        <f>VLOOKUP(A172,Exports!A:B,2,)</f>
        <v>574.85</v>
      </c>
      <c r="F172" s="64">
        <f>VLOOKUP(A172,Imports!A:B,2,)</f>
        <v>738.00300000000004</v>
      </c>
      <c r="G172" s="64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9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4">
        <f>VLOOKUP(A173,'U.S. GDP'!A:B,2,)</f>
        <v>9015.6610000000001</v>
      </c>
      <c r="C173" s="64">
        <f>VLOOKUP(A173,PersonalConsumption!A:B,2,)</f>
        <v>5822.5789999999997</v>
      </c>
      <c r="D173" s="64">
        <f>VLOOKUP(A173,PrivateInvestment!A:B,2,)</f>
        <v>1230.8610000000001</v>
      </c>
      <c r="E173" s="64">
        <f>VLOOKUP(A173,Exports!A:B,2,)</f>
        <v>592.39499999999998</v>
      </c>
      <c r="F173" s="64">
        <f>VLOOKUP(A173,Imports!A:B,2,)</f>
        <v>760.48400000000004</v>
      </c>
      <c r="G173" s="64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9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4">
        <f>VLOOKUP(A174,'U.S. GDP'!A:B,2,)</f>
        <v>9107.3140000000003</v>
      </c>
      <c r="C174" s="64">
        <f>VLOOKUP(A174,PersonalConsumption!A:B,2,)</f>
        <v>5849.5919999999996</v>
      </c>
      <c r="D174" s="64">
        <f>VLOOKUP(A174,PrivateInvestment!A:B,2,)</f>
        <v>1272.6379999999999</v>
      </c>
      <c r="E174" s="64">
        <f>VLOOKUP(A174,Exports!A:B,2,)</f>
        <v>610.08799999999997</v>
      </c>
      <c r="F174" s="64">
        <f>VLOOKUP(A174,Imports!A:B,2,)</f>
        <v>764.02099999999996</v>
      </c>
      <c r="G174" s="64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9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4">
        <f>VLOOKUP(A175,'U.S. GDP'!A:B,2,)</f>
        <v>9176.8269999999993</v>
      </c>
      <c r="C175" s="64">
        <f>VLOOKUP(A175,PersonalConsumption!A:B,2,)</f>
        <v>5876.8959999999997</v>
      </c>
      <c r="D175" s="64">
        <f>VLOOKUP(A175,PrivateInvestment!A:B,2,)</f>
        <v>1260.328</v>
      </c>
      <c r="E175" s="64">
        <f>VLOOKUP(A175,Exports!A:B,2,)</f>
        <v>636.79999999999995</v>
      </c>
      <c r="F175" s="64">
        <f>VLOOKUP(A175,Imports!A:B,2,)</f>
        <v>767.64300000000003</v>
      </c>
      <c r="G175" s="64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9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4">
        <f>VLOOKUP(A176,'U.S. GDP'!A:B,2,)</f>
        <v>9244.8160000000007</v>
      </c>
      <c r="C176" s="64">
        <f>VLOOKUP(A176,PersonalConsumption!A:B,2,)</f>
        <v>5933.79</v>
      </c>
      <c r="D176" s="64">
        <f>VLOOKUP(A176,PrivateInvestment!A:B,2,)</f>
        <v>1249.0119999999999</v>
      </c>
      <c r="E176" s="64">
        <f>VLOOKUP(A176,Exports!A:B,2,)</f>
        <v>643.30499999999995</v>
      </c>
      <c r="F176" s="64">
        <f>VLOOKUP(A176,Imports!A:B,2,)</f>
        <v>766.59900000000005</v>
      </c>
      <c r="G176" s="64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9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4">
        <f>VLOOKUP(A177,'U.S. GDP'!A:B,2,)</f>
        <v>9263.0329999999994</v>
      </c>
      <c r="C177" s="64">
        <f>VLOOKUP(A177,PersonalConsumption!A:B,2,)</f>
        <v>5959.58</v>
      </c>
      <c r="D177" s="64">
        <f>VLOOKUP(A177,PrivateInvestment!A:B,2,)</f>
        <v>1239.7470000000001</v>
      </c>
      <c r="E177" s="64">
        <f>VLOOKUP(A177,Exports!A:B,2,)</f>
        <v>653.04300000000001</v>
      </c>
      <c r="F177" s="64">
        <f>VLOOKUP(A177,Imports!A:B,2,)</f>
        <v>780.46900000000005</v>
      </c>
      <c r="G177" s="64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9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4">
        <f>VLOOKUP(A178,'U.S. GDP'!A:B,2,)</f>
        <v>9364.259</v>
      </c>
      <c r="C178" s="64">
        <f>VLOOKUP(A178,PersonalConsumption!A:B,2,)</f>
        <v>6009.7349999999997</v>
      </c>
      <c r="D178" s="64">
        <f>VLOOKUP(A178,PrivateInvestment!A:B,2,)</f>
        <v>1252.058</v>
      </c>
      <c r="E178" s="64">
        <f>VLOOKUP(A178,Exports!A:B,2,)</f>
        <v>681.404</v>
      </c>
      <c r="F178" s="64">
        <f>VLOOKUP(A178,Imports!A:B,2,)</f>
        <v>805.21900000000005</v>
      </c>
      <c r="G178" s="64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9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4">
        <f>VLOOKUP(A179,'U.S. GDP'!A:B,2,)</f>
        <v>9398.2430000000004</v>
      </c>
      <c r="C179" s="64">
        <f>VLOOKUP(A179,PersonalConsumption!A:B,2,)</f>
        <v>6028.0410000000002</v>
      </c>
      <c r="D179" s="64">
        <f>VLOOKUP(A179,PrivateInvestment!A:B,2,)</f>
        <v>1252.4490000000001</v>
      </c>
      <c r="E179" s="64">
        <f>VLOOKUP(A179,Exports!A:B,2,)</f>
        <v>689.87800000000004</v>
      </c>
      <c r="F179" s="64">
        <f>VLOOKUP(A179,Imports!A:B,2,)</f>
        <v>803.86800000000005</v>
      </c>
      <c r="G179" s="64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9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4">
        <f>VLOOKUP(A180,'U.S. GDP'!A:B,2,)</f>
        <v>9404.4940000000006</v>
      </c>
      <c r="C180" s="64">
        <f>VLOOKUP(A180,PersonalConsumption!A:B,2,)</f>
        <v>6051.9219999999996</v>
      </c>
      <c r="D180" s="64">
        <f>VLOOKUP(A180,PrivateInvestment!A:B,2,)</f>
        <v>1228.17</v>
      </c>
      <c r="E180" s="64">
        <f>VLOOKUP(A180,Exports!A:B,2,)</f>
        <v>695.09900000000005</v>
      </c>
      <c r="F180" s="64">
        <f>VLOOKUP(A180,Imports!A:B,2,)</f>
        <v>800.62199999999996</v>
      </c>
      <c r="G180" s="64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9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4">
        <f>VLOOKUP(A181,'U.S. GDP'!A:B,2,)</f>
        <v>9318.8760000000002</v>
      </c>
      <c r="C181" s="64">
        <f>VLOOKUP(A181,PersonalConsumption!A:B,2,)</f>
        <v>6005.8819999999996</v>
      </c>
      <c r="D181" s="64">
        <f>VLOOKUP(A181,PrivateInvestment!A:B,2,)</f>
        <v>1159.4639999999999</v>
      </c>
      <c r="E181" s="64">
        <f>VLOOKUP(A181,Exports!A:B,2,)</f>
        <v>701.21900000000005</v>
      </c>
      <c r="F181" s="64">
        <f>VLOOKUP(A181,Imports!A:B,2,)</f>
        <v>779.15099999999995</v>
      </c>
      <c r="G181" s="64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9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4">
        <f>VLOOKUP(A182,'U.S. GDP'!A:B,2,)</f>
        <v>9275.2759999999998</v>
      </c>
      <c r="C182" s="64">
        <f>VLOOKUP(A182,PersonalConsumption!A:B,2,)</f>
        <v>5983.2979999999998</v>
      </c>
      <c r="D182" s="64">
        <f>VLOOKUP(A182,PrivateInvestment!A:B,2,)</f>
        <v>1120.884</v>
      </c>
      <c r="E182" s="64">
        <f>VLOOKUP(A182,Exports!A:B,2,)</f>
        <v>705.50300000000004</v>
      </c>
      <c r="F182" s="64">
        <f>VLOOKUP(A182,Imports!A:B,2,)</f>
        <v>770.27200000000005</v>
      </c>
      <c r="G182" s="64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9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4">
        <f>VLOOKUP(A183,'U.S. GDP'!A:B,2,)</f>
        <v>9347.5969999999998</v>
      </c>
      <c r="C183" s="64">
        <f>VLOOKUP(A183,PersonalConsumption!A:B,2,)</f>
        <v>6032.8850000000002</v>
      </c>
      <c r="D183" s="64">
        <f>VLOOKUP(A183,PrivateInvestment!A:B,2,)</f>
        <v>1120.8800000000001</v>
      </c>
      <c r="E183" s="64">
        <f>VLOOKUP(A183,Exports!A:B,2,)</f>
        <v>731.22500000000002</v>
      </c>
      <c r="F183" s="64">
        <f>VLOOKUP(A183,Imports!A:B,2,)</f>
        <v>783.96299999999997</v>
      </c>
      <c r="G183" s="64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9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4">
        <f>VLOOKUP(A184,'U.S. GDP'!A:B,2,)</f>
        <v>9394.8340000000007</v>
      </c>
      <c r="C184" s="64">
        <f>VLOOKUP(A184,PersonalConsumption!A:B,2,)</f>
        <v>6062.9639999999999</v>
      </c>
      <c r="D184" s="64">
        <f>VLOOKUP(A184,PrivateInvestment!A:B,2,)</f>
        <v>1143.0730000000001</v>
      </c>
      <c r="E184" s="64">
        <f>VLOOKUP(A184,Exports!A:B,2,)</f>
        <v>748.53599999999994</v>
      </c>
      <c r="F184" s="64">
        <f>VLOOKUP(A184,Imports!A:B,2,)</f>
        <v>806.02499999999998</v>
      </c>
      <c r="G184" s="64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9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4">
        <f>VLOOKUP(A185,'U.S. GDP'!A:B,2,)</f>
        <v>9427.5810000000001</v>
      </c>
      <c r="C185" s="64">
        <f>VLOOKUP(A185,PersonalConsumption!A:B,2,)</f>
        <v>6059.93</v>
      </c>
      <c r="D185" s="64">
        <f>VLOOKUP(A185,PrivateInvestment!A:B,2,)</f>
        <v>1183.605</v>
      </c>
      <c r="E185" s="64">
        <f>VLOOKUP(A185,Exports!A:B,2,)</f>
        <v>765.39099999999996</v>
      </c>
      <c r="F185" s="64">
        <f>VLOOKUP(A185,Imports!A:B,2,)</f>
        <v>823.83100000000002</v>
      </c>
      <c r="G185" s="64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9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4">
        <f>VLOOKUP(A186,'U.S. GDP'!A:B,2,)</f>
        <v>9540.4439999999995</v>
      </c>
      <c r="C186" s="64">
        <f>VLOOKUP(A186,PersonalConsumption!A:B,2,)</f>
        <v>6173.393</v>
      </c>
      <c r="D186" s="64">
        <f>VLOOKUP(A186,PrivateInvestment!A:B,2,)</f>
        <v>1161.74</v>
      </c>
      <c r="E186" s="64">
        <f>VLOOKUP(A186,Exports!A:B,2,)</f>
        <v>779.22799999999995</v>
      </c>
      <c r="F186" s="64">
        <f>VLOOKUP(A186,Imports!A:B,2,)</f>
        <v>829.81500000000005</v>
      </c>
      <c r="G186" s="64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9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4">
        <f>VLOOKUP(A187,'U.S. GDP'!A:B,2,)</f>
        <v>9643.893</v>
      </c>
      <c r="C187" s="64">
        <f>VLOOKUP(A187,PersonalConsumption!A:B,2,)</f>
        <v>6215.3</v>
      </c>
      <c r="D187" s="64">
        <f>VLOOKUP(A187,PrivateInvestment!A:B,2,)</f>
        <v>1227.44</v>
      </c>
      <c r="E187" s="64">
        <f>VLOOKUP(A187,Exports!A:B,2,)</f>
        <v>779.59900000000005</v>
      </c>
      <c r="F187" s="64">
        <f>VLOOKUP(A187,Imports!A:B,2,)</f>
        <v>843.45699999999999</v>
      </c>
      <c r="G187" s="64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9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4">
        <f>VLOOKUP(A188,'U.S. GDP'!A:B,2,)</f>
        <v>9739.1849999999995</v>
      </c>
      <c r="C188" s="64">
        <f>VLOOKUP(A188,PersonalConsumption!A:B,2,)</f>
        <v>6281.9229999999998</v>
      </c>
      <c r="D188" s="64">
        <f>VLOOKUP(A188,PrivateInvestment!A:B,2,)</f>
        <v>1237.1969999999999</v>
      </c>
      <c r="E188" s="64">
        <f>VLOOKUP(A188,Exports!A:B,2,)</f>
        <v>796.12</v>
      </c>
      <c r="F188" s="64">
        <f>VLOOKUP(A188,Imports!A:B,2,)</f>
        <v>856.75300000000004</v>
      </c>
      <c r="G188" s="64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9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4">
        <f>VLOOKUP(A189,'U.S. GDP'!A:B,2,)</f>
        <v>9840.7530000000006</v>
      </c>
      <c r="C189" s="64">
        <f>VLOOKUP(A189,PersonalConsumption!A:B,2,)</f>
        <v>6356.7960000000003</v>
      </c>
      <c r="D189" s="64">
        <f>VLOOKUP(A189,PrivateInvestment!A:B,2,)</f>
        <v>1274.9449999999999</v>
      </c>
      <c r="E189" s="64">
        <f>VLOOKUP(A189,Exports!A:B,2,)</f>
        <v>800.11</v>
      </c>
      <c r="F189" s="64">
        <f>VLOOKUP(A189,Imports!A:B,2,)</f>
        <v>877.26300000000003</v>
      </c>
      <c r="G189" s="64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9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4">
        <f>VLOOKUP(A190,'U.S. GDP'!A:B,2,)</f>
        <v>9857.1849999999995</v>
      </c>
      <c r="C190" s="64">
        <f>VLOOKUP(A190,PersonalConsumption!A:B,2,)</f>
        <v>6381.1679999999997</v>
      </c>
      <c r="D190" s="64">
        <f>VLOOKUP(A190,PrivateInvestment!A:B,2,)</f>
        <v>1305.0029999999999</v>
      </c>
      <c r="E190" s="64">
        <f>VLOOKUP(A190,Exports!A:B,2,)</f>
        <v>801.89599999999996</v>
      </c>
      <c r="F190" s="64">
        <f>VLOOKUP(A190,Imports!A:B,2,)</f>
        <v>896.25699999999995</v>
      </c>
      <c r="G190" s="64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9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4">
        <f>VLOOKUP(A191,'U.S. GDP'!A:B,2,)</f>
        <v>9914.5650000000005</v>
      </c>
      <c r="C191" s="64">
        <f>VLOOKUP(A191,PersonalConsumption!A:B,2,)</f>
        <v>6439.2110000000002</v>
      </c>
      <c r="D191" s="64">
        <f>VLOOKUP(A191,PrivateInvestment!A:B,2,)</f>
        <v>1312.511</v>
      </c>
      <c r="E191" s="64">
        <f>VLOOKUP(A191,Exports!A:B,2,)</f>
        <v>811.48</v>
      </c>
      <c r="F191" s="64">
        <f>VLOOKUP(A191,Imports!A:B,2,)</f>
        <v>914.774</v>
      </c>
      <c r="G191" s="64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9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4">
        <f>VLOOKUP(A192,'U.S. GDP'!A:B,2,)</f>
        <v>9961.8729999999996</v>
      </c>
      <c r="C192" s="64">
        <f>VLOOKUP(A192,PersonalConsumption!A:B,2,)</f>
        <v>6510.8739999999998</v>
      </c>
      <c r="D192" s="64">
        <f>VLOOKUP(A192,PrivateInvestment!A:B,2,)</f>
        <v>1303.597</v>
      </c>
      <c r="E192" s="64">
        <f>VLOOKUP(A192,Exports!A:B,2,)</f>
        <v>809.29899999999998</v>
      </c>
      <c r="F192" s="64">
        <f>VLOOKUP(A192,Imports!A:B,2,)</f>
        <v>926.82100000000003</v>
      </c>
      <c r="G192" s="64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9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4">
        <f>VLOOKUP(A193,'U.S. GDP'!A:B,2,)</f>
        <v>10097.361999999999</v>
      </c>
      <c r="C193" s="64">
        <f>VLOOKUP(A193,PersonalConsumption!A:B,2,)</f>
        <v>6568.0280000000002</v>
      </c>
      <c r="D193" s="64">
        <f>VLOOKUP(A193,PrivateInvestment!A:B,2,)</f>
        <v>1372.097</v>
      </c>
      <c r="E193" s="64">
        <f>VLOOKUP(A193,Exports!A:B,2,)</f>
        <v>835.38400000000001</v>
      </c>
      <c r="F193" s="64">
        <f>VLOOKUP(A193,Imports!A:B,2,)</f>
        <v>964.05499999999995</v>
      </c>
      <c r="G193" s="64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9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4">
        <f>VLOOKUP(A194,'U.S. GDP'!A:B,2,)</f>
        <v>10195.338</v>
      </c>
      <c r="C194" s="64">
        <f>VLOOKUP(A194,PersonalConsumption!A:B,2,)</f>
        <v>6643.1509999999998</v>
      </c>
      <c r="D194" s="64">
        <f>VLOOKUP(A194,PrivateInvestment!A:B,2,)</f>
        <v>1424.36</v>
      </c>
      <c r="E194" s="64">
        <f>VLOOKUP(A194,Exports!A:B,2,)</f>
        <v>843.58399999999995</v>
      </c>
      <c r="F194" s="64">
        <f>VLOOKUP(A194,Imports!A:B,2,)</f>
        <v>986.51400000000001</v>
      </c>
      <c r="G194" s="64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9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4">
        <f>VLOOKUP(A195,'U.S. GDP'!A:B,2,)</f>
        <v>10333.495000000001</v>
      </c>
      <c r="C195" s="64">
        <f>VLOOKUP(A195,PersonalConsumption!A:B,2,)</f>
        <v>6694.8389999999999</v>
      </c>
      <c r="D195" s="64">
        <f>VLOOKUP(A195,PrivateInvestment!A:B,2,)</f>
        <v>1494.4110000000001</v>
      </c>
      <c r="E195" s="64">
        <f>VLOOKUP(A195,Exports!A:B,2,)</f>
        <v>872.06500000000005</v>
      </c>
      <c r="F195" s="64">
        <f>VLOOKUP(A195,Imports!A:B,2,)</f>
        <v>1023.272</v>
      </c>
      <c r="G195" s="64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9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4">
        <f>VLOOKUP(A196,'U.S. GDP'!A:B,2,)</f>
        <v>10393.897999999999</v>
      </c>
      <c r="C196" s="64">
        <f>VLOOKUP(A196,PersonalConsumption!A:B,2,)</f>
        <v>6745.8869999999997</v>
      </c>
      <c r="D196" s="64">
        <f>VLOOKUP(A196,PrivateInvestment!A:B,2,)</f>
        <v>1469.999</v>
      </c>
      <c r="E196" s="64">
        <f>VLOOKUP(A196,Exports!A:B,2,)</f>
        <v>904.70500000000004</v>
      </c>
      <c r="F196" s="64">
        <f>VLOOKUP(A196,Imports!A:B,2,)</f>
        <v>1052.047</v>
      </c>
      <c r="G196" s="64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9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4">
        <f>VLOOKUP(A197,'U.S. GDP'!A:B,2,)</f>
        <v>10512.962</v>
      </c>
      <c r="C197" s="64">
        <f>VLOOKUP(A197,PersonalConsumption!A:B,2,)</f>
        <v>6818.8190000000004</v>
      </c>
      <c r="D197" s="64">
        <f>VLOOKUP(A197,PrivateInvestment!A:B,2,)</f>
        <v>1530.4760000000001</v>
      </c>
      <c r="E197" s="64">
        <f>VLOOKUP(A197,Exports!A:B,2,)</f>
        <v>925.58900000000006</v>
      </c>
      <c r="F197" s="64">
        <f>VLOOKUP(A197,Imports!A:B,2,)</f>
        <v>1081.6469999999999</v>
      </c>
      <c r="G197" s="64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9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4">
        <f>VLOOKUP(A198,'U.S. GDP'!A:B,2,)</f>
        <v>10550.251</v>
      </c>
      <c r="C198" s="64">
        <f>VLOOKUP(A198,PersonalConsumption!A:B,2,)</f>
        <v>6835.7910000000002</v>
      </c>
      <c r="D198" s="64">
        <f>VLOOKUP(A198,PrivateInvestment!A:B,2,)</f>
        <v>1546.548</v>
      </c>
      <c r="E198" s="64">
        <f>VLOOKUP(A198,Exports!A:B,2,)</f>
        <v>943.41800000000001</v>
      </c>
      <c r="F198" s="64">
        <f>VLOOKUP(A198,Imports!A:B,2,)</f>
        <v>1105.3800000000001</v>
      </c>
      <c r="G198" s="64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9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4">
        <f>VLOOKUP(A199,'U.S. GDP'!A:B,2,)</f>
        <v>10581.723</v>
      </c>
      <c r="C199" s="64">
        <f>VLOOKUP(A199,PersonalConsumption!A:B,2,)</f>
        <v>6895.7179999999998</v>
      </c>
      <c r="D199" s="64">
        <f>VLOOKUP(A199,PrivateInvestment!A:B,2,)</f>
        <v>1514.4259999999999</v>
      </c>
      <c r="E199" s="64">
        <f>VLOOKUP(A199,Exports!A:B,2,)</f>
        <v>956.64700000000005</v>
      </c>
      <c r="F199" s="64">
        <f>VLOOKUP(A199,Imports!A:B,2,)</f>
        <v>1115.8779999999999</v>
      </c>
      <c r="G199" s="64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9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4">
        <f>VLOOKUP(A200,'U.S. GDP'!A:B,2,)</f>
        <v>10671.737999999999</v>
      </c>
      <c r="C200" s="64">
        <f>VLOOKUP(A200,PersonalConsumption!A:B,2,)</f>
        <v>6958.21</v>
      </c>
      <c r="D200" s="64">
        <f>VLOOKUP(A200,PrivateInvestment!A:B,2,)</f>
        <v>1505.3989999999999</v>
      </c>
      <c r="E200" s="64">
        <f>VLOOKUP(A200,Exports!A:B,2,)</f>
        <v>998.04600000000005</v>
      </c>
      <c r="F200" s="64">
        <f>VLOOKUP(A200,Imports!A:B,2,)</f>
        <v>1119.712</v>
      </c>
      <c r="G200" s="64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9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4">
        <f>VLOOKUP(A201,'U.S. GDP'!A:B,2,)</f>
        <v>10744.203</v>
      </c>
      <c r="C201" s="64">
        <f>VLOOKUP(A201,PersonalConsumption!A:B,2,)</f>
        <v>7006.7470000000003</v>
      </c>
      <c r="D201" s="64">
        <f>VLOOKUP(A201,PrivateInvestment!A:B,2,)</f>
        <v>1542.7850000000001</v>
      </c>
      <c r="E201" s="64">
        <f>VLOOKUP(A201,Exports!A:B,2,)</f>
        <v>1012.295</v>
      </c>
      <c r="F201" s="64">
        <f>VLOOKUP(A201,Imports!A:B,2,)</f>
        <v>1134.0239999999999</v>
      </c>
      <c r="G201" s="64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9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4">
        <f>VLOOKUP(A202,'U.S. GDP'!A:B,2,)</f>
        <v>10824.674000000001</v>
      </c>
      <c r="C202" s="64">
        <f>VLOOKUP(A202,PersonalConsumption!A:B,2,)</f>
        <v>7071.3689999999997</v>
      </c>
      <c r="D202" s="64">
        <f>VLOOKUP(A202,PrivateInvestment!A:B,2,)</f>
        <v>1567.56</v>
      </c>
      <c r="E202" s="64">
        <f>VLOOKUP(A202,Exports!A:B,2,)</f>
        <v>1024.482</v>
      </c>
      <c r="F202" s="64">
        <f>VLOOKUP(A202,Imports!A:B,2,)</f>
        <v>1170.8879999999999</v>
      </c>
      <c r="G202" s="64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9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4">
        <f>VLOOKUP(A203,'U.S. GDP'!A:B,2,)</f>
        <v>11005.217000000001</v>
      </c>
      <c r="C203" s="64">
        <f>VLOOKUP(A203,PersonalConsumption!A:B,2,)</f>
        <v>7147.4409999999998</v>
      </c>
      <c r="D203" s="64">
        <f>VLOOKUP(A203,PrivateInvestment!A:B,2,)</f>
        <v>1642.8820000000001</v>
      </c>
      <c r="E203" s="64">
        <f>VLOOKUP(A203,Exports!A:B,2,)</f>
        <v>1041.134</v>
      </c>
      <c r="F203" s="64">
        <f>VLOOKUP(A203,Imports!A:B,2,)</f>
        <v>1197.0920000000001</v>
      </c>
      <c r="G203" s="64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9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4">
        <f>VLOOKUP(A204,'U.S. GDP'!A:B,2,)</f>
        <v>11103.934999999999</v>
      </c>
      <c r="C204" s="64">
        <f>VLOOKUP(A204,PersonalConsumption!A:B,2,)</f>
        <v>7190.7129999999997</v>
      </c>
      <c r="D204" s="64">
        <f>VLOOKUP(A204,PrivateInvestment!A:B,2,)</f>
        <v>1717.51</v>
      </c>
      <c r="E204" s="64">
        <f>VLOOKUP(A204,Exports!A:B,2,)</f>
        <v>1049.548</v>
      </c>
      <c r="F204" s="64">
        <f>VLOOKUP(A204,Imports!A:B,2,)</f>
        <v>1235.904</v>
      </c>
      <c r="G204" s="64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9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4">
        <f>VLOOKUP(A205,'U.S. GDP'!A:B,2,)</f>
        <v>11219.237999999999</v>
      </c>
      <c r="C205" s="64">
        <f>VLOOKUP(A205,PersonalConsumption!A:B,2,)</f>
        <v>7247.9870000000001</v>
      </c>
      <c r="D205" s="64">
        <f>VLOOKUP(A205,PrivateInvestment!A:B,2,)</f>
        <v>1715.2449999999999</v>
      </c>
      <c r="E205" s="64">
        <f>VLOOKUP(A205,Exports!A:B,2,)</f>
        <v>1114.9749999999999</v>
      </c>
      <c r="F205" s="64">
        <f>VLOOKUP(A205,Imports!A:B,2,)</f>
        <v>1260.278</v>
      </c>
      <c r="G205" s="64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9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4">
        <f>VLOOKUP(A206,'U.S. GDP'!A:B,2,)</f>
        <v>11291.665000000001</v>
      </c>
      <c r="C206" s="64">
        <f>VLOOKUP(A206,PersonalConsumption!A:B,2,)</f>
        <v>7324.3879999999999</v>
      </c>
      <c r="D206" s="64">
        <f>VLOOKUP(A206,PrivateInvestment!A:B,2,)</f>
        <v>1749.8789999999999</v>
      </c>
      <c r="E206" s="64">
        <f>VLOOKUP(A206,Exports!A:B,2,)</f>
        <v>1136.155</v>
      </c>
      <c r="F206" s="64">
        <f>VLOOKUP(A206,Imports!A:B,2,)</f>
        <v>1314.106</v>
      </c>
      <c r="G206" s="64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9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4">
        <f>VLOOKUP(A207,'U.S. GDP'!A:B,2,)</f>
        <v>11479.33</v>
      </c>
      <c r="C207" s="64">
        <f>VLOOKUP(A207,PersonalConsumption!A:B,2,)</f>
        <v>7357.3620000000001</v>
      </c>
      <c r="D207" s="64">
        <f>VLOOKUP(A207,PrivateInvestment!A:B,2,)</f>
        <v>1856.9559999999999</v>
      </c>
      <c r="E207" s="64">
        <f>VLOOKUP(A207,Exports!A:B,2,)</f>
        <v>1181.5740000000001</v>
      </c>
      <c r="F207" s="64">
        <f>VLOOKUP(A207,Imports!A:B,2,)</f>
        <v>1358.212</v>
      </c>
      <c r="G207" s="64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9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4">
        <f>VLOOKUP(A208,'U.S. GDP'!A:B,2,)</f>
        <v>11622.911</v>
      </c>
      <c r="C208" s="64">
        <f>VLOOKUP(A208,PersonalConsumption!A:B,2,)</f>
        <v>7482.7129999999997</v>
      </c>
      <c r="D208" s="64">
        <f>VLOOKUP(A208,PrivateInvestment!A:B,2,)</f>
        <v>1882.9549999999999</v>
      </c>
      <c r="E208" s="64">
        <f>VLOOKUP(A208,Exports!A:B,2,)</f>
        <v>1208.942</v>
      </c>
      <c r="F208" s="64">
        <f>VLOOKUP(A208,Imports!A:B,2,)</f>
        <v>1408.2639999999999</v>
      </c>
      <c r="G208" s="64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9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4">
        <f>VLOOKUP(A209,'U.S. GDP'!A:B,2,)</f>
        <v>11722.722</v>
      </c>
      <c r="C209" s="64">
        <f>VLOOKUP(A209,PersonalConsumption!A:B,2,)</f>
        <v>7572.1469999999999</v>
      </c>
      <c r="D209" s="64">
        <f>VLOOKUP(A209,PrivateInvestment!A:B,2,)</f>
        <v>1911.048</v>
      </c>
      <c r="E209" s="64">
        <f>VLOOKUP(A209,Exports!A:B,2,)</f>
        <v>1207.259</v>
      </c>
      <c r="F209" s="64">
        <f>VLOOKUP(A209,Imports!A:B,2,)</f>
        <v>1438.655</v>
      </c>
      <c r="G209" s="64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9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4">
        <f>VLOOKUP(A210,'U.S. GDP'!A:B,2,)</f>
        <v>11839.876</v>
      </c>
      <c r="C210" s="64">
        <f>VLOOKUP(A210,PersonalConsumption!A:B,2,)</f>
        <v>7648.741</v>
      </c>
      <c r="D210" s="64">
        <f>VLOOKUP(A210,PrivateInvestment!A:B,2,)</f>
        <v>1994.375</v>
      </c>
      <c r="E210" s="64">
        <f>VLOOKUP(A210,Exports!A:B,2,)</f>
        <v>1212.914</v>
      </c>
      <c r="F210" s="64">
        <f>VLOOKUP(A210,Imports!A:B,2,)</f>
        <v>1492.6130000000001</v>
      </c>
      <c r="G210" s="64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9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4">
        <f>VLOOKUP(A211,'U.S. GDP'!A:B,2,)</f>
        <v>11949.492</v>
      </c>
      <c r="C211" s="64">
        <f>VLOOKUP(A211,PersonalConsumption!A:B,2,)</f>
        <v>7783.43</v>
      </c>
      <c r="D211" s="64">
        <f>VLOOKUP(A211,PrivateInvestment!A:B,2,)</f>
        <v>1982.058</v>
      </c>
      <c r="E211" s="64">
        <f>VLOOKUP(A211,Exports!A:B,2,)</f>
        <v>1199.5250000000001</v>
      </c>
      <c r="F211" s="64">
        <f>VLOOKUP(A211,Imports!A:B,2,)</f>
        <v>1526.8219999999999</v>
      </c>
      <c r="G211" s="64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9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4">
        <f>VLOOKUP(A212,'U.S. GDP'!A:B,2,)</f>
        <v>12099.191000000001</v>
      </c>
      <c r="C212" s="64">
        <f>VLOOKUP(A212,PersonalConsumption!A:B,2,)</f>
        <v>7884.9290000000001</v>
      </c>
      <c r="D212" s="64">
        <f>VLOOKUP(A212,PrivateInvestment!A:B,2,)</f>
        <v>2033.0150000000001</v>
      </c>
      <c r="E212" s="64">
        <f>VLOOKUP(A212,Exports!A:B,2,)</f>
        <v>1193.9449999999999</v>
      </c>
      <c r="F212" s="64">
        <f>VLOOKUP(A212,Imports!A:B,2,)</f>
        <v>1547.423</v>
      </c>
      <c r="G212" s="64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9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4">
        <f>VLOOKUP(A213,'U.S. GDP'!A:B,2,)</f>
        <v>12294.736999999999</v>
      </c>
      <c r="C213" s="64">
        <f>VLOOKUP(A213,PersonalConsumption!A:B,2,)</f>
        <v>7998.8419999999996</v>
      </c>
      <c r="D213" s="64">
        <f>VLOOKUP(A213,PrivateInvestment!A:B,2,)</f>
        <v>2095.7600000000002</v>
      </c>
      <c r="E213" s="64">
        <f>VLOOKUP(A213,Exports!A:B,2,)</f>
        <v>1238.1189999999999</v>
      </c>
      <c r="F213" s="64">
        <f>VLOOKUP(A213,Imports!A:B,2,)</f>
        <v>1597.5070000000001</v>
      </c>
      <c r="G213" s="64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9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4">
        <f>VLOOKUP(A214,'U.S. GDP'!A:B,2,)</f>
        <v>12410.778</v>
      </c>
      <c r="C214" s="64">
        <f>VLOOKUP(A214,PersonalConsumption!A:B,2,)</f>
        <v>8080.9960000000001</v>
      </c>
      <c r="D214" s="64">
        <f>VLOOKUP(A214,PrivateInvestment!A:B,2,)</f>
        <v>2153.308</v>
      </c>
      <c r="E214" s="64">
        <f>VLOOKUP(A214,Exports!A:B,2,)</f>
        <v>1234.528</v>
      </c>
      <c r="F214" s="64">
        <f>VLOOKUP(A214,Imports!A:B,2,)</f>
        <v>1642.6469999999999</v>
      </c>
      <c r="G214" s="64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9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4">
        <f>VLOOKUP(A215,'U.S. GDP'!A:B,2,)</f>
        <v>12514.407999999999</v>
      </c>
      <c r="C215" s="64">
        <f>VLOOKUP(A215,PersonalConsumption!A:B,2,)</f>
        <v>8204.75</v>
      </c>
      <c r="D215" s="64">
        <f>VLOOKUP(A215,PrivateInvestment!A:B,2,)</f>
        <v>2154.652</v>
      </c>
      <c r="E215" s="64">
        <f>VLOOKUP(A215,Exports!A:B,2,)</f>
        <v>1249.6110000000001</v>
      </c>
      <c r="F215" s="64">
        <f>VLOOKUP(A215,Imports!A:B,2,)</f>
        <v>1689.8230000000001</v>
      </c>
      <c r="G215" s="64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9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4">
        <f>VLOOKUP(A216,'U.S. GDP'!A:B,2,)</f>
        <v>12679.977000000001</v>
      </c>
      <c r="C216" s="64">
        <f>VLOOKUP(A216,PersonalConsumption!A:B,2,)</f>
        <v>8296.9879999999994</v>
      </c>
      <c r="D216" s="64">
        <f>VLOOKUP(A216,PrivateInvestment!A:B,2,)</f>
        <v>2213.7730000000001</v>
      </c>
      <c r="E216" s="64">
        <f>VLOOKUP(A216,Exports!A:B,2,)</f>
        <v>1287.1600000000001</v>
      </c>
      <c r="F216" s="64">
        <f>VLOOKUP(A216,Imports!A:B,2,)</f>
        <v>1750.9110000000001</v>
      </c>
      <c r="G216" s="64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9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4">
        <f>VLOOKUP(A217,'U.S. GDP'!A:B,2,)</f>
        <v>12888.281000000001</v>
      </c>
      <c r="C217" s="64">
        <f>VLOOKUP(A217,PersonalConsumption!A:B,2,)</f>
        <v>8418.3490000000002</v>
      </c>
      <c r="D217" s="64">
        <f>VLOOKUP(A217,PrivateInvestment!A:B,2,)</f>
        <v>2273.0949999999998</v>
      </c>
      <c r="E217" s="64">
        <f>VLOOKUP(A217,Exports!A:B,2,)</f>
        <v>1314.6369999999999</v>
      </c>
      <c r="F217" s="64">
        <f>VLOOKUP(A217,Imports!A:B,2,)</f>
        <v>1795.6969999999999</v>
      </c>
      <c r="G217" s="64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9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4">
        <f>VLOOKUP(A218,'U.S. GDP'!A:B,2,)</f>
        <v>12935.252</v>
      </c>
      <c r="C218" s="64">
        <f>VLOOKUP(A218,PersonalConsumption!A:B,2,)</f>
        <v>8545.6389999999992</v>
      </c>
      <c r="D218" s="64">
        <f>VLOOKUP(A218,PrivateInvestment!A:B,2,)</f>
        <v>2257.1089999999999</v>
      </c>
      <c r="E218" s="64">
        <f>VLOOKUP(A218,Exports!A:B,2,)</f>
        <v>1333.6659999999999</v>
      </c>
      <c r="F218" s="64">
        <f>VLOOKUP(A218,Imports!A:B,2,)</f>
        <v>1863.4880000000001</v>
      </c>
      <c r="G218" s="64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9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4">
        <f>VLOOKUP(A219,'U.S. GDP'!A:B,2,)</f>
        <v>13170.749</v>
      </c>
      <c r="C219" s="64">
        <f>VLOOKUP(A219,PersonalConsumption!A:B,2,)</f>
        <v>8625.4349999999995</v>
      </c>
      <c r="D219" s="64">
        <f>VLOOKUP(A219,PrivateInvestment!A:B,2,)</f>
        <v>2390.7330000000002</v>
      </c>
      <c r="E219" s="64">
        <f>VLOOKUP(A219,Exports!A:B,2,)</f>
        <v>1374.2919999999999</v>
      </c>
      <c r="F219" s="64">
        <f>VLOOKUP(A219,Imports!A:B,2,)</f>
        <v>1922.854</v>
      </c>
      <c r="G219" s="64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9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4">
        <f>VLOOKUP(A220,'U.S. GDP'!A:B,2,)</f>
        <v>13183.89</v>
      </c>
      <c r="C220" s="64">
        <f>VLOOKUP(A220,PersonalConsumption!A:B,2,)</f>
        <v>8708.0740000000005</v>
      </c>
      <c r="D220" s="64">
        <f>VLOOKUP(A220,PrivateInvestment!A:B,2,)</f>
        <v>2367.2739999999999</v>
      </c>
      <c r="E220" s="64">
        <f>VLOOKUP(A220,Exports!A:B,2,)</f>
        <v>1407.33</v>
      </c>
      <c r="F220" s="64">
        <f>VLOOKUP(A220,Imports!A:B,2,)</f>
        <v>1992.04</v>
      </c>
      <c r="G220" s="64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9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4">
        <f>VLOOKUP(A221,'U.S. GDP'!A:B,2,)</f>
        <v>13262.25</v>
      </c>
      <c r="C221" s="64">
        <f>VLOOKUP(A221,PersonalConsumption!A:B,2,)</f>
        <v>8784.1550000000007</v>
      </c>
      <c r="D221" s="64">
        <f>VLOOKUP(A221,PrivateInvestment!A:B,2,)</f>
        <v>2371.8090000000002</v>
      </c>
      <c r="E221" s="64">
        <f>VLOOKUP(A221,Exports!A:B,2,)</f>
        <v>1393.3489999999999</v>
      </c>
      <c r="F221" s="64">
        <f>VLOOKUP(A221,Imports!A:B,2,)</f>
        <v>1994.953</v>
      </c>
      <c r="G221" s="64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9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4">
        <f>VLOOKUP(A222,'U.S. GDP'!A:B,2,)</f>
        <v>13219.251</v>
      </c>
      <c r="C222" s="64">
        <f>VLOOKUP(A222,PersonalConsumption!A:B,2,)</f>
        <v>8816.0139999999992</v>
      </c>
      <c r="D222" s="64">
        <f>VLOOKUP(A222,PrivateInvestment!A:B,2,)</f>
        <v>2264.2020000000002</v>
      </c>
      <c r="E222" s="64">
        <f>VLOOKUP(A222,Exports!A:B,2,)</f>
        <v>1375.8</v>
      </c>
      <c r="F222" s="64">
        <f>VLOOKUP(A222,Imports!A:B,2,)</f>
        <v>1969.2180000000001</v>
      </c>
      <c r="G222" s="64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9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4">
        <f>VLOOKUP(A223,'U.S. GDP'!A:B,2,)</f>
        <v>13301.394</v>
      </c>
      <c r="C223" s="64">
        <f>VLOOKUP(A223,PersonalConsumption!A:B,2,)</f>
        <v>8833.7260000000006</v>
      </c>
      <c r="D223" s="64">
        <f>VLOOKUP(A223,PrivateInvestment!A:B,2,)</f>
        <v>2267.433</v>
      </c>
      <c r="E223" s="64">
        <f>VLOOKUP(A223,Exports!A:B,2,)</f>
        <v>1335.433</v>
      </c>
      <c r="F223" s="64">
        <f>VLOOKUP(A223,Imports!A:B,2,)</f>
        <v>1906.1890000000001</v>
      </c>
      <c r="G223" s="64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9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4">
        <f>VLOOKUP(A224,'U.S. GDP'!A:B,2,)</f>
        <v>13248.142</v>
      </c>
      <c r="C224" s="64">
        <f>VLOOKUP(A224,PersonalConsumption!A:B,2,)</f>
        <v>8864.4650000000001</v>
      </c>
      <c r="D224" s="64">
        <f>VLOOKUP(A224,PrivateInvestment!A:B,2,)</f>
        <v>2218.37</v>
      </c>
      <c r="E224" s="64">
        <f>VLOOKUP(A224,Exports!A:B,2,)</f>
        <v>1266.999</v>
      </c>
      <c r="F224" s="64">
        <f>VLOOKUP(A224,Imports!A:B,2,)</f>
        <v>1862.95</v>
      </c>
      <c r="G224" s="64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9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4">
        <f>VLOOKUP(A225,'U.S. GDP'!A:B,2,)</f>
        <v>13284.880999999999</v>
      </c>
      <c r="C225" s="64">
        <f>VLOOKUP(A225,PersonalConsumption!A:B,2,)</f>
        <v>9007.4940000000006</v>
      </c>
      <c r="D225" s="64">
        <f>VLOOKUP(A225,PrivateInvestment!A:B,2,)</f>
        <v>2108.5</v>
      </c>
      <c r="E225" s="64">
        <f>VLOOKUP(A225,Exports!A:B,2,)</f>
        <v>1222.9069999999999</v>
      </c>
      <c r="F225" s="64">
        <f>VLOOKUP(A225,Imports!A:B,2,)</f>
        <v>1843.6559999999999</v>
      </c>
      <c r="G225" s="64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9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4">
        <f>VLOOKUP(A226,'U.S. GDP'!A:B,2,)</f>
        <v>13394.91</v>
      </c>
      <c r="C226" s="64">
        <f>VLOOKUP(A226,PersonalConsumption!A:B,2,)</f>
        <v>9027.5480000000007</v>
      </c>
      <c r="D226" s="64">
        <f>VLOOKUP(A226,PrivateInvestment!A:B,2,)</f>
        <v>2170.7069999999999</v>
      </c>
      <c r="E226" s="64">
        <f>VLOOKUP(A226,Exports!A:B,2,)</f>
        <v>1249.6199999999999</v>
      </c>
      <c r="F226" s="64">
        <f>VLOOKUP(A226,Imports!A:B,2,)</f>
        <v>1896.04</v>
      </c>
      <c r="G226" s="64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9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4">
        <f>VLOOKUP(A227,'U.S. GDP'!A:B,2,)</f>
        <v>13477.356</v>
      </c>
      <c r="C227" s="64">
        <f>VLOOKUP(A227,PersonalConsumption!A:B,2,)</f>
        <v>9073.2119999999995</v>
      </c>
      <c r="D227" s="64">
        <f>VLOOKUP(A227,PrivateInvestment!A:B,2,)</f>
        <v>2206.375</v>
      </c>
      <c r="E227" s="64">
        <f>VLOOKUP(A227,Exports!A:B,2,)</f>
        <v>1286.817</v>
      </c>
      <c r="F227" s="64">
        <f>VLOOKUP(A227,Imports!A:B,2,)</f>
        <v>1959.578</v>
      </c>
      <c r="G227" s="64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9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4">
        <f>VLOOKUP(A228,'U.S. GDP'!A:B,2,)</f>
        <v>13531.741</v>
      </c>
      <c r="C228" s="64">
        <f>VLOOKUP(A228,PersonalConsumption!A:B,2,)</f>
        <v>9136.7090000000007</v>
      </c>
      <c r="D228" s="64">
        <f>VLOOKUP(A228,PrivateInvestment!A:B,2,)</f>
        <v>2203.1089999999999</v>
      </c>
      <c r="E228" s="64">
        <f>VLOOKUP(A228,Exports!A:B,2,)</f>
        <v>1290.8679999999999</v>
      </c>
      <c r="F228" s="64">
        <f>VLOOKUP(A228,Imports!A:B,2,)</f>
        <v>1984.492</v>
      </c>
      <c r="G228" s="64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9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4">
        <f>VLOOKUP(A229,'U.S. GDP'!A:B,2,)</f>
        <v>13549.421</v>
      </c>
      <c r="C229" s="64">
        <f>VLOOKUP(A229,PersonalConsumption!A:B,2,)</f>
        <v>9187.527</v>
      </c>
      <c r="D229" s="64">
        <f>VLOOKUP(A229,PrivateInvestment!A:B,2,)</f>
        <v>2201.7489999999998</v>
      </c>
      <c r="E229" s="64">
        <f>VLOOKUP(A229,Exports!A:B,2,)</f>
        <v>1271.796</v>
      </c>
      <c r="F229" s="64">
        <f>VLOOKUP(A229,Imports!A:B,2,)</f>
        <v>2020.124</v>
      </c>
      <c r="G229" s="64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9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4">
        <f>VLOOKUP(A230,'U.S. GDP'!A:B,2,)</f>
        <v>13619.433999999999</v>
      </c>
      <c r="C230" s="64">
        <f>VLOOKUP(A230,PersonalConsumption!A:B,2,)</f>
        <v>9232.7819999999992</v>
      </c>
      <c r="D230" s="64">
        <f>VLOOKUP(A230,PrivateInvestment!A:B,2,)</f>
        <v>2218.6849999999999</v>
      </c>
      <c r="E230" s="64">
        <f>VLOOKUP(A230,Exports!A:B,2,)</f>
        <v>1267.886</v>
      </c>
      <c r="F230" s="64">
        <f>VLOOKUP(A230,Imports!A:B,2,)</f>
        <v>2011.3309999999999</v>
      </c>
      <c r="G230" s="64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9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4">
        <f>VLOOKUP(A231,'U.S. GDP'!A:B,2,)</f>
        <v>13741.107</v>
      </c>
      <c r="C231" s="64">
        <f>VLOOKUP(A231,PersonalConsumption!A:B,2,)</f>
        <v>9338.4950000000008</v>
      </c>
      <c r="D231" s="64">
        <f>VLOOKUP(A231,PrivateInvestment!A:B,2,)</f>
        <v>2233.9969999999998</v>
      </c>
      <c r="E231" s="64">
        <f>VLOOKUP(A231,Exports!A:B,2,)</f>
        <v>1270.133</v>
      </c>
      <c r="F231" s="64">
        <f>VLOOKUP(A231,Imports!A:B,2,)</f>
        <v>2040.6510000000001</v>
      </c>
      <c r="G231" s="64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9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4">
        <f>VLOOKUP(A232,'U.S. GDP'!A:B,2,)</f>
        <v>13970.156999999999</v>
      </c>
      <c r="C232" s="64">
        <f>VLOOKUP(A232,PersonalConsumption!A:B,2,)</f>
        <v>9470.5409999999993</v>
      </c>
      <c r="D232" s="64">
        <f>VLOOKUP(A232,PrivateInvestment!A:B,2,)</f>
        <v>2315.3989999999999</v>
      </c>
      <c r="E232" s="64">
        <f>VLOOKUP(A232,Exports!A:B,2,)</f>
        <v>1304.816</v>
      </c>
      <c r="F232" s="64">
        <f>VLOOKUP(A232,Imports!A:B,2,)</f>
        <v>2072.6089999999999</v>
      </c>
      <c r="G232" s="64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9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4">
        <f>VLOOKUP(A233,'U.S. GDP'!A:B,2,)</f>
        <v>14131.379000000001</v>
      </c>
      <c r="C233" s="64">
        <f>VLOOKUP(A233,PersonalConsumption!A:B,2,)</f>
        <v>9535.741</v>
      </c>
      <c r="D233" s="64">
        <f>VLOOKUP(A233,PrivateInvestment!A:B,2,)</f>
        <v>2393.402</v>
      </c>
      <c r="E233" s="64">
        <f>VLOOKUP(A233,Exports!A:B,2,)</f>
        <v>1363.499</v>
      </c>
      <c r="F233" s="64">
        <f>VLOOKUP(A233,Imports!A:B,2,)</f>
        <v>2138.44</v>
      </c>
      <c r="G233" s="64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9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4">
        <f>VLOOKUP(A234,'U.S. GDP'!A:B,2,)</f>
        <v>14212.34</v>
      </c>
      <c r="C234" s="64">
        <f>VLOOKUP(A234,PersonalConsumption!A:B,2,)</f>
        <v>9624.6489999999994</v>
      </c>
      <c r="D234" s="64">
        <f>VLOOKUP(A234,PrivateInvestment!A:B,2,)</f>
        <v>2398.1509999999998</v>
      </c>
      <c r="E234" s="64">
        <f>VLOOKUP(A234,Exports!A:B,2,)</f>
        <v>1394.3109999999999</v>
      </c>
      <c r="F234" s="64">
        <f>VLOOKUP(A234,Imports!A:B,2,)</f>
        <v>2198.3330000000001</v>
      </c>
      <c r="G234" s="64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9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4">
        <f>VLOOKUP(A235,'U.S. GDP'!A:B,2,)</f>
        <v>14323.017</v>
      </c>
      <c r="C235" s="64">
        <f>VLOOKUP(A235,PersonalConsumption!A:B,2,)</f>
        <v>9677.1659999999993</v>
      </c>
      <c r="D235" s="64">
        <f>VLOOKUP(A235,PrivateInvestment!A:B,2,)</f>
        <v>2493.9450000000002</v>
      </c>
      <c r="E235" s="64">
        <f>VLOOKUP(A235,Exports!A:B,2,)</f>
        <v>1423.51</v>
      </c>
      <c r="F235" s="64">
        <f>VLOOKUP(A235,Imports!A:B,2,)</f>
        <v>2284.933</v>
      </c>
      <c r="G235" s="64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9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4">
        <f>VLOOKUP(A236,'U.S. GDP'!A:B,2,)</f>
        <v>14457.832</v>
      </c>
      <c r="C236" s="64">
        <f>VLOOKUP(A236,PersonalConsumption!A:B,2,)</f>
        <v>9790.8359999999993</v>
      </c>
      <c r="D236" s="64">
        <f>VLOOKUP(A236,PrivateInvestment!A:B,2,)</f>
        <v>2532.6350000000002</v>
      </c>
      <c r="E236" s="64">
        <f>VLOOKUP(A236,Exports!A:B,2,)</f>
        <v>1428.1790000000001</v>
      </c>
      <c r="F236" s="64">
        <f>VLOOKUP(A236,Imports!A:B,2,)</f>
        <v>2316.6039999999998</v>
      </c>
      <c r="G236" s="64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9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4">
        <f>VLOOKUP(A237,'U.S. GDP'!A:B,2,)</f>
        <v>14605.594999999999</v>
      </c>
      <c r="C237" s="64">
        <f>VLOOKUP(A237,PersonalConsumption!A:B,2,)</f>
        <v>9901.58</v>
      </c>
      <c r="D237" s="64">
        <f>VLOOKUP(A237,PrivateInvestment!A:B,2,)</f>
        <v>2585.4769999999999</v>
      </c>
      <c r="E237" s="64">
        <f>VLOOKUP(A237,Exports!A:B,2,)</f>
        <v>1462.0809999999999</v>
      </c>
      <c r="F237" s="64">
        <f>VLOOKUP(A237,Imports!A:B,2,)</f>
        <v>2370.5630000000001</v>
      </c>
      <c r="G237" s="64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9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4">
        <f>VLOOKUP(A238,'U.S. GDP'!A:B,2,)</f>
        <v>14767.846</v>
      </c>
      <c r="C238" s="64">
        <f>VLOOKUP(A238,PersonalConsumption!A:B,2,)</f>
        <v>9964.4959999999992</v>
      </c>
      <c r="D238" s="64">
        <f>VLOOKUP(A238,PrivateInvestment!A:B,2,)</f>
        <v>2658.163</v>
      </c>
      <c r="E238" s="64">
        <f>VLOOKUP(A238,Exports!A:B,2,)</f>
        <v>1489.521</v>
      </c>
      <c r="F238" s="64">
        <f>VLOOKUP(A238,Imports!A:B,2,)</f>
        <v>2390.9850000000001</v>
      </c>
      <c r="G238" s="64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9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4">
        <f>VLOOKUP(A239,'U.S. GDP'!A:B,2,)</f>
        <v>14839.707</v>
      </c>
      <c r="C239" s="64">
        <f>VLOOKUP(A239,PersonalConsumption!A:B,2,)</f>
        <v>10074.922</v>
      </c>
      <c r="D239" s="64">
        <f>VLOOKUP(A239,PrivateInvestment!A:B,2,)</f>
        <v>2622.7930000000001</v>
      </c>
      <c r="E239" s="64">
        <f>VLOOKUP(A239,Exports!A:B,2,)</f>
        <v>1522.7460000000001</v>
      </c>
      <c r="F239" s="64">
        <f>VLOOKUP(A239,Imports!A:B,2,)</f>
        <v>2422.9949999999999</v>
      </c>
      <c r="G239" s="64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9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4">
        <f>VLOOKUP(A240,'U.S. GDP'!A:B,2,)</f>
        <v>14956.290999999999</v>
      </c>
      <c r="C240" s="64">
        <f>VLOOKUP(A240,PersonalConsumption!A:B,2,)</f>
        <v>10158.513000000001</v>
      </c>
      <c r="D240" s="64">
        <f>VLOOKUP(A240,PrivateInvestment!A:B,2,)</f>
        <v>2657.4580000000001</v>
      </c>
      <c r="E240" s="64">
        <f>VLOOKUP(A240,Exports!A:B,2,)</f>
        <v>1522.433</v>
      </c>
      <c r="F240" s="64">
        <f>VLOOKUP(A240,Imports!A:B,2,)</f>
        <v>2436.6010000000001</v>
      </c>
      <c r="G240" s="64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9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4">
        <f>VLOOKUP(A241,'U.S. GDP'!A:B,2,)</f>
        <v>15041.232</v>
      </c>
      <c r="C241" s="64">
        <f>VLOOKUP(A241,PersonalConsumption!A:B,2,)</f>
        <v>10177.237999999999</v>
      </c>
      <c r="D241" s="64">
        <f>VLOOKUP(A241,PrivateInvestment!A:B,2,)</f>
        <v>2743.846</v>
      </c>
      <c r="E241" s="64">
        <f>VLOOKUP(A241,Exports!A:B,2,)</f>
        <v>1569.6130000000001</v>
      </c>
      <c r="F241" s="64">
        <f>VLOOKUP(A241,Imports!A:B,2,)</f>
        <v>2515.1320000000001</v>
      </c>
      <c r="G241" s="64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9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4">
        <f>VLOOKUP(A242,'U.S. GDP'!A:B,2,)</f>
        <v>15244.088</v>
      </c>
      <c r="C242" s="64">
        <f>VLOOKUP(A242,PersonalConsumption!A:B,2,)</f>
        <v>10288.217000000001</v>
      </c>
      <c r="D242" s="64">
        <f>VLOOKUP(A242,PrivateInvestment!A:B,2,)</f>
        <v>2784.5830000000001</v>
      </c>
      <c r="E242" s="64">
        <f>VLOOKUP(A242,Exports!A:B,2,)</f>
        <v>1633.194</v>
      </c>
      <c r="F242" s="64">
        <f>VLOOKUP(A242,Imports!A:B,2,)</f>
        <v>2566.893</v>
      </c>
      <c r="G242" s="64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9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4">
        <f>VLOOKUP(A243,'U.S. GDP'!A:B,2,)</f>
        <v>15281.525</v>
      </c>
      <c r="C243" s="64">
        <f>VLOOKUP(A243,PersonalConsumption!A:B,2,)</f>
        <v>10341.556</v>
      </c>
      <c r="D243" s="64">
        <f>VLOOKUP(A243,PrivateInvestment!A:B,2,)</f>
        <v>2766.6280000000002</v>
      </c>
      <c r="E243" s="64">
        <f>VLOOKUP(A243,Exports!A:B,2,)</f>
        <v>1663.431</v>
      </c>
      <c r="F243" s="64">
        <f>VLOOKUP(A243,Imports!A:B,2,)</f>
        <v>2592.4549999999999</v>
      </c>
      <c r="G243" s="64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9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4">
        <f>VLOOKUP(A244,'U.S. GDP'!A:B,2,)</f>
        <v>15304.517</v>
      </c>
      <c r="C244" s="64">
        <f>VLOOKUP(A244,PersonalConsumption!A:B,2,)</f>
        <v>10407.966</v>
      </c>
      <c r="D244" s="64">
        <f>VLOOKUP(A244,PrivateInvestment!A:B,2,)</f>
        <v>2755.9540000000002</v>
      </c>
      <c r="E244" s="64">
        <f>VLOOKUP(A244,Exports!A:B,2,)</f>
        <v>1661.223</v>
      </c>
      <c r="F244" s="64">
        <f>VLOOKUP(A244,Imports!A:B,2,)</f>
        <v>2618.357</v>
      </c>
      <c r="G244" s="64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9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4">
        <f>VLOOKUP(A245,'U.S. GDP'!A:B,2,)</f>
        <v>15433.643</v>
      </c>
      <c r="C245" s="64">
        <f>VLOOKUP(A245,PersonalConsumption!A:B,2,)</f>
        <v>10507.248</v>
      </c>
      <c r="D245" s="64">
        <f>VLOOKUP(A245,PrivateInvestment!A:B,2,)</f>
        <v>2702.4870000000001</v>
      </c>
      <c r="E245" s="64">
        <f>VLOOKUP(A245,Exports!A:B,2,)</f>
        <v>1724.2629999999999</v>
      </c>
      <c r="F245" s="64">
        <f>VLOOKUP(A245,Imports!A:B,2,)</f>
        <v>2614.9920000000002</v>
      </c>
      <c r="G245" s="64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9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4">
        <f>VLOOKUP(A246,'U.S. GDP'!A:B,2,)</f>
        <v>15478.956</v>
      </c>
      <c r="C246" s="64">
        <f>VLOOKUP(A246,PersonalConsumption!A:B,2,)</f>
        <v>10572.053</v>
      </c>
      <c r="D246" s="64">
        <f>VLOOKUP(A246,PrivateInvestment!A:B,2,)</f>
        <v>2683.893</v>
      </c>
      <c r="E246" s="64">
        <f>VLOOKUP(A246,Exports!A:B,2,)</f>
        <v>1758.4490000000001</v>
      </c>
      <c r="F246" s="64">
        <f>VLOOKUP(A246,Imports!A:B,2,)</f>
        <v>2653.058</v>
      </c>
      <c r="G246" s="64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9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4">
        <f>VLOOKUP(A247,'U.S. GDP'!A:B,2,)</f>
        <v>15577.779</v>
      </c>
      <c r="C247" s="64">
        <f>VLOOKUP(A247,PersonalConsumption!A:B,2,)</f>
        <v>10599.795</v>
      </c>
      <c r="D247" s="64">
        <f>VLOOKUP(A247,PrivateInvestment!A:B,2,)</f>
        <v>2713.4949999999999</v>
      </c>
      <c r="E247" s="64">
        <f>VLOOKUP(A247,Exports!A:B,2,)</f>
        <v>1785.0640000000001</v>
      </c>
      <c r="F247" s="64">
        <f>VLOOKUP(A247,Imports!A:B,2,)</f>
        <v>2667.163</v>
      </c>
      <c r="G247" s="64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9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4">
        <f>VLOOKUP(A248,'U.S. GDP'!A:B,2,)</f>
        <v>15671.605</v>
      </c>
      <c r="C248" s="64">
        <f>VLOOKUP(A248,PersonalConsumption!A:B,2,)</f>
        <v>10670.505999999999</v>
      </c>
      <c r="D248" s="64">
        <f>VLOOKUP(A248,PrivateInvestment!A:B,2,)</f>
        <v>2686.1060000000002</v>
      </c>
      <c r="E248" s="64">
        <f>VLOOKUP(A248,Exports!A:B,2,)</f>
        <v>1840.838</v>
      </c>
      <c r="F248" s="64">
        <f>VLOOKUP(A248,Imports!A:B,2,)</f>
        <v>2682.0990000000002</v>
      </c>
      <c r="G248" s="64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9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4">
        <f>VLOOKUP(A249,'U.S. GDP'!A:B,2,)</f>
        <v>15767.146000000001</v>
      </c>
      <c r="C249" s="64">
        <f>VLOOKUP(A249,PersonalConsumption!A:B,2,)</f>
        <v>10712.556</v>
      </c>
      <c r="D249" s="64">
        <f>VLOOKUP(A249,PrivateInvestment!A:B,2,)</f>
        <v>2653.056</v>
      </c>
      <c r="E249" s="64">
        <f>VLOOKUP(A249,Exports!A:B,2,)</f>
        <v>1883.0619999999999</v>
      </c>
      <c r="F249" s="64">
        <f>VLOOKUP(A249,Imports!A:B,2,)</f>
        <v>2656.7669999999998</v>
      </c>
      <c r="G249" s="64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9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4">
        <f>VLOOKUP(A250,'U.S. GDP'!A:B,2,)</f>
        <v>15702.906000000001</v>
      </c>
      <c r="C250" s="64">
        <f>VLOOKUP(A250,PersonalConsumption!A:B,2,)</f>
        <v>10697.867</v>
      </c>
      <c r="D250" s="64">
        <f>VLOOKUP(A250,PrivateInvestment!A:B,2,)</f>
        <v>2583.2530000000002</v>
      </c>
      <c r="E250" s="64">
        <f>VLOOKUP(A250,Exports!A:B,2,)</f>
        <v>1913.046</v>
      </c>
      <c r="F250" s="64">
        <f>VLOOKUP(A250,Imports!A:B,2,)</f>
        <v>2666.73</v>
      </c>
      <c r="G250" s="64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9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4">
        <f>VLOOKUP(A251,'U.S. GDP'!A:B,2,)</f>
        <v>15792.772999999999</v>
      </c>
      <c r="C251" s="64">
        <f>VLOOKUP(A251,PersonalConsumption!A:B,2,)</f>
        <v>10727.347</v>
      </c>
      <c r="D251" s="64">
        <f>VLOOKUP(A251,PrivateInvestment!A:B,2,)</f>
        <v>2536.4029999999998</v>
      </c>
      <c r="E251" s="64">
        <f>VLOOKUP(A251,Exports!A:B,2,)</f>
        <v>1969.204</v>
      </c>
      <c r="F251" s="64">
        <f>VLOOKUP(A251,Imports!A:B,2,)</f>
        <v>2641.498</v>
      </c>
      <c r="G251" s="64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9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4">
        <f>VLOOKUP(A252,'U.S. GDP'!A:B,2,)</f>
        <v>15709.562</v>
      </c>
      <c r="C252" s="64">
        <f>VLOOKUP(A252,PersonalConsumption!A:B,2,)</f>
        <v>10644.668</v>
      </c>
      <c r="D252" s="64">
        <f>VLOOKUP(A252,PrivateInvestment!A:B,2,)</f>
        <v>2485.549</v>
      </c>
      <c r="E252" s="64">
        <f>VLOOKUP(A252,Exports!A:B,2,)</f>
        <v>1960.3620000000001</v>
      </c>
      <c r="F252" s="64">
        <f>VLOOKUP(A252,Imports!A:B,2,)</f>
        <v>2608.1610000000001</v>
      </c>
      <c r="G252" s="64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9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4">
        <f>VLOOKUP(A253,'U.S. GDP'!A:B,2,)</f>
        <v>15366.607</v>
      </c>
      <c r="C253" s="64">
        <f>VLOOKUP(A253,PersonalConsumption!A:B,2,)</f>
        <v>10548.871999999999</v>
      </c>
      <c r="D253" s="64">
        <f>VLOOKUP(A253,PrivateInvestment!A:B,2,)</f>
        <v>2246.4409999999998</v>
      </c>
      <c r="E253" s="64">
        <f>VLOOKUP(A253,Exports!A:B,2,)</f>
        <v>1844.981</v>
      </c>
      <c r="F253" s="64">
        <f>VLOOKUP(A253,Imports!A:B,2,)</f>
        <v>2513.8440000000001</v>
      </c>
      <c r="G253" s="64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9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4">
        <f>VLOOKUP(A254,'U.S. GDP'!A:B,2,)</f>
        <v>15187.475</v>
      </c>
      <c r="C254" s="64">
        <f>VLOOKUP(A254,PersonalConsumption!A:B,2,)</f>
        <v>10522.083000000001</v>
      </c>
      <c r="D254" s="64">
        <f>VLOOKUP(A254,PrivateInvestment!A:B,2,)</f>
        <v>1986.845</v>
      </c>
      <c r="E254" s="64">
        <f>VLOOKUP(A254,Exports!A:B,2,)</f>
        <v>1697.6369999999999</v>
      </c>
      <c r="F254" s="64">
        <f>VLOOKUP(A254,Imports!A:B,2,)</f>
        <v>2274.895</v>
      </c>
      <c r="G254" s="64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9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4">
        <f>VLOOKUP(A255,'U.S. GDP'!A:B,2,)</f>
        <v>15161.772000000001</v>
      </c>
      <c r="C255" s="64">
        <f>VLOOKUP(A255,PersonalConsumption!A:B,2,)</f>
        <v>10470.358</v>
      </c>
      <c r="D255" s="64">
        <f>VLOOKUP(A255,PrivateInvestment!A:B,2,)</f>
        <v>1872.287</v>
      </c>
      <c r="E255" s="64">
        <f>VLOOKUP(A255,Exports!A:B,2,)</f>
        <v>1708.8320000000001</v>
      </c>
      <c r="F255" s="64">
        <f>VLOOKUP(A255,Imports!A:B,2,)</f>
        <v>2182.5010000000002</v>
      </c>
      <c r="G255" s="64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9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4">
        <f>VLOOKUP(A256,'U.S. GDP'!A:B,2,)</f>
        <v>15216.647000000001</v>
      </c>
      <c r="C256" s="64">
        <f>VLOOKUP(A256,PersonalConsumption!A:B,2,)</f>
        <v>10540.769</v>
      </c>
      <c r="D256" s="64">
        <f>VLOOKUP(A256,PrivateInvestment!A:B,2,)</f>
        <v>1868.0129999999999</v>
      </c>
      <c r="E256" s="64">
        <f>VLOOKUP(A256,Exports!A:B,2,)</f>
        <v>1772.0039999999999</v>
      </c>
      <c r="F256" s="64">
        <f>VLOOKUP(A256,Imports!A:B,2,)</f>
        <v>2272.5349999999999</v>
      </c>
      <c r="G256" s="64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9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4">
        <f>VLOOKUP(A257,'U.S. GDP'!A:B,2,)</f>
        <v>15379.155000000001</v>
      </c>
      <c r="C257" s="64">
        <f>VLOOKUP(A257,PersonalConsumption!A:B,2,)</f>
        <v>10529.156000000001</v>
      </c>
      <c r="D257" s="64">
        <f>VLOOKUP(A257,PrivateInvestment!A:B,2,)</f>
        <v>2040.7360000000001</v>
      </c>
      <c r="E257" s="64">
        <f>VLOOKUP(A257,Exports!A:B,2,)</f>
        <v>1871.4849999999999</v>
      </c>
      <c r="F257" s="64">
        <f>VLOOKUP(A257,Imports!A:B,2,)</f>
        <v>2385.0740000000001</v>
      </c>
      <c r="G257" s="64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9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4">
        <f>VLOOKUP(A258,'U.S. GDP'!A:B,2,)</f>
        <v>15456.058999999999</v>
      </c>
      <c r="C258" s="64">
        <f>VLOOKUP(A258,PersonalConsumption!A:B,2,)</f>
        <v>10590.177</v>
      </c>
      <c r="D258" s="64">
        <f>VLOOKUP(A258,PrivateInvestment!A:B,2,)</f>
        <v>2087.1709999999998</v>
      </c>
      <c r="E258" s="64">
        <f>VLOOKUP(A258,Exports!A:B,2,)</f>
        <v>1916.239</v>
      </c>
      <c r="F258" s="64">
        <f>VLOOKUP(A258,Imports!A:B,2,)</f>
        <v>2448.0439999999999</v>
      </c>
      <c r="G258" s="64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9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4">
        <f>VLOOKUP(A259,'U.S. GDP'!A:B,2,)</f>
        <v>15605.628000000001</v>
      </c>
      <c r="C259" s="64">
        <f>VLOOKUP(A259,PersonalConsumption!A:B,2,)</f>
        <v>10685.145</v>
      </c>
      <c r="D259" s="64">
        <f>VLOOKUP(A259,PrivateInvestment!A:B,2,)</f>
        <v>2196.7060000000001</v>
      </c>
      <c r="E259" s="64">
        <f>VLOOKUP(A259,Exports!A:B,2,)</f>
        <v>1958.367</v>
      </c>
      <c r="F259" s="64">
        <f>VLOOKUP(A259,Imports!A:B,2,)</f>
        <v>2559.69</v>
      </c>
      <c r="G259" s="64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9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4">
        <f>VLOOKUP(A260,'U.S. GDP'!A:B,2,)</f>
        <v>15726.281999999999</v>
      </c>
      <c r="C260" s="64">
        <f>VLOOKUP(A260,PersonalConsumption!A:B,2,)</f>
        <v>10761.376</v>
      </c>
      <c r="D260" s="64">
        <f>VLOOKUP(A260,PrivateInvestment!A:B,2,)</f>
        <v>2294.672</v>
      </c>
      <c r="E260" s="64">
        <f>VLOOKUP(A260,Exports!A:B,2,)</f>
        <v>2014.232</v>
      </c>
      <c r="F260" s="64">
        <f>VLOOKUP(A260,Imports!A:B,2,)</f>
        <v>2649.1480000000001</v>
      </c>
      <c r="G260" s="64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9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4">
        <f>VLOOKUP(A261,'U.S. GDP'!A:B,2,)</f>
        <v>15807.995000000001</v>
      </c>
      <c r="C261" s="64">
        <f>VLOOKUP(A261,PersonalConsumption!A:B,2,)</f>
        <v>10827.332</v>
      </c>
      <c r="D261" s="64">
        <f>VLOOKUP(A261,PrivateInvestment!A:B,2,)</f>
        <v>2287.3620000000001</v>
      </c>
      <c r="E261" s="64">
        <f>VLOOKUP(A261,Exports!A:B,2,)</f>
        <v>2069.3490000000002</v>
      </c>
      <c r="F261" s="64">
        <f>VLOOKUP(A261,Imports!A:B,2,)</f>
        <v>2658.8850000000002</v>
      </c>
      <c r="G261" s="64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9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4">
        <f>VLOOKUP(A262,'U.S. GDP'!A:B,2,)</f>
        <v>15769.911</v>
      </c>
      <c r="C262" s="64">
        <f>VLOOKUP(A262,PersonalConsumption!A:B,2,)</f>
        <v>10868.689</v>
      </c>
      <c r="D262" s="64">
        <f>VLOOKUP(A262,PrivateInvestment!A:B,2,)</f>
        <v>2244.241</v>
      </c>
      <c r="E262" s="64">
        <f>VLOOKUP(A262,Exports!A:B,2,)</f>
        <v>2087.06</v>
      </c>
      <c r="F262" s="64">
        <f>VLOOKUP(A262,Imports!A:B,2,)</f>
        <v>2671.8719999999998</v>
      </c>
      <c r="G262" s="64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9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4">
        <f>VLOOKUP(A263,'U.S. GDP'!A:B,2,)</f>
        <v>15876.839</v>
      </c>
      <c r="C263" s="64">
        <f>VLOOKUP(A263,PersonalConsumption!A:B,2,)</f>
        <v>10879.873</v>
      </c>
      <c r="D263" s="64">
        <f>VLOOKUP(A263,PrivateInvestment!A:B,2,)</f>
        <v>2336.0569999999998</v>
      </c>
      <c r="E263" s="64">
        <f>VLOOKUP(A263,Exports!A:B,2,)</f>
        <v>2122.3209999999999</v>
      </c>
      <c r="F263" s="64">
        <f>VLOOKUP(A263,Imports!A:B,2,)</f>
        <v>2681.8649999999998</v>
      </c>
      <c r="G263" s="64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9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4">
        <f>VLOOKUP(A264,'U.S. GDP'!A:B,2,)</f>
        <v>15870.683999999999</v>
      </c>
      <c r="C264" s="64">
        <f>VLOOKUP(A264,PersonalConsumption!A:B,2,)</f>
        <v>10912.991</v>
      </c>
      <c r="D264" s="64">
        <f>VLOOKUP(A264,PrivateInvestment!A:B,2,)</f>
        <v>2343.7860000000001</v>
      </c>
      <c r="E264" s="64">
        <f>VLOOKUP(A264,Exports!A:B,2,)</f>
        <v>2151.4740000000002</v>
      </c>
      <c r="F264" s="64">
        <f>VLOOKUP(A264,Imports!A:B,2,)</f>
        <v>2711.6190000000001</v>
      </c>
      <c r="G264" s="64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9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4">
        <f>VLOOKUP(A265,'U.S. GDP'!A:B,2,)</f>
        <v>16048.701999999999</v>
      </c>
      <c r="C265" s="64">
        <f>VLOOKUP(A265,PersonalConsumption!A:B,2,)</f>
        <v>10931.828</v>
      </c>
      <c r="D265" s="64">
        <f>VLOOKUP(A265,PrivateInvestment!A:B,2,)</f>
        <v>2524.4290000000001</v>
      </c>
      <c r="E265" s="64">
        <f>VLOOKUP(A265,Exports!A:B,2,)</f>
        <v>2167.652</v>
      </c>
      <c r="F265" s="64">
        <f>VLOOKUP(A265,Imports!A:B,2,)</f>
        <v>2747.221</v>
      </c>
      <c r="G265" s="64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9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4">
        <f>VLOOKUP(A266,'U.S. GDP'!A:B,2,)</f>
        <v>16179.968000000001</v>
      </c>
      <c r="C266" s="64">
        <f>VLOOKUP(A266,PersonalConsumption!A:B,2,)</f>
        <v>11010.694</v>
      </c>
      <c r="D266" s="64">
        <f>VLOOKUP(A266,PrivateInvestment!A:B,2,)</f>
        <v>2577.1570000000002</v>
      </c>
      <c r="E266" s="64">
        <f>VLOOKUP(A266,Exports!A:B,2,)</f>
        <v>2194.087</v>
      </c>
      <c r="F266" s="64">
        <f>VLOOKUP(A266,Imports!A:B,2,)</f>
        <v>2760.748</v>
      </c>
      <c r="G266" s="64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9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4">
        <f>VLOOKUP(A267,'U.S. GDP'!A:B,2,)</f>
        <v>16253.726000000001</v>
      </c>
      <c r="C267" s="64">
        <f>VLOOKUP(A267,PersonalConsumption!A:B,2,)</f>
        <v>11030.026</v>
      </c>
      <c r="D267" s="64">
        <f>VLOOKUP(A267,PrivateInvestment!A:B,2,)</f>
        <v>2636.4949999999999</v>
      </c>
      <c r="E267" s="64">
        <f>VLOOKUP(A267,Exports!A:B,2,)</f>
        <v>2215.7530000000002</v>
      </c>
      <c r="F267" s="64">
        <f>VLOOKUP(A267,Imports!A:B,2,)</f>
        <v>2771.011</v>
      </c>
      <c r="G267" s="64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9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4">
        <f>VLOOKUP(A268,'U.S. GDP'!A:B,2,)</f>
        <v>16282.151</v>
      </c>
      <c r="C268" s="64">
        <f>VLOOKUP(A268,PersonalConsumption!A:B,2,)</f>
        <v>11052.368</v>
      </c>
      <c r="D268" s="64">
        <f>VLOOKUP(A268,PrivateInvestment!A:B,2,)</f>
        <v>2648.4589999999998</v>
      </c>
      <c r="E268" s="64">
        <f>VLOOKUP(A268,Exports!A:B,2,)</f>
        <v>2229.3530000000001</v>
      </c>
      <c r="F268" s="64">
        <f>VLOOKUP(A268,Imports!A:B,2,)</f>
        <v>2785.8829999999998</v>
      </c>
      <c r="G268" s="64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9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4">
        <f>VLOOKUP(A269,'U.S. GDP'!A:B,2,)</f>
        <v>16300.035</v>
      </c>
      <c r="C269" s="64">
        <f>VLOOKUP(A269,PersonalConsumption!A:B,2,)</f>
        <v>11096.365</v>
      </c>
      <c r="D269" s="64">
        <f>VLOOKUP(A269,PrivateInvestment!A:B,2,)</f>
        <v>2624.9050000000002</v>
      </c>
      <c r="E269" s="64">
        <f>VLOOKUP(A269,Exports!A:B,2,)</f>
        <v>2231.607</v>
      </c>
      <c r="F269" s="64">
        <f>VLOOKUP(A269,Imports!A:B,2,)</f>
        <v>2759.627</v>
      </c>
      <c r="G269" s="64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9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4">
        <f>VLOOKUP(A270,'U.S. GDP'!A:B,2,)</f>
        <v>16441.485000000001</v>
      </c>
      <c r="C270" s="64">
        <f>VLOOKUP(A270,PersonalConsumption!A:B,2,)</f>
        <v>11155.481</v>
      </c>
      <c r="D270" s="64">
        <f>VLOOKUP(A270,PrivateInvestment!A:B,2,)</f>
        <v>2722.7779999999998</v>
      </c>
      <c r="E270" s="64">
        <f>VLOOKUP(A270,Exports!A:B,2,)</f>
        <v>2242.308</v>
      </c>
      <c r="F270" s="64">
        <f>VLOOKUP(A270,Imports!A:B,2,)</f>
        <v>2757.2649999999999</v>
      </c>
      <c r="G270" s="64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9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4">
        <f>VLOOKUP(A271,'U.S. GDP'!A:B,2,)</f>
        <v>16464.401999999998</v>
      </c>
      <c r="C271" s="64">
        <f>VLOOKUP(A271,PersonalConsumption!A:B,2,)</f>
        <v>11172.647000000001</v>
      </c>
      <c r="D271" s="64">
        <f>VLOOKUP(A271,PrivateInvestment!A:B,2,)</f>
        <v>2753.2370000000001</v>
      </c>
      <c r="E271" s="64">
        <f>VLOOKUP(A271,Exports!A:B,2,)</f>
        <v>2262.5239999999999</v>
      </c>
      <c r="F271" s="64">
        <f>VLOOKUP(A271,Imports!A:B,2,)</f>
        <v>2797.3</v>
      </c>
      <c r="G271" s="64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9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4">
        <f>VLOOKUP(A272,'U.S. GDP'!A:B,2,)</f>
        <v>16594.742999999999</v>
      </c>
      <c r="C272" s="64">
        <f>VLOOKUP(A272,PersonalConsumption!A:B,2,)</f>
        <v>11214.416999999999</v>
      </c>
      <c r="D272" s="64">
        <f>VLOOKUP(A272,PrivateInvestment!A:B,2,)</f>
        <v>2859.7510000000002</v>
      </c>
      <c r="E272" s="64">
        <f>VLOOKUP(A272,Exports!A:B,2,)</f>
        <v>2281.9789999999998</v>
      </c>
      <c r="F272" s="64">
        <f>VLOOKUP(A272,Imports!A:B,2,)</f>
        <v>2817.3989999999999</v>
      </c>
      <c r="G272" s="64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9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4">
        <f>VLOOKUP(A273,'U.S. GDP'!A:B,2,)</f>
        <v>16712.759999999998</v>
      </c>
      <c r="C273" s="64">
        <f>VLOOKUP(A273,PersonalConsumption!A:B,2,)</f>
        <v>11304.3</v>
      </c>
      <c r="D273" s="64">
        <f>VLOOKUP(A273,PrivateInvestment!A:B,2,)</f>
        <v>2870.127</v>
      </c>
      <c r="E273" s="64">
        <f>VLOOKUP(A273,Exports!A:B,2,)</f>
        <v>2347.5790000000002</v>
      </c>
      <c r="F273" s="64">
        <f>VLOOKUP(A273,Imports!A:B,2,)</f>
        <v>2839.6709999999998</v>
      </c>
      <c r="G273" s="64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9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4">
        <f>VLOOKUP(A274,'U.S. GDP'!A:B,2,)</f>
        <v>16654.246999999999</v>
      </c>
      <c r="C274" s="64">
        <f>VLOOKUP(A274,PersonalConsumption!A:B,2,)</f>
        <v>11347.636</v>
      </c>
      <c r="D274" s="64">
        <f>VLOOKUP(A274,PrivateInvestment!A:B,2,)</f>
        <v>2838.2869999999998</v>
      </c>
      <c r="E274" s="64">
        <f>VLOOKUP(A274,Exports!A:B,2,)</f>
        <v>2324.808</v>
      </c>
      <c r="F274" s="64">
        <f>VLOOKUP(A274,Imports!A:B,2,)</f>
        <v>2876.337</v>
      </c>
      <c r="G274" s="64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9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4">
        <f>VLOOKUP(A275,'U.S. GDP'!A:B,2,)</f>
        <v>16868.109</v>
      </c>
      <c r="C275" s="64">
        <f>VLOOKUP(A275,PersonalConsumption!A:B,2,)</f>
        <v>11453.013999999999</v>
      </c>
      <c r="D275" s="64">
        <f>VLOOKUP(A275,PrivateInvestment!A:B,2,)</f>
        <v>2958.0680000000002</v>
      </c>
      <c r="E275" s="64">
        <f>VLOOKUP(A275,Exports!A:B,2,)</f>
        <v>2375.1210000000001</v>
      </c>
      <c r="F275" s="64">
        <f>VLOOKUP(A275,Imports!A:B,2,)</f>
        <v>2941.8389999999999</v>
      </c>
      <c r="G275" s="64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9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4">
        <f>VLOOKUP(A276,'U.S. GDP'!A:B,2,)</f>
        <v>17064.616000000002</v>
      </c>
      <c r="C276" s="64">
        <f>VLOOKUP(A276,PersonalConsumption!A:B,2,)</f>
        <v>11565.682000000001</v>
      </c>
      <c r="D276" s="64">
        <f>VLOOKUP(A276,PrivateInvestment!A:B,2,)</f>
        <v>3018.5819999999999</v>
      </c>
      <c r="E276" s="64">
        <f>VLOOKUP(A276,Exports!A:B,2,)</f>
        <v>2384.779</v>
      </c>
      <c r="F276" s="64">
        <f>VLOOKUP(A276,Imports!A:B,2,)</f>
        <v>2947.3519999999999</v>
      </c>
      <c r="G276" s="64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9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4">
        <f>VLOOKUP(A277,'U.S. GDP'!A:B,2,)</f>
        <v>17141.235000000001</v>
      </c>
      <c r="C277" s="64">
        <f>VLOOKUP(A277,PersonalConsumption!A:B,2,)</f>
        <v>11694.916999999999</v>
      </c>
      <c r="D277" s="64">
        <f>VLOOKUP(A277,PrivateInvestment!A:B,2,)</f>
        <v>3021.857</v>
      </c>
      <c r="E277" s="64">
        <f>VLOOKUP(A277,Exports!A:B,2,)</f>
        <v>2404.4299999999998</v>
      </c>
      <c r="F277" s="64">
        <f>VLOOKUP(A277,Imports!A:B,2,)</f>
        <v>3024.6819999999998</v>
      </c>
      <c r="G277" s="64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9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4">
        <f>VLOOKUP(A278,'U.S. GDP'!A:B,2,)</f>
        <v>17280.647000000001</v>
      </c>
      <c r="C278" s="64">
        <f>VLOOKUP(A278,PersonalConsumption!A:B,2,)</f>
        <v>11772.949000000001</v>
      </c>
      <c r="D278" s="64">
        <f>VLOOKUP(A278,PrivateInvestment!A:B,2,)</f>
        <v>3127.2739999999999</v>
      </c>
      <c r="E278" s="64">
        <f>VLOOKUP(A278,Exports!A:B,2,)</f>
        <v>2384.8429999999998</v>
      </c>
      <c r="F278" s="64">
        <f>VLOOKUP(A278,Imports!A:B,2,)</f>
        <v>3068.49</v>
      </c>
      <c r="G278" s="64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9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4">
        <f>VLOOKUP(A279,'U.S. GDP'!A:B,2,)</f>
        <v>17380.875</v>
      </c>
      <c r="C279" s="64">
        <f>VLOOKUP(A279,PersonalConsumption!A:B,2,)</f>
        <v>11852.652</v>
      </c>
      <c r="D279" s="64">
        <f>VLOOKUP(A279,PrivateInvestment!A:B,2,)</f>
        <v>3136.6880000000001</v>
      </c>
      <c r="E279" s="64">
        <f>VLOOKUP(A279,Exports!A:B,2,)</f>
        <v>2391.145</v>
      </c>
      <c r="F279" s="64">
        <f>VLOOKUP(A279,Imports!A:B,2,)</f>
        <v>3091.0830000000001</v>
      </c>
      <c r="G279" s="64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9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4">
        <f>VLOOKUP(A280,'U.S. GDP'!A:B,2,)</f>
        <v>17437.080000000002</v>
      </c>
      <c r="C280" s="64">
        <f>VLOOKUP(A280,PersonalConsumption!A:B,2,)</f>
        <v>11943.043</v>
      </c>
      <c r="D280" s="64">
        <f>VLOOKUP(A280,PrivateInvestment!A:B,2,)</f>
        <v>3130.3539999999998</v>
      </c>
      <c r="E280" s="64">
        <f>VLOOKUP(A280,Exports!A:B,2,)</f>
        <v>2371.2049999999999</v>
      </c>
      <c r="F280" s="64">
        <f>VLOOKUP(A280,Imports!A:B,2,)</f>
        <v>3117.7620000000002</v>
      </c>
      <c r="G280" s="64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9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4">
        <f>VLOOKUP(A281,'U.S. GDP'!A:B,2,)</f>
        <v>17462.579000000002</v>
      </c>
      <c r="C281" s="64">
        <f>VLOOKUP(A281,PersonalConsumption!A:B,2,)</f>
        <v>12003.146000000001</v>
      </c>
      <c r="D281" s="64">
        <f>VLOOKUP(A281,PrivateInvestment!A:B,2,)</f>
        <v>3092.7069999999999</v>
      </c>
      <c r="E281" s="64">
        <f>VLOOKUP(A281,Exports!A:B,2,)</f>
        <v>2367.6669999999999</v>
      </c>
      <c r="F281" s="64">
        <f>VLOOKUP(A281,Imports!A:B,2,)</f>
        <v>3124.3560000000002</v>
      </c>
      <c r="G281" s="64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9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4">
        <f>VLOOKUP(A282,'U.S. GDP'!A:B,2,)</f>
        <v>17565.465</v>
      </c>
      <c r="C282" s="64">
        <f>VLOOKUP(A282,PersonalConsumption!A:B,2,)</f>
        <v>12091.178</v>
      </c>
      <c r="D282" s="64">
        <f>VLOOKUP(A282,PrivateInvestment!A:B,2,)</f>
        <v>3079.4490000000001</v>
      </c>
      <c r="E282" s="64">
        <f>VLOOKUP(A282,Exports!A:B,2,)</f>
        <v>2360.7049999999999</v>
      </c>
      <c r="F282" s="64">
        <f>VLOOKUP(A282,Imports!A:B,2,)</f>
        <v>3119.9780000000001</v>
      </c>
      <c r="G282" s="64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9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4">
        <f>VLOOKUP(A283,'U.S. GDP'!A:B,2,)</f>
        <v>17618.580999999998</v>
      </c>
      <c r="C283" s="64">
        <f>VLOOKUP(A283,PersonalConsumption!A:B,2,)</f>
        <v>12152.627</v>
      </c>
      <c r="D283" s="64">
        <f>VLOOKUP(A283,PrivateInvestment!A:B,2,)</f>
        <v>3063.3330000000001</v>
      </c>
      <c r="E283" s="64">
        <f>VLOOKUP(A283,Exports!A:B,2,)</f>
        <v>2378.6120000000001</v>
      </c>
      <c r="F283" s="64">
        <f>VLOOKUP(A283,Imports!A:B,2,)</f>
        <v>3123.2449999999999</v>
      </c>
      <c r="G283" s="64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9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4">
        <f>VLOOKUP(A284,'U.S. GDP'!A:B,2,)</f>
        <v>17724.489000000001</v>
      </c>
      <c r="C284" s="64">
        <f>VLOOKUP(A284,PersonalConsumption!A:B,2,)</f>
        <v>12223.822</v>
      </c>
      <c r="D284" s="64">
        <f>VLOOKUP(A284,PrivateInvestment!A:B,2,)</f>
        <v>3069.2979999999998</v>
      </c>
      <c r="E284" s="64">
        <f>VLOOKUP(A284,Exports!A:B,2,)</f>
        <v>2415.5520000000001</v>
      </c>
      <c r="F284" s="64">
        <f>VLOOKUP(A284,Imports!A:B,2,)</f>
        <v>3145.9769999999999</v>
      </c>
      <c r="G284" s="64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9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4">
        <f>VLOOKUP(A285,'U.S. GDP'!A:B,2,)</f>
        <v>17812.560000000001</v>
      </c>
      <c r="C285" s="64">
        <f>VLOOKUP(A285,PersonalConsumption!A:B,2,)</f>
        <v>12283.075999999999</v>
      </c>
      <c r="D285" s="64">
        <f>VLOOKUP(A285,PrivateInvestment!A:B,2,)</f>
        <v>3147.576</v>
      </c>
      <c r="E285" s="64">
        <f>VLOOKUP(A285,Exports!A:B,2,)</f>
        <v>2398.5520000000001</v>
      </c>
      <c r="F285" s="64">
        <f>VLOOKUP(A285,Imports!A:B,2,)</f>
        <v>3192.5250000000001</v>
      </c>
      <c r="G285" s="64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9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4">
        <f>VLOOKUP(A286,'U.S. GDP'!A:B,2,)</f>
        <v>17889.094000000001</v>
      </c>
      <c r="C286" s="64">
        <f>VLOOKUP(A286,PersonalConsumption!A:B,2,)</f>
        <v>12369.906999999999</v>
      </c>
      <c r="D286" s="64">
        <f>VLOOKUP(A286,PrivateInvestment!A:B,2,)</f>
        <v>3131.9169999999999</v>
      </c>
      <c r="E286" s="64">
        <f>VLOOKUP(A286,Exports!A:B,2,)</f>
        <v>2460.7539999999999</v>
      </c>
      <c r="F286" s="64">
        <f>VLOOKUP(A286,Imports!A:B,2,)</f>
        <v>3241.8359999999998</v>
      </c>
      <c r="G286" s="64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9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4">
        <f>VLOOKUP(A287,'U.S. GDP'!A:B,2,)</f>
        <v>17979.218000000001</v>
      </c>
      <c r="C287" s="64">
        <f>VLOOKUP(A287,PersonalConsumption!A:B,2,)</f>
        <v>12419.406999999999</v>
      </c>
      <c r="D287" s="64">
        <f>VLOOKUP(A287,PrivateInvestment!A:B,2,)</f>
        <v>3187.7809999999999</v>
      </c>
      <c r="E287" s="64">
        <f>VLOOKUP(A287,Exports!A:B,2,)</f>
        <v>2468.9459999999999</v>
      </c>
      <c r="F287" s="64">
        <f>VLOOKUP(A287,Imports!A:B,2,)</f>
        <v>3273.4029999999998</v>
      </c>
      <c r="G287" s="64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9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4">
        <f>VLOOKUP(A288,'U.S. GDP'!A:B,2,)</f>
        <v>18127.993999999999</v>
      </c>
      <c r="C288" s="64">
        <f>VLOOKUP(A288,PersonalConsumption!A:B,2,)</f>
        <v>12493.466</v>
      </c>
      <c r="D288" s="64">
        <f>VLOOKUP(A288,PrivateInvestment!A:B,2,)</f>
        <v>3250.8249999999998</v>
      </c>
      <c r="E288" s="64">
        <f>VLOOKUP(A288,Exports!A:B,2,)</f>
        <v>2483.4670000000001</v>
      </c>
      <c r="F288" s="64">
        <f>VLOOKUP(A288,Imports!A:B,2,)</f>
        <v>3270.7570000000001</v>
      </c>
      <c r="G288" s="64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9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4">
        <f>VLOOKUP(A289,'U.S. GDP'!A:B,2,)</f>
        <v>18310.3</v>
      </c>
      <c r="C289" s="64">
        <f>VLOOKUP(A289,PersonalConsumption!A:B,2,)</f>
        <v>12630.132</v>
      </c>
      <c r="D289" s="64">
        <f>VLOOKUP(A289,PrivateInvestment!A:B,2,)</f>
        <v>3293.4409999999998</v>
      </c>
      <c r="E289" s="64">
        <f>VLOOKUP(A289,Exports!A:B,2,)</f>
        <v>2547.9969999999998</v>
      </c>
      <c r="F289" s="64">
        <f>VLOOKUP(A289,Imports!A:B,2,)</f>
        <v>3362.9569999999999</v>
      </c>
      <c r="G289" s="64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9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4">
        <f>VLOOKUP(A290,'U.S. GDP'!A:B,2,)</f>
        <v>18437.127</v>
      </c>
      <c r="C290" s="64">
        <f>VLOOKUP(A290,PersonalConsumption!A:B,2,)</f>
        <v>12713.156000000001</v>
      </c>
      <c r="D290" s="64">
        <f>VLOOKUP(A290,PrivateInvestment!A:B,2,)</f>
        <v>3342.884</v>
      </c>
      <c r="E290" s="64">
        <f>VLOOKUP(A290,Exports!A:B,2,)</f>
        <v>2564.6610000000001</v>
      </c>
      <c r="F290" s="64">
        <f>VLOOKUP(A290,Imports!A:B,2,)</f>
        <v>3391.2579999999998</v>
      </c>
      <c r="G290" s="64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9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4">
        <f>VLOOKUP(A291,'U.S. GDP'!A:B,2,)</f>
        <v>18565.697</v>
      </c>
      <c r="C291" s="64">
        <f>VLOOKUP(A291,PersonalConsumption!A:B,2,)</f>
        <v>12805.609</v>
      </c>
      <c r="D291" s="64">
        <f>VLOOKUP(A291,PrivateInvestment!A:B,2,)</f>
        <v>3349.047</v>
      </c>
      <c r="E291" s="64">
        <f>VLOOKUP(A291,Exports!A:B,2,)</f>
        <v>2578.61</v>
      </c>
      <c r="F291" s="64">
        <f>VLOOKUP(A291,Imports!A:B,2,)</f>
        <v>3395.2829999999999</v>
      </c>
      <c r="G291" s="64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9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4">
        <f>VLOOKUP(A292,'U.S. GDP'!A:B,2,)</f>
        <v>18699.748</v>
      </c>
      <c r="C292" s="64">
        <f>VLOOKUP(A292,PersonalConsumption!A:B,2,)</f>
        <v>12887.074000000001</v>
      </c>
      <c r="D292" s="64">
        <f>VLOOKUP(A292,PrivateInvestment!A:B,2,)</f>
        <v>3453.0590000000002</v>
      </c>
      <c r="E292" s="46">
        <f>VLOOKUP(A292,Exports!A:B,2,)</f>
        <v>2544.5520000000001</v>
      </c>
      <c r="F292" s="64">
        <f>VLOOKUP(A292,Imports!A:B,2,)</f>
        <v>3441.0680000000002</v>
      </c>
      <c r="G292" s="37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9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4">
        <f>VLOOKUP(A293,'U.S. GDP'!A:B,2,)</f>
        <v>18733.741000000002</v>
      </c>
      <c r="C293" s="64">
        <f>VLOOKUP(A293,PersonalConsumption!A:B,2,)</f>
        <v>12943.375</v>
      </c>
      <c r="D293" s="64">
        <f>VLOOKUP(A293,PrivateInvestment!A:B,2,)</f>
        <v>3450.6080000000002</v>
      </c>
      <c r="E293" s="64">
        <f>VLOOKUP(A293,Exports!A:B,2,)</f>
        <v>2552.4369999999999</v>
      </c>
      <c r="F293" s="64">
        <f>VLOOKUP(A293,Imports!A:B,2,)</f>
        <v>3474.268</v>
      </c>
      <c r="G293" s="64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9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4">
        <f>VLOOKUP(A294,'U.S. GDP'!A:B,2,)</f>
        <v>18835.411</v>
      </c>
      <c r="C294" s="64">
        <f>VLOOKUP(A294,PersonalConsumption!A:B,2,)</f>
        <v>12955.727000000001</v>
      </c>
      <c r="D294" s="64">
        <f>VLOOKUP(A294,PrivateInvestment!A:B,2,)</f>
        <v>3484.3490000000002</v>
      </c>
      <c r="E294" s="46">
        <f>VLOOKUP(A294,Exports!A:B,2,)</f>
        <v>2582.2849999999999</v>
      </c>
      <c r="F294" s="64">
        <f>VLOOKUP(A294,Imports!A:B,2,)</f>
        <v>3485.931</v>
      </c>
      <c r="G294" s="37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9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4">
        <f>VLOOKUP(A295,'U.S. GDP'!A:B,2,)</f>
        <v>18962.174999999999</v>
      </c>
      <c r="C295" s="64">
        <f>VLOOKUP(A295,PersonalConsumption!A:B,2,)</f>
        <v>13038.853999999999</v>
      </c>
      <c r="D295" s="64">
        <f>VLOOKUP(A295,PrivateInvestment!A:B,2,)</f>
        <v>3504.855</v>
      </c>
      <c r="E295" s="64">
        <f>VLOOKUP(A295,Exports!A:B,2,)</f>
        <v>2567.2809999999999</v>
      </c>
      <c r="F295" s="64">
        <f>VLOOKUP(A295,Imports!A:B,2,)</f>
        <v>3491.7510000000002</v>
      </c>
      <c r="G295" s="64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9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4">
        <f>VLOOKUP(A296,'U.S. GDP'!A:B,2,)</f>
        <v>19130.932000000001</v>
      </c>
      <c r="C296" s="64">
        <f>VLOOKUP(A296,PersonalConsumption!A:B,2,)</f>
        <v>13148.857</v>
      </c>
      <c r="D296" s="64">
        <f>VLOOKUP(A296,PrivateInvestment!A:B,2,)</f>
        <v>3527.1930000000002</v>
      </c>
      <c r="E296" s="46">
        <f>VLOOKUP(A296,Exports!A:B,2,)</f>
        <v>2567.0100000000002</v>
      </c>
      <c r="F296" s="64">
        <f>VLOOKUP(A296,Imports!A:B,2,)</f>
        <v>3476.3820000000001</v>
      </c>
      <c r="G296" s="37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9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4">
        <f>VLOOKUP(A297,'U.S. GDP'!A:B,2,)</f>
        <v>19215.690999999999</v>
      </c>
      <c r="C297" s="64">
        <f>VLOOKUP(A297,PersonalConsumption!A:B,2,)</f>
        <v>13225.609</v>
      </c>
      <c r="D297" s="64">
        <f>VLOOKUP(A297,PrivateInvestment!A:B,2,)</f>
        <v>3454.3539999999998</v>
      </c>
      <c r="E297" s="64">
        <f>VLOOKUP(A297,Exports!A:B,2,)</f>
        <v>2571.8449999999998</v>
      </c>
      <c r="F297" s="64">
        <f>VLOOKUP(A297,Imports!A:B,2,)</f>
        <v>3404.66</v>
      </c>
      <c r="G297" s="64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9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4">
        <f>VLOOKUP(A298,'U.S. GDP'!A:B,2,)</f>
        <v>18989.877</v>
      </c>
      <c r="C298" s="64">
        <f>VLOOKUP(A298,PersonalConsumption!A:B,2,)</f>
        <v>13016.75</v>
      </c>
      <c r="D298" s="64">
        <f>VLOOKUP(A298,PrivateInvestment!A:B,2,)</f>
        <v>3409.8829999999998</v>
      </c>
      <c r="E298" s="46">
        <f>VLOOKUP(A298,Exports!A:B,2,)</f>
        <v>2467.3040000000001</v>
      </c>
      <c r="F298" s="64">
        <f>VLOOKUP(A298,Imports!A:B,2,)</f>
        <v>3295.4929999999999</v>
      </c>
      <c r="G298" s="37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9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4">
        <f>VLOOKUP(A299,'U.S. GDP'!A:B,2,)</f>
        <v>17378.712</v>
      </c>
      <c r="C299" s="64">
        <f>VLOOKUP(A299,PersonalConsumption!A:B,2,)</f>
        <v>11817.147000000001</v>
      </c>
      <c r="D299" s="64">
        <f>VLOOKUP(A299,PrivateInvestment!A:B,2,)</f>
        <v>2884.223</v>
      </c>
      <c r="E299" s="64">
        <f>VLOOKUP(A299,Exports!A:B,2,)</f>
        <v>1951.3679999999999</v>
      </c>
      <c r="F299" s="64">
        <f>VLOOKUP(A299,Imports!A:B,2,)</f>
        <v>2718.6190000000001</v>
      </c>
      <c r="G299" s="64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9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4">
        <f>VLOOKUP(A300,'U.S. GDP'!A:B,2,)</f>
        <v>18743.72</v>
      </c>
      <c r="C300" s="64">
        <f>VLOOKUP(A300,PersonalConsumption!A:B,2,)</f>
        <v>12922.380999999999</v>
      </c>
      <c r="D300" s="64">
        <f>VLOOKUP(A300,PrivateInvestment!A:B,2,)</f>
        <v>3394.1419999999998</v>
      </c>
      <c r="E300" s="46">
        <f>VLOOKUP(A300,Exports!A:B,2,)</f>
        <v>2193.0329999999999</v>
      </c>
      <c r="F300" s="64">
        <f>VLOOKUP(A300,Imports!A:B,2,)</f>
        <v>3184.18</v>
      </c>
      <c r="G300" s="37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9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4">
        <f>VLOOKUP(A301,'U.S. GDP'!A:B,2,)</f>
        <v>18924.261999999999</v>
      </c>
      <c r="C301" s="64">
        <f>VLOOKUP(A301,PersonalConsumption!A:B,2,)</f>
        <v>13046.614</v>
      </c>
      <c r="D301" s="64">
        <f>VLOOKUP(A301,PrivateInvestment!A:B,2,)</f>
        <v>3537.645</v>
      </c>
      <c r="E301" s="64">
        <f>VLOOKUP(A301,Exports!A:B,2,)</f>
        <v>2315.0329999999999</v>
      </c>
      <c r="F301" s="64">
        <f>VLOOKUP(A301,Imports!A:B,2,)</f>
        <v>3419.0010000000002</v>
      </c>
      <c r="G301" s="64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9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4">
        <f>VLOOKUP(A302,'U.S. GDP'!A:B,2,)</f>
        <v>19216.223999999998</v>
      </c>
      <c r="C302" s="64">
        <f>VLOOKUP(A302,PersonalConsumption!A:B,2,)</f>
        <v>13386.763000000001</v>
      </c>
      <c r="D302" s="64">
        <f>VLOOKUP(A302,PrivateInvestment!A:B,2,)</f>
        <v>3489.2939999999999</v>
      </c>
      <c r="E302" s="46">
        <f>VLOOKUP(A302,Exports!A:B,2,)</f>
        <v>2317.5050000000001</v>
      </c>
      <c r="F302" s="64">
        <f>VLOOKUP(A302,Imports!A:B,2,)</f>
        <v>3482.0349999999999</v>
      </c>
      <c r="G302" s="37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9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4">
        <f>VLOOKUP(A303,'U.S. GDP'!A:B,2,)</f>
        <v>19544.248</v>
      </c>
      <c r="C303" s="64">
        <f>VLOOKUP(A303,PersonalConsumption!A:B,2,)</f>
        <v>13773.688</v>
      </c>
      <c r="D303" s="64">
        <f>VLOOKUP(A303,PrivateInvestment!A:B,2,)</f>
        <v>3496.8670000000002</v>
      </c>
      <c r="E303" s="64">
        <f>VLOOKUP(A303,Exports!A:B,2,)</f>
        <v>2345.1320000000001</v>
      </c>
      <c r="F303" s="64">
        <f>VLOOKUP(A303,Imports!A:B,2,)</f>
        <v>3549.002</v>
      </c>
      <c r="G303" s="64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9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4">
        <f>VLOOKUP(A304,'U.S. GDP'!A:B,2,)</f>
        <v>19672.594000000001</v>
      </c>
      <c r="C304" s="64">
        <f>VLOOKUP(A304,PersonalConsumption!A:B,2,)</f>
        <v>13874.396000000001</v>
      </c>
      <c r="D304" s="64">
        <f>VLOOKUP(A304,PrivateInvestment!A:B,2,)</f>
        <v>3584.05</v>
      </c>
      <c r="E304" s="46">
        <f>VLOOKUP(A304,Exports!A:B,2,)</f>
        <v>2338.8249999999998</v>
      </c>
      <c r="F304" s="64">
        <f>VLOOKUP(A304,Imports!A:B,2,)</f>
        <v>3606.2829999999999</v>
      </c>
      <c r="G304" s="37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9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4">
        <f>VLOOKUP(A305,'U.S. GDP'!A:B,2,)</f>
        <v>20006.181</v>
      </c>
      <c r="C305" s="64">
        <f>VLOOKUP(A305,PersonalConsumption!A:B,2,)</f>
        <v>13981.513999999999</v>
      </c>
      <c r="D305" s="64">
        <f>VLOOKUP(A305,PrivateInvestment!A:B,2,)</f>
        <v>3841.7710000000002</v>
      </c>
      <c r="E305" s="64">
        <f>VLOOKUP(A305,Exports!A:B,2,)</f>
        <v>2465.672</v>
      </c>
      <c r="F305" s="64">
        <f>VLOOKUP(A305,Imports!A:B,2,)</f>
        <v>3763.3159999999998</v>
      </c>
      <c r="G305" s="64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9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4">
        <f>VLOOKUP(A306,'U.S. GDP'!A:B,2,)</f>
        <v>19924.088</v>
      </c>
      <c r="C306" s="64">
        <f>VLOOKUP(A306,PersonalConsumption!A:B,2,)</f>
        <v>14028.383</v>
      </c>
      <c r="D306" s="64">
        <f>VLOOKUP(A306,PrivateInvestment!A:B,2,)</f>
        <v>3892.48</v>
      </c>
      <c r="E306" s="64">
        <f>VLOOKUP(A306,Exports!A:B,2,)</f>
        <v>2436.9340000000002</v>
      </c>
      <c r="F306" s="64">
        <f>VLOOKUP(A306,Imports!A:B,2,)</f>
        <v>3925.6329999999998</v>
      </c>
      <c r="G306" s="64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9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4">
        <f>VLOOKUP(A307,'U.S. GDP'!A:B,2,)</f>
        <v>19895.271000000001</v>
      </c>
      <c r="C307" s="64">
        <f>VLOOKUP(A307,PersonalConsumption!A:B,2,)</f>
        <v>14099.456</v>
      </c>
      <c r="D307" s="64">
        <f>VLOOKUP(A307,PrivateInvestment!A:B,2,)</f>
        <v>3746.973</v>
      </c>
      <c r="E307" s="64">
        <f>VLOOKUP(A307,Exports!A:B,2,)</f>
        <v>2516.9279999999999</v>
      </c>
      <c r="F307" s="64">
        <f>VLOOKUP(A307,Imports!A:B,2,)</f>
        <v>3947.4720000000002</v>
      </c>
      <c r="G307" s="64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9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4">
        <f>VLOOKUP(A308,'U.S. GDP'!A:B,2,)</f>
        <v>20039.405999999999</v>
      </c>
      <c r="C308" s="64">
        <f>VLOOKUP(A308,PersonalConsumption!A:B,2,)</f>
        <v>14159.892</v>
      </c>
      <c r="D308" s="64">
        <f>VLOOKUP(A308,PrivateInvestment!A:B,2,)</f>
        <v>3658.8040000000001</v>
      </c>
      <c r="E308" s="46">
        <f>VLOOKUP(A308,Exports!A:B,2,)</f>
        <v>2608.2649999999999</v>
      </c>
      <c r="F308" s="64">
        <f>VLOOKUP(A308,Imports!A:B,2,)</f>
        <v>3872.9789999999998</v>
      </c>
      <c r="G308" s="37">
        <f>VLOOKUP(A308,Government!A:B,2,)</f>
        <v>3404.922</v>
      </c>
      <c r="H308" s="37">
        <f>Table58[[#This Row],[Personal Consumption]]/Table58[[#This Row],[GDP]]</f>
        <v>0.7066023813280693</v>
      </c>
      <c r="I308" s="37">
        <f>Table58[[#This Row],[Private Investment]]/Table58[[#This Row],[GDP]]</f>
        <v>0.18258046171628042</v>
      </c>
      <c r="J308" s="37">
        <f>Table58[[#This Row],[Exports]]/Table58[[#This Row],[GDP]]</f>
        <v>0.13015680205291513</v>
      </c>
      <c r="K308" s="37">
        <f>-Table58[[#This Row],[Imports]]/Table58[[#This Row],[GDP]]</f>
        <v>-0.19326815375665327</v>
      </c>
      <c r="L308" s="37">
        <f>Table58[[#This Row],[Government]]/Table58[[#This Row],[GDP]]</f>
        <v>0.16991132371887671</v>
      </c>
      <c r="N308" s="59">
        <f>SUM(Table58[[#This Row],[PC%]:[G%]])</f>
        <v>0.99598281505948838</v>
      </c>
      <c r="O308" s="25">
        <f>Table58[[#This Row],[Personal Consumption]]+Table58[[#This Row],[Private Investment]]+Table58[[#This Row],[Exports]]+Table58[[#This Row],[Government]]-Table58[[#This Row],[Imports]]</f>
        <v>19958.903999999999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8"/>
  <sheetViews>
    <sheetView zoomScale="70" zoomScaleNormal="70" workbookViewId="0">
      <pane ySplit="5" topLeftCell="A296" activePane="bottomLeft" state="frozen"/>
      <selection pane="bottomLeft" activeCell="F297" sqref="F297"/>
    </sheetView>
  </sheetViews>
  <sheetFormatPr defaultColWidth="10.9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</cols>
  <sheetData>
    <row r="1" spans="1:15" ht="16" customHeight="1" x14ac:dyDescent="0.35">
      <c r="A1" s="73" t="s">
        <v>23</v>
      </c>
      <c r="B1" s="69"/>
      <c r="C1" s="18"/>
      <c r="D1" s="19"/>
      <c r="E1" s="19"/>
      <c r="F1" s="77"/>
      <c r="G1" s="77"/>
      <c r="H1" s="77"/>
      <c r="I1" s="77"/>
      <c r="J1" s="77"/>
      <c r="K1" s="77"/>
      <c r="L1" s="78" t="s">
        <v>53</v>
      </c>
      <c r="M1" s="77"/>
      <c r="N1" s="77"/>
      <c r="O1" s="77"/>
    </row>
    <row r="2" spans="1:15" x14ac:dyDescent="0.35">
      <c r="A2" s="21" t="s">
        <v>54</v>
      </c>
      <c r="B2" s="71"/>
      <c r="C2" s="18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4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4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4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4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4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4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4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4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4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4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4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4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4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4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4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4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4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4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4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4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4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4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4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4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4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4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4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4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4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4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4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4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4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4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4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4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4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4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4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4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4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4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4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4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4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4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4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4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4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4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4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4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4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4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4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4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4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4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4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4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4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4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4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4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4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4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4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4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4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4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4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4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4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4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4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4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4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4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4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4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4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4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4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4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4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4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4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4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4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4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4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4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4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4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4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4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4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4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4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4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4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4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4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4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4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4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4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4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4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4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4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4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4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4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4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4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4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4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4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4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4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4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4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4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4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4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4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4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4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4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4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4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4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4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4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4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4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4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4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4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4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4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4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4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4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4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4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4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4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4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4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4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4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4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4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4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4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4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4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4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4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4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4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4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4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4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4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4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4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4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4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4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4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4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4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4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4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4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4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4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4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4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4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4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4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4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4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4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4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4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4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4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4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4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4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4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4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4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4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4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4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4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4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4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4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4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4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4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4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4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4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4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4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4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4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4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4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4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4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4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4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4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4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4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4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4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4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4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4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4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4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4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4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4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4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4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4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4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4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4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4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4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4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4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4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4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4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4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4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4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4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4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4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4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4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8" si="12">((1+C262)^4)-1</f>
        <v>1.5366503976056878E-2</v>
      </c>
    </row>
    <row r="263" spans="1:5" x14ac:dyDescent="0.35">
      <c r="A263" s="35">
        <v>40634</v>
      </c>
      <c r="B263" s="64">
        <f>VLOOKUP(A263,Database!A:L,MATCH($A$1,Database!$A$1:$L$1,),)</f>
        <v>10879.873</v>
      </c>
      <c r="C263" s="37">
        <f t="shared" ref="C263:C326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4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4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4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29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4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4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4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4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4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4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4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4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4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4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4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4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4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4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4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4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4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4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4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4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4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4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4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4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4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4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4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4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4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4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4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4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4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4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4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4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4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5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4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4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4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4">
        <f>VLOOKUP(A308,Database!A:L,MATCH($A$1,Database!$A$1:$L$1,),)</f>
        <v>14159.892</v>
      </c>
      <c r="C308" s="37">
        <f t="shared" si="13"/>
        <v>4.2864065110029556E-3</v>
      </c>
      <c r="D308" s="36">
        <f t="shared" si="14"/>
        <v>2.0577184044624296E-2</v>
      </c>
      <c r="E308" s="36">
        <f t="shared" si="12"/>
        <v>1.7256181087655476E-2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8"/>
  <sheetViews>
    <sheetView zoomScale="90" zoomScaleNormal="90" workbookViewId="0">
      <pane ySplit="5" topLeftCell="A291" activePane="bottomLeft" state="frozen"/>
      <selection pane="bottomLeft" activeCell="G308" sqref="G308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0" t="s">
        <v>20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58</v>
      </c>
      <c r="M1" s="77"/>
      <c r="N1" s="77"/>
      <c r="O1" s="77"/>
    </row>
    <row r="2" spans="1:15" x14ac:dyDescent="0.35">
      <c r="A2" s="48" t="s">
        <v>59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VLOOKUP(A6,Database!A:I,MATCH($A$1,Database!$A$1:$G$1,),)</f>
        <v>218.09100000000001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201.386</v>
      </c>
      <c r="C7" s="37">
        <f t="shared" ref="C7:C70" si="1">(B7-B6)/B6</f>
        <v>-7.6596466612560865E-2</v>
      </c>
      <c r="D7" s="36"/>
      <c r="E7" s="36">
        <f t="shared" si="0"/>
        <v>-0.27294690396379384</v>
      </c>
    </row>
    <row r="8" spans="1:15" x14ac:dyDescent="0.35">
      <c r="A8" s="35">
        <v>17349</v>
      </c>
      <c r="B8" s="64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4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4">
        <f>VLOOKUP(A10,Database!A:L,MATCH($A$1,Database!$A$1:$L$1,),)</f>
        <v>257.22000000000003</v>
      </c>
      <c r="C10" s="37">
        <f t="shared" si="1"/>
        <v>0.10260455067642889</v>
      </c>
      <c r="D10" s="36">
        <f t="shared" ref="D10:D73" si="2">(B10-B6)/B6</f>
        <v>0.17941593188164581</v>
      </c>
      <c r="E10" s="36">
        <f t="shared" si="0"/>
        <v>0.47801595513598372</v>
      </c>
    </row>
    <row r="11" spans="1:15" x14ac:dyDescent="0.35">
      <c r="A11" s="35">
        <v>17624</v>
      </c>
      <c r="B11" s="64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4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4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4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4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4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4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4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4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4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4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4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4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4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4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4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4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4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4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4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4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4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4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4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4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4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4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4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4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4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4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4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4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4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4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4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4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4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4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4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4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4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4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4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4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4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4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4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4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4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4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4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4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4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4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4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4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4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4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4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4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4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4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4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4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4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4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4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4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4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4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4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4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4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4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4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4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4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4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4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4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4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4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4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4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4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4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4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4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4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4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4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4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4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4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4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4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4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4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4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4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4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4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4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4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4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4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4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4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4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4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4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4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4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4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4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4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4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4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4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4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4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4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4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4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4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4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4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4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4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4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4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4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4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4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4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4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4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4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4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4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4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4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4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4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4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4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4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4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4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4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4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4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4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4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4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4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4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4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4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4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4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4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4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4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4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4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4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4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4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4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4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4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4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4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4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4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4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4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4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4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4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4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4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4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4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4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4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4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4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4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4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4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4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4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4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4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4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4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4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4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4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4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4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4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4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4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4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4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4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4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4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4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4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4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4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4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4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4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4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4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4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4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4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4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4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4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4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4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4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4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4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4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4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4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4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4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4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4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4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4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4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4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4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4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4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4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4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4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4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4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4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8" si="12">((1+C262)^4)-1</f>
        <v>-7.3301710624746774E-2</v>
      </c>
    </row>
    <row r="263" spans="1:5" x14ac:dyDescent="0.35">
      <c r="A263" s="35">
        <v>40634</v>
      </c>
      <c r="B263" s="64">
        <f>VLOOKUP(A263,Database!A:L,MATCH($A$1,Database!$A$1:$L$1,),)</f>
        <v>2336.0569999999998</v>
      </c>
      <c r="C263" s="37">
        <f t="shared" ref="C263:C326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4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4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4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29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4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4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4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4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4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4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4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4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4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4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4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4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4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4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4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4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4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4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4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4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4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4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4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4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4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4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4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4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4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4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4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4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4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4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4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4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4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5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4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4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4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4">
        <f>VLOOKUP(A308,Database!A:L,MATCH($A$1,Database!$A$1:$L$1,),)</f>
        <v>3658.8040000000001</v>
      </c>
      <c r="C308" s="37">
        <f t="shared" si="13"/>
        <v>-2.3530727336439274E-2</v>
      </c>
      <c r="D308" s="36">
        <f t="shared" si="14"/>
        <v>2.0857409913366137E-2</v>
      </c>
      <c r="E308" s="36">
        <f t="shared" si="12"/>
        <v>-9.0852547390000371E-2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8"/>
  <sheetViews>
    <sheetView zoomScale="110" zoomScaleNormal="110" workbookViewId="0">
      <pane ySplit="5" topLeftCell="A294" activePane="bottomLeft" state="frozen"/>
      <selection pane="bottomLeft" activeCell="A302" sqref="A302:E308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0" t="s">
        <v>15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60</v>
      </c>
      <c r="M1" s="77"/>
      <c r="N1" s="77"/>
      <c r="O1" s="77"/>
    </row>
    <row r="2" spans="1:15" x14ac:dyDescent="0.35">
      <c r="A2" s="48" t="s">
        <v>61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4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4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4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4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4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4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4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4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4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4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4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4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4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4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4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4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4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4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4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4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4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4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4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4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4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4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4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4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4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4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4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4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4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4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4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4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4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4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4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4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4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4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4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4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4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4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4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4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4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4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4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4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4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4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4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4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4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4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4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4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4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4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4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4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4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4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4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4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4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4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4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4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4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4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4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4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4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4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4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4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4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4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4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4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4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4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4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4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4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4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4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4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4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4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4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4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4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4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4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4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4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4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4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4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4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4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4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4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4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4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4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4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4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4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4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4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4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4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4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4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4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4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4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4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4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4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4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4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4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4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4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4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4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4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4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4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4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4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4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4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4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4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4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4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4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4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4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4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4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4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4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4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4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4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4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4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4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4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4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4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4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4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4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4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4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4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4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4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4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4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4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4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4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4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4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4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4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4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4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4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4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4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4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4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4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4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4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4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4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4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4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4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4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4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4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4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4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4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4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4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4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4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4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4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4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4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4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4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4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4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4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4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4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4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4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4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4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4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4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4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4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4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4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4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4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4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4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4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4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4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4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4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4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4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4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4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4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4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4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4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4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4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4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4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4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4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4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4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4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4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4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4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4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4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4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8" si="12">((1+C262)^4)-1</f>
        <v>3.4676945548367533E-2</v>
      </c>
    </row>
    <row r="263" spans="1:5" x14ac:dyDescent="0.35">
      <c r="A263" s="35">
        <v>40634</v>
      </c>
      <c r="B263" s="64">
        <f>VLOOKUP(A263,Database!A:L,MATCH($A$1,Database!$A$1:$L$1,),)</f>
        <v>2122.3209999999999</v>
      </c>
      <c r="C263" s="37">
        <f t="shared" ref="C263:C326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4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4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4">
        <f>VLOOKUP(A266,Database!A:L,MATCH($A$1,Database!$A$1:$L$1,),)</f>
        <v>2194.087</v>
      </c>
      <c r="C266" s="37">
        <f t="shared" si="13"/>
        <v>1.2195223218487075E-2</v>
      </c>
      <c r="D266" s="36">
        <f t="shared" ref="D266:D329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4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4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4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4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4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4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4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4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4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4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4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4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4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4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4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4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4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4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4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4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4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4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4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4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4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4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4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4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4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4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4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4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4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4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4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4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4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5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4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4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4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4">
        <f>VLOOKUP(A308,Database!A:L,MATCH($A$1,Database!$A$1:$L$1,),)</f>
        <v>2608.2649999999999</v>
      </c>
      <c r="C308" s="37">
        <f t="shared" si="13"/>
        <v>3.6289079385663787E-2</v>
      </c>
      <c r="D308" s="36">
        <f t="shared" si="14"/>
        <v>0.11520314687930909</v>
      </c>
      <c r="E308" s="36">
        <f t="shared" si="12"/>
        <v>0.1532505914171951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8"/>
  <sheetViews>
    <sheetView zoomScaleNormal="100" workbookViewId="0">
      <pane ySplit="5" topLeftCell="A291" activePane="bottomLeft" state="frozen"/>
      <selection pane="bottomLeft" activeCell="AG298" sqref="AG298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0" t="s">
        <v>21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62</v>
      </c>
      <c r="M1" s="77"/>
      <c r="N1" s="77"/>
      <c r="O1" s="77"/>
    </row>
    <row r="2" spans="1:15" x14ac:dyDescent="0.35">
      <c r="A2" s="48" t="s">
        <v>63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4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4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4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4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4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4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4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4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4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4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4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4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4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4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4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4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4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4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4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4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4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4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4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4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4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4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4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4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4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4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4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4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4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4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4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4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4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4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4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4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4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4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4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4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4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4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4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4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4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4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4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4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4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4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4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4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4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4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4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4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4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4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4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4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4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4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4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4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4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4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4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4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4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4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4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4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4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4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4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4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4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4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4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4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4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4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4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4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4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4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4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4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4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4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4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4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4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4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4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4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4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4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4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4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4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4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4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4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4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4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4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4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4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4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4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4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4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4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4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4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4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4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4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4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4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4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4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4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4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4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4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4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4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4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4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4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4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4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4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4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4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4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4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4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4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4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4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4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4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4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4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4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4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4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4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4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4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4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4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4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4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4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4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4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4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4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4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4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4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4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4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4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4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4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4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4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4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4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4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4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4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4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4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4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4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4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4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4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4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4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4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4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4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4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4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4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4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4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4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4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4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4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4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4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4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4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4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4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4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4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4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4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4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4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4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4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4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4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4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4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4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4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4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4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4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4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4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4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4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4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4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4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4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4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4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4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4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4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4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4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4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4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4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4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4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4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4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4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4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4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4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4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4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4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4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8" si="12">((1+C262)^4)-1</f>
        <v>1.9681122487337221E-2</v>
      </c>
    </row>
    <row r="263" spans="1:5" x14ac:dyDescent="0.35">
      <c r="A263" s="35">
        <v>40634</v>
      </c>
      <c r="B263" s="64">
        <f>VLOOKUP(A263,Database!A:L,MATCH($A$1,Database!$A$1:$L$1,),)</f>
        <v>2681.8649999999998</v>
      </c>
      <c r="C263" s="37">
        <f t="shared" ref="C263:C326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4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4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4">
        <f>VLOOKUP(A266,Database!A:L,MATCH($A$1,Database!$A$1:$L$1,),)</f>
        <v>2760.748</v>
      </c>
      <c r="C266" s="37">
        <f t="shared" si="13"/>
        <v>4.9238849004139247E-3</v>
      </c>
      <c r="D266" s="36">
        <f t="shared" ref="D266:D329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4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4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4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4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4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4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4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4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4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4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4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4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4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4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4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4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4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4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4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4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4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4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4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4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4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4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4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4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4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4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4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4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4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4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4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4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4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5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4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4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4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4">
        <f>VLOOKUP(A308,Database!A:L,MATCH($A$1,Database!$A$1:$L$1,),)</f>
        <v>3872.9789999999998</v>
      </c>
      <c r="C308" s="37">
        <f t="shared" si="13"/>
        <v>-1.8871064823259138E-2</v>
      </c>
      <c r="D308" s="36">
        <f t="shared" si="14"/>
        <v>7.3953153426949553E-2</v>
      </c>
      <c r="E308" s="36">
        <f t="shared" si="12"/>
        <v>-7.3374311182851093E-2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8"/>
  <sheetViews>
    <sheetView topLeftCell="H1" zoomScale="90" zoomScaleNormal="90" workbookViewId="0">
      <pane ySplit="5" topLeftCell="A281" activePane="bottomLeft" state="frozen"/>
      <selection pane="bottomLeft" activeCell="H304" sqref="H304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0" t="s">
        <v>16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64</v>
      </c>
      <c r="M1" s="77"/>
      <c r="N1" s="77"/>
      <c r="O1" s="77"/>
    </row>
    <row r="2" spans="1:15" x14ac:dyDescent="0.35">
      <c r="A2" s="48" t="s">
        <v>65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4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4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4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4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4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4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4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4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4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4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4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4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4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4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4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4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4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4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4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4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4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4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4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4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4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4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4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4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4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4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4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4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4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4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4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4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4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4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4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4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4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4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4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4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4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4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4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4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4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4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4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4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4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4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4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4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4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4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4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4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4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4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4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4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4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4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4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4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4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4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4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4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4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4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4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4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4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4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4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4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4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4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4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4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4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4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4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4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4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4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4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4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4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4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4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4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4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4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4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4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4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4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4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4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4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4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4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4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4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4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4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4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4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4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4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4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4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4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4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4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4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4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4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4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4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4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4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4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4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4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4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4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4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4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4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4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4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4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4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4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4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4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4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4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4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4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4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4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4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4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4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4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4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4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4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4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4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4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4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4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4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4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4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4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4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4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4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4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4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4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4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4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4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4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4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4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4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4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4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4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4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4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4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4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4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4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4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4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4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4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4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4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4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4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4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4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4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4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4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4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4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4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4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4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4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4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4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4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4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4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4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4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4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4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4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4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4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4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4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4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4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4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4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4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4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4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4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4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4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4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4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4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4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4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4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4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4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4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4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4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4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4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4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4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4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4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4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4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4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4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4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4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4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4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4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8" si="12">((1+C262)^4)-1</f>
        <v>-4.816411958354827E-2</v>
      </c>
    </row>
    <row r="263" spans="1:5" x14ac:dyDescent="0.35">
      <c r="A263" s="35">
        <v>40634</v>
      </c>
      <c r="B263" s="64">
        <f>VLOOKUP(A263,Database!A:L,MATCH($A$1,Database!$A$1:$L$1,),)</f>
        <v>3220.8159999999998</v>
      </c>
      <c r="C263" s="37">
        <f t="shared" ref="C263:C326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4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4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4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29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4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4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4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4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4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4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4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4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4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4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4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4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4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4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4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4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4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4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4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4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4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4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4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4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4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4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4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4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4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4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4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4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4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4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4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4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4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5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4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4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4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4">
        <f>VLOOKUP(A308,Database!A:L,MATCH($A$1,Database!$A$1:$L$1,),)</f>
        <v>3404.922</v>
      </c>
      <c r="C308" s="37">
        <f t="shared" si="13"/>
        <v>7.5227126861112346E-3</v>
      </c>
      <c r="D308" s="36">
        <f t="shared" si="14"/>
        <v>-4.7131783670841601E-3</v>
      </c>
      <c r="E308" s="36">
        <f t="shared" si="12"/>
        <v>3.0432104061494547E-2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8"/>
  <sheetViews>
    <sheetView zoomScale="90" zoomScaleNormal="90" workbookViewId="0">
      <pane ySplit="5" topLeftCell="A291" activePane="bottomLeft" state="frozen"/>
      <selection pane="bottomLeft" activeCell="I313" sqref="I313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5" t="s">
        <v>19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66</v>
      </c>
      <c r="M1" s="77"/>
      <c r="N1" s="77"/>
      <c r="O1" s="77"/>
    </row>
    <row r="2" spans="1:15" x14ac:dyDescent="0.35">
      <c r="A2" s="48" t="s">
        <v>67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4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4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4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4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4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4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4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4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4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4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4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4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4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4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4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4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4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4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4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4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4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4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4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4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4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4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4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4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4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4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4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4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4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4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4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4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4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4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4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4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4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4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4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4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4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4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4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4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4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4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4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4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4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4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4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4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4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4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4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4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4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4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4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4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4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4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4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4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4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4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4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4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4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4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4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4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4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4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4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4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4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4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4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4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4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4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4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4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4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4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4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4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4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4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4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4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4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4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4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4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4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4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4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4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4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4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4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4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4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4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4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4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4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4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4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4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4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4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4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4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4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4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4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4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4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4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4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4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4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4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4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4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4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4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4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4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4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4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4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4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4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4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4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4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4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4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4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4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4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4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4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4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4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4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4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4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4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4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4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4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4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4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4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4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4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4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4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4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4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4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4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4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4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4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4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4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4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4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4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4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4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4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4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4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4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4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4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4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4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4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4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4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4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4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4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4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4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4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4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4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4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4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4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4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4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4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4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4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4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4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4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4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4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4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4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4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4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4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4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4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4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4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4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4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4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4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4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4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4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4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4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4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4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4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4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4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4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4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4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4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4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4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4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4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4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4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4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4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4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4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4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4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4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4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4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4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8" si="12">((1+C262)^4)-1</f>
        <v>1.9759885261275034E-2</v>
      </c>
    </row>
    <row r="263" spans="1:5" x14ac:dyDescent="0.35">
      <c r="A263" s="35">
        <v>40634</v>
      </c>
      <c r="B263" s="64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4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4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4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4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4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4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4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4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4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4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4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4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4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4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4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4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4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4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4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4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4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4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4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4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4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4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4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4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4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4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4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4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4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4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4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4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4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4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4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4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5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4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4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4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4">
        <f>VLOOKUP(A308,Database!A:L,MATCH($A$1,Database!$A$1:$L$1,),)</f>
        <v>128.24799999999999</v>
      </c>
      <c r="C308" s="37">
        <f t="shared" si="13"/>
        <v>1.0511054729974541E-2</v>
      </c>
      <c r="D308" s="36">
        <f t="shared" si="14"/>
        <v>7.0848258644155421E-2</v>
      </c>
      <c r="E308" s="36">
        <f t="shared" si="12"/>
        <v>4.2711769896260687E-2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8"/>
  <sheetViews>
    <sheetView tabSelected="1" zoomScale="110" zoomScaleNormal="110" workbookViewId="0">
      <pane ySplit="5" topLeftCell="A295" activePane="bottomLeft" state="frozen"/>
      <selection activeCell="I311" sqref="I311"/>
      <selection pane="bottomLeft" activeCell="G308" sqref="G308"/>
    </sheetView>
  </sheetViews>
  <sheetFormatPr defaultColWidth="10.81640625" defaultRowHeight="14.5" x14ac:dyDescent="0.35"/>
  <cols>
    <col min="1" max="1" width="16.1796875" style="56" customWidth="1"/>
    <col min="2" max="2" width="14.1796875" style="56" customWidth="1"/>
    <col min="3" max="3" width="16" style="56" customWidth="1"/>
    <col min="4" max="4" width="14.453125" style="56" customWidth="1"/>
    <col min="5" max="5" width="15.1796875" style="56" customWidth="1"/>
    <col min="6" max="17" width="10.81640625" style="56" customWidth="1"/>
    <col min="18" max="16384" width="10.81640625" style="56"/>
  </cols>
  <sheetData>
    <row r="1" spans="1:15" x14ac:dyDescent="0.35">
      <c r="A1" s="75" t="s">
        <v>22</v>
      </c>
      <c r="B1" s="74"/>
      <c r="C1" s="47"/>
      <c r="D1" s="19"/>
      <c r="E1" s="19"/>
      <c r="F1" s="77"/>
      <c r="G1" s="77"/>
      <c r="H1" s="77"/>
      <c r="I1" s="77"/>
      <c r="J1" s="77"/>
      <c r="K1" s="77"/>
      <c r="L1" s="78" t="s">
        <v>68</v>
      </c>
      <c r="M1" s="77"/>
      <c r="N1" s="77"/>
      <c r="O1" s="77"/>
    </row>
    <row r="2" spans="1:15" x14ac:dyDescent="0.35">
      <c r="A2" s="48" t="s">
        <v>69</v>
      </c>
      <c r="B2" s="71"/>
      <c r="C2" s="47"/>
      <c r="D2" s="19"/>
      <c r="E2" s="19"/>
      <c r="F2" s="77"/>
      <c r="G2" s="77"/>
      <c r="H2" s="77"/>
      <c r="I2" s="71"/>
      <c r="J2" s="77"/>
      <c r="K2" s="20"/>
      <c r="L2" s="77"/>
      <c r="M2" s="77"/>
      <c r="N2" s="77"/>
      <c r="O2" s="77"/>
    </row>
    <row r="3" spans="1:15" x14ac:dyDescent="0.35">
      <c r="A3" s="21"/>
      <c r="B3" s="71"/>
      <c r="C3" s="18"/>
      <c r="D3" s="19"/>
      <c r="E3" s="19"/>
      <c r="F3" s="77"/>
      <c r="G3" s="77"/>
      <c r="H3" s="77"/>
      <c r="I3" s="71"/>
      <c r="J3" s="77"/>
      <c r="K3" s="20"/>
      <c r="L3" s="77"/>
      <c r="M3" s="77"/>
      <c r="N3" s="77"/>
      <c r="O3" s="77"/>
    </row>
    <row r="4" spans="1:15" x14ac:dyDescent="0.35">
      <c r="A4" s="17"/>
      <c r="B4" s="69"/>
      <c r="C4" s="18"/>
      <c r="D4" s="19"/>
      <c r="E4" s="19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35">
      <c r="A5" s="49" t="s">
        <v>30</v>
      </c>
      <c r="B5" s="63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4"/>
      <c r="C6" s="36"/>
      <c r="D6" s="36"/>
      <c r="E6" s="36"/>
    </row>
    <row r="7" spans="1:15" x14ac:dyDescent="0.35">
      <c r="A7" s="35">
        <v>17258</v>
      </c>
      <c r="B7" s="64"/>
      <c r="C7" s="37"/>
      <c r="D7" s="36"/>
      <c r="E7" s="36"/>
    </row>
    <row r="8" spans="1:15" x14ac:dyDescent="0.35">
      <c r="A8" s="35">
        <v>17349</v>
      </c>
      <c r="B8" s="64"/>
      <c r="C8" s="37"/>
      <c r="D8" s="36"/>
      <c r="E8" s="36"/>
    </row>
    <row r="9" spans="1:15" x14ac:dyDescent="0.35">
      <c r="A9" s="35">
        <v>17441</v>
      </c>
      <c r="B9" s="64"/>
      <c r="C9" s="37"/>
      <c r="D9" s="36"/>
      <c r="E9" s="36"/>
    </row>
    <row r="10" spans="1:15" x14ac:dyDescent="0.35">
      <c r="A10" s="35">
        <v>17533</v>
      </c>
      <c r="B10" s="64"/>
      <c r="C10" s="37"/>
      <c r="D10" s="36"/>
      <c r="E10" s="36"/>
    </row>
    <row r="11" spans="1:15" x14ac:dyDescent="0.35">
      <c r="A11" s="35">
        <v>17624</v>
      </c>
      <c r="B11" s="64"/>
      <c r="C11" s="37"/>
      <c r="D11" s="36"/>
      <c r="E11" s="36"/>
    </row>
    <row r="12" spans="1:15" x14ac:dyDescent="0.35">
      <c r="A12" s="35">
        <v>17715</v>
      </c>
      <c r="B12" s="64"/>
      <c r="C12" s="37"/>
      <c r="D12" s="36"/>
      <c r="E12" s="36"/>
    </row>
    <row r="13" spans="1:15" x14ac:dyDescent="0.35">
      <c r="A13" s="35">
        <v>17807</v>
      </c>
      <c r="B13" s="64"/>
      <c r="C13" s="37"/>
      <c r="D13" s="36"/>
      <c r="E13" s="36"/>
    </row>
    <row r="14" spans="1:15" x14ac:dyDescent="0.35">
      <c r="A14" s="35">
        <v>17899</v>
      </c>
      <c r="B14" s="64"/>
      <c r="C14" s="37"/>
      <c r="D14" s="36"/>
      <c r="E14" s="36"/>
    </row>
    <row r="15" spans="1:15" x14ac:dyDescent="0.35">
      <c r="A15" s="35">
        <v>17989</v>
      </c>
      <c r="B15" s="64"/>
      <c r="C15" s="37"/>
      <c r="D15" s="36"/>
      <c r="E15" s="36"/>
    </row>
    <row r="16" spans="1:15" x14ac:dyDescent="0.35">
      <c r="A16" s="35">
        <v>18080</v>
      </c>
      <c r="B16" s="64"/>
      <c r="C16" s="37"/>
      <c r="D16" s="36"/>
      <c r="E16" s="36"/>
    </row>
    <row r="17" spans="1:5" x14ac:dyDescent="0.35">
      <c r="A17" s="35">
        <v>18172</v>
      </c>
      <c r="B17" s="64"/>
      <c r="C17" s="37"/>
      <c r="D17" s="36"/>
      <c r="E17" s="36"/>
    </row>
    <row r="18" spans="1:5" x14ac:dyDescent="0.35">
      <c r="A18" s="35">
        <v>18264</v>
      </c>
      <c r="B18" s="64"/>
      <c r="C18" s="37"/>
      <c r="D18" s="36"/>
      <c r="E18" s="36"/>
    </row>
    <row r="19" spans="1:5" x14ac:dyDescent="0.35">
      <c r="A19" s="35">
        <v>18354</v>
      </c>
      <c r="B19" s="64"/>
      <c r="C19" s="37"/>
      <c r="D19" s="36"/>
      <c r="E19" s="36"/>
    </row>
    <row r="20" spans="1:5" x14ac:dyDescent="0.35">
      <c r="A20" s="35">
        <v>18445</v>
      </c>
      <c r="B20" s="64"/>
      <c r="C20" s="37"/>
      <c r="D20" s="36"/>
      <c r="E20" s="36"/>
    </row>
    <row r="21" spans="1:5" x14ac:dyDescent="0.35">
      <c r="A21" s="35">
        <v>18537</v>
      </c>
      <c r="B21" s="64"/>
      <c r="C21" s="37"/>
      <c r="D21" s="36"/>
      <c r="E21" s="36"/>
    </row>
    <row r="22" spans="1:5" x14ac:dyDescent="0.35">
      <c r="A22" s="35">
        <v>18629</v>
      </c>
      <c r="B22" s="64"/>
      <c r="C22" s="37"/>
      <c r="D22" s="36"/>
      <c r="E22" s="36"/>
    </row>
    <row r="23" spans="1:5" x14ac:dyDescent="0.35">
      <c r="A23" s="35">
        <v>18719</v>
      </c>
      <c r="B23" s="64"/>
      <c r="C23" s="37"/>
      <c r="D23" s="36"/>
      <c r="E23" s="36"/>
    </row>
    <row r="24" spans="1:5" x14ac:dyDescent="0.35">
      <c r="A24" s="35">
        <v>18810</v>
      </c>
      <c r="B24" s="64"/>
      <c r="C24" s="37"/>
      <c r="D24" s="36"/>
      <c r="E24" s="36"/>
    </row>
    <row r="25" spans="1:5" x14ac:dyDescent="0.35">
      <c r="A25" s="35">
        <v>18902</v>
      </c>
      <c r="B25" s="64"/>
      <c r="C25" s="37"/>
      <c r="D25" s="36"/>
      <c r="E25" s="36"/>
    </row>
    <row r="26" spans="1:5" x14ac:dyDescent="0.35">
      <c r="A26" s="35">
        <v>18994</v>
      </c>
      <c r="B26" s="64"/>
      <c r="C26" s="37"/>
      <c r="D26" s="36"/>
      <c r="E26" s="36"/>
    </row>
    <row r="27" spans="1:5" x14ac:dyDescent="0.35">
      <c r="A27" s="35">
        <v>19085</v>
      </c>
      <c r="B27" s="64"/>
      <c r="C27" s="37"/>
      <c r="D27" s="36"/>
      <c r="E27" s="36"/>
    </row>
    <row r="28" spans="1:5" x14ac:dyDescent="0.35">
      <c r="A28" s="35">
        <v>19176</v>
      </c>
      <c r="B28" s="64"/>
      <c r="C28" s="37"/>
      <c r="D28" s="36"/>
      <c r="E28" s="36"/>
    </row>
    <row r="29" spans="1:5" x14ac:dyDescent="0.35">
      <c r="A29" s="35">
        <v>19268</v>
      </c>
      <c r="B29" s="64"/>
      <c r="C29" s="37"/>
      <c r="D29" s="36"/>
      <c r="E29" s="36"/>
    </row>
    <row r="30" spans="1:5" x14ac:dyDescent="0.35">
      <c r="A30" s="35">
        <v>19360</v>
      </c>
      <c r="B30" s="64"/>
      <c r="C30" s="37"/>
      <c r="D30" s="36"/>
      <c r="E30" s="36"/>
    </row>
    <row r="31" spans="1:5" x14ac:dyDescent="0.35">
      <c r="A31" s="35">
        <v>19450</v>
      </c>
      <c r="B31" s="64"/>
      <c r="C31" s="37"/>
      <c r="D31" s="36"/>
      <c r="E31" s="36"/>
    </row>
    <row r="32" spans="1:5" x14ac:dyDescent="0.35">
      <c r="A32" s="35">
        <v>19541</v>
      </c>
      <c r="B32" s="64"/>
      <c r="C32" s="37"/>
      <c r="D32" s="36"/>
      <c r="E32" s="36"/>
    </row>
    <row r="33" spans="1:5" x14ac:dyDescent="0.35">
      <c r="A33" s="35">
        <v>19633</v>
      </c>
      <c r="B33" s="64"/>
      <c r="C33" s="37"/>
      <c r="D33" s="36"/>
      <c r="E33" s="36"/>
    </row>
    <row r="34" spans="1:5" x14ac:dyDescent="0.35">
      <c r="A34" s="35">
        <v>19725</v>
      </c>
      <c r="B34" s="64"/>
      <c r="C34" s="37"/>
      <c r="D34" s="36"/>
      <c r="E34" s="36"/>
    </row>
    <row r="35" spans="1:5" x14ac:dyDescent="0.35">
      <c r="A35" s="35">
        <v>19815</v>
      </c>
      <c r="B35" s="64"/>
      <c r="C35" s="37"/>
      <c r="D35" s="36"/>
      <c r="E35" s="36"/>
    </row>
    <row r="36" spans="1:5" x14ac:dyDescent="0.35">
      <c r="A36" s="35">
        <v>19906</v>
      </c>
      <c r="B36" s="64"/>
      <c r="C36" s="37"/>
      <c r="D36" s="36"/>
      <c r="E36" s="36"/>
    </row>
    <row r="37" spans="1:5" x14ac:dyDescent="0.35">
      <c r="A37" s="35">
        <v>19998</v>
      </c>
      <c r="B37" s="64"/>
      <c r="C37" s="37"/>
      <c r="D37" s="36"/>
      <c r="E37" s="36"/>
    </row>
    <row r="38" spans="1:5" x14ac:dyDescent="0.35">
      <c r="A38" s="35">
        <v>20090</v>
      </c>
      <c r="B38" s="64"/>
      <c r="C38" s="37"/>
      <c r="D38" s="36"/>
      <c r="E38" s="36"/>
    </row>
    <row r="39" spans="1:5" x14ac:dyDescent="0.35">
      <c r="A39" s="35">
        <v>20180</v>
      </c>
      <c r="B39" s="64"/>
      <c r="C39" s="37"/>
      <c r="D39" s="36"/>
      <c r="E39" s="36"/>
    </row>
    <row r="40" spans="1:5" x14ac:dyDescent="0.35">
      <c r="A40" s="35">
        <v>20271</v>
      </c>
      <c r="B40" s="64"/>
      <c r="C40" s="37"/>
      <c r="D40" s="36"/>
      <c r="E40" s="36"/>
    </row>
    <row r="41" spans="1:5" x14ac:dyDescent="0.35">
      <c r="A41" s="35">
        <v>20363</v>
      </c>
      <c r="B41" s="64"/>
      <c r="C41" s="37"/>
      <c r="D41" s="36"/>
      <c r="E41" s="36"/>
    </row>
    <row r="42" spans="1:5" x14ac:dyDescent="0.35">
      <c r="A42" s="35">
        <v>20455</v>
      </c>
      <c r="B42" s="64"/>
      <c r="C42" s="37"/>
      <c r="D42" s="36"/>
      <c r="E42" s="36"/>
    </row>
    <row r="43" spans="1:5" x14ac:dyDescent="0.35">
      <c r="A43" s="35">
        <v>20546</v>
      </c>
      <c r="B43" s="64"/>
      <c r="C43" s="37"/>
      <c r="D43" s="36"/>
      <c r="E43" s="36"/>
    </row>
    <row r="44" spans="1:5" x14ac:dyDescent="0.35">
      <c r="A44" s="35">
        <v>20637</v>
      </c>
      <c r="B44" s="64"/>
      <c r="C44" s="37"/>
      <c r="D44" s="36"/>
      <c r="E44" s="36"/>
    </row>
    <row r="45" spans="1:5" x14ac:dyDescent="0.35">
      <c r="A45" s="35">
        <v>20729</v>
      </c>
      <c r="B45" s="64"/>
      <c r="C45" s="37"/>
      <c r="D45" s="36"/>
      <c r="E45" s="36"/>
    </row>
    <row r="46" spans="1:5" x14ac:dyDescent="0.35">
      <c r="A46" s="35">
        <v>20821</v>
      </c>
      <c r="B46" s="64"/>
      <c r="C46" s="37"/>
      <c r="D46" s="36"/>
      <c r="E46" s="36"/>
    </row>
    <row r="47" spans="1:5" x14ac:dyDescent="0.35">
      <c r="A47" s="35">
        <v>20911</v>
      </c>
      <c r="B47" s="64"/>
      <c r="C47" s="37"/>
      <c r="D47" s="36"/>
      <c r="E47" s="36"/>
    </row>
    <row r="48" spans="1:5" x14ac:dyDescent="0.35">
      <c r="A48" s="35">
        <v>21002</v>
      </c>
      <c r="B48" s="64"/>
      <c r="C48" s="37"/>
      <c r="D48" s="36"/>
      <c r="E48" s="36"/>
    </row>
    <row r="49" spans="1:5" x14ac:dyDescent="0.35">
      <c r="A49" s="35">
        <v>21094</v>
      </c>
      <c r="B49" s="64"/>
      <c r="C49" s="37"/>
      <c r="D49" s="36"/>
      <c r="E49" s="36"/>
    </row>
    <row r="50" spans="1:5" x14ac:dyDescent="0.35">
      <c r="A50" s="35">
        <v>21186</v>
      </c>
      <c r="B50" s="64"/>
      <c r="C50" s="37"/>
      <c r="D50" s="36"/>
      <c r="E50" s="36"/>
    </row>
    <row r="51" spans="1:5" x14ac:dyDescent="0.35">
      <c r="A51" s="35">
        <v>21276</v>
      </c>
      <c r="B51" s="64"/>
      <c r="C51" s="37"/>
      <c r="D51" s="36"/>
      <c r="E51" s="36"/>
    </row>
    <row r="52" spans="1:5" x14ac:dyDescent="0.35">
      <c r="A52" s="35">
        <v>21367</v>
      </c>
      <c r="B52" s="64"/>
      <c r="C52" s="37"/>
      <c r="D52" s="36"/>
      <c r="E52" s="36"/>
    </row>
    <row r="53" spans="1:5" x14ac:dyDescent="0.35">
      <c r="A53" s="35">
        <v>21459</v>
      </c>
      <c r="B53" s="64"/>
      <c r="C53" s="37"/>
      <c r="D53" s="36"/>
      <c r="E53" s="36"/>
    </row>
    <row r="54" spans="1:5" x14ac:dyDescent="0.35">
      <c r="A54" s="35">
        <v>21551</v>
      </c>
      <c r="B54" s="64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4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4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4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4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4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4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4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4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4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4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4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4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4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4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4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4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4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4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4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4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4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4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4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4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4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4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4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4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4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4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4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4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4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4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4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4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4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4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4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4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4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4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4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4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4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4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4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4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4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4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4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4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4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4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4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4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4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4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4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4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4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4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4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4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4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4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4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4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4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4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4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4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4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4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4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4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4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4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4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4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4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4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4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4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4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4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4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4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4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4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4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4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4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4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4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4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4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4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4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4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4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4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4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4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4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4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4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4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4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4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4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4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4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4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4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4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4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4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4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4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4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4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4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4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4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4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4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4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4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4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4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4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4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4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4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4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4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4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4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4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4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4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4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4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4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4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4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4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4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4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4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4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4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4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4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4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4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4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4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4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4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4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4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4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4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4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4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4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4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4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4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4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4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4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4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4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4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4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4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4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4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4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4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4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4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4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4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4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4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4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4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4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4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8" si="10">((1+C247)^4)-1</f>
        <v>1.6729991617240536E-2</v>
      </c>
    </row>
    <row r="248" spans="1:5" x14ac:dyDescent="0.35">
      <c r="A248" s="35">
        <v>39264</v>
      </c>
      <c r="B248" s="64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4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4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4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4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4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4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4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4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4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4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4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4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4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4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4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4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4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4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4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4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4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4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4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4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4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4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4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4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4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4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4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4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4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4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4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4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4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4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4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4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4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4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4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4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4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4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4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4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4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4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4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4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4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4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4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5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4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4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4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4">
        <f>VLOOKUP(A308,Database!A:L,MATCH($A$1,Database!$A$1:$L$1,),)</f>
        <v>123.977</v>
      </c>
      <c r="C308" s="37">
        <f t="shared" si="9"/>
        <v>1.1297637692508525E-2</v>
      </c>
      <c r="D308" s="36">
        <f t="shared" si="11"/>
        <v>4.9300900534904213E-2</v>
      </c>
      <c r="E308" s="36">
        <f t="shared" si="10"/>
        <v>4.596215473476728E-2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2022-12-03T12:00:35Z</dcterms:modified>
</cp:coreProperties>
</file>