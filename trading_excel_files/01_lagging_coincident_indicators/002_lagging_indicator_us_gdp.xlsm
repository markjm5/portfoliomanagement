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800" yWindow="-640" windowWidth="68800" windowHeight="28300" tabRatio="600" firstSheet="0" activeTab="0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mmm\-yy;@"/>
    <numFmt numFmtId="165" formatCode="0.0"/>
    <numFmt numFmtId="166" formatCode="mm/dd/yyyy"/>
    <numFmt numFmtId="167" formatCode="0.0%"/>
    <numFmt numFmtId="168" formatCode="yyyy-mm-dd h:mm:ss"/>
  </numFmts>
  <fonts count="29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Verdana"/>
      <family val="2"/>
      <color rgb="FF666666"/>
      <sz val="10"/>
    </font>
    <font>
      <name val="Arial"/>
      <family val="2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Arial"/>
      <family val="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23" fillId="0" borderId="0"/>
    <xf numFmtId="0" fontId="22" fillId="0" borderId="0"/>
    <xf numFmtId="0" fontId="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3" fillId="0" borderId="0"/>
  </cellStyleXfs>
  <cellXfs count="178">
    <xf numFmtId="0" fontId="0" fillId="0" borderId="0" pivotButton="0" quotePrefix="0" xfId="0"/>
    <xf numFmtId="0" fontId="5" fillId="0" borderId="0" pivotButton="0" quotePrefix="0" xfId="2"/>
    <xf numFmtId="164" fontId="10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 vertical="center"/>
    </xf>
    <xf numFmtId="10" fontId="10" fillId="0" borderId="2" applyAlignment="1" pivotButton="0" quotePrefix="0" xfId="0">
      <alignment horizontal="center" vertical="center"/>
    </xf>
    <xf numFmtId="0" fontId="9" fillId="0" borderId="0" pivotButton="0" quotePrefix="0" xfId="0"/>
    <xf numFmtId="164" fontId="11" fillId="0" borderId="2" applyAlignment="1" pivotButton="0" quotePrefix="0" xfId="0">
      <alignment vertical="center"/>
    </xf>
    <xf numFmtId="3" fontId="11" fillId="0" borderId="2" applyAlignment="1" pivotButton="0" quotePrefix="0" xfId="0">
      <alignment horizontal="center" vertical="center"/>
    </xf>
    <xf numFmtId="10" fontId="11" fillId="0" borderId="2" applyAlignment="1" pivotButton="0" quotePrefix="0" xfId="0">
      <alignment horizontal="center" vertical="center"/>
    </xf>
    <xf numFmtId="0" fontId="0" fillId="3" borderId="0" pivotButton="0" quotePrefix="0" xfId="0"/>
    <xf numFmtId="0" fontId="9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6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0" fontId="0" fillId="3" borderId="0" applyAlignment="1" pivotButton="0" quotePrefix="0" xfId="0">
      <alignment wrapText="1"/>
    </xf>
    <xf numFmtId="165" fontId="3" fillId="6" borderId="0" applyAlignment="1" pivotButton="0" quotePrefix="0" xfId="0">
      <alignment horizontal="center"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166" fontId="0" fillId="6" borderId="0" pivotButton="0" quotePrefix="0" xfId="0"/>
    <xf numFmtId="165" fontId="0" fillId="6" borderId="0" pivotButton="0" quotePrefix="0" xfId="0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65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166" fontId="0" fillId="3" borderId="0" pivotButton="0" quotePrefix="0" xfId="0"/>
    <xf numFmtId="165" fontId="0" fillId="3" borderId="0" pivotButton="0" quotePrefix="0" xfId="0"/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3" fillId="3" borderId="0" pivotButton="0" quotePrefix="0" xfId="4"/>
    <xf numFmtId="0" fontId="17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167" fontId="0" fillId="3" borderId="2" applyAlignment="1" pivotButton="0" quotePrefix="0" xfId="8">
      <alignment horizontal="center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2" fillId="3" borderId="0" pivotButton="0" quotePrefix="0" xfId="0"/>
    <xf numFmtId="164" fontId="10" fillId="0" borderId="17" applyAlignment="1" pivotButton="0" quotePrefix="0" xfId="0">
      <alignment horizontal="center" vertical="center"/>
    </xf>
    <xf numFmtId="3" fontId="10" fillId="0" borderId="17" applyAlignment="1" pivotButton="0" quotePrefix="0" xfId="0">
      <alignment horizontal="center" vertical="center"/>
    </xf>
    <xf numFmtId="10" fontId="10" fillId="0" borderId="17" applyAlignment="1" pivotButton="0" quotePrefix="0" xfId="0">
      <alignment horizontal="center" vertical="center"/>
    </xf>
    <xf numFmtId="0" fontId="2" fillId="5" borderId="18" applyAlignment="1" pivotButton="0" quotePrefix="0" xfId="0">
      <alignment horizontal="center"/>
    </xf>
    <xf numFmtId="0" fontId="2" fillId="5" borderId="19" applyAlignment="1" pivotButton="0" quotePrefix="0" xfId="0">
      <alignment horizontal="center"/>
    </xf>
    <xf numFmtId="167" fontId="0" fillId="5" borderId="20" applyAlignment="1" pivotButton="0" quotePrefix="0" xfId="8">
      <alignment horizontal="center"/>
    </xf>
    <xf numFmtId="0" fontId="0" fillId="3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0" fontId="0" fillId="3" borderId="0" pivotButton="0" quotePrefix="0" xfId="0"/>
    <xf numFmtId="0" fontId="0" fillId="3" borderId="0" pivotButton="0" quotePrefix="0" xfId="0"/>
    <xf numFmtId="17" fontId="2" fillId="5" borderId="21" applyAlignment="1" pivotButton="0" quotePrefix="0" xfId="0">
      <alignment horizontal="center"/>
    </xf>
    <xf numFmtId="17" fontId="2" fillId="5" borderId="22" applyAlignment="1" pivotButton="0" quotePrefix="0" xfId="0">
      <alignment horizontal="center"/>
    </xf>
    <xf numFmtId="17" fontId="2" fillId="5" borderId="23" applyAlignment="1" pivotButton="0" quotePrefix="0" xfId="0">
      <alignment horizontal="center"/>
    </xf>
    <xf numFmtId="167" fontId="0" fillId="3" borderId="24" applyAlignment="1" pivotButton="0" quotePrefix="0" xfId="8">
      <alignment horizontal="center"/>
    </xf>
    <xf numFmtId="0" fontId="0" fillId="3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0" fontId="5" fillId="3" borderId="0" pivotButton="0" quotePrefix="0" xfId="2"/>
    <xf numFmtId="14" fontId="0" fillId="3" borderId="2" applyAlignment="1" pivotButton="0" quotePrefix="0" xfId="0">
      <alignment horizontal="center"/>
    </xf>
    <xf numFmtId="165" fontId="0" fillId="3" borderId="2" applyAlignment="1" pivotButton="0" quotePrefix="0" xfId="0">
      <alignment horizontal="center" vertic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166" fontId="1" fillId="3" borderId="0" pivotButton="0" quotePrefix="0" xfId="0"/>
    <xf numFmtId="165" fontId="0" fillId="3" borderId="2" applyAlignment="1" pivotButton="0" quotePrefix="0" xfId="0">
      <alignment horizontal="center" vertic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65" fontId="0" fillId="4" borderId="4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pivotButton="0" quotePrefix="0" xfId="0"/>
    <xf numFmtId="0" fontId="5" fillId="3" borderId="0" pivotButton="0" quotePrefix="0" xfId="2"/>
    <xf numFmtId="0" fontId="0" fillId="3" borderId="0" pivotButton="0" quotePrefix="0" xfId="0"/>
    <xf numFmtId="0" fontId="0" fillId="0" borderId="0" pivotButton="0" quotePrefix="0" xfId="0"/>
    <xf numFmtId="166" fontId="0" fillId="3" borderId="0" pivotButton="0" quotePrefix="0" xfId="0"/>
    <xf numFmtId="165" fontId="0" fillId="3" borderId="0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8" fillId="3" borderId="0" pivotButton="0" quotePrefix="0" xfId="0"/>
    <xf numFmtId="165" fontId="0" fillId="3" borderId="0" pivotButton="0" quotePrefix="0" xfId="0"/>
    <xf numFmtId="0" fontId="5" fillId="3" borderId="0" pivotButton="0" quotePrefix="0" xfId="2"/>
    <xf numFmtId="166" fontId="0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14" fontId="0" fillId="0" borderId="0" pivotButton="0" quotePrefix="0" xfId="0"/>
    <xf numFmtId="0" fontId="0" fillId="0" borderId="0" pivotButton="0" quotePrefix="0" xfId="0"/>
    <xf numFmtId="0" fontId="24" fillId="4" borderId="25" applyAlignment="1" pivotButton="0" quotePrefix="0" xfId="0">
      <alignment horizontal="center" vertical="center"/>
    </xf>
    <xf numFmtId="165" fontId="24" fillId="4" borderId="26" applyAlignment="1" pivotButton="0" quotePrefix="0" xfId="0">
      <alignment horizontal="center" vertical="center"/>
    </xf>
    <xf numFmtId="10" fontId="24" fillId="4" borderId="26" applyAlignment="1" pivotButton="0" quotePrefix="0" xfId="0">
      <alignment horizontal="center" vertical="center"/>
    </xf>
    <xf numFmtId="2" fontId="24" fillId="4" borderId="26" applyAlignment="1" pivotButton="0" quotePrefix="0" xfId="0">
      <alignment horizontal="center" vertical="center"/>
    </xf>
    <xf numFmtId="0" fontId="24" fillId="4" borderId="27" applyAlignment="1" pivotButton="0" quotePrefix="0" xfId="0">
      <alignment horizontal="center" vertical="center"/>
    </xf>
    <xf numFmtId="14" fontId="0" fillId="3" borderId="28" applyAlignment="1" pivotButton="0" quotePrefix="0" xfId="0">
      <alignment horizontal="center"/>
    </xf>
    <xf numFmtId="165" fontId="0" fillId="3" borderId="28" applyAlignment="1" pivotButton="0" quotePrefix="0" xfId="0">
      <alignment horizontal="center" vertical="center"/>
    </xf>
    <xf numFmtId="10" fontId="0" fillId="3" borderId="28" applyAlignment="1" pivotButton="0" quotePrefix="0" xfId="0">
      <alignment horizontal="center" vertical="center"/>
    </xf>
    <xf numFmtId="10" fontId="0" fillId="3" borderId="28" applyAlignment="1" pivotButton="0" quotePrefix="0" xfId="0">
      <alignment horizontal="center"/>
    </xf>
    <xf numFmtId="0" fontId="0" fillId="3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2" fillId="5" borderId="14" applyAlignment="1" pivotButton="0" quotePrefix="0" xfId="0">
      <alignment horizontal="center"/>
    </xf>
    <xf numFmtId="0" fontId="2" fillId="5" borderId="15" applyAlignment="1" pivotButton="0" quotePrefix="0" xfId="0">
      <alignment horizontal="center"/>
    </xf>
    <xf numFmtId="0" fontId="2" fillId="5" borderId="16" applyAlignment="1" pivotButton="0" quotePrefix="0" xfId="0">
      <alignment horizontal="center"/>
    </xf>
    <xf numFmtId="0" fontId="5" fillId="3" borderId="0" pivotButton="0" quotePrefix="0" xfId="2"/>
    <xf numFmtId="0" fontId="2" fillId="3" borderId="0" applyAlignment="1" pivotButton="0" quotePrefix="0" xfId="0">
      <alignment horizontal="center" vertical="center"/>
    </xf>
    <xf numFmtId="0" fontId="2" fillId="3" borderId="9" applyAlignment="1" pivotButton="0" quotePrefix="0" xfId="0">
      <alignment horizontal="center" vertical="center"/>
    </xf>
    <xf numFmtId="0" fontId="24" fillId="4" borderId="11" applyAlignment="1" pivotButton="0" quotePrefix="0" xfId="0">
      <alignment horizontal="center"/>
    </xf>
    <xf numFmtId="0" fontId="0" fillId="0" borderId="12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16" applyAlignment="1" pivotButton="0" quotePrefix="0" xfId="0">
      <alignment horizontal="center"/>
    </xf>
    <xf numFmtId="0" fontId="25" fillId="3" borderId="0" applyAlignment="1" pivotButton="0" quotePrefix="0" xfId="0">
      <alignment wrapText="1"/>
    </xf>
    <xf numFmtId="0" fontId="0" fillId="5" borderId="15" applyAlignment="1" pivotButton="0" quotePrefix="0" xfId="0">
      <alignment horizontal="center"/>
    </xf>
    <xf numFmtId="0" fontId="0" fillId="5" borderId="16" applyAlignment="1" pivotButton="0" quotePrefix="0" xfId="0">
      <alignment horizontal="center"/>
    </xf>
    <xf numFmtId="0" fontId="27" fillId="4" borderId="11" applyAlignment="1" pivotButton="0" quotePrefix="0" xfId="0">
      <alignment horizontal="center"/>
    </xf>
    <xf numFmtId="0" fontId="27" fillId="4" borderId="12" applyAlignment="1" pivotButton="0" quotePrefix="0" xfId="0">
      <alignment horizontal="center"/>
    </xf>
    <xf numFmtId="0" fontId="27" fillId="4" borderId="13" applyAlignment="1" pivotButton="0" quotePrefix="0" xfId="0">
      <alignment horizontal="center"/>
    </xf>
    <xf numFmtId="0" fontId="27" fillId="2" borderId="11" applyAlignment="1" pivotButton="0" quotePrefix="0" xfId="0">
      <alignment horizontal="center"/>
    </xf>
    <xf numFmtId="0" fontId="27" fillId="2" borderId="12" applyAlignment="1" pivotButton="0" quotePrefix="0" xfId="0">
      <alignment horizontal="center"/>
    </xf>
    <xf numFmtId="0" fontId="27" fillId="2" borderId="13" applyAlignment="1" pivotButton="0" quotePrefix="0" xfId="0">
      <alignment horizontal="center"/>
    </xf>
    <xf numFmtId="0" fontId="15" fillId="3" borderId="0" pivotButton="0" quotePrefix="0" xfId="4"/>
    <xf numFmtId="0" fontId="13" fillId="3" borderId="0" pivotButton="0" quotePrefix="0" xfId="4"/>
    <xf numFmtId="0" fontId="16" fillId="3" borderId="0" pivotButton="0" quotePrefix="0" xfId="4"/>
    <xf numFmtId="0" fontId="14" fillId="7" borderId="1" applyAlignment="1" pivotButton="0" quotePrefix="0" xfId="4">
      <alignment horizontal="center"/>
    </xf>
    <xf numFmtId="0" fontId="19" fillId="3" borderId="0" applyAlignment="1" pivotButton="0" quotePrefix="0" xfId="4">
      <alignment wrapText="1"/>
    </xf>
    <xf numFmtId="0" fontId="18" fillId="3" borderId="0" applyAlignment="1" pivotButton="0" quotePrefix="0" xfId="4">
      <alignment wrapText="1"/>
    </xf>
    <xf numFmtId="0" fontId="0" fillId="0" borderId="9" pivotButton="0" quotePrefix="0" xfId="0"/>
    <xf numFmtId="0" fontId="24" fillId="4" borderId="31" applyAlignment="1" pivotButton="0" quotePrefix="0" xfId="0">
      <alignment horizontal="center"/>
    </xf>
    <xf numFmtId="0" fontId="0" fillId="0" borderId="12" pivotButton="0" quotePrefix="0" xfId="0"/>
    <xf numFmtId="0" fontId="0" fillId="0" borderId="13" pivotButton="0" quotePrefix="0" xfId="0"/>
    <xf numFmtId="0" fontId="2" fillId="5" borderId="2" applyAlignment="1" pivotButton="0" quotePrefix="0" xfId="0">
      <alignment horizontal="center"/>
    </xf>
    <xf numFmtId="0" fontId="0" fillId="0" borderId="15" pivotButton="0" quotePrefix="0" xfId="0"/>
    <xf numFmtId="0" fontId="0" fillId="0" borderId="16" pivotButton="0" quotePrefix="0" xfId="0"/>
    <xf numFmtId="168" fontId="0" fillId="0" borderId="0" pivotButton="0" quotePrefix="0" xfId="0"/>
    <xf numFmtId="165" fontId="0" fillId="6" borderId="0" pivotButton="0" quotePrefix="0" xfId="0"/>
    <xf numFmtId="165" fontId="3" fillId="6" borderId="0" applyAlignment="1" pivotButton="0" quotePrefix="0" xfId="0">
      <alignment horizontal="center" vertical="center"/>
    </xf>
    <xf numFmtId="165" fontId="24" fillId="4" borderId="26" applyAlignment="1" pivotButton="0" quotePrefix="0" xfId="0">
      <alignment horizontal="center" vertical="center"/>
    </xf>
    <xf numFmtId="165" fontId="0" fillId="3" borderId="2" applyAlignment="1" pivotButton="0" quotePrefix="0" xfId="0">
      <alignment horizontal="center" vertical="center"/>
    </xf>
    <xf numFmtId="165" fontId="0" fillId="3" borderId="28" applyAlignment="1" pivotButton="0" quotePrefix="0" xfId="0">
      <alignment horizontal="center" vertical="center"/>
    </xf>
    <xf numFmtId="0" fontId="27" fillId="2" borderId="31" applyAlignment="1" pivotButton="0" quotePrefix="0" xfId="0">
      <alignment horizontal="center"/>
    </xf>
    <xf numFmtId="0" fontId="27" fillId="4" borderId="31" applyAlignment="1" pivotButton="0" quotePrefix="0" xfId="0">
      <alignment horizontal="center"/>
    </xf>
    <xf numFmtId="164" fontId="10" fillId="0" borderId="17" applyAlignment="1" pivotButton="0" quotePrefix="0" xfId="0">
      <alignment horizontal="center" vertical="center"/>
    </xf>
    <xf numFmtId="164" fontId="10" fillId="0" borderId="2" applyAlignment="1" pivotButton="0" quotePrefix="0" xfId="0">
      <alignment horizontal="center" vertical="center"/>
    </xf>
    <xf numFmtId="164" fontId="11" fillId="0" borderId="2" applyAlignment="1" pivotButton="0" quotePrefix="0" xfId="0">
      <alignment vertical="center"/>
    </xf>
    <xf numFmtId="165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5" fontId="0" fillId="4" borderId="4" applyAlignment="1" pivotButton="0" quotePrefix="0" xfId="0">
      <alignment horizontal="center" vertical="center" wrapText="1"/>
    </xf>
    <xf numFmtId="165" fontId="0" fillId="3" borderId="0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0" fillId="0" borderId="34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5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19465.195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0.01640746539544311</v>
                </pt>
                <pt idx="298">
                  <v>0.005002243355253937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0.04872754767662159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0.06726283145896073</v>
                </pt>
                <pt idx="298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13719.274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0.003926937765675945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0.07008057072319898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0.01580051856851794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3604.304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0.02803468554318379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0.06921706627904395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0.1169431561670933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2289.48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-0.006372810268713596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0.0568863242931333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-0.02524859842953586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3601.184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0.01478992723812308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0.1297782535229649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0.06048514919674797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3380.162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0.001896101240009288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0.00592934190970996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0.007606003439889486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0.01398601398601391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0.04567307692307696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0.05712868886782352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0.01100821546975534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0.03610057592358485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0.04476529734855417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tabSelected="1"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125" min="1" max="1"/>
    <col width="12.83203125" customWidth="1" style="125" min="2" max="10"/>
    <col width="6.6640625" customWidth="1" style="125" min="11" max="12"/>
    <col width="24.1640625" customWidth="1" style="125" min="13" max="15"/>
    <col width="9.1640625" customWidth="1" style="125" min="16" max="16384"/>
  </cols>
  <sheetData>
    <row r="1">
      <c r="B1" s="132" t="n"/>
    </row>
    <row r="2" ht="16" customHeight="1" s="126" thickBot="1">
      <c r="B2" s="153" t="n"/>
      <c r="C2" s="153" t="n"/>
      <c r="D2" s="153" t="n"/>
      <c r="E2" s="153" t="n"/>
      <c r="F2" s="153" t="n"/>
      <c r="G2" s="153" t="n"/>
      <c r="H2" s="153" t="n"/>
      <c r="I2" s="153" t="n"/>
      <c r="J2" s="153" t="n"/>
    </row>
    <row r="3" ht="16" customHeight="1" s="126" thickBot="1">
      <c r="B3" s="154" t="inlineStr">
        <is>
          <t>U.S. GDP</t>
        </is>
      </c>
      <c r="C3" s="155" t="n"/>
      <c r="D3" s="155" t="n"/>
      <c r="E3" s="155" t="n"/>
      <c r="F3" s="155" t="n"/>
      <c r="G3" s="155" t="n"/>
      <c r="H3" s="155" t="n"/>
      <c r="I3" s="155" t="n"/>
      <c r="J3" s="156" t="n"/>
    </row>
    <row r="5">
      <c r="B5" s="157" t="inlineStr">
        <is>
          <t>Definition</t>
        </is>
      </c>
      <c r="C5" s="158" t="n"/>
      <c r="D5" s="158" t="n"/>
      <c r="E5" s="158" t="n"/>
      <c r="F5" s="158" t="n"/>
      <c r="G5" s="158" t="n"/>
      <c r="H5" s="158" t="n"/>
      <c r="I5" s="158" t="n"/>
      <c r="J5" s="159" t="n"/>
    </row>
    <row r="7" ht="182" customHeight="1" s="126">
      <c r="B7" s="13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7" t="n"/>
    </row>
    <row r="8" ht="30.75" customHeight="1" s="126">
      <c r="B8" s="1" t="inlineStr">
        <is>
          <t>https://apps.bea.gov/iTable/iTable.cfm?reqid=19&amp;step=2#reqid=19&amp;step=2&amp;isuri=1&amp;1921=survey</t>
        </is>
      </c>
      <c r="C8" s="122" t="n"/>
      <c r="D8" s="122" t="n"/>
      <c r="E8" s="122" t="n"/>
      <c r="F8" s="122" t="n"/>
      <c r="G8" s="122" t="n"/>
      <c r="H8" s="122" t="n"/>
      <c r="I8" s="122" t="n"/>
      <c r="J8" s="122" t="n"/>
    </row>
    <row r="9">
      <c r="B9" s="18" t="n"/>
      <c r="C9" s="19" t="n"/>
      <c r="D9" s="19" t="n"/>
      <c r="E9" s="19" t="n"/>
    </row>
    <row r="10">
      <c r="B10" s="157" t="inlineStr">
        <is>
          <t>Process / TO DO LIST</t>
        </is>
      </c>
      <c r="C10" s="158" t="n"/>
      <c r="D10" s="158" t="n"/>
      <c r="E10" s="158" t="n"/>
      <c r="F10" s="158" t="n"/>
      <c r="G10" s="158" t="n"/>
      <c r="H10" s="158" t="n"/>
      <c r="I10" s="158" t="n"/>
      <c r="J10" s="159" t="n"/>
      <c r="M10" s="157" t="inlineStr">
        <is>
          <t>Summary</t>
        </is>
      </c>
      <c r="N10" s="158" t="n"/>
      <c r="O10" s="159" t="n"/>
    </row>
    <row r="12">
      <c r="B12" s="157" t="inlineStr">
        <is>
          <t>TO DO LIST</t>
        </is>
      </c>
      <c r="C12" s="158" t="n"/>
      <c r="D12" s="158" t="n"/>
      <c r="E12" s="158" t="n"/>
      <c r="F12" s="159" t="n"/>
      <c r="G12" s="157" t="inlineStr">
        <is>
          <t>Comments</t>
        </is>
      </c>
      <c r="H12" s="158" t="n"/>
      <c r="I12" s="158" t="n"/>
      <c r="J12" s="159" t="n"/>
    </row>
    <row r="13" ht="16" customHeight="1" s="126" thickBot="1"/>
    <row r="14" ht="16" customHeight="1" s="126" thickBot="1">
      <c r="B14" s="130" t="inlineStr">
        <is>
          <t>https://fred.stlouisfed.org/</t>
        </is>
      </c>
      <c r="N14" s="61" t="inlineStr">
        <is>
          <t>GDP yoy%</t>
        </is>
      </c>
      <c r="O14" s="62" t="inlineStr">
        <is>
          <t>GDP qoq annualized%</t>
        </is>
      </c>
    </row>
    <row r="15" ht="16" customHeight="1" s="126" thickBot="1">
      <c r="B15" s="125" t="inlineStr">
        <is>
          <t>Create List on fred</t>
        </is>
      </c>
      <c r="G15" s="125" t="inlineStr">
        <is>
          <t>Create account on Fred</t>
        </is>
      </c>
      <c r="M15" s="70" t="n">
        <v>44287</v>
      </c>
      <c r="N15" s="73">
        <f>VLOOKUP(M15,'U.S. GDP'!A:E,4,)</f>
        <v/>
      </c>
      <c r="O15" s="63">
        <f>VLOOKUP(M15,'U.S. GDP'!A:F,5,)</f>
        <v/>
      </c>
    </row>
    <row r="16" ht="16" customHeight="1" s="126" thickBot="1">
      <c r="B16" s="56" t="inlineStr">
        <is>
          <t>DPCCRV1Q225SBEA</t>
        </is>
      </c>
      <c r="G16" s="125" t="inlineStr">
        <is>
          <t>Create Different Lists with required data</t>
        </is>
      </c>
      <c r="M16" s="71" t="n">
        <v>44197</v>
      </c>
      <c r="N16" s="73">
        <f>VLOOKUP(M16,'U.S. GDP'!A:E,4,)</f>
        <v/>
      </c>
      <c r="O16" s="63">
        <f>VLOOKUP(M16,'U.S. GDP'!A:F,5,)</f>
        <v/>
      </c>
    </row>
    <row r="17" ht="16" customHeight="1" s="126" thickBot="1">
      <c r="B17" s="56" t="inlineStr">
        <is>
          <t>EXPGSC1</t>
        </is>
      </c>
      <c r="M17" s="71" t="n">
        <v>44105</v>
      </c>
      <c r="N17" s="73">
        <f>VLOOKUP(M17,'U.S. GDP'!A:E,4,)</f>
        <v/>
      </c>
      <c r="O17" s="63">
        <f>VLOOKUP(M17,'U.S. GDP'!A:F,5,)</f>
        <v/>
      </c>
    </row>
    <row r="18" ht="16" customHeight="1" s="126" thickBot="1">
      <c r="B18" s="56" t="inlineStr">
        <is>
          <t>GCEC1</t>
        </is>
      </c>
      <c r="G18" s="125" t="inlineStr">
        <is>
          <t>Add row for new quarter</t>
        </is>
      </c>
      <c r="M18" s="71" t="n">
        <v>44013</v>
      </c>
      <c r="N18" s="73">
        <f>VLOOKUP(M18,'U.S. GDP'!A:E,4,)</f>
        <v/>
      </c>
      <c r="O18" s="63">
        <f>VLOOKUP(M18,'U.S. GDP'!A:F,5,)</f>
        <v/>
      </c>
    </row>
    <row r="19" ht="16" customHeight="1" s="126" thickBot="1">
      <c r="B19" s="56" t="inlineStr">
        <is>
          <t>GDPC1</t>
        </is>
      </c>
      <c r="M19" s="71" t="n">
        <v>43922</v>
      </c>
      <c r="N19" s="73">
        <f>VLOOKUP(M19,'U.S. GDP'!A:E,4,)</f>
        <v/>
      </c>
      <c r="O19" s="63">
        <f>VLOOKUP(M19,'U.S. GDP'!A:F,5,)</f>
        <v/>
      </c>
    </row>
    <row r="20" ht="16" customHeight="1" s="126" thickBot="1">
      <c r="B20" s="56" t="inlineStr">
        <is>
          <t>GDPCTPI</t>
        </is>
      </c>
      <c r="G20" s="125" t="n"/>
      <c r="M20" s="71" t="n">
        <v>43831</v>
      </c>
      <c r="N20" s="73">
        <f>VLOOKUP(M20,'U.S. GDP'!A:E,4,)</f>
        <v/>
      </c>
      <c r="O20" s="63">
        <f>VLOOKUP(M20,'U.S. GDP'!A:F,5,)</f>
        <v/>
      </c>
    </row>
    <row r="21" ht="16" customHeight="1" s="126" thickBot="1">
      <c r="B21" s="56" t="inlineStr">
        <is>
          <t>GPDIC1</t>
        </is>
      </c>
      <c r="G21" s="125" t="n"/>
      <c r="M21" s="71" t="n">
        <v>43739</v>
      </c>
      <c r="N21" s="73">
        <f>VLOOKUP(M21,'U.S. GDP'!A:E,4,)</f>
        <v/>
      </c>
      <c r="O21" s="63">
        <f>VLOOKUP(M21,'U.S. GDP'!A:F,5,)</f>
        <v/>
      </c>
    </row>
    <row r="22" ht="16" customHeight="1" s="126" thickBot="1">
      <c r="B22" s="56" t="inlineStr">
        <is>
          <t>IMPGSC1</t>
        </is>
      </c>
      <c r="G22" s="125" t="n"/>
      <c r="M22" s="71" t="n">
        <v>43647</v>
      </c>
      <c r="N22" s="73">
        <f>VLOOKUP(M22,'U.S. GDP'!A:E,4,)</f>
        <v/>
      </c>
      <c r="O22" s="63">
        <f>VLOOKUP(M22,'U.S. GDP'!A:F,5,)</f>
        <v/>
      </c>
    </row>
    <row r="23" ht="16" customHeight="1" s="126" thickBot="1">
      <c r="B23" s="56" t="inlineStr">
        <is>
          <t>JCXFE</t>
        </is>
      </c>
      <c r="M23" s="71" t="n">
        <v>43556</v>
      </c>
      <c r="N23" s="73">
        <f>VLOOKUP(M23,'U.S. GDP'!A:E,4,)</f>
        <v/>
      </c>
      <c r="O23" s="63">
        <f>VLOOKUP(M23,'U.S. GDP'!A:F,5,)</f>
        <v/>
      </c>
    </row>
    <row r="24" ht="16" customHeight="1" s="126" thickBot="1">
      <c r="B24" s="56" t="inlineStr">
        <is>
          <t>PCECC96</t>
        </is>
      </c>
      <c r="M24" s="71" t="n">
        <v>43466</v>
      </c>
      <c r="N24" s="73">
        <f>VLOOKUP(M24,'U.S. GDP'!A:E,4,)</f>
        <v/>
      </c>
      <c r="O24" s="63">
        <f>VLOOKUP(M24,'U.S. GDP'!A:F,5,)</f>
        <v/>
      </c>
    </row>
    <row r="25" ht="16" customHeight="1" s="126" thickBot="1">
      <c r="M25" s="71" t="n">
        <v>43374</v>
      </c>
      <c r="N25" s="73">
        <f>VLOOKUP(M25,'U.S. GDP'!A:E,4,)</f>
        <v/>
      </c>
      <c r="O25" s="63">
        <f>VLOOKUP(M25,'U.S. GDP'!A:F,5,)</f>
        <v/>
      </c>
    </row>
    <row r="26" ht="16" customHeight="1" s="126" thickBot="1">
      <c r="M26" s="71" t="n">
        <v>43282</v>
      </c>
      <c r="N26" s="73">
        <f>VLOOKUP(M26,'U.S. GDP'!A:E,4,)</f>
        <v/>
      </c>
      <c r="O26" s="63">
        <f>VLOOKUP(M26,'U.S. GDP'!A:F,5,)</f>
        <v/>
      </c>
    </row>
    <row r="27" ht="16" customHeight="1" s="126" thickBot="1">
      <c r="M27" s="72" t="n">
        <v>43191</v>
      </c>
      <c r="N27" s="73">
        <f>VLOOKUP(M27,'U.S. GDP'!A:E,4,)</f>
        <v/>
      </c>
      <c r="O27" s="63">
        <f>VLOOKUP(M27,'U.S. GDP'!A:F,5,)</f>
        <v/>
      </c>
    </row>
    <row r="28">
      <c r="B28" s="20" t="n"/>
    </row>
    <row r="29">
      <c r="B29" s="122" t="n"/>
    </row>
    <row r="30">
      <c r="B30" s="21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602"/>
  <sheetViews>
    <sheetView zoomScale="120" zoomScaleNormal="120" workbookViewId="0">
      <pane ySplit="1" topLeftCell="A238" activePane="bottomLeft" state="frozen"/>
      <selection pane="bottomLeft" activeCell="S301" sqref="S301"/>
    </sheetView>
  </sheetViews>
  <sheetFormatPr baseColWidth="10" defaultColWidth="8.83203125" defaultRowHeight="15"/>
  <cols>
    <col width="12.6640625" customWidth="1" style="126" min="1" max="1"/>
    <col width="15.6640625" customWidth="1" style="126" min="2" max="2"/>
    <col width="11.6640625" customWidth="1" style="126" min="3" max="4"/>
    <col width="12.6640625" customWidth="1" style="126" min="5" max="5"/>
    <col width="10.6640625" customWidth="1" style="126" min="6" max="6"/>
    <col width="11.6640625" customWidth="1" style="126" min="7" max="8"/>
    <col width="10.6640625" customWidth="1" style="126" min="9" max="9"/>
    <col width="12.6640625" customWidth="1" style="126" min="10" max="10"/>
    <col width="9.1640625" customWidth="1" style="126" min="11" max="256"/>
    <col width="12.6640625" customWidth="1" style="126" min="257" max="257"/>
    <col width="15.6640625" customWidth="1" style="126" min="258" max="258"/>
    <col width="11.6640625" customWidth="1" style="126" min="259" max="260"/>
    <col width="12.6640625" customWidth="1" style="126" min="261" max="261"/>
    <col width="10.6640625" customWidth="1" style="126" min="262" max="262"/>
    <col width="11.6640625" customWidth="1" style="126" min="263" max="264"/>
    <col width="10.6640625" customWidth="1" style="126" min="265" max="265"/>
    <col width="12.6640625" customWidth="1" style="126" min="266" max="266"/>
    <col width="9.1640625" customWidth="1" style="126" min="267" max="512"/>
    <col width="12.6640625" customWidth="1" style="126" min="513" max="513"/>
    <col width="15.6640625" customWidth="1" style="126" min="514" max="514"/>
    <col width="11.6640625" customWidth="1" style="126" min="515" max="516"/>
    <col width="12.6640625" customWidth="1" style="126" min="517" max="517"/>
    <col width="10.6640625" customWidth="1" style="126" min="518" max="518"/>
    <col width="11.6640625" customWidth="1" style="126" min="519" max="520"/>
    <col width="10.6640625" customWidth="1" style="126" min="521" max="521"/>
    <col width="12.6640625" customWidth="1" style="126" min="522" max="522"/>
    <col width="9.1640625" customWidth="1" style="126" min="523" max="768"/>
    <col width="12.6640625" customWidth="1" style="126" min="769" max="769"/>
    <col width="15.6640625" customWidth="1" style="126" min="770" max="770"/>
    <col width="11.6640625" customWidth="1" style="126" min="771" max="772"/>
    <col width="12.6640625" customWidth="1" style="126" min="773" max="773"/>
    <col width="10.6640625" customWidth="1" style="126" min="774" max="774"/>
    <col width="11.6640625" customWidth="1" style="126" min="775" max="776"/>
    <col width="10.6640625" customWidth="1" style="126" min="777" max="777"/>
    <col width="12.6640625" customWidth="1" style="126" min="778" max="778"/>
    <col width="9.1640625" customWidth="1" style="126" min="779" max="1024"/>
    <col width="12.6640625" customWidth="1" style="126" min="1025" max="1025"/>
    <col width="15.6640625" customWidth="1" style="126" min="1026" max="1026"/>
    <col width="11.6640625" customWidth="1" style="126" min="1027" max="1028"/>
    <col width="12.6640625" customWidth="1" style="126" min="1029" max="1029"/>
    <col width="10.6640625" customWidth="1" style="126" min="1030" max="1030"/>
    <col width="11.6640625" customWidth="1" style="126" min="1031" max="1032"/>
    <col width="10.6640625" customWidth="1" style="126" min="1033" max="1033"/>
    <col width="12.6640625" customWidth="1" style="126" min="1034" max="1034"/>
    <col width="9.1640625" customWidth="1" style="126" min="1035" max="1280"/>
    <col width="12.6640625" customWidth="1" style="126" min="1281" max="1281"/>
    <col width="15.6640625" customWidth="1" style="126" min="1282" max="1282"/>
    <col width="11.6640625" customWidth="1" style="126" min="1283" max="1284"/>
    <col width="12.6640625" customWidth="1" style="126" min="1285" max="1285"/>
    <col width="10.6640625" customWidth="1" style="126" min="1286" max="1286"/>
    <col width="11.6640625" customWidth="1" style="126" min="1287" max="1288"/>
    <col width="10.6640625" customWidth="1" style="126" min="1289" max="1289"/>
    <col width="12.6640625" customWidth="1" style="126" min="1290" max="1290"/>
    <col width="9.1640625" customWidth="1" style="126" min="1291" max="1536"/>
    <col width="12.6640625" customWidth="1" style="126" min="1537" max="1537"/>
    <col width="15.6640625" customWidth="1" style="126" min="1538" max="1538"/>
    <col width="11.6640625" customWidth="1" style="126" min="1539" max="1540"/>
    <col width="12.6640625" customWidth="1" style="126" min="1541" max="1541"/>
    <col width="10.6640625" customWidth="1" style="126" min="1542" max="1542"/>
    <col width="11.6640625" customWidth="1" style="126" min="1543" max="1544"/>
    <col width="10.6640625" customWidth="1" style="126" min="1545" max="1545"/>
    <col width="12.6640625" customWidth="1" style="126" min="1546" max="1546"/>
    <col width="9.1640625" customWidth="1" style="126" min="1547" max="1792"/>
    <col width="12.6640625" customWidth="1" style="126" min="1793" max="1793"/>
    <col width="15.6640625" customWidth="1" style="126" min="1794" max="1794"/>
    <col width="11.6640625" customWidth="1" style="126" min="1795" max="1796"/>
    <col width="12.6640625" customWidth="1" style="126" min="1797" max="1797"/>
    <col width="10.6640625" customWidth="1" style="126" min="1798" max="1798"/>
    <col width="11.6640625" customWidth="1" style="126" min="1799" max="1800"/>
    <col width="10.6640625" customWidth="1" style="126" min="1801" max="1801"/>
    <col width="12.6640625" customWidth="1" style="126" min="1802" max="1802"/>
    <col width="9.1640625" customWidth="1" style="126" min="1803" max="2048"/>
    <col width="12.6640625" customWidth="1" style="126" min="2049" max="2049"/>
    <col width="15.6640625" customWidth="1" style="126" min="2050" max="2050"/>
    <col width="11.6640625" customWidth="1" style="126" min="2051" max="2052"/>
    <col width="12.6640625" customWidth="1" style="126" min="2053" max="2053"/>
    <col width="10.6640625" customWidth="1" style="126" min="2054" max="2054"/>
    <col width="11.6640625" customWidth="1" style="126" min="2055" max="2056"/>
    <col width="10.6640625" customWidth="1" style="126" min="2057" max="2057"/>
    <col width="12.6640625" customWidth="1" style="126" min="2058" max="2058"/>
    <col width="9.1640625" customWidth="1" style="126" min="2059" max="2304"/>
    <col width="12.6640625" customWidth="1" style="126" min="2305" max="2305"/>
    <col width="15.6640625" customWidth="1" style="126" min="2306" max="2306"/>
    <col width="11.6640625" customWidth="1" style="126" min="2307" max="2308"/>
    <col width="12.6640625" customWidth="1" style="126" min="2309" max="2309"/>
    <col width="10.6640625" customWidth="1" style="126" min="2310" max="2310"/>
    <col width="11.6640625" customWidth="1" style="126" min="2311" max="2312"/>
    <col width="10.6640625" customWidth="1" style="126" min="2313" max="2313"/>
    <col width="12.6640625" customWidth="1" style="126" min="2314" max="2314"/>
    <col width="9.1640625" customWidth="1" style="126" min="2315" max="2560"/>
    <col width="12.6640625" customWidth="1" style="126" min="2561" max="2561"/>
    <col width="15.6640625" customWidth="1" style="126" min="2562" max="2562"/>
    <col width="11.6640625" customWidth="1" style="126" min="2563" max="2564"/>
    <col width="12.6640625" customWidth="1" style="126" min="2565" max="2565"/>
    <col width="10.6640625" customWidth="1" style="126" min="2566" max="2566"/>
    <col width="11.6640625" customWidth="1" style="126" min="2567" max="2568"/>
    <col width="10.6640625" customWidth="1" style="126" min="2569" max="2569"/>
    <col width="12.6640625" customWidth="1" style="126" min="2570" max="2570"/>
    <col width="9.1640625" customWidth="1" style="126" min="2571" max="2816"/>
    <col width="12.6640625" customWidth="1" style="126" min="2817" max="2817"/>
    <col width="15.6640625" customWidth="1" style="126" min="2818" max="2818"/>
    <col width="11.6640625" customWidth="1" style="126" min="2819" max="2820"/>
    <col width="12.6640625" customWidth="1" style="126" min="2821" max="2821"/>
    <col width="10.6640625" customWidth="1" style="126" min="2822" max="2822"/>
    <col width="11.6640625" customWidth="1" style="126" min="2823" max="2824"/>
    <col width="10.6640625" customWidth="1" style="126" min="2825" max="2825"/>
    <col width="12.6640625" customWidth="1" style="126" min="2826" max="2826"/>
    <col width="9.1640625" customWidth="1" style="126" min="2827" max="3072"/>
    <col width="12.6640625" customWidth="1" style="126" min="3073" max="3073"/>
    <col width="15.6640625" customWidth="1" style="126" min="3074" max="3074"/>
    <col width="11.6640625" customWidth="1" style="126" min="3075" max="3076"/>
    <col width="12.6640625" customWidth="1" style="126" min="3077" max="3077"/>
    <col width="10.6640625" customWidth="1" style="126" min="3078" max="3078"/>
    <col width="11.6640625" customWidth="1" style="126" min="3079" max="3080"/>
    <col width="10.6640625" customWidth="1" style="126" min="3081" max="3081"/>
    <col width="12.6640625" customWidth="1" style="126" min="3082" max="3082"/>
    <col width="9.1640625" customWidth="1" style="126" min="3083" max="3328"/>
    <col width="12.6640625" customWidth="1" style="126" min="3329" max="3329"/>
    <col width="15.6640625" customWidth="1" style="126" min="3330" max="3330"/>
    <col width="11.6640625" customWidth="1" style="126" min="3331" max="3332"/>
    <col width="12.6640625" customWidth="1" style="126" min="3333" max="3333"/>
    <col width="10.6640625" customWidth="1" style="126" min="3334" max="3334"/>
    <col width="11.6640625" customWidth="1" style="126" min="3335" max="3336"/>
    <col width="10.6640625" customWidth="1" style="126" min="3337" max="3337"/>
    <col width="12.6640625" customWidth="1" style="126" min="3338" max="3338"/>
    <col width="9.1640625" customWidth="1" style="126" min="3339" max="3584"/>
    <col width="12.6640625" customWidth="1" style="126" min="3585" max="3585"/>
    <col width="15.6640625" customWidth="1" style="126" min="3586" max="3586"/>
    <col width="11.6640625" customWidth="1" style="126" min="3587" max="3588"/>
    <col width="12.6640625" customWidth="1" style="126" min="3589" max="3589"/>
    <col width="10.6640625" customWidth="1" style="126" min="3590" max="3590"/>
    <col width="11.6640625" customWidth="1" style="126" min="3591" max="3592"/>
    <col width="10.6640625" customWidth="1" style="126" min="3593" max="3593"/>
    <col width="12.6640625" customWidth="1" style="126" min="3594" max="3594"/>
    <col width="9.1640625" customWidth="1" style="126" min="3595" max="3840"/>
    <col width="12.6640625" customWidth="1" style="126" min="3841" max="3841"/>
    <col width="15.6640625" customWidth="1" style="126" min="3842" max="3842"/>
    <col width="11.6640625" customWidth="1" style="126" min="3843" max="3844"/>
    <col width="12.6640625" customWidth="1" style="126" min="3845" max="3845"/>
    <col width="10.6640625" customWidth="1" style="126" min="3846" max="3846"/>
    <col width="11.6640625" customWidth="1" style="126" min="3847" max="3848"/>
    <col width="10.6640625" customWidth="1" style="126" min="3849" max="3849"/>
    <col width="12.6640625" customWidth="1" style="126" min="3850" max="3850"/>
    <col width="9.1640625" customWidth="1" style="126" min="3851" max="4096"/>
    <col width="12.6640625" customWidth="1" style="126" min="4097" max="4097"/>
    <col width="15.6640625" customWidth="1" style="126" min="4098" max="4098"/>
    <col width="11.6640625" customWidth="1" style="126" min="4099" max="4100"/>
    <col width="12.6640625" customWidth="1" style="126" min="4101" max="4101"/>
    <col width="10.6640625" customWidth="1" style="126" min="4102" max="4102"/>
    <col width="11.6640625" customWidth="1" style="126" min="4103" max="4104"/>
    <col width="10.6640625" customWidth="1" style="126" min="4105" max="4105"/>
    <col width="12.6640625" customWidth="1" style="126" min="4106" max="4106"/>
    <col width="9.1640625" customWidth="1" style="126" min="4107" max="4352"/>
    <col width="12.6640625" customWidth="1" style="126" min="4353" max="4353"/>
    <col width="15.6640625" customWidth="1" style="126" min="4354" max="4354"/>
    <col width="11.6640625" customWidth="1" style="126" min="4355" max="4356"/>
    <col width="12.6640625" customWidth="1" style="126" min="4357" max="4357"/>
    <col width="10.6640625" customWidth="1" style="126" min="4358" max="4358"/>
    <col width="11.6640625" customWidth="1" style="126" min="4359" max="4360"/>
    <col width="10.6640625" customWidth="1" style="126" min="4361" max="4361"/>
    <col width="12.6640625" customWidth="1" style="126" min="4362" max="4362"/>
    <col width="9.1640625" customWidth="1" style="126" min="4363" max="4608"/>
    <col width="12.6640625" customWidth="1" style="126" min="4609" max="4609"/>
    <col width="15.6640625" customWidth="1" style="126" min="4610" max="4610"/>
    <col width="11.6640625" customWidth="1" style="126" min="4611" max="4612"/>
    <col width="12.6640625" customWidth="1" style="126" min="4613" max="4613"/>
    <col width="10.6640625" customWidth="1" style="126" min="4614" max="4614"/>
    <col width="11.6640625" customWidth="1" style="126" min="4615" max="4616"/>
    <col width="10.6640625" customWidth="1" style="126" min="4617" max="4617"/>
    <col width="12.6640625" customWidth="1" style="126" min="4618" max="4618"/>
    <col width="9.1640625" customWidth="1" style="126" min="4619" max="4864"/>
    <col width="12.6640625" customWidth="1" style="126" min="4865" max="4865"/>
    <col width="15.6640625" customWidth="1" style="126" min="4866" max="4866"/>
    <col width="11.6640625" customWidth="1" style="126" min="4867" max="4868"/>
    <col width="12.6640625" customWidth="1" style="126" min="4869" max="4869"/>
    <col width="10.6640625" customWidth="1" style="126" min="4870" max="4870"/>
    <col width="11.6640625" customWidth="1" style="126" min="4871" max="4872"/>
    <col width="10.6640625" customWidth="1" style="126" min="4873" max="4873"/>
    <col width="12.6640625" customWidth="1" style="126" min="4874" max="4874"/>
    <col width="9.1640625" customWidth="1" style="126" min="4875" max="5120"/>
    <col width="12.6640625" customWidth="1" style="126" min="5121" max="5121"/>
    <col width="15.6640625" customWidth="1" style="126" min="5122" max="5122"/>
    <col width="11.6640625" customWidth="1" style="126" min="5123" max="5124"/>
    <col width="12.6640625" customWidth="1" style="126" min="5125" max="5125"/>
    <col width="10.6640625" customWidth="1" style="126" min="5126" max="5126"/>
    <col width="11.6640625" customWidth="1" style="126" min="5127" max="5128"/>
    <col width="10.6640625" customWidth="1" style="126" min="5129" max="5129"/>
    <col width="12.6640625" customWidth="1" style="126" min="5130" max="5130"/>
    <col width="9.1640625" customWidth="1" style="126" min="5131" max="5376"/>
    <col width="12.6640625" customWidth="1" style="126" min="5377" max="5377"/>
    <col width="15.6640625" customWidth="1" style="126" min="5378" max="5378"/>
    <col width="11.6640625" customWidth="1" style="126" min="5379" max="5380"/>
    <col width="12.6640625" customWidth="1" style="126" min="5381" max="5381"/>
    <col width="10.6640625" customWidth="1" style="126" min="5382" max="5382"/>
    <col width="11.6640625" customWidth="1" style="126" min="5383" max="5384"/>
    <col width="10.6640625" customWidth="1" style="126" min="5385" max="5385"/>
    <col width="12.6640625" customWidth="1" style="126" min="5386" max="5386"/>
    <col width="9.1640625" customWidth="1" style="126" min="5387" max="5632"/>
    <col width="12.6640625" customWidth="1" style="126" min="5633" max="5633"/>
    <col width="15.6640625" customWidth="1" style="126" min="5634" max="5634"/>
    <col width="11.6640625" customWidth="1" style="126" min="5635" max="5636"/>
    <col width="12.6640625" customWidth="1" style="126" min="5637" max="5637"/>
    <col width="10.6640625" customWidth="1" style="126" min="5638" max="5638"/>
    <col width="11.6640625" customWidth="1" style="126" min="5639" max="5640"/>
    <col width="10.6640625" customWidth="1" style="126" min="5641" max="5641"/>
    <col width="12.6640625" customWidth="1" style="126" min="5642" max="5642"/>
    <col width="9.1640625" customWidth="1" style="126" min="5643" max="5888"/>
    <col width="12.6640625" customWidth="1" style="126" min="5889" max="5889"/>
    <col width="15.6640625" customWidth="1" style="126" min="5890" max="5890"/>
    <col width="11.6640625" customWidth="1" style="126" min="5891" max="5892"/>
    <col width="12.6640625" customWidth="1" style="126" min="5893" max="5893"/>
    <col width="10.6640625" customWidth="1" style="126" min="5894" max="5894"/>
    <col width="11.6640625" customWidth="1" style="126" min="5895" max="5896"/>
    <col width="10.6640625" customWidth="1" style="126" min="5897" max="5897"/>
    <col width="12.6640625" customWidth="1" style="126" min="5898" max="5898"/>
    <col width="9.1640625" customWidth="1" style="126" min="5899" max="6144"/>
    <col width="12.6640625" customWidth="1" style="126" min="6145" max="6145"/>
    <col width="15.6640625" customWidth="1" style="126" min="6146" max="6146"/>
    <col width="11.6640625" customWidth="1" style="126" min="6147" max="6148"/>
    <col width="12.6640625" customWidth="1" style="126" min="6149" max="6149"/>
    <col width="10.6640625" customWidth="1" style="126" min="6150" max="6150"/>
    <col width="11.6640625" customWidth="1" style="126" min="6151" max="6152"/>
    <col width="10.6640625" customWidth="1" style="126" min="6153" max="6153"/>
    <col width="12.6640625" customWidth="1" style="126" min="6154" max="6154"/>
    <col width="9.1640625" customWidth="1" style="126" min="6155" max="6400"/>
    <col width="12.6640625" customWidth="1" style="126" min="6401" max="6401"/>
    <col width="15.6640625" customWidth="1" style="126" min="6402" max="6402"/>
    <col width="11.6640625" customWidth="1" style="126" min="6403" max="6404"/>
    <col width="12.6640625" customWidth="1" style="126" min="6405" max="6405"/>
    <col width="10.6640625" customWidth="1" style="126" min="6406" max="6406"/>
    <col width="11.6640625" customWidth="1" style="126" min="6407" max="6408"/>
    <col width="10.6640625" customWidth="1" style="126" min="6409" max="6409"/>
    <col width="12.6640625" customWidth="1" style="126" min="6410" max="6410"/>
    <col width="9.1640625" customWidth="1" style="126" min="6411" max="6656"/>
    <col width="12.6640625" customWidth="1" style="126" min="6657" max="6657"/>
    <col width="15.6640625" customWidth="1" style="126" min="6658" max="6658"/>
    <col width="11.6640625" customWidth="1" style="126" min="6659" max="6660"/>
    <col width="12.6640625" customWidth="1" style="126" min="6661" max="6661"/>
    <col width="10.6640625" customWidth="1" style="126" min="6662" max="6662"/>
    <col width="11.6640625" customWidth="1" style="126" min="6663" max="6664"/>
    <col width="10.6640625" customWidth="1" style="126" min="6665" max="6665"/>
    <col width="12.6640625" customWidth="1" style="126" min="6666" max="6666"/>
    <col width="9.1640625" customWidth="1" style="126" min="6667" max="6912"/>
    <col width="12.6640625" customWidth="1" style="126" min="6913" max="6913"/>
    <col width="15.6640625" customWidth="1" style="126" min="6914" max="6914"/>
    <col width="11.6640625" customWidth="1" style="126" min="6915" max="6916"/>
    <col width="12.6640625" customWidth="1" style="126" min="6917" max="6917"/>
    <col width="10.6640625" customWidth="1" style="126" min="6918" max="6918"/>
    <col width="11.6640625" customWidth="1" style="126" min="6919" max="6920"/>
    <col width="10.6640625" customWidth="1" style="126" min="6921" max="6921"/>
    <col width="12.6640625" customWidth="1" style="126" min="6922" max="6922"/>
    <col width="9.1640625" customWidth="1" style="126" min="6923" max="7168"/>
    <col width="12.6640625" customWidth="1" style="126" min="7169" max="7169"/>
    <col width="15.6640625" customWidth="1" style="126" min="7170" max="7170"/>
    <col width="11.6640625" customWidth="1" style="126" min="7171" max="7172"/>
    <col width="12.6640625" customWidth="1" style="126" min="7173" max="7173"/>
    <col width="10.6640625" customWidth="1" style="126" min="7174" max="7174"/>
    <col width="11.6640625" customWidth="1" style="126" min="7175" max="7176"/>
    <col width="10.6640625" customWidth="1" style="126" min="7177" max="7177"/>
    <col width="12.6640625" customWidth="1" style="126" min="7178" max="7178"/>
    <col width="9.1640625" customWidth="1" style="126" min="7179" max="7424"/>
    <col width="12.6640625" customWidth="1" style="126" min="7425" max="7425"/>
    <col width="15.6640625" customWidth="1" style="126" min="7426" max="7426"/>
    <col width="11.6640625" customWidth="1" style="126" min="7427" max="7428"/>
    <col width="12.6640625" customWidth="1" style="126" min="7429" max="7429"/>
    <col width="10.6640625" customWidth="1" style="126" min="7430" max="7430"/>
    <col width="11.6640625" customWidth="1" style="126" min="7431" max="7432"/>
    <col width="10.6640625" customWidth="1" style="126" min="7433" max="7433"/>
    <col width="12.6640625" customWidth="1" style="126" min="7434" max="7434"/>
    <col width="9.1640625" customWidth="1" style="126" min="7435" max="7680"/>
    <col width="12.6640625" customWidth="1" style="126" min="7681" max="7681"/>
    <col width="15.6640625" customWidth="1" style="126" min="7682" max="7682"/>
    <col width="11.6640625" customWidth="1" style="126" min="7683" max="7684"/>
    <col width="12.6640625" customWidth="1" style="126" min="7685" max="7685"/>
    <col width="10.6640625" customWidth="1" style="126" min="7686" max="7686"/>
    <col width="11.6640625" customWidth="1" style="126" min="7687" max="7688"/>
    <col width="10.6640625" customWidth="1" style="126" min="7689" max="7689"/>
    <col width="12.6640625" customWidth="1" style="126" min="7690" max="7690"/>
    <col width="9.1640625" customWidth="1" style="126" min="7691" max="7936"/>
    <col width="12.6640625" customWidth="1" style="126" min="7937" max="7937"/>
    <col width="15.6640625" customWidth="1" style="126" min="7938" max="7938"/>
    <col width="11.6640625" customWidth="1" style="126" min="7939" max="7940"/>
    <col width="12.6640625" customWidth="1" style="126" min="7941" max="7941"/>
    <col width="10.6640625" customWidth="1" style="126" min="7942" max="7942"/>
    <col width="11.6640625" customWidth="1" style="126" min="7943" max="7944"/>
    <col width="10.6640625" customWidth="1" style="126" min="7945" max="7945"/>
    <col width="12.6640625" customWidth="1" style="126" min="7946" max="7946"/>
    <col width="9.1640625" customWidth="1" style="126" min="7947" max="8192"/>
    <col width="12.6640625" customWidth="1" style="126" min="8193" max="8193"/>
    <col width="15.6640625" customWidth="1" style="126" min="8194" max="8194"/>
    <col width="11.6640625" customWidth="1" style="126" min="8195" max="8196"/>
    <col width="12.6640625" customWidth="1" style="126" min="8197" max="8197"/>
    <col width="10.6640625" customWidth="1" style="126" min="8198" max="8198"/>
    <col width="11.6640625" customWidth="1" style="126" min="8199" max="8200"/>
    <col width="10.6640625" customWidth="1" style="126" min="8201" max="8201"/>
    <col width="12.6640625" customWidth="1" style="126" min="8202" max="8202"/>
    <col width="9.1640625" customWidth="1" style="126" min="8203" max="8448"/>
    <col width="12.6640625" customWidth="1" style="126" min="8449" max="8449"/>
    <col width="15.6640625" customWidth="1" style="126" min="8450" max="8450"/>
    <col width="11.6640625" customWidth="1" style="126" min="8451" max="8452"/>
    <col width="12.6640625" customWidth="1" style="126" min="8453" max="8453"/>
    <col width="10.6640625" customWidth="1" style="126" min="8454" max="8454"/>
    <col width="11.6640625" customWidth="1" style="126" min="8455" max="8456"/>
    <col width="10.6640625" customWidth="1" style="126" min="8457" max="8457"/>
    <col width="12.6640625" customWidth="1" style="126" min="8458" max="8458"/>
    <col width="9.1640625" customWidth="1" style="126" min="8459" max="8704"/>
    <col width="12.6640625" customWidth="1" style="126" min="8705" max="8705"/>
    <col width="15.6640625" customWidth="1" style="126" min="8706" max="8706"/>
    <col width="11.6640625" customWidth="1" style="126" min="8707" max="8708"/>
    <col width="12.6640625" customWidth="1" style="126" min="8709" max="8709"/>
    <col width="10.6640625" customWidth="1" style="126" min="8710" max="8710"/>
    <col width="11.6640625" customWidth="1" style="126" min="8711" max="8712"/>
    <col width="10.6640625" customWidth="1" style="126" min="8713" max="8713"/>
    <col width="12.6640625" customWidth="1" style="126" min="8714" max="8714"/>
    <col width="9.1640625" customWidth="1" style="126" min="8715" max="8960"/>
    <col width="12.6640625" customWidth="1" style="126" min="8961" max="8961"/>
    <col width="15.6640625" customWidth="1" style="126" min="8962" max="8962"/>
    <col width="11.6640625" customWidth="1" style="126" min="8963" max="8964"/>
    <col width="12.6640625" customWidth="1" style="126" min="8965" max="8965"/>
    <col width="10.6640625" customWidth="1" style="126" min="8966" max="8966"/>
    <col width="11.6640625" customWidth="1" style="126" min="8967" max="8968"/>
    <col width="10.6640625" customWidth="1" style="126" min="8969" max="8969"/>
    <col width="12.6640625" customWidth="1" style="126" min="8970" max="8970"/>
    <col width="9.1640625" customWidth="1" style="126" min="8971" max="9216"/>
    <col width="12.6640625" customWidth="1" style="126" min="9217" max="9217"/>
    <col width="15.6640625" customWidth="1" style="126" min="9218" max="9218"/>
    <col width="11.6640625" customWidth="1" style="126" min="9219" max="9220"/>
    <col width="12.6640625" customWidth="1" style="126" min="9221" max="9221"/>
    <col width="10.6640625" customWidth="1" style="126" min="9222" max="9222"/>
    <col width="11.6640625" customWidth="1" style="126" min="9223" max="9224"/>
    <col width="10.6640625" customWidth="1" style="126" min="9225" max="9225"/>
    <col width="12.6640625" customWidth="1" style="126" min="9226" max="9226"/>
    <col width="9.1640625" customWidth="1" style="126" min="9227" max="9472"/>
    <col width="12.6640625" customWidth="1" style="126" min="9473" max="9473"/>
    <col width="15.6640625" customWidth="1" style="126" min="9474" max="9474"/>
    <col width="11.6640625" customWidth="1" style="126" min="9475" max="9476"/>
    <col width="12.6640625" customWidth="1" style="126" min="9477" max="9477"/>
    <col width="10.6640625" customWidth="1" style="126" min="9478" max="9478"/>
    <col width="11.6640625" customWidth="1" style="126" min="9479" max="9480"/>
    <col width="10.6640625" customWidth="1" style="126" min="9481" max="9481"/>
    <col width="12.6640625" customWidth="1" style="126" min="9482" max="9482"/>
    <col width="9.1640625" customWidth="1" style="126" min="9483" max="9728"/>
    <col width="12.6640625" customWidth="1" style="126" min="9729" max="9729"/>
    <col width="15.6640625" customWidth="1" style="126" min="9730" max="9730"/>
    <col width="11.6640625" customWidth="1" style="126" min="9731" max="9732"/>
    <col width="12.6640625" customWidth="1" style="126" min="9733" max="9733"/>
    <col width="10.6640625" customWidth="1" style="126" min="9734" max="9734"/>
    <col width="11.6640625" customWidth="1" style="126" min="9735" max="9736"/>
    <col width="10.6640625" customWidth="1" style="126" min="9737" max="9737"/>
    <col width="12.6640625" customWidth="1" style="126" min="9738" max="9738"/>
    <col width="9.1640625" customWidth="1" style="126" min="9739" max="9984"/>
    <col width="12.6640625" customWidth="1" style="126" min="9985" max="9985"/>
    <col width="15.6640625" customWidth="1" style="126" min="9986" max="9986"/>
    <col width="11.6640625" customWidth="1" style="126" min="9987" max="9988"/>
    <col width="12.6640625" customWidth="1" style="126" min="9989" max="9989"/>
    <col width="10.6640625" customWidth="1" style="126" min="9990" max="9990"/>
    <col width="11.6640625" customWidth="1" style="126" min="9991" max="9992"/>
    <col width="10.6640625" customWidth="1" style="126" min="9993" max="9993"/>
    <col width="12.6640625" customWidth="1" style="126" min="9994" max="9994"/>
    <col width="9.1640625" customWidth="1" style="126" min="9995" max="10240"/>
    <col width="12.6640625" customWidth="1" style="126" min="10241" max="10241"/>
    <col width="15.6640625" customWidth="1" style="126" min="10242" max="10242"/>
    <col width="11.6640625" customWidth="1" style="126" min="10243" max="10244"/>
    <col width="12.6640625" customWidth="1" style="126" min="10245" max="10245"/>
    <col width="10.6640625" customWidth="1" style="126" min="10246" max="10246"/>
    <col width="11.6640625" customWidth="1" style="126" min="10247" max="10248"/>
    <col width="10.6640625" customWidth="1" style="126" min="10249" max="10249"/>
    <col width="12.6640625" customWidth="1" style="126" min="10250" max="10250"/>
    <col width="9.1640625" customWidth="1" style="126" min="10251" max="10496"/>
    <col width="12.6640625" customWidth="1" style="126" min="10497" max="10497"/>
    <col width="15.6640625" customWidth="1" style="126" min="10498" max="10498"/>
    <col width="11.6640625" customWidth="1" style="126" min="10499" max="10500"/>
    <col width="12.6640625" customWidth="1" style="126" min="10501" max="10501"/>
    <col width="10.6640625" customWidth="1" style="126" min="10502" max="10502"/>
    <col width="11.6640625" customWidth="1" style="126" min="10503" max="10504"/>
    <col width="10.6640625" customWidth="1" style="126" min="10505" max="10505"/>
    <col width="12.6640625" customWidth="1" style="126" min="10506" max="10506"/>
    <col width="9.1640625" customWidth="1" style="126" min="10507" max="10752"/>
    <col width="12.6640625" customWidth="1" style="126" min="10753" max="10753"/>
    <col width="15.6640625" customWidth="1" style="126" min="10754" max="10754"/>
    <col width="11.6640625" customWidth="1" style="126" min="10755" max="10756"/>
    <col width="12.6640625" customWidth="1" style="126" min="10757" max="10757"/>
    <col width="10.6640625" customWidth="1" style="126" min="10758" max="10758"/>
    <col width="11.6640625" customWidth="1" style="126" min="10759" max="10760"/>
    <col width="10.6640625" customWidth="1" style="126" min="10761" max="10761"/>
    <col width="12.6640625" customWidth="1" style="126" min="10762" max="10762"/>
    <col width="9.1640625" customWidth="1" style="126" min="10763" max="11008"/>
    <col width="12.6640625" customWidth="1" style="126" min="11009" max="11009"/>
    <col width="15.6640625" customWidth="1" style="126" min="11010" max="11010"/>
    <col width="11.6640625" customWidth="1" style="126" min="11011" max="11012"/>
    <col width="12.6640625" customWidth="1" style="126" min="11013" max="11013"/>
    <col width="10.6640625" customWidth="1" style="126" min="11014" max="11014"/>
    <col width="11.6640625" customWidth="1" style="126" min="11015" max="11016"/>
    <col width="10.6640625" customWidth="1" style="126" min="11017" max="11017"/>
    <col width="12.6640625" customWidth="1" style="126" min="11018" max="11018"/>
    <col width="9.1640625" customWidth="1" style="126" min="11019" max="11264"/>
    <col width="12.6640625" customWidth="1" style="126" min="11265" max="11265"/>
    <col width="15.6640625" customWidth="1" style="126" min="11266" max="11266"/>
    <col width="11.6640625" customWidth="1" style="126" min="11267" max="11268"/>
    <col width="12.6640625" customWidth="1" style="126" min="11269" max="11269"/>
    <col width="10.6640625" customWidth="1" style="126" min="11270" max="11270"/>
    <col width="11.6640625" customWidth="1" style="126" min="11271" max="11272"/>
    <col width="10.6640625" customWidth="1" style="126" min="11273" max="11273"/>
    <col width="12.6640625" customWidth="1" style="126" min="11274" max="11274"/>
    <col width="9.1640625" customWidth="1" style="126" min="11275" max="11520"/>
    <col width="12.6640625" customWidth="1" style="126" min="11521" max="11521"/>
    <col width="15.6640625" customWidth="1" style="126" min="11522" max="11522"/>
    <col width="11.6640625" customWidth="1" style="126" min="11523" max="11524"/>
    <col width="12.6640625" customWidth="1" style="126" min="11525" max="11525"/>
    <col width="10.6640625" customWidth="1" style="126" min="11526" max="11526"/>
    <col width="11.6640625" customWidth="1" style="126" min="11527" max="11528"/>
    <col width="10.6640625" customWidth="1" style="126" min="11529" max="11529"/>
    <col width="12.6640625" customWidth="1" style="126" min="11530" max="11530"/>
    <col width="9.1640625" customWidth="1" style="126" min="11531" max="11776"/>
    <col width="12.6640625" customWidth="1" style="126" min="11777" max="11777"/>
    <col width="15.6640625" customWidth="1" style="126" min="11778" max="11778"/>
    <col width="11.6640625" customWidth="1" style="126" min="11779" max="11780"/>
    <col width="12.6640625" customWidth="1" style="126" min="11781" max="11781"/>
    <col width="10.6640625" customWidth="1" style="126" min="11782" max="11782"/>
    <col width="11.6640625" customWidth="1" style="126" min="11783" max="11784"/>
    <col width="10.6640625" customWidth="1" style="126" min="11785" max="11785"/>
    <col width="12.6640625" customWidth="1" style="126" min="11786" max="11786"/>
    <col width="9.1640625" customWidth="1" style="126" min="11787" max="12032"/>
    <col width="12.6640625" customWidth="1" style="126" min="12033" max="12033"/>
    <col width="15.6640625" customWidth="1" style="126" min="12034" max="12034"/>
    <col width="11.6640625" customWidth="1" style="126" min="12035" max="12036"/>
    <col width="12.6640625" customWidth="1" style="126" min="12037" max="12037"/>
    <col width="10.6640625" customWidth="1" style="126" min="12038" max="12038"/>
    <col width="11.6640625" customWidth="1" style="126" min="12039" max="12040"/>
    <col width="10.6640625" customWidth="1" style="126" min="12041" max="12041"/>
    <col width="12.6640625" customWidth="1" style="126" min="12042" max="12042"/>
    <col width="9.1640625" customWidth="1" style="126" min="12043" max="12288"/>
    <col width="12.6640625" customWidth="1" style="126" min="12289" max="12289"/>
    <col width="15.6640625" customWidth="1" style="126" min="12290" max="12290"/>
    <col width="11.6640625" customWidth="1" style="126" min="12291" max="12292"/>
    <col width="12.6640625" customWidth="1" style="126" min="12293" max="12293"/>
    <col width="10.6640625" customWidth="1" style="126" min="12294" max="12294"/>
    <col width="11.6640625" customWidth="1" style="126" min="12295" max="12296"/>
    <col width="10.6640625" customWidth="1" style="126" min="12297" max="12297"/>
    <col width="12.6640625" customWidth="1" style="126" min="12298" max="12298"/>
    <col width="9.1640625" customWidth="1" style="126" min="12299" max="12544"/>
    <col width="12.6640625" customWidth="1" style="126" min="12545" max="12545"/>
    <col width="15.6640625" customWidth="1" style="126" min="12546" max="12546"/>
    <col width="11.6640625" customWidth="1" style="126" min="12547" max="12548"/>
    <col width="12.6640625" customWidth="1" style="126" min="12549" max="12549"/>
    <col width="10.6640625" customWidth="1" style="126" min="12550" max="12550"/>
    <col width="11.6640625" customWidth="1" style="126" min="12551" max="12552"/>
    <col width="10.6640625" customWidth="1" style="126" min="12553" max="12553"/>
    <col width="12.6640625" customWidth="1" style="126" min="12554" max="12554"/>
    <col width="9.1640625" customWidth="1" style="126" min="12555" max="12800"/>
    <col width="12.6640625" customWidth="1" style="126" min="12801" max="12801"/>
    <col width="15.6640625" customWidth="1" style="126" min="12802" max="12802"/>
    <col width="11.6640625" customWidth="1" style="126" min="12803" max="12804"/>
    <col width="12.6640625" customWidth="1" style="126" min="12805" max="12805"/>
    <col width="10.6640625" customWidth="1" style="126" min="12806" max="12806"/>
    <col width="11.6640625" customWidth="1" style="126" min="12807" max="12808"/>
    <col width="10.6640625" customWidth="1" style="126" min="12809" max="12809"/>
    <col width="12.6640625" customWidth="1" style="126" min="12810" max="12810"/>
    <col width="9.1640625" customWidth="1" style="126" min="12811" max="13056"/>
    <col width="12.6640625" customWidth="1" style="126" min="13057" max="13057"/>
    <col width="15.6640625" customWidth="1" style="126" min="13058" max="13058"/>
    <col width="11.6640625" customWidth="1" style="126" min="13059" max="13060"/>
    <col width="12.6640625" customWidth="1" style="126" min="13061" max="13061"/>
    <col width="10.6640625" customWidth="1" style="126" min="13062" max="13062"/>
    <col width="11.6640625" customWidth="1" style="126" min="13063" max="13064"/>
    <col width="10.6640625" customWidth="1" style="126" min="13065" max="13065"/>
    <col width="12.6640625" customWidth="1" style="126" min="13066" max="13066"/>
    <col width="9.1640625" customWidth="1" style="126" min="13067" max="13312"/>
    <col width="12.6640625" customWidth="1" style="126" min="13313" max="13313"/>
    <col width="15.6640625" customWidth="1" style="126" min="13314" max="13314"/>
    <col width="11.6640625" customWidth="1" style="126" min="13315" max="13316"/>
    <col width="12.6640625" customWidth="1" style="126" min="13317" max="13317"/>
    <col width="10.6640625" customWidth="1" style="126" min="13318" max="13318"/>
    <col width="11.6640625" customWidth="1" style="126" min="13319" max="13320"/>
    <col width="10.6640625" customWidth="1" style="126" min="13321" max="13321"/>
    <col width="12.6640625" customWidth="1" style="126" min="13322" max="13322"/>
    <col width="9.1640625" customWidth="1" style="126" min="13323" max="13568"/>
    <col width="12.6640625" customWidth="1" style="126" min="13569" max="13569"/>
    <col width="15.6640625" customWidth="1" style="126" min="13570" max="13570"/>
    <col width="11.6640625" customWidth="1" style="126" min="13571" max="13572"/>
    <col width="12.6640625" customWidth="1" style="126" min="13573" max="13573"/>
    <col width="10.6640625" customWidth="1" style="126" min="13574" max="13574"/>
    <col width="11.6640625" customWidth="1" style="126" min="13575" max="13576"/>
    <col width="10.6640625" customWidth="1" style="126" min="13577" max="13577"/>
    <col width="12.6640625" customWidth="1" style="126" min="13578" max="13578"/>
    <col width="9.1640625" customWidth="1" style="126" min="13579" max="13824"/>
    <col width="12.6640625" customWidth="1" style="126" min="13825" max="13825"/>
    <col width="15.6640625" customWidth="1" style="126" min="13826" max="13826"/>
    <col width="11.6640625" customWidth="1" style="126" min="13827" max="13828"/>
    <col width="12.6640625" customWidth="1" style="126" min="13829" max="13829"/>
    <col width="10.6640625" customWidth="1" style="126" min="13830" max="13830"/>
    <col width="11.6640625" customWidth="1" style="126" min="13831" max="13832"/>
    <col width="10.6640625" customWidth="1" style="126" min="13833" max="13833"/>
    <col width="12.6640625" customWidth="1" style="126" min="13834" max="13834"/>
    <col width="9.1640625" customWidth="1" style="126" min="13835" max="14080"/>
    <col width="12.6640625" customWidth="1" style="126" min="14081" max="14081"/>
    <col width="15.6640625" customWidth="1" style="126" min="14082" max="14082"/>
    <col width="11.6640625" customWidth="1" style="126" min="14083" max="14084"/>
    <col width="12.6640625" customWidth="1" style="126" min="14085" max="14085"/>
    <col width="10.6640625" customWidth="1" style="126" min="14086" max="14086"/>
    <col width="11.6640625" customWidth="1" style="126" min="14087" max="14088"/>
    <col width="10.6640625" customWidth="1" style="126" min="14089" max="14089"/>
    <col width="12.6640625" customWidth="1" style="126" min="14090" max="14090"/>
    <col width="9.1640625" customWidth="1" style="126" min="14091" max="14336"/>
    <col width="12.6640625" customWidth="1" style="126" min="14337" max="14337"/>
    <col width="15.6640625" customWidth="1" style="126" min="14338" max="14338"/>
    <col width="11.6640625" customWidth="1" style="126" min="14339" max="14340"/>
    <col width="12.6640625" customWidth="1" style="126" min="14341" max="14341"/>
    <col width="10.6640625" customWidth="1" style="126" min="14342" max="14342"/>
    <col width="11.6640625" customWidth="1" style="126" min="14343" max="14344"/>
    <col width="10.6640625" customWidth="1" style="126" min="14345" max="14345"/>
    <col width="12.6640625" customWidth="1" style="126" min="14346" max="14346"/>
    <col width="9.1640625" customWidth="1" style="126" min="14347" max="14592"/>
    <col width="12.6640625" customWidth="1" style="126" min="14593" max="14593"/>
    <col width="15.6640625" customWidth="1" style="126" min="14594" max="14594"/>
    <col width="11.6640625" customWidth="1" style="126" min="14595" max="14596"/>
    <col width="12.6640625" customWidth="1" style="126" min="14597" max="14597"/>
    <col width="10.6640625" customWidth="1" style="126" min="14598" max="14598"/>
    <col width="11.6640625" customWidth="1" style="126" min="14599" max="14600"/>
    <col width="10.6640625" customWidth="1" style="126" min="14601" max="14601"/>
    <col width="12.6640625" customWidth="1" style="126" min="14602" max="14602"/>
    <col width="9.1640625" customWidth="1" style="126" min="14603" max="14848"/>
    <col width="12.6640625" customWidth="1" style="126" min="14849" max="14849"/>
    <col width="15.6640625" customWidth="1" style="126" min="14850" max="14850"/>
    <col width="11.6640625" customWidth="1" style="126" min="14851" max="14852"/>
    <col width="12.6640625" customWidth="1" style="126" min="14853" max="14853"/>
    <col width="10.6640625" customWidth="1" style="126" min="14854" max="14854"/>
    <col width="11.6640625" customWidth="1" style="126" min="14855" max="14856"/>
    <col width="10.6640625" customWidth="1" style="126" min="14857" max="14857"/>
    <col width="12.6640625" customWidth="1" style="126" min="14858" max="14858"/>
    <col width="9.1640625" customWidth="1" style="126" min="14859" max="15104"/>
    <col width="12.6640625" customWidth="1" style="126" min="15105" max="15105"/>
    <col width="15.6640625" customWidth="1" style="126" min="15106" max="15106"/>
    <col width="11.6640625" customWidth="1" style="126" min="15107" max="15108"/>
    <col width="12.6640625" customWidth="1" style="126" min="15109" max="15109"/>
    <col width="10.6640625" customWidth="1" style="126" min="15110" max="15110"/>
    <col width="11.6640625" customWidth="1" style="126" min="15111" max="15112"/>
    <col width="10.6640625" customWidth="1" style="126" min="15113" max="15113"/>
    <col width="12.6640625" customWidth="1" style="126" min="15114" max="15114"/>
    <col width="9.1640625" customWidth="1" style="126" min="15115" max="15360"/>
    <col width="12.6640625" customWidth="1" style="126" min="15361" max="15361"/>
    <col width="15.6640625" customWidth="1" style="126" min="15362" max="15362"/>
    <col width="11.6640625" customWidth="1" style="126" min="15363" max="15364"/>
    <col width="12.6640625" customWidth="1" style="126" min="15365" max="15365"/>
    <col width="10.6640625" customWidth="1" style="126" min="15366" max="15366"/>
    <col width="11.6640625" customWidth="1" style="126" min="15367" max="15368"/>
    <col width="10.6640625" customWidth="1" style="126" min="15369" max="15369"/>
    <col width="12.6640625" customWidth="1" style="126" min="15370" max="15370"/>
    <col width="9.1640625" customWidth="1" style="126" min="15371" max="15616"/>
    <col width="12.6640625" customWidth="1" style="126" min="15617" max="15617"/>
    <col width="15.6640625" customWidth="1" style="126" min="15618" max="15618"/>
    <col width="11.6640625" customWidth="1" style="126" min="15619" max="15620"/>
    <col width="12.6640625" customWidth="1" style="126" min="15621" max="15621"/>
    <col width="10.6640625" customWidth="1" style="126" min="15622" max="15622"/>
    <col width="11.6640625" customWidth="1" style="126" min="15623" max="15624"/>
    <col width="10.6640625" customWidth="1" style="126" min="15625" max="15625"/>
    <col width="12.6640625" customWidth="1" style="126" min="15626" max="15626"/>
    <col width="9.1640625" customWidth="1" style="126" min="15627" max="15872"/>
    <col width="12.6640625" customWidth="1" style="126" min="15873" max="15873"/>
    <col width="15.6640625" customWidth="1" style="126" min="15874" max="15874"/>
    <col width="11.6640625" customWidth="1" style="126" min="15875" max="15876"/>
    <col width="12.6640625" customWidth="1" style="126" min="15877" max="15877"/>
    <col width="10.6640625" customWidth="1" style="126" min="15878" max="15878"/>
    <col width="11.6640625" customWidth="1" style="126" min="15879" max="15880"/>
    <col width="10.6640625" customWidth="1" style="126" min="15881" max="15881"/>
    <col width="12.6640625" customWidth="1" style="126" min="15882" max="15882"/>
    <col width="9.1640625" customWidth="1" style="126" min="15883" max="16128"/>
    <col width="12.6640625" customWidth="1" style="126" min="16129" max="16129"/>
    <col width="15.6640625" customWidth="1" style="126" min="16130" max="16130"/>
    <col width="11.6640625" customWidth="1" style="126" min="16131" max="16132"/>
    <col width="12.6640625" customWidth="1" style="126" min="16133" max="16133"/>
    <col width="10.6640625" customWidth="1" style="126" min="16134" max="16134"/>
    <col width="11.6640625" customWidth="1" style="126" min="16135" max="16136"/>
    <col width="10.6640625" customWidth="1" style="126" min="16137" max="16137"/>
    <col width="12.6640625" customWidth="1" style="126" min="16138" max="16138"/>
    <col width="9.1640625" customWidth="1" style="126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11" t="n">
        <v>17168</v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J2" t="n">
        <v>1277.44</v>
      </c>
    </row>
    <row r="3">
      <c r="A3" s="111" t="n">
        <v>17258</v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J3" t="n">
        <v>1298.692</v>
      </c>
    </row>
    <row r="4">
      <c r="A4" s="111" t="n">
        <v>17349</v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J4" t="n">
        <v>1302.925</v>
      </c>
    </row>
    <row r="5">
      <c r="A5" s="111" t="n">
        <v>17441</v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J5" t="n">
        <v>1303.34</v>
      </c>
    </row>
    <row r="6">
      <c r="A6" s="111" t="n">
        <v>17533</v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J6" t="n">
        <v>1309.834</v>
      </c>
    </row>
    <row r="7">
      <c r="A7" s="111" t="n">
        <v>17624</v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J7" t="n">
        <v>1325.075</v>
      </c>
    </row>
    <row r="8">
      <c r="A8" s="111" t="n">
        <v>17715</v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J8" t="n">
        <v>1327.031</v>
      </c>
    </row>
    <row r="9">
      <c r="A9" s="111" t="n">
        <v>17807</v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J9" t="n">
        <v>1337.622</v>
      </c>
    </row>
    <row r="10">
      <c r="A10" s="111" t="n">
        <v>17899</v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J10" t="n">
        <v>1339.787</v>
      </c>
    </row>
    <row r="11">
      <c r="A11" s="111" t="n">
        <v>17989</v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J11" t="n">
        <v>1360.322</v>
      </c>
    </row>
    <row r="12">
      <c r="A12" s="111" t="n">
        <v>18080</v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J12" t="n">
        <v>1363.407</v>
      </c>
    </row>
    <row r="13">
      <c r="A13" s="111" t="n">
        <v>18172</v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J13" t="n">
        <v>1383.396</v>
      </c>
    </row>
    <row r="14">
      <c r="A14" s="111" t="n">
        <v>18264</v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J14" t="n">
        <v>1406.429</v>
      </c>
    </row>
    <row r="15">
      <c r="A15" s="111" t="n">
        <v>18354</v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J15" t="n">
        <v>1429.591</v>
      </c>
    </row>
    <row r="16">
      <c r="A16" s="111" t="n">
        <v>18445</v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J16" t="n">
        <v>1503.003</v>
      </c>
    </row>
    <row r="17">
      <c r="A17" s="111" t="n">
        <v>18537</v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J17" t="n">
        <v>1457.694</v>
      </c>
    </row>
    <row r="18">
      <c r="A18" s="111" t="n">
        <v>18629</v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J18" t="n">
        <v>1492.942</v>
      </c>
    </row>
    <row r="19">
      <c r="A19" s="111" t="n">
        <v>18719</v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J19" t="n">
        <v>1450.753</v>
      </c>
    </row>
    <row r="20">
      <c r="A20" s="111" t="n">
        <v>18810</v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J20" t="n">
        <v>1467.654</v>
      </c>
    </row>
    <row r="21">
      <c r="A21" s="111" t="n">
        <v>18902</v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J21" t="n">
        <v>1476.205</v>
      </c>
    </row>
    <row r="22">
      <c r="A22" s="111" t="n">
        <v>18994</v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J22" t="n">
        <v>1479.625</v>
      </c>
    </row>
    <row r="23">
      <c r="A23" s="111" t="n">
        <v>19085</v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J23" t="n">
        <v>1508.601</v>
      </c>
    </row>
    <row r="24">
      <c r="A24" s="111" t="n">
        <v>19176</v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J24" t="n">
        <v>1515.837</v>
      </c>
    </row>
    <row r="25">
      <c r="A25" s="111" t="n">
        <v>19268</v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J25" t="n">
        <v>1569.313</v>
      </c>
    </row>
    <row r="26">
      <c r="A26" s="111" t="n">
        <v>19360</v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J26" t="n">
        <v>1587.743</v>
      </c>
    </row>
    <row r="27">
      <c r="A27" s="111" t="n">
        <v>19450</v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J27" t="n">
        <v>1597.302</v>
      </c>
    </row>
    <row r="28">
      <c r="A28" s="111" t="n">
        <v>19541</v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J28" t="n">
        <v>1593.497</v>
      </c>
    </row>
    <row r="29">
      <c r="A29" s="111" t="n">
        <v>19633</v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J29" t="n">
        <v>1582.812</v>
      </c>
    </row>
    <row r="30">
      <c r="A30" s="111" t="n">
        <v>19725</v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J30" t="n">
        <v>1588.65</v>
      </c>
    </row>
    <row r="31">
      <c r="A31" s="111" t="n">
        <v>19815</v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J31" t="n">
        <v>1609.28</v>
      </c>
    </row>
    <row r="32">
      <c r="A32" s="111" t="n">
        <v>19906</v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J32" t="n">
        <v>1631.059</v>
      </c>
    </row>
    <row r="33">
      <c r="A33" s="111" t="n">
        <v>19998</v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J33" t="n">
        <v>1665.291</v>
      </c>
    </row>
    <row r="34">
      <c r="A34" s="111" t="n">
        <v>20090</v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J34" t="n">
        <v>1702.656</v>
      </c>
    </row>
    <row r="35">
      <c r="A35" s="111" t="n">
        <v>20180</v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J35" t="n">
        <v>1735.274</v>
      </c>
    </row>
    <row r="36">
      <c r="A36" s="111" t="n">
        <v>20271</v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J36" t="n">
        <v>1756.707</v>
      </c>
    </row>
    <row r="37">
      <c r="A37" s="111" t="n">
        <v>20363</v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J37" t="n">
        <v>1778.767</v>
      </c>
    </row>
    <row r="38">
      <c r="A38" s="111" t="n">
        <v>20455</v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J38" t="n">
        <v>1781.657</v>
      </c>
    </row>
    <row r="39">
      <c r="A39" s="111" t="n">
        <v>20546</v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J39" t="n">
        <v>1787.583</v>
      </c>
    </row>
    <row r="40">
      <c r="A40" s="111" t="n">
        <v>20637</v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J40" t="n">
        <v>1791.625</v>
      </c>
    </row>
    <row r="41">
      <c r="A41" s="111" t="n">
        <v>20729</v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J41" t="n">
        <v>1816.324</v>
      </c>
    </row>
    <row r="42">
      <c r="A42" s="111" t="n">
        <v>20821</v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J42" t="n">
        <v>1828.956</v>
      </c>
    </row>
    <row r="43">
      <c r="A43" s="111" t="n">
        <v>20911</v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J43" t="n">
        <v>1832.145</v>
      </c>
    </row>
    <row r="44">
      <c r="A44" s="111" t="n">
        <v>21002</v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J44" t="n">
        <v>1846.623</v>
      </c>
    </row>
    <row r="45">
      <c r="A45" s="111" t="n">
        <v>21094</v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J45" t="n">
        <v>1847.391</v>
      </c>
    </row>
    <row r="46">
      <c r="A46" s="111" t="n">
        <v>21186</v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J46" t="n">
        <v>1821.834</v>
      </c>
    </row>
    <row r="47">
      <c r="A47" s="111" t="n">
        <v>21276</v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J47" t="n">
        <v>1836.897</v>
      </c>
    </row>
    <row r="48">
      <c r="A48" s="111" t="n">
        <v>21367</v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J48" t="n">
        <v>1867.373</v>
      </c>
    </row>
    <row r="49">
      <c r="A49" s="111" t="n">
        <v>21459</v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J49" t="n">
        <v>1892.738</v>
      </c>
    </row>
    <row r="50">
      <c r="A50" s="111" t="n">
        <v>21551</v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11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11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11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11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11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11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11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11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11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11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11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11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11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11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11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11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11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11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11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11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11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11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11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11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11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11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11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11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11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11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11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11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11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11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11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11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11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11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11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11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11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11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11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11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11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11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11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11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11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11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11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11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11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11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11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11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11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11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11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11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11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11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11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11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11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11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11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11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11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11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11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11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11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11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11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11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11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11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11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11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11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11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11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11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11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11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11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11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11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11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11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11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11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11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11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11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11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11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11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11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11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11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11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11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11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11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11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11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11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11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11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11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11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11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11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11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11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11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11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11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11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11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11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11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11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11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11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11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11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11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11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11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11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11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11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11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11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11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11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11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11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11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11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11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11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11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11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11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11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11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11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11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11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11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11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11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11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11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11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11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11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11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11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11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11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11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11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11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11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11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11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11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11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11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11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11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11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11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11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11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11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11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11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11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11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11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11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11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11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11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11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11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11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11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11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11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11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11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11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11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11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11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11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11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11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11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11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11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11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11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11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11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11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11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11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11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11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11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11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11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11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11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11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11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11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11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11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11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11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11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11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11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11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11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11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11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11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11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11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11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11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11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11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11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11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11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11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11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11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11" t="n">
        <v>44378</v>
      </c>
      <c r="B300" t="n">
        <v>4.5</v>
      </c>
      <c r="C300" t="n">
        <v>2289.48</v>
      </c>
      <c r="D300" t="n">
        <v>3380.162</v>
      </c>
      <c r="E300" t="n">
        <v>19465.195</v>
      </c>
      <c r="F300" t="n">
        <v>119.19</v>
      </c>
      <c r="G300" t="n">
        <v>3604.304</v>
      </c>
      <c r="H300" t="n">
        <v>3601.184</v>
      </c>
      <c r="I300" t="n">
        <v>118.016</v>
      </c>
      <c r="J300" t="n">
        <v>13719.274</v>
      </c>
    </row>
    <row r="301">
      <c r="A301" s="111" t="n"/>
    </row>
    <row r="302">
      <c r="B302" t="inlineStr">
        <is>
          <t>DPCCRV1Q225SBEA</t>
        </is>
      </c>
      <c r="C302" t="inlineStr">
        <is>
          <t>EXPGSC1</t>
        </is>
      </c>
      <c r="D302" t="inlineStr">
        <is>
          <t>GCEC1</t>
        </is>
      </c>
      <c r="E302" t="inlineStr">
        <is>
          <t>GDPC1</t>
        </is>
      </c>
      <c r="F302" t="inlineStr">
        <is>
          <t>GDPCTPI</t>
        </is>
      </c>
      <c r="G302" t="inlineStr">
        <is>
          <t>GPDIC1</t>
        </is>
      </c>
      <c r="H302" t="inlineStr">
        <is>
          <t>IMPGSC1</t>
        </is>
      </c>
      <c r="I302" t="inlineStr">
        <is>
          <t>JCXFE</t>
        </is>
      </c>
      <c r="J302" t="inlineStr">
        <is>
          <t>PCECC96</t>
        </is>
      </c>
    </row>
    <row r="303">
      <c r="A303" t="inlineStr">
        <is>
          <t>DATE</t>
        </is>
      </c>
    </row>
    <row r="304">
      <c r="A304" s="160" t="n">
        <v>17168</v>
      </c>
      <c r="B304" t="n">
        <v/>
      </c>
      <c r="C304" t="n">
        <v>97.63</v>
      </c>
      <c r="D304" t="n">
        <v>524.026</v>
      </c>
      <c r="E304" t="n">
        <v>2034.45</v>
      </c>
      <c r="F304" t="n">
        <v>11.961</v>
      </c>
      <c r="G304" t="n">
        <v>218.091</v>
      </c>
      <c r="H304" t="n">
        <v>60.396</v>
      </c>
      <c r="I304" t="n">
        <v/>
      </c>
      <c r="J304" t="n">
        <v>1277.44</v>
      </c>
    </row>
    <row r="305">
      <c r="A305" s="160" t="n">
        <v>17258</v>
      </c>
      <c r="B305" t="n">
        <v/>
      </c>
      <c r="C305" t="n">
        <v>96.399</v>
      </c>
      <c r="D305" t="n">
        <v>523.583</v>
      </c>
      <c r="E305" t="n">
        <v>2029.024</v>
      </c>
      <c r="F305" t="n">
        <v>12.124</v>
      </c>
      <c r="G305" t="n">
        <v>201.386</v>
      </c>
      <c r="H305" t="n">
        <v>61.559</v>
      </c>
      <c r="I305" t="n">
        <v/>
      </c>
      <c r="J305" t="n">
        <v>1298.692</v>
      </c>
    </row>
    <row r="306">
      <c r="A306" s="160" t="n">
        <v>17349</v>
      </c>
      <c r="B306" t="n">
        <v/>
      </c>
      <c r="C306" t="n">
        <v>91.506</v>
      </c>
      <c r="D306" t="n">
        <v>523.477</v>
      </c>
      <c r="E306" t="n">
        <v>2024.834</v>
      </c>
      <c r="F306" t="n">
        <v>12.315</v>
      </c>
      <c r="G306" t="n">
        <v>195.461</v>
      </c>
      <c r="H306" t="n">
        <v>54.594</v>
      </c>
      <c r="I306" t="n">
        <v/>
      </c>
      <c r="J306" t="n">
        <v>1302.925</v>
      </c>
    </row>
    <row r="307">
      <c r="A307" s="160" t="n">
        <v>17441</v>
      </c>
      <c r="B307" t="n">
        <v/>
      </c>
      <c r="C307" t="n">
        <v>81.139</v>
      </c>
      <c r="D307" t="n">
        <v>519.236</v>
      </c>
      <c r="E307" t="n">
        <v>2056.508</v>
      </c>
      <c r="F307" t="n">
        <v>12.569</v>
      </c>
      <c r="G307" t="n">
        <v>233.284</v>
      </c>
      <c r="H307" t="n">
        <v>57.538</v>
      </c>
      <c r="I307" t="n">
        <v/>
      </c>
      <c r="J307" t="n">
        <v>1303.34</v>
      </c>
    </row>
    <row r="308">
      <c r="A308" s="160" t="n">
        <v>17533</v>
      </c>
      <c r="B308" t="n">
        <v/>
      </c>
      <c r="C308" t="n">
        <v>77.437</v>
      </c>
      <c r="D308" t="n">
        <v>526.97</v>
      </c>
      <c r="E308" t="n">
        <v>2087.442</v>
      </c>
      <c r="F308" t="n">
        <v>12.713</v>
      </c>
      <c r="G308" t="n">
        <v>257.22</v>
      </c>
      <c r="H308" t="n">
        <v>64.883</v>
      </c>
      <c r="I308" t="n">
        <v/>
      </c>
      <c r="J308" t="n">
        <v>1309.834</v>
      </c>
    </row>
    <row r="309">
      <c r="A309" s="160" t="n">
        <v>17624</v>
      </c>
      <c r="B309" t="n">
        <v/>
      </c>
      <c r="C309" t="n">
        <v>70.19799999999999</v>
      </c>
      <c r="D309" t="n">
        <v>545.557</v>
      </c>
      <c r="E309" t="n">
        <v>2121.899</v>
      </c>
      <c r="F309" t="n">
        <v>12.864</v>
      </c>
      <c r="G309" t="n">
        <v>273.138</v>
      </c>
      <c r="H309" t="n">
        <v>67.455</v>
      </c>
      <c r="I309" t="n">
        <v/>
      </c>
      <c r="J309" t="n">
        <v>1325.075</v>
      </c>
    </row>
    <row r="310">
      <c r="A310" s="160" t="n">
        <v>17715</v>
      </c>
      <c r="B310" t="n">
        <v/>
      </c>
      <c r="C310" t="n">
        <v>71.848</v>
      </c>
      <c r="D310" t="n">
        <v>556.9400000000001</v>
      </c>
      <c r="E310" t="n">
        <v>2134.056</v>
      </c>
      <c r="F310" t="n">
        <v>13.088</v>
      </c>
      <c r="G310" t="n">
        <v>275.936</v>
      </c>
      <c r="H310" t="n">
        <v>70.977</v>
      </c>
      <c r="I310" t="n">
        <v/>
      </c>
      <c r="J310" t="n">
        <v>1327.031</v>
      </c>
    </row>
    <row r="311">
      <c r="A311" s="160" t="n">
        <v>17807</v>
      </c>
      <c r="B311" t="n">
        <v/>
      </c>
      <c r="C311" t="n">
        <v>69.316</v>
      </c>
      <c r="D311" t="n">
        <v>577.453</v>
      </c>
      <c r="E311" t="n">
        <v>2136.44</v>
      </c>
      <c r="F311" t="n">
        <v>13.083</v>
      </c>
      <c r="G311" t="n">
        <v>262.741</v>
      </c>
      <c r="H311" t="n">
        <v>69.82599999999999</v>
      </c>
      <c r="I311" t="n">
        <v/>
      </c>
      <c r="J311" t="n">
        <v>1337.622</v>
      </c>
    </row>
    <row r="312">
      <c r="A312" s="160" t="n">
        <v>17899</v>
      </c>
      <c r="B312" t="n">
        <v/>
      </c>
      <c r="C312" t="n">
        <v>77.61199999999999</v>
      </c>
      <c r="D312" t="n">
        <v>592.769</v>
      </c>
      <c r="E312" t="n">
        <v>2107.001</v>
      </c>
      <c r="F312" t="n">
        <v>13.041</v>
      </c>
      <c r="G312" t="n">
        <v>223.507</v>
      </c>
      <c r="H312" t="n">
        <v>67.73099999999999</v>
      </c>
      <c r="I312" t="n">
        <v/>
      </c>
      <c r="J312" t="n">
        <v>1339.787</v>
      </c>
    </row>
    <row r="313">
      <c r="A313" s="160" t="n">
        <v>17989</v>
      </c>
      <c r="B313" t="n">
        <v/>
      </c>
      <c r="C313" t="n">
        <v>76.947</v>
      </c>
      <c r="D313" t="n">
        <v>618.527</v>
      </c>
      <c r="E313" t="n">
        <v>2099.814</v>
      </c>
      <c r="F313" t="n">
        <v>12.96</v>
      </c>
      <c r="G313" t="n">
        <v>193.795</v>
      </c>
      <c r="H313" t="n">
        <v>66.74299999999999</v>
      </c>
      <c r="I313" t="n">
        <v/>
      </c>
      <c r="J313" t="n">
        <v>1360.322</v>
      </c>
    </row>
    <row r="314">
      <c r="A314" s="160" t="n">
        <v>18080</v>
      </c>
      <c r="B314" t="n">
        <v/>
      </c>
      <c r="C314" t="n">
        <v>70.52</v>
      </c>
      <c r="D314" t="n">
        <v>621.789</v>
      </c>
      <c r="E314" t="n">
        <v>2121.493</v>
      </c>
      <c r="F314" t="n">
        <v>12.867</v>
      </c>
      <c r="G314" t="n">
        <v>209.862</v>
      </c>
      <c r="H314" t="n">
        <v>64.023</v>
      </c>
      <c r="I314" t="n">
        <v/>
      </c>
      <c r="J314" t="n">
        <v>1363.407</v>
      </c>
    </row>
    <row r="315">
      <c r="A315" s="160" t="n">
        <v>18172</v>
      </c>
      <c r="B315" t="n">
        <v/>
      </c>
      <c r="C315" t="n">
        <v>61.047</v>
      </c>
      <c r="D315" t="n">
        <v>610.904</v>
      </c>
      <c r="E315" t="n">
        <v>2103.688</v>
      </c>
      <c r="F315" t="n">
        <v>12.864</v>
      </c>
      <c r="G315" t="n">
        <v>199.54</v>
      </c>
      <c r="H315" t="n">
        <v>64.98699999999999</v>
      </c>
      <c r="I315" t="n">
        <v/>
      </c>
      <c r="J315" t="n">
        <v>1383.396</v>
      </c>
    </row>
    <row r="316">
      <c r="A316" s="160" t="n">
        <v>18264</v>
      </c>
      <c r="B316" t="n">
        <v/>
      </c>
      <c r="C316" t="n">
        <v>60.041</v>
      </c>
      <c r="D316" t="n">
        <v>599.569</v>
      </c>
      <c r="E316" t="n">
        <v>2186.365</v>
      </c>
      <c r="F316" t="n">
        <v>12.828</v>
      </c>
      <c r="G316" t="n">
        <v>246.911</v>
      </c>
      <c r="H316" t="n">
        <v>66.803</v>
      </c>
      <c r="I316" t="n">
        <v/>
      </c>
      <c r="J316" t="n">
        <v>1406.429</v>
      </c>
    </row>
    <row r="317">
      <c r="A317" s="160" t="n">
        <v>18354</v>
      </c>
      <c r="B317" t="n">
        <v/>
      </c>
      <c r="C317" t="n">
        <v>60.766</v>
      </c>
      <c r="D317" t="n">
        <v>610.519</v>
      </c>
      <c r="E317" t="n">
        <v>2253.045</v>
      </c>
      <c r="F317" t="n">
        <v>12.882</v>
      </c>
      <c r="G317" t="n">
        <v>273.335</v>
      </c>
      <c r="H317" t="n">
        <v>70.48999999999999</v>
      </c>
      <c r="I317" t="n">
        <v/>
      </c>
      <c r="J317" t="n">
        <v>1429.591</v>
      </c>
    </row>
    <row r="318">
      <c r="A318" s="160" t="n">
        <v>18445</v>
      </c>
      <c r="B318" t="n">
        <v/>
      </c>
      <c r="C318" t="n">
        <v>62.342</v>
      </c>
      <c r="D318" t="n">
        <v>600.663</v>
      </c>
      <c r="E318" t="n">
        <v>2340.112</v>
      </c>
      <c r="F318" t="n">
        <v>13.15</v>
      </c>
      <c r="G318" t="n">
        <v>296.831</v>
      </c>
      <c r="H318" t="n">
        <v>86.986</v>
      </c>
      <c r="I318" t="n">
        <v/>
      </c>
      <c r="J318" t="n">
        <v>1503.003</v>
      </c>
    </row>
    <row r="319">
      <c r="A319" s="160" t="n">
        <v>18537</v>
      </c>
      <c r="B319" t="n">
        <v/>
      </c>
      <c r="C319" t="n">
        <v>67.395</v>
      </c>
      <c r="D319" t="n">
        <v>643.1</v>
      </c>
      <c r="E319" t="n">
        <v>2384.92</v>
      </c>
      <c r="F319" t="n">
        <v>13.36</v>
      </c>
      <c r="G319" t="n">
        <v>334.548</v>
      </c>
      <c r="H319" t="n">
        <v>87.149</v>
      </c>
      <c r="I319" t="n">
        <v/>
      </c>
      <c r="J319" t="n">
        <v>1457.694</v>
      </c>
    </row>
    <row r="320">
      <c r="A320" s="160" t="n">
        <v>18629</v>
      </c>
      <c r="B320" t="n">
        <v/>
      </c>
      <c r="C320" t="n">
        <v>70.76300000000001</v>
      </c>
      <c r="D320" t="n">
        <v>711.537</v>
      </c>
      <c r="E320" t="n">
        <v>2417.311</v>
      </c>
      <c r="F320" t="n">
        <v>13.812</v>
      </c>
      <c r="G320" t="n">
        <v>300.363</v>
      </c>
      <c r="H320" t="n">
        <v>87.154</v>
      </c>
      <c r="I320" t="n">
        <v/>
      </c>
      <c r="J320" t="n">
        <v>1492.942</v>
      </c>
    </row>
    <row r="321">
      <c r="A321" s="160" t="n">
        <v>18719</v>
      </c>
      <c r="B321" t="n">
        <v/>
      </c>
      <c r="C321" t="n">
        <v>77.727</v>
      </c>
      <c r="D321" t="n">
        <v>806.376</v>
      </c>
      <c r="E321" t="n">
        <v>2459.196</v>
      </c>
      <c r="F321" t="n">
        <v>13.892</v>
      </c>
      <c r="G321" t="n">
        <v>307.326</v>
      </c>
      <c r="H321" t="n">
        <v>84.26600000000001</v>
      </c>
      <c r="I321" t="n">
        <v/>
      </c>
      <c r="J321" t="n">
        <v>1450.753</v>
      </c>
    </row>
    <row r="322">
      <c r="A322" s="160" t="n">
        <v>18810</v>
      </c>
      <c r="B322" t="n">
        <v/>
      </c>
      <c r="C322" t="n">
        <v>79.636</v>
      </c>
      <c r="D322" t="n">
        <v>895.015</v>
      </c>
      <c r="E322" t="n">
        <v>2509.88</v>
      </c>
      <c r="F322" t="n">
        <v>13.937</v>
      </c>
      <c r="G322" t="n">
        <v>284.697</v>
      </c>
      <c r="H322" t="n">
        <v>77.13</v>
      </c>
      <c r="I322" t="n">
        <v/>
      </c>
      <c r="J322" t="n">
        <v>1467.654</v>
      </c>
    </row>
    <row r="323">
      <c r="A323" s="160" t="n">
        <v>18902</v>
      </c>
      <c r="B323" t="n">
        <v/>
      </c>
      <c r="C323" t="n">
        <v>78.889</v>
      </c>
      <c r="D323" t="n">
        <v>942.35</v>
      </c>
      <c r="E323" t="n">
        <v>2515.408</v>
      </c>
      <c r="F323" t="n">
        <v>14.12</v>
      </c>
      <c r="G323" t="n">
        <v>262.013</v>
      </c>
      <c r="H323" t="n">
        <v>75.113</v>
      </c>
      <c r="I323" t="n">
        <v/>
      </c>
      <c r="J323" t="n">
        <v>1476.205</v>
      </c>
    </row>
    <row r="324">
      <c r="A324" s="160" t="n">
        <v>18994</v>
      </c>
      <c r="B324" t="n">
        <v/>
      </c>
      <c r="C324" t="n">
        <v>83.08799999999999</v>
      </c>
      <c r="D324" t="n">
        <v>970.394</v>
      </c>
      <c r="E324" t="n">
        <v>2542.286</v>
      </c>
      <c r="F324" t="n">
        <v>14.137</v>
      </c>
      <c r="G324" t="n">
        <v>268.85</v>
      </c>
      <c r="H324" t="n">
        <v>83.828</v>
      </c>
      <c r="I324" t="n">
        <v/>
      </c>
      <c r="J324" t="n">
        <v>1479.625</v>
      </c>
    </row>
    <row r="325">
      <c r="A325" s="160" t="n">
        <v>19085</v>
      </c>
      <c r="B325" t="n">
        <v/>
      </c>
      <c r="C325" t="n">
        <v>73.95399999999999</v>
      </c>
      <c r="D325" t="n">
        <v>1003.463</v>
      </c>
      <c r="E325" t="n">
        <v>2547.762</v>
      </c>
      <c r="F325" t="n">
        <v>14.192</v>
      </c>
      <c r="G325" t="n">
        <v>248.58</v>
      </c>
      <c r="H325" t="n">
        <v>83.39400000000001</v>
      </c>
      <c r="I325" t="n">
        <v/>
      </c>
      <c r="J325" t="n">
        <v>1508.601</v>
      </c>
    </row>
    <row r="326">
      <c r="A326" s="160" t="n">
        <v>19176</v>
      </c>
      <c r="B326" t="n">
        <v/>
      </c>
      <c r="C326" t="n">
        <v>68.114</v>
      </c>
      <c r="D326" t="n">
        <v>1013.614</v>
      </c>
      <c r="E326" t="n">
        <v>2566.153</v>
      </c>
      <c r="F326" t="n">
        <v>14.299</v>
      </c>
      <c r="G326" t="n">
        <v>261.906</v>
      </c>
      <c r="H326" t="n">
        <v>88.497</v>
      </c>
      <c r="I326" t="n">
        <v/>
      </c>
      <c r="J326" t="n">
        <v>1515.837</v>
      </c>
    </row>
    <row r="327">
      <c r="A327" s="160" t="n">
        <v>19268</v>
      </c>
      <c r="B327" t="n">
        <v/>
      </c>
      <c r="C327" t="n">
        <v>68.58</v>
      </c>
      <c r="D327" t="n">
        <v>1030.52</v>
      </c>
      <c r="E327" t="n">
        <v>2650.431</v>
      </c>
      <c r="F327" t="n">
        <v>14.349</v>
      </c>
      <c r="G327" t="n">
        <v>280.772</v>
      </c>
      <c r="H327" t="n">
        <v>96.431</v>
      </c>
      <c r="I327" t="n">
        <v/>
      </c>
      <c r="J327" t="n">
        <v>1569.313</v>
      </c>
    </row>
    <row r="328">
      <c r="A328" s="160" t="n">
        <v>19360</v>
      </c>
      <c r="B328" t="n">
        <v/>
      </c>
      <c r="C328" t="n">
        <v>67.42</v>
      </c>
      <c r="D328" t="n">
        <v>1063.166</v>
      </c>
      <c r="E328" t="n">
        <v>2699.699</v>
      </c>
      <c r="F328" t="n">
        <v>14.363</v>
      </c>
      <c r="G328" t="n">
        <v>286.813</v>
      </c>
      <c r="H328" t="n">
        <v>94.054</v>
      </c>
      <c r="I328" t="n">
        <v/>
      </c>
      <c r="J328" t="n">
        <v>1587.743</v>
      </c>
    </row>
    <row r="329">
      <c r="A329" s="160" t="n">
        <v>19450</v>
      </c>
      <c r="B329" t="n">
        <v/>
      </c>
      <c r="C329" t="n">
        <v>67.84</v>
      </c>
      <c r="D329" t="n">
        <v>1084.966</v>
      </c>
      <c r="E329" t="n">
        <v>2720.566</v>
      </c>
      <c r="F329" t="n">
        <v>14.397</v>
      </c>
      <c r="G329" t="n">
        <v>288.445</v>
      </c>
      <c r="H329" t="n">
        <v>98.932</v>
      </c>
      <c r="I329" t="n">
        <v/>
      </c>
      <c r="J329" t="n">
        <v>1597.302</v>
      </c>
    </row>
    <row r="330">
      <c r="A330" s="160" t="n">
        <v>19541</v>
      </c>
      <c r="B330" t="n">
        <v/>
      </c>
      <c r="C330" t="n">
        <v>70.56</v>
      </c>
      <c r="D330" t="n">
        <v>1073.448</v>
      </c>
      <c r="E330" t="n">
        <v>2705.258</v>
      </c>
      <c r="F330" t="n">
        <v>14.451</v>
      </c>
      <c r="G330" t="n">
        <v>282.411</v>
      </c>
      <c r="H330" t="n">
        <v>98.55500000000001</v>
      </c>
      <c r="I330" t="n">
        <v/>
      </c>
      <c r="J330" t="n">
        <v>1593.497</v>
      </c>
    </row>
    <row r="331">
      <c r="A331" s="160" t="n">
        <v>19633</v>
      </c>
      <c r="B331" t="n">
        <v/>
      </c>
      <c r="C331" t="n">
        <v>68.23399999999999</v>
      </c>
      <c r="D331" t="n">
        <v>1070.774</v>
      </c>
      <c r="E331" t="n">
        <v>2664.302</v>
      </c>
      <c r="F331" t="n">
        <v>14.494</v>
      </c>
      <c r="G331" t="n">
        <v>262.005</v>
      </c>
      <c r="H331" t="n">
        <v>93.70699999999999</v>
      </c>
      <c r="I331" t="n">
        <v/>
      </c>
      <c r="J331" t="n">
        <v>1582.812</v>
      </c>
    </row>
    <row r="332">
      <c r="A332" s="160" t="n">
        <v>19725</v>
      </c>
      <c r="B332" t="n">
        <v/>
      </c>
      <c r="C332" t="n">
        <v>65.17400000000001</v>
      </c>
      <c r="D332" t="n">
        <v>1042.939</v>
      </c>
      <c r="E332" t="n">
        <v>2651.566</v>
      </c>
      <c r="F332" t="n">
        <v>14.555</v>
      </c>
      <c r="G332" t="n">
        <v>260.127</v>
      </c>
      <c r="H332" t="n">
        <v>88.29600000000001</v>
      </c>
      <c r="I332" t="n">
        <v/>
      </c>
      <c r="J332" t="n">
        <v>1588.65</v>
      </c>
    </row>
    <row r="333">
      <c r="A333" s="160" t="n">
        <v>19815</v>
      </c>
      <c r="B333" t="n">
        <v/>
      </c>
      <c r="C333" t="n">
        <v>74.538</v>
      </c>
      <c r="D333" t="n">
        <v>1007.623</v>
      </c>
      <c r="E333" t="n">
        <v>2654.456</v>
      </c>
      <c r="F333" t="n">
        <v>14.582</v>
      </c>
      <c r="G333" t="n">
        <v>259.513</v>
      </c>
      <c r="H333" t="n">
        <v>96.23699999999999</v>
      </c>
      <c r="I333" t="n">
        <v/>
      </c>
      <c r="J333" t="n">
        <v>1609.28</v>
      </c>
    </row>
    <row r="334">
      <c r="A334" s="160" t="n">
        <v>19906</v>
      </c>
      <c r="B334" t="n">
        <v/>
      </c>
      <c r="C334" t="n">
        <v>72.143</v>
      </c>
      <c r="D334" t="n">
        <v>985.832</v>
      </c>
      <c r="E334" t="n">
        <v>2684.434</v>
      </c>
      <c r="F334" t="n">
        <v>14.569</v>
      </c>
      <c r="G334" t="n">
        <v>272.037</v>
      </c>
      <c r="H334" t="n">
        <v>90.432</v>
      </c>
      <c r="I334" t="n">
        <v/>
      </c>
      <c r="J334" t="n">
        <v>1631.059</v>
      </c>
    </row>
    <row r="335">
      <c r="A335" s="160" t="n">
        <v>19998</v>
      </c>
      <c r="B335" t="n">
        <v/>
      </c>
      <c r="C335" t="n">
        <v>75.465</v>
      </c>
      <c r="D335" t="n">
        <v>979.897</v>
      </c>
      <c r="E335" t="n">
        <v>2736.96</v>
      </c>
      <c r="F335" t="n">
        <v>14.588</v>
      </c>
      <c r="G335" t="n">
        <v>283.968</v>
      </c>
      <c r="H335" t="n">
        <v>91.29000000000001</v>
      </c>
      <c r="I335" t="n">
        <v/>
      </c>
      <c r="J335" t="n">
        <v>1665.291</v>
      </c>
    </row>
    <row r="336">
      <c r="A336" s="160" t="n">
        <v>20090</v>
      </c>
      <c r="B336" t="n">
        <v/>
      </c>
      <c r="C336" t="n">
        <v>78.26900000000001</v>
      </c>
      <c r="D336" t="n">
        <v>980.472</v>
      </c>
      <c r="E336" t="n">
        <v>2815.134</v>
      </c>
      <c r="F336" t="n">
        <v>14.643</v>
      </c>
      <c r="G336" t="n">
        <v>312.337</v>
      </c>
      <c r="H336" t="n">
        <v>96.684</v>
      </c>
      <c r="I336" t="n">
        <v/>
      </c>
      <c r="J336" t="n">
        <v>1702.656</v>
      </c>
    </row>
    <row r="337">
      <c r="A337" s="160" t="n">
        <v>20180</v>
      </c>
      <c r="B337" t="n">
        <v/>
      </c>
      <c r="C337" t="n">
        <v>76.444</v>
      </c>
      <c r="D337" t="n">
        <v>970.852</v>
      </c>
      <c r="E337" t="n">
        <v>2860.942</v>
      </c>
      <c r="F337" t="n">
        <v>14.725</v>
      </c>
      <c r="G337" t="n">
        <v>331.333</v>
      </c>
      <c r="H337" t="n">
        <v>102.167</v>
      </c>
      <c r="I337" t="n">
        <v/>
      </c>
      <c r="J337" t="n">
        <v>1735.274</v>
      </c>
    </row>
    <row r="338">
      <c r="A338" s="160" t="n">
        <v>20271</v>
      </c>
      <c r="B338" t="n">
        <v/>
      </c>
      <c r="C338" t="n">
        <v>81.461</v>
      </c>
      <c r="D338" t="n">
        <v>977.063</v>
      </c>
      <c r="E338" t="n">
        <v>2899.578</v>
      </c>
      <c r="F338" t="n">
        <v>14.826</v>
      </c>
      <c r="G338" t="n">
        <v>336.418</v>
      </c>
      <c r="H338" t="n">
        <v>103.886</v>
      </c>
      <c r="I338" t="n">
        <v/>
      </c>
      <c r="J338" t="n">
        <v>1756.707</v>
      </c>
    </row>
    <row r="339">
      <c r="A339" s="160" t="n">
        <v>20363</v>
      </c>
      <c r="B339" t="n">
        <v/>
      </c>
      <c r="C339" t="n">
        <v>81.82899999999999</v>
      </c>
      <c r="D339" t="n">
        <v>957.677</v>
      </c>
      <c r="E339" t="n">
        <v>2916.985</v>
      </c>
      <c r="F339" t="n">
        <v>14.924</v>
      </c>
      <c r="G339" t="n">
        <v>344.218</v>
      </c>
      <c r="H339" t="n">
        <v>107.65</v>
      </c>
      <c r="I339" t="n">
        <v/>
      </c>
      <c r="J339" t="n">
        <v>1778.767</v>
      </c>
    </row>
    <row r="340">
      <c r="A340" s="160" t="n">
        <v>20455</v>
      </c>
      <c r="B340" t="n">
        <v/>
      </c>
      <c r="C340" t="n">
        <v>85.71299999999999</v>
      </c>
      <c r="D340" t="n">
        <v>957.429</v>
      </c>
      <c r="E340" t="n">
        <v>2905.656</v>
      </c>
      <c r="F340" t="n">
        <v>15.071</v>
      </c>
      <c r="G340" t="n">
        <v>334.39</v>
      </c>
      <c r="H340" t="n">
        <v>112.169</v>
      </c>
      <c r="I340" t="n">
        <v/>
      </c>
      <c r="J340" t="n">
        <v>1781.657</v>
      </c>
    </row>
    <row r="341">
      <c r="A341" s="160" t="n">
        <v>20546</v>
      </c>
      <c r="B341" t="n">
        <v/>
      </c>
      <c r="C341" t="n">
        <v>91.488</v>
      </c>
      <c r="D341" t="n">
        <v>976.761</v>
      </c>
      <c r="E341" t="n">
        <v>2929.666</v>
      </c>
      <c r="F341" t="n">
        <v>15.214</v>
      </c>
      <c r="G341" t="n">
        <v>331.759</v>
      </c>
      <c r="H341" t="n">
        <v>111.585</v>
      </c>
      <c r="I341" t="n">
        <v/>
      </c>
      <c r="J341" t="n">
        <v>1787.583</v>
      </c>
    </row>
    <row r="342">
      <c r="A342" s="160" t="n">
        <v>20637</v>
      </c>
      <c r="B342" t="n">
        <v/>
      </c>
      <c r="C342" t="n">
        <v>94.532</v>
      </c>
      <c r="D342" t="n">
        <v>968.179</v>
      </c>
      <c r="E342" t="n">
        <v>2927.034</v>
      </c>
      <c r="F342" t="n">
        <v>15.381</v>
      </c>
      <c r="G342" t="n">
        <v>328.788</v>
      </c>
      <c r="H342" t="n">
        <v>112.555</v>
      </c>
      <c r="I342" t="n">
        <v/>
      </c>
      <c r="J342" t="n">
        <v>1791.625</v>
      </c>
    </row>
    <row r="343">
      <c r="A343" s="160" t="n">
        <v>20729</v>
      </c>
      <c r="B343" t="n">
        <v/>
      </c>
      <c r="C343" t="n">
        <v>98.76900000000001</v>
      </c>
      <c r="D343" t="n">
        <v>992.811</v>
      </c>
      <c r="E343" t="n">
        <v>2975.209</v>
      </c>
      <c r="F343" t="n">
        <v>15.476</v>
      </c>
      <c r="G343" t="n">
        <v>325.739</v>
      </c>
      <c r="H343" t="n">
        <v>107.392</v>
      </c>
      <c r="I343" t="n">
        <v/>
      </c>
      <c r="J343" t="n">
        <v>1816.324</v>
      </c>
    </row>
    <row r="344">
      <c r="A344" s="160" t="n">
        <v>20821</v>
      </c>
      <c r="B344" t="n">
        <v/>
      </c>
      <c r="C344" t="n">
        <v>105.205</v>
      </c>
      <c r="D344" t="n">
        <v>1014.096</v>
      </c>
      <c r="E344" t="n">
        <v>2994.259</v>
      </c>
      <c r="F344" t="n">
        <v>15.653</v>
      </c>
      <c r="G344" t="n">
        <v>320.682</v>
      </c>
      <c r="H344" t="n">
        <v>115.936</v>
      </c>
      <c r="I344" t="n">
        <v/>
      </c>
      <c r="J344" t="n">
        <v>1828.956</v>
      </c>
    </row>
    <row r="345">
      <c r="A345" s="160" t="n">
        <v>20911</v>
      </c>
      <c r="B345" t="n">
        <v/>
      </c>
      <c r="C345" t="n">
        <v>102.088</v>
      </c>
      <c r="D345" t="n">
        <v>1008.852</v>
      </c>
      <c r="E345" t="n">
        <v>2987.699</v>
      </c>
      <c r="F345" t="n">
        <v>15.764</v>
      </c>
      <c r="G345" t="n">
        <v>320.357</v>
      </c>
      <c r="H345" t="n">
        <v>116.84</v>
      </c>
      <c r="I345" t="n">
        <v/>
      </c>
      <c r="J345" t="n">
        <v>1832.145</v>
      </c>
    </row>
    <row r="346">
      <c r="A346" s="160" t="n">
        <v>21002</v>
      </c>
      <c r="B346" t="n">
        <v/>
      </c>
      <c r="C346" t="n">
        <v>99.23399999999999</v>
      </c>
      <c r="D346" t="n">
        <v>1017.442</v>
      </c>
      <c r="E346" t="n">
        <v>3016.979</v>
      </c>
      <c r="F346" t="n">
        <v>15.885</v>
      </c>
      <c r="G346" t="n">
        <v>327.701</v>
      </c>
      <c r="H346" t="n">
        <v>114.584</v>
      </c>
      <c r="I346" t="n">
        <v/>
      </c>
      <c r="J346" t="n">
        <v>1846.623</v>
      </c>
    </row>
    <row r="347">
      <c r="A347" s="160" t="n">
        <v>21094</v>
      </c>
      <c r="B347" t="n">
        <v/>
      </c>
      <c r="C347" t="n">
        <v>96.277</v>
      </c>
      <c r="D347" t="n">
        <v>1034.18</v>
      </c>
      <c r="E347" t="n">
        <v>2985.775</v>
      </c>
      <c r="F347" t="n">
        <v>15.978</v>
      </c>
      <c r="G347" t="n">
        <v>302.503</v>
      </c>
      <c r="H347" t="n">
        <v>114.971</v>
      </c>
      <c r="I347" t="n">
        <v/>
      </c>
      <c r="J347" t="n">
        <v>1847.391</v>
      </c>
    </row>
    <row r="348">
      <c r="A348" s="160" t="n">
        <v>21186</v>
      </c>
      <c r="B348" t="n">
        <v/>
      </c>
      <c r="C348" t="n">
        <v>86.73399999999999</v>
      </c>
      <c r="D348" t="n">
        <v>1025.248</v>
      </c>
      <c r="E348" t="n">
        <v>2908.281</v>
      </c>
      <c r="F348" t="n">
        <v>16.112</v>
      </c>
      <c r="G348" t="n">
        <v>282.096</v>
      </c>
      <c r="H348" t="n">
        <v>116.672</v>
      </c>
      <c r="I348" t="n">
        <v/>
      </c>
      <c r="J348" t="n">
        <v>1821.834</v>
      </c>
    </row>
    <row r="349">
      <c r="A349" s="160" t="n">
        <v>21276</v>
      </c>
      <c r="B349" t="n">
        <v/>
      </c>
      <c r="C349" t="n">
        <v>87.14</v>
      </c>
      <c r="D349" t="n">
        <v>1050.823</v>
      </c>
      <c r="E349" t="n">
        <v>2927.395</v>
      </c>
      <c r="F349" t="n">
        <v>16.181</v>
      </c>
      <c r="G349" t="n">
        <v>276.413</v>
      </c>
      <c r="H349" t="n">
        <v>121.661</v>
      </c>
      <c r="I349" t="n">
        <v/>
      </c>
      <c r="J349" t="n">
        <v>1836.897</v>
      </c>
    </row>
    <row r="350">
      <c r="A350" s="160" t="n">
        <v>21367</v>
      </c>
      <c r="B350" t="n">
        <v/>
      </c>
      <c r="C350" t="n">
        <v>87.39400000000001</v>
      </c>
      <c r="D350" t="n">
        <v>1056.856</v>
      </c>
      <c r="E350" t="n">
        <v>2995.112</v>
      </c>
      <c r="F350" t="n">
        <v>16.22</v>
      </c>
      <c r="G350" t="n">
        <v>297.627</v>
      </c>
      <c r="H350" t="n">
        <v>119.829</v>
      </c>
      <c r="I350" t="n">
        <v/>
      </c>
      <c r="J350" t="n">
        <v>1867.373</v>
      </c>
    </row>
    <row r="351">
      <c r="A351" s="160" t="n">
        <v>21459</v>
      </c>
      <c r="B351" t="n">
        <v/>
      </c>
      <c r="C351" t="n">
        <v>87.08</v>
      </c>
      <c r="D351" t="n">
        <v>1078.163</v>
      </c>
      <c r="E351" t="n">
        <v>3065.141</v>
      </c>
      <c r="F351" t="n">
        <v>16.24</v>
      </c>
      <c r="G351" t="n">
        <v>323.004</v>
      </c>
      <c r="H351" t="n">
        <v>126.132</v>
      </c>
      <c r="I351" t="n">
        <v/>
      </c>
      <c r="J351" t="n">
        <v>1892.738</v>
      </c>
    </row>
    <row r="352">
      <c r="A352" s="160" t="n">
        <v>21551</v>
      </c>
      <c r="B352" t="n">
        <v/>
      </c>
      <c r="C352" t="n">
        <v>93.393</v>
      </c>
      <c r="D352" t="n">
        <v>1067.197</v>
      </c>
      <c r="E352" t="n">
        <v>3123.978</v>
      </c>
      <c r="F352" t="n">
        <v>16.316</v>
      </c>
      <c r="G352" t="n">
        <v>340.604</v>
      </c>
      <c r="H352" t="n">
        <v>129.446</v>
      </c>
      <c r="I352" t="n">
        <v>16.703</v>
      </c>
      <c r="J352" t="n">
        <v>1927.43</v>
      </c>
    </row>
    <row r="353">
      <c r="A353" s="160" t="n">
        <v>21641</v>
      </c>
      <c r="B353" t="n">
        <v>2.1</v>
      </c>
      <c r="C353" t="n">
        <v>92.64700000000001</v>
      </c>
      <c r="D353" t="n">
        <v>1080.416</v>
      </c>
      <c r="E353" t="n">
        <v>3194.429</v>
      </c>
      <c r="F353" t="n">
        <v>16.363</v>
      </c>
      <c r="G353" t="n">
        <v>367.099</v>
      </c>
      <c r="H353" t="n">
        <v>135.745</v>
      </c>
      <c r="I353" t="n">
        <v>16.792</v>
      </c>
      <c r="J353" t="n">
        <v>1957.197</v>
      </c>
    </row>
    <row r="354">
      <c r="A354" s="160" t="n">
        <v>21732</v>
      </c>
      <c r="B354" t="n">
        <v>2.7</v>
      </c>
      <c r="C354" t="n">
        <v>101.582</v>
      </c>
      <c r="D354" t="n">
        <v>1089.655</v>
      </c>
      <c r="E354" t="n">
        <v>3196.683</v>
      </c>
      <c r="F354" t="n">
        <v>16.432</v>
      </c>
      <c r="G354" t="n">
        <v>343.391</v>
      </c>
      <c r="H354" t="n">
        <v>137.041</v>
      </c>
      <c r="I354" t="n">
        <v>16.904</v>
      </c>
      <c r="J354" t="n">
        <v>1977.643</v>
      </c>
    </row>
    <row r="355">
      <c r="A355" s="160" t="n">
        <v>21824</v>
      </c>
      <c r="B355" t="n">
        <v>2.3</v>
      </c>
      <c r="C355" t="n">
        <v>96.55500000000001</v>
      </c>
      <c r="D355" t="n">
        <v>1080.744</v>
      </c>
      <c r="E355" t="n">
        <v>3205.79</v>
      </c>
      <c r="F355" t="n">
        <v>16.496</v>
      </c>
      <c r="G355" t="n">
        <v>354.567</v>
      </c>
      <c r="H355" t="n">
        <v>133.561</v>
      </c>
      <c r="I355" t="n">
        <v>17.002</v>
      </c>
      <c r="J355" t="n">
        <v>1979.871</v>
      </c>
    </row>
    <row r="356">
      <c r="A356" s="160" t="n">
        <v>21916</v>
      </c>
      <c r="B356" t="n">
        <v>1.3</v>
      </c>
      <c r="C356" t="n">
        <v>108.999</v>
      </c>
      <c r="D356" t="n">
        <v>1062.312</v>
      </c>
      <c r="E356" t="n">
        <v>3277.847</v>
      </c>
      <c r="F356" t="n">
        <v>16.527</v>
      </c>
      <c r="G356" t="n">
        <v>390.21</v>
      </c>
      <c r="H356" t="n">
        <v>138.606</v>
      </c>
      <c r="I356" t="n">
        <v>17.055</v>
      </c>
      <c r="J356" t="n">
        <v>1998.811</v>
      </c>
    </row>
    <row r="357">
      <c r="A357" s="160" t="n">
        <v>22007</v>
      </c>
      <c r="B357" t="n">
        <v>1.5</v>
      </c>
      <c r="C357" t="n">
        <v>112.126</v>
      </c>
      <c r="D357" t="n">
        <v>1074.24</v>
      </c>
      <c r="E357" t="n">
        <v>3260.177</v>
      </c>
      <c r="F357" t="n">
        <v>16.586</v>
      </c>
      <c r="G357" t="n">
        <v>353.841</v>
      </c>
      <c r="H357" t="n">
        <v>139.636</v>
      </c>
      <c r="I357" t="n">
        <v>17.12</v>
      </c>
      <c r="J357" t="n">
        <v>2024.025</v>
      </c>
    </row>
    <row r="358">
      <c r="A358" s="160" t="n">
        <v>22098</v>
      </c>
      <c r="B358" t="n">
        <v>1.6</v>
      </c>
      <c r="C358" t="n">
        <v>114.57</v>
      </c>
      <c r="D358" t="n">
        <v>1100.511</v>
      </c>
      <c r="E358" t="n">
        <v>3276.133</v>
      </c>
      <c r="F358" t="n">
        <v>16.658</v>
      </c>
      <c r="G358" t="n">
        <v>352.942</v>
      </c>
      <c r="H358" t="n">
        <v>135.521</v>
      </c>
      <c r="I358" t="n">
        <v>17.187</v>
      </c>
      <c r="J358" t="n">
        <v>2015.934</v>
      </c>
    </row>
    <row r="359">
      <c r="A359" s="160" t="n">
        <v>22190</v>
      </c>
      <c r="B359" t="n">
        <v>1.3</v>
      </c>
      <c r="C359" t="n">
        <v>115.18</v>
      </c>
      <c r="D359" t="n">
        <v>1108.142</v>
      </c>
      <c r="E359" t="n">
        <v>3234.087</v>
      </c>
      <c r="F359" t="n">
        <v>16.731</v>
      </c>
      <c r="G359" t="n">
        <v>313.843</v>
      </c>
      <c r="H359" t="n">
        <v>129.128</v>
      </c>
      <c r="I359" t="n">
        <v>17.243</v>
      </c>
      <c r="J359" t="n">
        <v>2018.545</v>
      </c>
    </row>
    <row r="360">
      <c r="A360" s="160" t="n">
        <v>22282</v>
      </c>
      <c r="B360" t="n">
        <v>0.7</v>
      </c>
      <c r="C360" t="n">
        <v>114.388</v>
      </c>
      <c r="D360" t="n">
        <v>1124.596</v>
      </c>
      <c r="E360" t="n">
        <v>3255.914</v>
      </c>
      <c r="F360" t="n">
        <v>16.751</v>
      </c>
      <c r="G360" t="n">
        <v>321.988</v>
      </c>
      <c r="H360" t="n">
        <v>128.503</v>
      </c>
      <c r="I360" t="n">
        <v>17.273</v>
      </c>
      <c r="J360" t="n">
        <v>2017.795</v>
      </c>
    </row>
    <row r="361">
      <c r="A361" s="160" t="n">
        <v>22372</v>
      </c>
      <c r="B361" t="n">
        <v>1.3</v>
      </c>
      <c r="C361" t="n">
        <v>109.064</v>
      </c>
      <c r="D361" t="n">
        <v>1127.411</v>
      </c>
      <c r="E361" t="n">
        <v>3311.181</v>
      </c>
      <c r="F361" t="n">
        <v>16.784</v>
      </c>
      <c r="G361" t="n">
        <v>344.549</v>
      </c>
      <c r="H361" t="n">
        <v>130.073</v>
      </c>
      <c r="I361" t="n">
        <v>17.329</v>
      </c>
      <c r="J361" t="n">
        <v>2047.823</v>
      </c>
    </row>
    <row r="362">
      <c r="A362" s="160" t="n">
        <v>22463</v>
      </c>
      <c r="B362" t="n">
        <v>1.8</v>
      </c>
      <c r="C362" t="n">
        <v>113.993</v>
      </c>
      <c r="D362" t="n">
        <v>1151.491</v>
      </c>
      <c r="E362" t="n">
        <v>3374.742</v>
      </c>
      <c r="F362" t="n">
        <v>16.819</v>
      </c>
      <c r="G362" t="n">
        <v>371.335</v>
      </c>
      <c r="H362" t="n">
        <v>138.688</v>
      </c>
      <c r="I362" t="n">
        <v>17.405</v>
      </c>
      <c r="J362" t="n">
        <v>2057.782</v>
      </c>
    </row>
    <row r="363">
      <c r="A363" s="160" t="n">
        <v>22555</v>
      </c>
      <c r="B363" t="n">
        <v>1</v>
      </c>
      <c r="C363" t="n">
        <v>115.852</v>
      </c>
      <c r="D363" t="n">
        <v>1176.737</v>
      </c>
      <c r="E363" t="n">
        <v>3440.924</v>
      </c>
      <c r="F363" t="n">
        <v>16.858</v>
      </c>
      <c r="G363" t="n">
        <v>377.479</v>
      </c>
      <c r="H363" t="n">
        <v>141.986</v>
      </c>
      <c r="I363" t="n">
        <v>17.447</v>
      </c>
      <c r="J363" t="n">
        <v>2099.173</v>
      </c>
    </row>
    <row r="364">
      <c r="A364" s="160" t="n">
        <v>22647</v>
      </c>
      <c r="B364" t="n">
        <v>1.5</v>
      </c>
      <c r="C364" t="n">
        <v>115.17</v>
      </c>
      <c r="D364" t="n">
        <v>1199.445</v>
      </c>
      <c r="E364" t="n">
        <v>3502.298</v>
      </c>
      <c r="F364" t="n">
        <v>16.942</v>
      </c>
      <c r="G364" t="n">
        <v>397.831</v>
      </c>
      <c r="H364" t="n">
        <v>146.308</v>
      </c>
      <c r="I364" t="n">
        <v>17.511</v>
      </c>
      <c r="J364" t="n">
        <v>2121.409</v>
      </c>
    </row>
    <row r="365">
      <c r="A365" s="160" t="n">
        <v>22737</v>
      </c>
      <c r="B365" t="n">
        <v>1.5</v>
      </c>
      <c r="C365" t="n">
        <v>121.789</v>
      </c>
      <c r="D365" t="n">
        <v>1205.504</v>
      </c>
      <c r="E365" t="n">
        <v>3533.947</v>
      </c>
      <c r="F365" t="n">
        <v>16.989</v>
      </c>
      <c r="G365" t="n">
        <v>394.694</v>
      </c>
      <c r="H365" t="n">
        <v>149.5</v>
      </c>
      <c r="I365" t="n">
        <v>17.578</v>
      </c>
      <c r="J365" t="n">
        <v>2147.489</v>
      </c>
    </row>
    <row r="366">
      <c r="A366" s="160" t="n">
        <v>22828</v>
      </c>
      <c r="B366" t="n">
        <v>1.3</v>
      </c>
      <c r="C366" t="n">
        <v>121.576</v>
      </c>
      <c r="D366" t="n">
        <v>1233.332</v>
      </c>
      <c r="E366" t="n">
        <v>3577.362</v>
      </c>
      <c r="F366" t="n">
        <v>17.029</v>
      </c>
      <c r="G366" t="n">
        <v>401.401</v>
      </c>
      <c r="H366" t="n">
        <v>151.395</v>
      </c>
      <c r="I366" t="n">
        <v>17.636</v>
      </c>
      <c r="J366" t="n">
        <v>2164.796</v>
      </c>
    </row>
    <row r="367">
      <c r="A367" s="160" t="n">
        <v>22920</v>
      </c>
      <c r="B367" t="n">
        <v>0.8</v>
      </c>
      <c r="C367" t="n">
        <v>117.644</v>
      </c>
      <c r="D367" t="n">
        <v>1241.851</v>
      </c>
      <c r="E367" t="n">
        <v>3589.128</v>
      </c>
      <c r="F367" t="n">
        <v>17.07</v>
      </c>
      <c r="G367" t="n">
        <v>389.657</v>
      </c>
      <c r="H367" t="n">
        <v>153.246</v>
      </c>
      <c r="I367" t="n">
        <v>17.669</v>
      </c>
      <c r="J367" t="n">
        <v>2195.427</v>
      </c>
    </row>
    <row r="368">
      <c r="A368" s="160" t="n">
        <v>23012</v>
      </c>
      <c r="B368" t="n">
        <v>1.3</v>
      </c>
      <c r="C368" t="n">
        <v>119.43</v>
      </c>
      <c r="D368" t="n">
        <v>1225.005</v>
      </c>
      <c r="E368" t="n">
        <v>3628.306</v>
      </c>
      <c r="F368" t="n">
        <v>17.154</v>
      </c>
      <c r="G368" t="n">
        <v>410.158</v>
      </c>
      <c r="H368" t="n">
        <v>149.699</v>
      </c>
      <c r="I368" t="n">
        <v>17.728</v>
      </c>
      <c r="J368" t="n">
        <v>2210.805</v>
      </c>
    </row>
    <row r="369">
      <c r="A369" s="160" t="n">
        <v>23102</v>
      </c>
      <c r="B369" t="n">
        <v>1.5</v>
      </c>
      <c r="C369" t="n">
        <v>128.977</v>
      </c>
      <c r="D369" t="n">
        <v>1225.904</v>
      </c>
      <c r="E369" t="n">
        <v>3669.02</v>
      </c>
      <c r="F369" t="n">
        <v>17.169</v>
      </c>
      <c r="G369" t="n">
        <v>416.683</v>
      </c>
      <c r="H369" t="n">
        <v>153.223</v>
      </c>
      <c r="I369" t="n">
        <v>17.795</v>
      </c>
      <c r="J369" t="n">
        <v>2231.667</v>
      </c>
    </row>
    <row r="370">
      <c r="A370" s="160" t="n">
        <v>23193</v>
      </c>
      <c r="B370" t="n">
        <v>1.5</v>
      </c>
      <c r="C370" t="n">
        <v>128.331</v>
      </c>
      <c r="D370" t="n">
        <v>1280.295</v>
      </c>
      <c r="E370" t="n">
        <v>3749.681</v>
      </c>
      <c r="F370" t="n">
        <v>17.188</v>
      </c>
      <c r="G370" t="n">
        <v>429.512</v>
      </c>
      <c r="H370" t="n">
        <v>157.114</v>
      </c>
      <c r="I370" t="n">
        <v>17.863</v>
      </c>
      <c r="J370" t="n">
        <v>2261.942</v>
      </c>
    </row>
    <row r="371">
      <c r="A371" s="160" t="n">
        <v>23285</v>
      </c>
      <c r="B371" t="n">
        <v>2</v>
      </c>
      <c r="C371" t="n">
        <v>133.347</v>
      </c>
      <c r="D371" t="n">
        <v>1267.045</v>
      </c>
      <c r="E371" t="n">
        <v>3774.264</v>
      </c>
      <c r="F371" t="n">
        <v>17.3</v>
      </c>
      <c r="G371" t="n">
        <v>434.727</v>
      </c>
      <c r="H371" t="n">
        <v>156.598</v>
      </c>
      <c r="I371" t="n">
        <v>17.95</v>
      </c>
      <c r="J371" t="n">
        <v>2280.79</v>
      </c>
    </row>
    <row r="372">
      <c r="A372" s="160" t="n">
        <v>23377</v>
      </c>
      <c r="B372" t="n">
        <v>1.7</v>
      </c>
      <c r="C372" t="n">
        <v>140.091</v>
      </c>
      <c r="D372" t="n">
        <v>1270.997</v>
      </c>
      <c r="E372" t="n">
        <v>3853.835</v>
      </c>
      <c r="F372" t="n">
        <v>17.365</v>
      </c>
      <c r="G372" t="n">
        <v>450.997</v>
      </c>
      <c r="H372" t="n">
        <v>156.451</v>
      </c>
      <c r="I372" t="n">
        <v>18.026</v>
      </c>
      <c r="J372" t="n">
        <v>2325.554</v>
      </c>
    </row>
    <row r="373">
      <c r="A373" s="160" t="n">
        <v>23468</v>
      </c>
      <c r="B373" t="n">
        <v>1.2</v>
      </c>
      <c r="C373" t="n">
        <v>139.519</v>
      </c>
      <c r="D373" t="n">
        <v>1282.412</v>
      </c>
      <c r="E373" t="n">
        <v>3895.793</v>
      </c>
      <c r="F373" t="n">
        <v>17.416</v>
      </c>
      <c r="G373" t="n">
        <v>449.373</v>
      </c>
      <c r="H373" t="n">
        <v>159.973</v>
      </c>
      <c r="I373" t="n">
        <v>18.079</v>
      </c>
      <c r="J373" t="n">
        <v>2366.691</v>
      </c>
    </row>
    <row r="374">
      <c r="A374" s="160" t="n">
        <v>23559</v>
      </c>
      <c r="B374" t="n">
        <v>1.1</v>
      </c>
      <c r="C374" t="n">
        <v>143.887</v>
      </c>
      <c r="D374" t="n">
        <v>1283.929</v>
      </c>
      <c r="E374" t="n">
        <v>3956.657</v>
      </c>
      <c r="F374" t="n">
        <v>17.502</v>
      </c>
      <c r="G374" t="n">
        <v>459.861</v>
      </c>
      <c r="H374" t="n">
        <v>164.266</v>
      </c>
      <c r="I374" t="n">
        <v>18.129</v>
      </c>
      <c r="J374" t="n">
        <v>2410.408</v>
      </c>
    </row>
    <row r="375">
      <c r="A375" s="160" t="n">
        <v>23651</v>
      </c>
      <c r="B375" t="n">
        <v>1</v>
      </c>
      <c r="C375" t="n">
        <v>146.784</v>
      </c>
      <c r="D375" t="n">
        <v>1283.386</v>
      </c>
      <c r="E375" t="n">
        <v>3968.878</v>
      </c>
      <c r="F375" t="n">
        <v>17.577</v>
      </c>
      <c r="G375" t="n">
        <v>464.229</v>
      </c>
      <c r="H375" t="n">
        <v>168.709</v>
      </c>
      <c r="I375" t="n">
        <v>18.175</v>
      </c>
      <c r="J375" t="n">
        <v>2417.288</v>
      </c>
    </row>
    <row r="376">
      <c r="A376" s="160" t="n">
        <v>23743</v>
      </c>
      <c r="B376" t="n">
        <v>1.5</v>
      </c>
      <c r="C376" t="n">
        <v>129.7</v>
      </c>
      <c r="D376" t="n">
        <v>1281.91</v>
      </c>
      <c r="E376" t="n">
        <v>4064.915</v>
      </c>
      <c r="F376" t="n">
        <v>17.653</v>
      </c>
      <c r="G376" t="n">
        <v>508.491</v>
      </c>
      <c r="H376" t="n">
        <v>162.635</v>
      </c>
      <c r="I376" t="n">
        <v>18.244</v>
      </c>
      <c r="J376" t="n">
        <v>2471.196</v>
      </c>
    </row>
    <row r="377">
      <c r="A377" s="160" t="n">
        <v>23833</v>
      </c>
      <c r="B377" t="n">
        <v>1.3</v>
      </c>
      <c r="C377" t="n">
        <v>151.411</v>
      </c>
      <c r="D377" t="n">
        <v>1297.074</v>
      </c>
      <c r="E377" t="n">
        <v>4116.267</v>
      </c>
      <c r="F377" t="n">
        <v>17.736</v>
      </c>
      <c r="G377" t="n">
        <v>509.827</v>
      </c>
      <c r="H377" t="n">
        <v>181.828</v>
      </c>
      <c r="I377" t="n">
        <v>18.301</v>
      </c>
      <c r="J377" t="n">
        <v>2498.45</v>
      </c>
    </row>
    <row r="378">
      <c r="A378" s="160" t="n">
        <v>23924</v>
      </c>
      <c r="B378" t="n">
        <v>1.3</v>
      </c>
      <c r="C378" t="n">
        <v>148.046</v>
      </c>
      <c r="D378" t="n">
        <v>1340.109</v>
      </c>
      <c r="E378" t="n">
        <v>4207.782</v>
      </c>
      <c r="F378" t="n">
        <v>17.816</v>
      </c>
      <c r="G378" t="n">
        <v>527.578</v>
      </c>
      <c r="H378" t="n">
        <v>182.574</v>
      </c>
      <c r="I378" t="n">
        <v>18.358</v>
      </c>
      <c r="J378" t="n">
        <v>2541.38</v>
      </c>
    </row>
    <row r="379">
      <c r="A379" s="160" t="n">
        <v>24016</v>
      </c>
      <c r="B379" t="n">
        <v>1.3</v>
      </c>
      <c r="C379" t="n">
        <v>157.095</v>
      </c>
      <c r="D379" t="n">
        <v>1365.498</v>
      </c>
      <c r="E379" t="n">
        <v>4304.731</v>
      </c>
      <c r="F379" t="n">
        <v>17.934</v>
      </c>
      <c r="G379" t="n">
        <v>531.072</v>
      </c>
      <c r="H379" t="n">
        <v>191.482</v>
      </c>
      <c r="I379" t="n">
        <v>18.419</v>
      </c>
      <c r="J379" t="n">
        <v>2612.826</v>
      </c>
    </row>
    <row r="380">
      <c r="A380" s="160" t="n">
        <v>24108</v>
      </c>
      <c r="B380" t="n">
        <v>2</v>
      </c>
      <c r="C380" t="n">
        <v>153.224</v>
      </c>
      <c r="D380" t="n">
        <v>1390.947</v>
      </c>
      <c r="E380" t="n">
        <v>4409.518</v>
      </c>
      <c r="F380" t="n">
        <v>18.043</v>
      </c>
      <c r="G380" t="n">
        <v>573.502</v>
      </c>
      <c r="H380" t="n">
        <v>196.417</v>
      </c>
      <c r="I380" t="n">
        <v>18.511</v>
      </c>
      <c r="J380" t="n">
        <v>2651.397</v>
      </c>
    </row>
    <row r="381">
      <c r="A381" s="160" t="n">
        <v>24198</v>
      </c>
      <c r="B381" t="n">
        <v>3.3</v>
      </c>
      <c r="C381" t="n">
        <v>157.828</v>
      </c>
      <c r="D381" t="n">
        <v>1417.226</v>
      </c>
      <c r="E381" t="n">
        <v>4424.581</v>
      </c>
      <c r="F381" t="n">
        <v>18.206</v>
      </c>
      <c r="G381" t="n">
        <v>565.0119999999999</v>
      </c>
      <c r="H381" t="n">
        <v>201.302</v>
      </c>
      <c r="I381" t="n">
        <v>18.661</v>
      </c>
      <c r="J381" t="n">
        <v>2658.191</v>
      </c>
    </row>
    <row r="382">
      <c r="A382" s="160" t="n">
        <v>24289</v>
      </c>
      <c r="B382" t="n">
        <v>3.3</v>
      </c>
      <c r="C382" t="n">
        <v>155.942</v>
      </c>
      <c r="D382" t="n">
        <v>1455.85</v>
      </c>
      <c r="E382" t="n">
        <v>4462.053</v>
      </c>
      <c r="F382" t="n">
        <v>18.366</v>
      </c>
      <c r="G382" t="n">
        <v>560.8440000000001</v>
      </c>
      <c r="H382" t="n">
        <v>212.593</v>
      </c>
      <c r="I382" t="n">
        <v>18.815</v>
      </c>
      <c r="J382" t="n">
        <v>2688.546</v>
      </c>
    </row>
    <row r="383">
      <c r="A383" s="160" t="n">
        <v>24381</v>
      </c>
      <c r="B383" t="n">
        <v>3.5</v>
      </c>
      <c r="C383" t="n">
        <v>159.819</v>
      </c>
      <c r="D383" t="n">
        <v>1480.985</v>
      </c>
      <c r="E383" t="n">
        <v>4498.66</v>
      </c>
      <c r="F383" t="n">
        <v>18.516</v>
      </c>
      <c r="G383" t="n">
        <v>564.131</v>
      </c>
      <c r="H383" t="n">
        <v>214.987</v>
      </c>
      <c r="I383" t="n">
        <v>18.978</v>
      </c>
      <c r="J383" t="n">
        <v>2699.747</v>
      </c>
    </row>
    <row r="384">
      <c r="A384" s="160" t="n">
        <v>24473</v>
      </c>
      <c r="B384" t="n">
        <v>2.2</v>
      </c>
      <c r="C384" t="n">
        <v>161.782</v>
      </c>
      <c r="D384" t="n">
        <v>1543.56</v>
      </c>
      <c r="E384" t="n">
        <v>4538.498</v>
      </c>
      <c r="F384" t="n">
        <v>18.593</v>
      </c>
      <c r="G384" t="n">
        <v>550.2859999999999</v>
      </c>
      <c r="H384" t="n">
        <v>218.343</v>
      </c>
      <c r="I384" t="n">
        <v>19.082</v>
      </c>
      <c r="J384" t="n">
        <v>2715.303</v>
      </c>
    </row>
    <row r="385">
      <c r="A385" s="160" t="n">
        <v>24563</v>
      </c>
      <c r="B385" t="n">
        <v>2.7</v>
      </c>
      <c r="C385" t="n">
        <v>159.631</v>
      </c>
      <c r="D385" t="n">
        <v>1537.155</v>
      </c>
      <c r="E385" t="n">
        <v>4541.28</v>
      </c>
      <c r="F385" t="n">
        <v>18.705</v>
      </c>
      <c r="G385" t="n">
        <v>530.378</v>
      </c>
      <c r="H385" t="n">
        <v>216.608</v>
      </c>
      <c r="I385" t="n">
        <v>19.21</v>
      </c>
      <c r="J385" t="n">
        <v>2752.426</v>
      </c>
    </row>
    <row r="386">
      <c r="A386" s="160" t="n">
        <v>24654</v>
      </c>
      <c r="B386" t="n">
        <v>3.7</v>
      </c>
      <c r="C386" t="n">
        <v>158.35</v>
      </c>
      <c r="D386" t="n">
        <v>1554.237</v>
      </c>
      <c r="E386" t="n">
        <v>4584.246</v>
      </c>
      <c r="F386" t="n">
        <v>18.873</v>
      </c>
      <c r="G386" t="n">
        <v>545.9299999999999</v>
      </c>
      <c r="H386" t="n">
        <v>219.452</v>
      </c>
      <c r="I386" t="n">
        <v>19.385</v>
      </c>
      <c r="J386" t="n">
        <v>2766.518</v>
      </c>
    </row>
    <row r="387">
      <c r="A387" s="160" t="n">
        <v>24746</v>
      </c>
      <c r="B387" t="n">
        <v>4.1</v>
      </c>
      <c r="C387" t="n">
        <v>161.337</v>
      </c>
      <c r="D387" t="n">
        <v>1566.046</v>
      </c>
      <c r="E387" t="n">
        <v>4618.812</v>
      </c>
      <c r="F387" t="n">
        <v>19.082</v>
      </c>
      <c r="G387" t="n">
        <v>557.706</v>
      </c>
      <c r="H387" t="n">
        <v>231.026</v>
      </c>
      <c r="I387" t="n">
        <v>19.58</v>
      </c>
      <c r="J387" t="n">
        <v>2783.447</v>
      </c>
    </row>
    <row r="388">
      <c r="A388" s="160" t="n">
        <v>24838</v>
      </c>
      <c r="B388" t="n">
        <v>4.6</v>
      </c>
      <c r="C388" t="n">
        <v>165.868</v>
      </c>
      <c r="D388" t="n">
        <v>1594.047</v>
      </c>
      <c r="E388" t="n">
        <v>4713.013</v>
      </c>
      <c r="F388" t="n">
        <v>19.29</v>
      </c>
      <c r="G388" t="n">
        <v>568.8869999999999</v>
      </c>
      <c r="H388" t="n">
        <v>244.637</v>
      </c>
      <c r="I388" t="n">
        <v>19.803</v>
      </c>
      <c r="J388" t="n">
        <v>2850.153</v>
      </c>
    </row>
    <row r="389">
      <c r="A389" s="160" t="n">
        <v>24929</v>
      </c>
      <c r="B389" t="n">
        <v>4.7</v>
      </c>
      <c r="C389" t="n">
        <v>168.643</v>
      </c>
      <c r="D389" t="n">
        <v>1602.315</v>
      </c>
      <c r="E389" t="n">
        <v>4791.758</v>
      </c>
      <c r="F389" t="n">
        <v>19.506</v>
      </c>
      <c r="G389" t="n">
        <v>590.647</v>
      </c>
      <c r="H389" t="n">
        <v>248.369</v>
      </c>
      <c r="I389" t="n">
        <v>20.033</v>
      </c>
      <c r="J389" t="n">
        <v>2893.553</v>
      </c>
    </row>
    <row r="390">
      <c r="A390" s="160" t="n">
        <v>25020</v>
      </c>
      <c r="B390" t="n">
        <v>4.6</v>
      </c>
      <c r="C390" t="n">
        <v>180.635</v>
      </c>
      <c r="D390" t="n">
        <v>1607.115</v>
      </c>
      <c r="E390" t="n">
        <v>4828.892</v>
      </c>
      <c r="F390" t="n">
        <v>19.693</v>
      </c>
      <c r="G390" t="n">
        <v>574.539</v>
      </c>
      <c r="H390" t="n">
        <v>263.296</v>
      </c>
      <c r="I390" t="n">
        <v>20.258</v>
      </c>
      <c r="J390" t="n">
        <v>2947.784</v>
      </c>
    </row>
    <row r="391">
      <c r="A391" s="160" t="n">
        <v>25112</v>
      </c>
      <c r="B391" t="n">
        <v>4.7</v>
      </c>
      <c r="C391" t="n">
        <v>176.621</v>
      </c>
      <c r="D391" t="n">
        <v>1608.573</v>
      </c>
      <c r="E391" t="n">
        <v>4847.885</v>
      </c>
      <c r="F391" t="n">
        <v>19.967</v>
      </c>
      <c r="G391" t="n">
        <v>580.789</v>
      </c>
      <c r="H391" t="n">
        <v>261.077</v>
      </c>
      <c r="I391" t="n">
        <v>20.493</v>
      </c>
      <c r="J391" t="n">
        <v>2961.081</v>
      </c>
    </row>
    <row r="392">
      <c r="A392" s="160" t="n">
        <v>25204</v>
      </c>
      <c r="B392" t="n">
        <v>4.4</v>
      </c>
      <c r="C392" t="n">
        <v>156.09</v>
      </c>
      <c r="D392" t="n">
        <v>1612.219</v>
      </c>
      <c r="E392" t="n">
        <v>4923.76</v>
      </c>
      <c r="F392" t="n">
        <v>20.167</v>
      </c>
      <c r="G392" t="n">
        <v>614.989</v>
      </c>
      <c r="H392" t="n">
        <v>236.452</v>
      </c>
      <c r="I392" t="n">
        <v>20.717</v>
      </c>
      <c r="J392" t="n">
        <v>2993.913</v>
      </c>
    </row>
    <row r="393">
      <c r="A393" s="160" t="n">
        <v>25294</v>
      </c>
      <c r="B393" t="n">
        <v>4.9</v>
      </c>
      <c r="C393" t="n">
        <v>190.297</v>
      </c>
      <c r="D393" t="n">
        <v>1607.192</v>
      </c>
      <c r="E393" t="n">
        <v>4938.728</v>
      </c>
      <c r="F393" t="n">
        <v>20.433</v>
      </c>
      <c r="G393" t="n">
        <v>611.366</v>
      </c>
      <c r="H393" t="n">
        <v>283.101</v>
      </c>
      <c r="I393" t="n">
        <v>20.965</v>
      </c>
      <c r="J393" t="n">
        <v>3013.227</v>
      </c>
    </row>
    <row r="394">
      <c r="A394" s="160" t="n">
        <v>25385</v>
      </c>
      <c r="B394" t="n">
        <v>4.7</v>
      </c>
      <c r="C394" t="n">
        <v>187.112</v>
      </c>
      <c r="D394" t="n">
        <v>1610.451</v>
      </c>
      <c r="E394" t="n">
        <v>4971.349</v>
      </c>
      <c r="F394" t="n">
        <v>20.724</v>
      </c>
      <c r="G394" t="n">
        <v>623.778</v>
      </c>
      <c r="H394" t="n">
        <v>279.433</v>
      </c>
      <c r="I394" t="n">
        <v>21.207</v>
      </c>
      <c r="J394" t="n">
        <v>3027.918</v>
      </c>
    </row>
    <row r="395">
      <c r="A395" s="160" t="n">
        <v>25477</v>
      </c>
      <c r="B395" t="n">
        <v>4.8</v>
      </c>
      <c r="C395" t="n">
        <v>192.007</v>
      </c>
      <c r="D395" t="n">
        <v>1588.788</v>
      </c>
      <c r="E395" t="n">
        <v>4947.104</v>
      </c>
      <c r="F395" t="n">
        <v>20.983</v>
      </c>
      <c r="G395" t="n">
        <v>593.659</v>
      </c>
      <c r="H395" t="n">
        <v>276.363</v>
      </c>
      <c r="I395" t="n">
        <v>21.456</v>
      </c>
      <c r="J395" t="n">
        <v>3052.118</v>
      </c>
    </row>
    <row r="396">
      <c r="A396" s="160" t="n">
        <v>25569</v>
      </c>
      <c r="B396" t="n">
        <v>4.4</v>
      </c>
      <c r="C396" t="n">
        <v>194.54</v>
      </c>
      <c r="D396" t="n">
        <v>1581.147</v>
      </c>
      <c r="E396" t="n">
        <v>4939.759</v>
      </c>
      <c r="F396" t="n">
        <v>21.272</v>
      </c>
      <c r="G396" t="n">
        <v>575.953</v>
      </c>
      <c r="H396" t="n">
        <v>275.458</v>
      </c>
      <c r="I396" t="n">
        <v>21.69</v>
      </c>
      <c r="J396" t="n">
        <v>3071.056</v>
      </c>
    </row>
    <row r="397">
      <c r="A397" s="160" t="n">
        <v>25659</v>
      </c>
      <c r="B397" t="n">
        <v>4.6</v>
      </c>
      <c r="C397" t="n">
        <v>202.078</v>
      </c>
      <c r="D397" t="n">
        <v>1562.764</v>
      </c>
      <c r="E397" t="n">
        <v>4946.77</v>
      </c>
      <c r="F397" t="n">
        <v>21.579</v>
      </c>
      <c r="G397" t="n">
        <v>577.205</v>
      </c>
      <c r="H397" t="n">
        <v>280.902</v>
      </c>
      <c r="I397" t="n">
        <v>21.935</v>
      </c>
      <c r="J397" t="n">
        <v>3084.968</v>
      </c>
    </row>
    <row r="398">
      <c r="A398" s="160" t="n">
        <v>25750</v>
      </c>
      <c r="B398" t="n">
        <v>4.5</v>
      </c>
      <c r="C398" t="n">
        <v>202.887</v>
      </c>
      <c r="D398" t="n">
        <v>1569.37</v>
      </c>
      <c r="E398" t="n">
        <v>4992.357</v>
      </c>
      <c r="F398" t="n">
        <v>21.756</v>
      </c>
      <c r="G398" t="n">
        <v>586.598</v>
      </c>
      <c r="H398" t="n">
        <v>280.258</v>
      </c>
      <c r="I398" t="n">
        <v>22.179</v>
      </c>
      <c r="J398" t="n">
        <v>3112.014</v>
      </c>
    </row>
    <row r="399">
      <c r="A399" s="160" t="n">
        <v>25842</v>
      </c>
      <c r="B399" t="n">
        <v>5.7</v>
      </c>
      <c r="C399" t="n">
        <v>203.308</v>
      </c>
      <c r="D399" t="n">
        <v>1570.101</v>
      </c>
      <c r="E399" t="n">
        <v>4938.857</v>
      </c>
      <c r="F399" t="n">
        <v>22.041</v>
      </c>
      <c r="G399" t="n">
        <v>555.454</v>
      </c>
      <c r="H399" t="n">
        <v>284.604</v>
      </c>
      <c r="I399" t="n">
        <v>22.491</v>
      </c>
      <c r="J399" t="n">
        <v>3103.565</v>
      </c>
    </row>
    <row r="400">
      <c r="A400" s="160" t="n">
        <v>25934</v>
      </c>
      <c r="B400" t="n">
        <v>5.2</v>
      </c>
      <c r="C400" t="n">
        <v>205.164</v>
      </c>
      <c r="D400" t="n">
        <v>1547.139</v>
      </c>
      <c r="E400" t="n">
        <v>5072.996</v>
      </c>
      <c r="F400" t="n">
        <v>22.375</v>
      </c>
      <c r="G400" t="n">
        <v>620.212</v>
      </c>
      <c r="H400" t="n">
        <v>281.249</v>
      </c>
      <c r="I400" t="n">
        <v>22.776</v>
      </c>
      <c r="J400" t="n">
        <v>3163.139</v>
      </c>
    </row>
    <row r="401">
      <c r="A401" s="160" t="n">
        <v>26024</v>
      </c>
      <c r="B401" t="n">
        <v>4.6</v>
      </c>
      <c r="C401" t="n">
        <v>203.647</v>
      </c>
      <c r="D401" t="n">
        <v>1543.584</v>
      </c>
      <c r="E401" t="n">
        <v>5100.447</v>
      </c>
      <c r="F401" t="n">
        <v>22.674</v>
      </c>
      <c r="G401" t="n">
        <v>637.811</v>
      </c>
      <c r="H401" t="n">
        <v>302.466</v>
      </c>
      <c r="I401" t="n">
        <v>23.036</v>
      </c>
      <c r="J401" t="n">
        <v>3192.21</v>
      </c>
    </row>
    <row r="402">
      <c r="A402" s="160" t="n">
        <v>26115</v>
      </c>
      <c r="B402" t="n">
        <v>3.8</v>
      </c>
      <c r="C402" t="n">
        <v>213.827</v>
      </c>
      <c r="D402" t="n">
        <v>1542.778</v>
      </c>
      <c r="E402" t="n">
        <v>5142.422</v>
      </c>
      <c r="F402" t="n">
        <v>22.903</v>
      </c>
      <c r="G402" t="n">
        <v>645.549</v>
      </c>
      <c r="H402" t="n">
        <v>309.152</v>
      </c>
      <c r="I402" t="n">
        <v>23.253</v>
      </c>
      <c r="J402" t="n">
        <v>3217.661</v>
      </c>
    </row>
    <row r="403">
      <c r="A403" s="160" t="n">
        <v>26207</v>
      </c>
      <c r="B403" t="n">
        <v>2.3</v>
      </c>
      <c r="C403" t="n">
        <v>194.088</v>
      </c>
      <c r="D403" t="n">
        <v>1531.936</v>
      </c>
      <c r="E403" t="n">
        <v>5154.547</v>
      </c>
      <c r="F403" t="n">
        <v>23.092</v>
      </c>
      <c r="G403" t="n">
        <v>628.165</v>
      </c>
      <c r="H403" t="n">
        <v>288.197</v>
      </c>
      <c r="I403" t="n">
        <v>23.385</v>
      </c>
      <c r="J403" t="n">
        <v>3271.05</v>
      </c>
    </row>
    <row r="404">
      <c r="A404" s="160" t="n">
        <v>26299</v>
      </c>
      <c r="B404" t="n">
        <v>3.9</v>
      </c>
      <c r="C404" t="n">
        <v>216.149</v>
      </c>
      <c r="D404" t="n">
        <v>1540.394</v>
      </c>
      <c r="E404" t="n">
        <v>5249.337</v>
      </c>
      <c r="F404" t="n">
        <v>23.463</v>
      </c>
      <c r="G404" t="n">
        <v>669.558</v>
      </c>
      <c r="H404" t="n">
        <v>330.317</v>
      </c>
      <c r="I404" t="n">
        <v>23.609</v>
      </c>
      <c r="J404" t="n">
        <v>3314.222</v>
      </c>
    </row>
    <row r="405">
      <c r="A405" s="160" t="n">
        <v>26390</v>
      </c>
      <c r="B405" t="n">
        <v>2.7</v>
      </c>
      <c r="C405" t="n">
        <v>209.842</v>
      </c>
      <c r="D405" t="n">
        <v>1546.593</v>
      </c>
      <c r="E405" t="n">
        <v>5368.485</v>
      </c>
      <c r="F405" t="n">
        <v>23.606</v>
      </c>
      <c r="G405" t="n">
        <v>707.5890000000001</v>
      </c>
      <c r="H405" t="n">
        <v>318.581</v>
      </c>
      <c r="I405" t="n">
        <v>23.769</v>
      </c>
      <c r="J405" t="n">
        <v>3377.314</v>
      </c>
    </row>
    <row r="406">
      <c r="A406" s="160" t="n">
        <v>26481</v>
      </c>
      <c r="B406" t="n">
        <v>3</v>
      </c>
      <c r="C406" t="n">
        <v>222.493</v>
      </c>
      <c r="D406" t="n">
        <v>1517.139</v>
      </c>
      <c r="E406" t="n">
        <v>5419.184</v>
      </c>
      <c r="F406" t="n">
        <v>23.82</v>
      </c>
      <c r="G406" t="n">
        <v>717.638</v>
      </c>
      <c r="H406" t="n">
        <v>325.212</v>
      </c>
      <c r="I406" t="n">
        <v>23.948</v>
      </c>
      <c r="J406" t="n">
        <v>3429.362</v>
      </c>
    </row>
    <row r="407">
      <c r="A407" s="160" t="n">
        <v>26573</v>
      </c>
      <c r="B407" t="n">
        <v>2.5</v>
      </c>
      <c r="C407" t="n">
        <v>231.902</v>
      </c>
      <c r="D407" t="n">
        <v>1529.691</v>
      </c>
      <c r="E407" t="n">
        <v>5509.926</v>
      </c>
      <c r="F407" t="n">
        <v>24.09</v>
      </c>
      <c r="G407" t="n">
        <v>722.138</v>
      </c>
      <c r="H407" t="n">
        <v>339.862</v>
      </c>
      <c r="I407" t="n">
        <v>24.098</v>
      </c>
      <c r="J407" t="n">
        <v>3509.838</v>
      </c>
    </row>
    <row r="408">
      <c r="A408" s="160" t="n">
        <v>26665</v>
      </c>
      <c r="B408" t="n">
        <v>2.8</v>
      </c>
      <c r="C408" t="n">
        <v>248.867</v>
      </c>
      <c r="D408" t="n">
        <v>1542.861</v>
      </c>
      <c r="E408" t="n">
        <v>5646.286</v>
      </c>
      <c r="F408" t="n">
        <v>24.396</v>
      </c>
      <c r="G408" t="n">
        <v>764.458</v>
      </c>
      <c r="H408" t="n">
        <v>355.566</v>
      </c>
      <c r="I408" t="n">
        <v>24.266</v>
      </c>
      <c r="J408" t="n">
        <v>3573.918</v>
      </c>
    </row>
    <row r="409">
      <c r="A409" s="160" t="n">
        <v>26755</v>
      </c>
      <c r="B409" t="n">
        <v>5.6</v>
      </c>
      <c r="C409" t="n">
        <v>260.856</v>
      </c>
      <c r="D409" t="n">
        <v>1531.988</v>
      </c>
      <c r="E409" t="n">
        <v>5707.755</v>
      </c>
      <c r="F409" t="n">
        <v>24.8</v>
      </c>
      <c r="G409" t="n">
        <v>797.044</v>
      </c>
      <c r="H409" t="n">
        <v>345.318</v>
      </c>
      <c r="I409" t="n">
        <v>24.597</v>
      </c>
      <c r="J409" t="n">
        <v>3572.307</v>
      </c>
    </row>
    <row r="410">
      <c r="A410" s="160" t="n">
        <v>26846</v>
      </c>
      <c r="B410" t="n">
        <v>5.4</v>
      </c>
      <c r="C410" t="n">
        <v>261.735</v>
      </c>
      <c r="D410" t="n">
        <v>1513.965</v>
      </c>
      <c r="E410" t="n">
        <v>5677.738</v>
      </c>
      <c r="F410" t="n">
        <v>25.273</v>
      </c>
      <c r="G410" t="n">
        <v>768.143</v>
      </c>
      <c r="H410" t="n">
        <v>335.778</v>
      </c>
      <c r="I410" t="n">
        <v>24.924</v>
      </c>
      <c r="J410" t="n">
        <v>3584.881</v>
      </c>
    </row>
    <row r="411">
      <c r="A411" s="160" t="n">
        <v>26938</v>
      </c>
      <c r="B411" t="n">
        <v>5.7</v>
      </c>
      <c r="C411" t="n">
        <v>274.61</v>
      </c>
      <c r="D411" t="n">
        <v>1525.325</v>
      </c>
      <c r="E411" t="n">
        <v>5731.632</v>
      </c>
      <c r="F411" t="n">
        <v>25.711</v>
      </c>
      <c r="G411" t="n">
        <v>795.504</v>
      </c>
      <c r="H411" t="n">
        <v>338.284</v>
      </c>
      <c r="I411" t="n">
        <v>25.271</v>
      </c>
      <c r="J411" t="n">
        <v>3574.188</v>
      </c>
    </row>
    <row r="412">
      <c r="A412" s="160" t="n">
        <v>27030</v>
      </c>
      <c r="B412" t="n">
        <v>7</v>
      </c>
      <c r="C412" t="n">
        <v>278.171</v>
      </c>
      <c r="D412" t="n">
        <v>1552.878</v>
      </c>
      <c r="E412" t="n">
        <v>5682.353</v>
      </c>
      <c r="F412" t="n">
        <v>26.232</v>
      </c>
      <c r="G412" t="n">
        <v>750.076</v>
      </c>
      <c r="H412" t="n">
        <v>326.81</v>
      </c>
      <c r="I412" t="n">
        <v>25.704</v>
      </c>
      <c r="J412" t="n">
        <v>3542.211</v>
      </c>
    </row>
    <row r="413">
      <c r="A413" s="160" t="n">
        <v>27120</v>
      </c>
      <c r="B413" t="n">
        <v>10.3</v>
      </c>
      <c r="C413" t="n">
        <v>291.735</v>
      </c>
      <c r="D413" t="n">
        <v>1560.657</v>
      </c>
      <c r="E413" t="n">
        <v>5695.859</v>
      </c>
      <c r="F413" t="n">
        <v>26.815</v>
      </c>
      <c r="G413" t="n">
        <v>747.082</v>
      </c>
      <c r="H413" t="n">
        <v>344.123</v>
      </c>
      <c r="I413" t="n">
        <v>26.343</v>
      </c>
      <c r="J413" t="n">
        <v>3554.966</v>
      </c>
    </row>
    <row r="414">
      <c r="A414" s="160" t="n">
        <v>27211</v>
      </c>
      <c r="B414" t="n">
        <v>11.9</v>
      </c>
      <c r="C414" t="n">
        <v>276.018</v>
      </c>
      <c r="D414" t="n">
        <v>1563.766</v>
      </c>
      <c r="E414" t="n">
        <v>5642.025</v>
      </c>
      <c r="F414" t="n">
        <v>27.641</v>
      </c>
      <c r="G414" t="n">
        <v>708.362</v>
      </c>
      <c r="H414" t="n">
        <v>338.109</v>
      </c>
      <c r="I414" t="n">
        <v>27.096</v>
      </c>
      <c r="J414" t="n">
        <v>3570.236</v>
      </c>
    </row>
    <row r="415">
      <c r="A415" s="160" t="n">
        <v>27303</v>
      </c>
      <c r="B415" t="n">
        <v>10.1</v>
      </c>
      <c r="C415" t="n">
        <v>283.228</v>
      </c>
      <c r="D415" t="n">
        <v>1571.26</v>
      </c>
      <c r="E415" t="n">
        <v>5620.126</v>
      </c>
      <c r="F415" t="n">
        <v>28.479</v>
      </c>
      <c r="G415" t="n">
        <v>712.6609999999999</v>
      </c>
      <c r="H415" t="n">
        <v>334.754</v>
      </c>
      <c r="I415" t="n">
        <v>27.758</v>
      </c>
      <c r="J415" t="n">
        <v>3518.05</v>
      </c>
    </row>
    <row r="416">
      <c r="A416" s="160" t="n">
        <v>27395</v>
      </c>
      <c r="B416" t="n">
        <v>8.1</v>
      </c>
      <c r="C416" t="n">
        <v>285.204</v>
      </c>
      <c r="D416" t="n">
        <v>1588.372</v>
      </c>
      <c r="E416" t="n">
        <v>5551.713</v>
      </c>
      <c r="F416" t="n">
        <v>29.124</v>
      </c>
      <c r="G416" t="n">
        <v>597.866</v>
      </c>
      <c r="H416" t="n">
        <v>301.164</v>
      </c>
      <c r="I416" t="n">
        <v>28.301</v>
      </c>
      <c r="J416" t="n">
        <v>3547.557</v>
      </c>
    </row>
    <row r="417">
      <c r="A417" s="160" t="n">
        <v>27485</v>
      </c>
      <c r="B417" t="n">
        <v>6.2</v>
      </c>
      <c r="C417" t="n">
        <v>276.889</v>
      </c>
      <c r="D417" t="n">
        <v>1574.948</v>
      </c>
      <c r="E417" t="n">
        <v>5591.382</v>
      </c>
      <c r="F417" t="n">
        <v>29.546</v>
      </c>
      <c r="G417" t="n">
        <v>580.067</v>
      </c>
      <c r="H417" t="n">
        <v>277.065</v>
      </c>
      <c r="I417" t="n">
        <v>28.732</v>
      </c>
      <c r="J417" t="n">
        <v>3605.909</v>
      </c>
    </row>
    <row r="418">
      <c r="A418" s="160" t="n">
        <v>27576</v>
      </c>
      <c r="B418" t="n">
        <v>6.1</v>
      </c>
      <c r="C418" t="n">
        <v>272.218</v>
      </c>
      <c r="D418" t="n">
        <v>1604.369</v>
      </c>
      <c r="E418" t="n">
        <v>5687.087</v>
      </c>
      <c r="F418" t="n">
        <v>30.068</v>
      </c>
      <c r="G418" t="n">
        <v>625.037</v>
      </c>
      <c r="H418" t="n">
        <v>300.098</v>
      </c>
      <c r="I418" t="n">
        <v>29.163</v>
      </c>
      <c r="J418" t="n">
        <v>3657.158</v>
      </c>
    </row>
    <row r="419">
      <c r="A419" s="160" t="n">
        <v>27668</v>
      </c>
      <c r="B419" t="n">
        <v>6.7</v>
      </c>
      <c r="C419" t="n">
        <v>287.609</v>
      </c>
      <c r="D419" t="n">
        <v>1618.424</v>
      </c>
      <c r="E419" t="n">
        <v>5763.665</v>
      </c>
      <c r="F419" t="n">
        <v>30.57</v>
      </c>
      <c r="G419" t="n">
        <v>642.484</v>
      </c>
      <c r="H419" t="n">
        <v>316.117</v>
      </c>
      <c r="I419" t="n">
        <v>29.638</v>
      </c>
      <c r="J419" t="n">
        <v>3696.485</v>
      </c>
    </row>
    <row r="420">
      <c r="A420" s="160" t="n">
        <v>27760</v>
      </c>
      <c r="B420" t="n">
        <v>6.2</v>
      </c>
      <c r="C420" t="n">
        <v>285.624</v>
      </c>
      <c r="D420" t="n">
        <v>1620.97</v>
      </c>
      <c r="E420" t="n">
        <v>5893.276</v>
      </c>
      <c r="F420" t="n">
        <v>30.905</v>
      </c>
      <c r="G420" t="n">
        <v>704.475</v>
      </c>
      <c r="H420" t="n">
        <v>335.921</v>
      </c>
      <c r="I420" t="n">
        <v>30.088</v>
      </c>
      <c r="J420" t="n">
        <v>3770.391</v>
      </c>
    </row>
    <row r="421">
      <c r="A421" s="160" t="n">
        <v>27851</v>
      </c>
      <c r="B421" t="n">
        <v>4.9</v>
      </c>
      <c r="C421" t="n">
        <v>288.503</v>
      </c>
      <c r="D421" t="n">
        <v>1602.934</v>
      </c>
      <c r="E421" t="n">
        <v>5936.515</v>
      </c>
      <c r="F421" t="n">
        <v>31.213</v>
      </c>
      <c r="G421" t="n">
        <v>732.3579999999999</v>
      </c>
      <c r="H421" t="n">
        <v>350.47</v>
      </c>
      <c r="I421" t="n">
        <v>30.449</v>
      </c>
      <c r="J421" t="n">
        <v>3805.081</v>
      </c>
    </row>
    <row r="422">
      <c r="A422" s="160" t="n">
        <v>27942</v>
      </c>
      <c r="B422" t="n">
        <v>6.4</v>
      </c>
      <c r="C422" t="n">
        <v>296.886</v>
      </c>
      <c r="D422" t="n">
        <v>1598.243</v>
      </c>
      <c r="E422" t="n">
        <v>5969.089</v>
      </c>
      <c r="F422" t="n">
        <v>31.611</v>
      </c>
      <c r="G422" t="n">
        <v>734.91</v>
      </c>
      <c r="H422" t="n">
        <v>364.768</v>
      </c>
      <c r="I422" t="n">
        <v>30.926</v>
      </c>
      <c r="J422" t="n">
        <v>3845.144</v>
      </c>
    </row>
    <row r="423">
      <c r="A423" s="160" t="n">
        <v>28034</v>
      </c>
      <c r="B423" t="n">
        <v>6.4</v>
      </c>
      <c r="C423" t="n">
        <v>299.898</v>
      </c>
      <c r="D423" t="n">
        <v>1597.264</v>
      </c>
      <c r="E423" t="n">
        <v>6012.356</v>
      </c>
      <c r="F423" t="n">
        <v>32.148</v>
      </c>
      <c r="G423" t="n">
        <v>740.408</v>
      </c>
      <c r="H423" t="n">
        <v>376.841</v>
      </c>
      <c r="I423" t="n">
        <v>31.41</v>
      </c>
      <c r="J423" t="n">
        <v>3895.034</v>
      </c>
    </row>
    <row r="424">
      <c r="A424" s="160" t="n">
        <v>28126</v>
      </c>
      <c r="B424" t="n">
        <v>6.9</v>
      </c>
      <c r="C424" t="n">
        <v>295.072</v>
      </c>
      <c r="D424" t="n">
        <v>1610.842</v>
      </c>
      <c r="E424" t="n">
        <v>6083.391</v>
      </c>
      <c r="F424" t="n">
        <v>32.668</v>
      </c>
      <c r="G424" t="n">
        <v>774.711</v>
      </c>
      <c r="H424" t="n">
        <v>394.68</v>
      </c>
      <c r="I424" t="n">
        <v>31.939</v>
      </c>
      <c r="J424" t="n">
        <v>3940.944</v>
      </c>
    </row>
    <row r="425">
      <c r="A425" s="160" t="n">
        <v>28216</v>
      </c>
      <c r="B425" t="n">
        <v>6.3</v>
      </c>
      <c r="C425" t="n">
        <v>303.024</v>
      </c>
      <c r="D425" t="n">
        <v>1625.58</v>
      </c>
      <c r="E425" t="n">
        <v>6201.659</v>
      </c>
      <c r="F425" t="n">
        <v>33.184</v>
      </c>
      <c r="G425" t="n">
        <v>830.251</v>
      </c>
      <c r="H425" t="n">
        <v>398.319</v>
      </c>
      <c r="I425" t="n">
        <v>32.427</v>
      </c>
      <c r="J425" t="n">
        <v>3962.314</v>
      </c>
    </row>
    <row r="426">
      <c r="A426" s="160" t="n">
        <v>28307</v>
      </c>
      <c r="B426" t="n">
        <v>6.8</v>
      </c>
      <c r="C426" t="n">
        <v>305.375</v>
      </c>
      <c r="D426" t="n">
        <v>1632.108</v>
      </c>
      <c r="E426" t="n">
        <v>6313.559</v>
      </c>
      <c r="F426" t="n">
        <v>33.641</v>
      </c>
      <c r="G426" t="n">
        <v>872.264</v>
      </c>
      <c r="H426" t="n">
        <v>392.768</v>
      </c>
      <c r="I426" t="n">
        <v>32.966</v>
      </c>
      <c r="J426" t="n">
        <v>3999.779</v>
      </c>
    </row>
    <row r="427">
      <c r="A427" s="160" t="n">
        <v>28399</v>
      </c>
      <c r="B427" t="n">
        <v>5.9</v>
      </c>
      <c r="C427" t="n">
        <v>295.584</v>
      </c>
      <c r="D427" t="n">
        <v>1628.216</v>
      </c>
      <c r="E427" t="n">
        <v>6313.697</v>
      </c>
      <c r="F427" t="n">
        <v>34.203</v>
      </c>
      <c r="G427" t="n">
        <v>850.383</v>
      </c>
      <c r="H427" t="n">
        <v>398.342</v>
      </c>
      <c r="I427" t="n">
        <v>33.445</v>
      </c>
      <c r="J427" t="n">
        <v>4059.918</v>
      </c>
    </row>
    <row r="428">
      <c r="A428" s="160" t="n">
        <v>28491</v>
      </c>
      <c r="B428" t="n">
        <v>6.4</v>
      </c>
      <c r="C428" t="n">
        <v>302.563</v>
      </c>
      <c r="D428" t="n">
        <v>1628.631</v>
      </c>
      <c r="E428" t="n">
        <v>6333.848</v>
      </c>
      <c r="F428" t="n">
        <v>34.763</v>
      </c>
      <c r="G428" t="n">
        <v>866.957</v>
      </c>
      <c r="H428" t="n">
        <v>425.07</v>
      </c>
      <c r="I428" t="n">
        <v>33.967</v>
      </c>
      <c r="J428" t="n">
        <v>4082.726</v>
      </c>
    </row>
    <row r="429">
      <c r="A429" s="160" t="n">
        <v>28581</v>
      </c>
      <c r="B429" t="n">
        <v>7.1</v>
      </c>
      <c r="C429" t="n">
        <v>334.106</v>
      </c>
      <c r="D429" t="n">
        <v>1669.477</v>
      </c>
      <c r="E429" t="n">
        <v>6578.605</v>
      </c>
      <c r="F429" t="n">
        <v>35.457</v>
      </c>
      <c r="G429" t="n">
        <v>923.266</v>
      </c>
      <c r="H429" t="n">
        <v>426.419</v>
      </c>
      <c r="I429" t="n">
        <v>34.553</v>
      </c>
      <c r="J429" t="n">
        <v>4170.01</v>
      </c>
    </row>
    <row r="430">
      <c r="A430" s="160" t="n">
        <v>28672</v>
      </c>
      <c r="B430" t="n">
        <v>7</v>
      </c>
      <c r="C430" t="n">
        <v>337.772</v>
      </c>
      <c r="D430" t="n">
        <v>1684.9</v>
      </c>
      <c r="E430" t="n">
        <v>6644.754</v>
      </c>
      <c r="F430" t="n">
        <v>36.083</v>
      </c>
      <c r="G430" t="n">
        <v>950.1660000000001</v>
      </c>
      <c r="H430" t="n">
        <v>431.993</v>
      </c>
      <c r="I430" t="n">
        <v>35.146</v>
      </c>
      <c r="J430" t="n">
        <v>4187.52</v>
      </c>
    </row>
    <row r="431">
      <c r="A431" s="160" t="n">
        <v>28764</v>
      </c>
      <c r="B431" t="n">
        <v>7.4</v>
      </c>
      <c r="C431" t="n">
        <v>351.178</v>
      </c>
      <c r="D431" t="n">
        <v>1700.067</v>
      </c>
      <c r="E431" t="n">
        <v>6734.069</v>
      </c>
      <c r="F431" t="n">
        <v>36.796</v>
      </c>
      <c r="G431" t="n">
        <v>972.139</v>
      </c>
      <c r="H431" t="n">
        <v>437.924</v>
      </c>
      <c r="I431" t="n">
        <v>35.777</v>
      </c>
      <c r="J431" t="n">
        <v>4221.31</v>
      </c>
    </row>
    <row r="432">
      <c r="A432" s="160" t="n">
        <v>28856</v>
      </c>
      <c r="B432" t="n">
        <v>5.6</v>
      </c>
      <c r="C432" t="n">
        <v>351.453</v>
      </c>
      <c r="D432" t="n">
        <v>1683.258</v>
      </c>
      <c r="E432" t="n">
        <v>6746.176</v>
      </c>
      <c r="F432" t="n">
        <v>37.483</v>
      </c>
      <c r="G432" t="n">
        <v>973.754</v>
      </c>
      <c r="H432" t="n">
        <v>436.734</v>
      </c>
      <c r="I432" t="n">
        <v>36.266</v>
      </c>
      <c r="J432" t="n">
        <v>4243.173</v>
      </c>
    </row>
    <row r="433">
      <c r="A433" s="160" t="n">
        <v>28946</v>
      </c>
      <c r="B433" t="n">
        <v>9.1</v>
      </c>
      <c r="C433" t="n">
        <v>352.369</v>
      </c>
      <c r="D433" t="n">
        <v>1699.659</v>
      </c>
      <c r="E433" t="n">
        <v>6753.389</v>
      </c>
      <c r="F433" t="n">
        <v>38.388</v>
      </c>
      <c r="G433" t="n">
        <v>972.877</v>
      </c>
      <c r="H433" t="n">
        <v>439.092</v>
      </c>
      <c r="I433" t="n">
        <v>37.063</v>
      </c>
      <c r="J433" t="n">
        <v>4240.419</v>
      </c>
    </row>
    <row r="434">
      <c r="A434" s="160" t="n">
        <v>29037</v>
      </c>
      <c r="B434" t="n">
        <v>7.6</v>
      </c>
      <c r="C434" t="n">
        <v>365.05</v>
      </c>
      <c r="D434" t="n">
        <v>1704.624</v>
      </c>
      <c r="E434" t="n">
        <v>6803.558</v>
      </c>
      <c r="F434" t="n">
        <v>39.19</v>
      </c>
      <c r="G434" t="n">
        <v>956.4930000000001</v>
      </c>
      <c r="H434" t="n">
        <v>432.386</v>
      </c>
      <c r="I434" t="n">
        <v>37.747</v>
      </c>
      <c r="J434" t="n">
        <v>4281.682</v>
      </c>
    </row>
    <row r="435">
      <c r="A435" s="160" t="n">
        <v>29129</v>
      </c>
      <c r="B435" t="n">
        <v>8.6</v>
      </c>
      <c r="C435" t="n">
        <v>388.019</v>
      </c>
      <c r="D435" t="n">
        <v>1715.85</v>
      </c>
      <c r="E435" t="n">
        <v>6820.572</v>
      </c>
      <c r="F435" t="n">
        <v>39.905</v>
      </c>
      <c r="G435" t="n">
        <v>939.526</v>
      </c>
      <c r="H435" t="n">
        <v>441.816</v>
      </c>
      <c r="I435" t="n">
        <v>38.534</v>
      </c>
      <c r="J435" t="n">
        <v>4292.335</v>
      </c>
    </row>
    <row r="436">
      <c r="A436" s="160" t="n">
        <v>29221</v>
      </c>
      <c r="B436" t="n">
        <v>10.2</v>
      </c>
      <c r="C436" t="n">
        <v>398.848</v>
      </c>
      <c r="D436" t="n">
        <v>1741.034</v>
      </c>
      <c r="E436" t="n">
        <v>6842.024</v>
      </c>
      <c r="F436" t="n">
        <v>40.777</v>
      </c>
      <c r="G436" t="n">
        <v>933.101</v>
      </c>
      <c r="H436" t="n">
        <v>442.117</v>
      </c>
      <c r="I436" t="n">
        <v>39.477</v>
      </c>
      <c r="J436" t="n">
        <v>4286.2</v>
      </c>
    </row>
    <row r="437">
      <c r="A437" s="160" t="n">
        <v>29312</v>
      </c>
      <c r="B437" t="n">
        <v>9.300000000000001</v>
      </c>
      <c r="C437" t="n">
        <v>406.367</v>
      </c>
      <c r="D437" t="n">
        <v>1744.456</v>
      </c>
      <c r="E437" t="n">
        <v>6701.046</v>
      </c>
      <c r="F437" t="n">
        <v>41.745</v>
      </c>
      <c r="G437" t="n">
        <v>853.76</v>
      </c>
      <c r="H437" t="n">
        <v>410.012</v>
      </c>
      <c r="I437" t="n">
        <v>40.36</v>
      </c>
      <c r="J437" t="n">
        <v>4189.671</v>
      </c>
    </row>
    <row r="438">
      <c r="A438" s="160" t="n">
        <v>29403</v>
      </c>
      <c r="B438" t="n">
        <v>9.199999999999999</v>
      </c>
      <c r="C438" t="n">
        <v>405.501</v>
      </c>
      <c r="D438" t="n">
        <v>1720.713</v>
      </c>
      <c r="E438" t="n">
        <v>6693.082</v>
      </c>
      <c r="F438" t="n">
        <v>42.676</v>
      </c>
      <c r="G438" t="n">
        <v>797.4109999999999</v>
      </c>
      <c r="H438" t="n">
        <v>380.507</v>
      </c>
      <c r="I438" t="n">
        <v>41.259</v>
      </c>
      <c r="J438" t="n">
        <v>4235.629</v>
      </c>
    </row>
    <row r="439">
      <c r="A439" s="160" t="n">
        <v>29495</v>
      </c>
      <c r="B439" t="n">
        <v>10.1</v>
      </c>
      <c r="C439" t="n">
        <v>403.045</v>
      </c>
      <c r="D439" t="n">
        <v>1720.334</v>
      </c>
      <c r="E439" t="n">
        <v>6817.903</v>
      </c>
      <c r="F439" t="n">
        <v>43.807</v>
      </c>
      <c r="G439" t="n">
        <v>871.7329999999999</v>
      </c>
      <c r="H439" t="n">
        <v>400.911</v>
      </c>
      <c r="I439" t="n">
        <v>42.264</v>
      </c>
      <c r="J439" t="n">
        <v>4292.856</v>
      </c>
    </row>
    <row r="440">
      <c r="A440" s="160" t="n">
        <v>29587</v>
      </c>
      <c r="B440" t="n">
        <v>9.199999999999999</v>
      </c>
      <c r="C440" t="n">
        <v>410.625</v>
      </c>
      <c r="D440" t="n">
        <v>1743.343</v>
      </c>
      <c r="E440" t="n">
        <v>6951.495</v>
      </c>
      <c r="F440" t="n">
        <v>44.968</v>
      </c>
      <c r="G440" t="n">
        <v>952.418</v>
      </c>
      <c r="H440" t="n">
        <v>418.022</v>
      </c>
      <c r="I440" t="n">
        <v>43.202</v>
      </c>
      <c r="J440" t="n">
        <v>4307.237</v>
      </c>
    </row>
    <row r="441">
      <c r="A441" s="160" t="n">
        <v>29677</v>
      </c>
      <c r="B441" t="n">
        <v>7.8</v>
      </c>
      <c r="C441" t="n">
        <v>412.845</v>
      </c>
      <c r="D441" t="n">
        <v>1746.695</v>
      </c>
      <c r="E441" t="n">
        <v>6899.98</v>
      </c>
      <c r="F441" t="n">
        <v>45.813</v>
      </c>
      <c r="G441" t="n">
        <v>912.9450000000001</v>
      </c>
      <c r="H441" t="n">
        <v>418.639</v>
      </c>
      <c r="I441" t="n">
        <v>44.018</v>
      </c>
      <c r="J441" t="n">
        <v>4307.55</v>
      </c>
    </row>
    <row r="442">
      <c r="A442" s="160" t="n">
        <v>29768</v>
      </c>
      <c r="B442" t="n">
        <v>7.6</v>
      </c>
      <c r="C442" t="n">
        <v>404.05</v>
      </c>
      <c r="D442" t="n">
        <v>1740.68</v>
      </c>
      <c r="E442" t="n">
        <v>6982.609</v>
      </c>
      <c r="F442" t="n">
        <v>46.703</v>
      </c>
      <c r="G442" t="n">
        <v>964.401</v>
      </c>
      <c r="H442" t="n">
        <v>413.847</v>
      </c>
      <c r="I442" t="n">
        <v>44.829</v>
      </c>
      <c r="J442" t="n">
        <v>4327.476</v>
      </c>
    </row>
    <row r="443">
      <c r="A443" s="160" t="n">
        <v>29860</v>
      </c>
      <c r="B443" t="n">
        <v>7.3</v>
      </c>
      <c r="C443" t="n">
        <v>405.905</v>
      </c>
      <c r="D443" t="n">
        <v>1762.804</v>
      </c>
      <c r="E443" t="n">
        <v>6906.529</v>
      </c>
      <c r="F443" t="n">
        <v>47.475</v>
      </c>
      <c r="G443" t="n">
        <v>930.4400000000001</v>
      </c>
      <c r="H443" t="n">
        <v>425.696</v>
      </c>
      <c r="I443" t="n">
        <v>45.626</v>
      </c>
      <c r="J443" t="n">
        <v>4297.875</v>
      </c>
    </row>
    <row r="444">
      <c r="A444" s="160" t="n">
        <v>29952</v>
      </c>
      <c r="B444" t="n">
        <v>6</v>
      </c>
      <c r="C444" t="n">
        <v>388.289</v>
      </c>
      <c r="D444" t="n">
        <v>1760.84</v>
      </c>
      <c r="E444" t="n">
        <v>6799.233</v>
      </c>
      <c r="F444" t="n">
        <v>48.155</v>
      </c>
      <c r="G444" t="n">
        <v>842.429</v>
      </c>
      <c r="H444" t="n">
        <v>413.539</v>
      </c>
      <c r="I444" t="n">
        <v>46.294</v>
      </c>
      <c r="J444" t="n">
        <v>4329.533</v>
      </c>
    </row>
    <row r="445">
      <c r="A445" s="160" t="n">
        <v>30042</v>
      </c>
      <c r="B445" t="n">
        <v>5.5</v>
      </c>
      <c r="C445" t="n">
        <v>390.605</v>
      </c>
      <c r="D445" t="n">
        <v>1767.532</v>
      </c>
      <c r="E445" t="n">
        <v>6830.251</v>
      </c>
      <c r="F445" t="n">
        <v>48.795</v>
      </c>
      <c r="G445" t="n">
        <v>841.789</v>
      </c>
      <c r="H445" t="n">
        <v>406.768</v>
      </c>
      <c r="I445" t="n">
        <v>46.92</v>
      </c>
      <c r="J445" t="n">
        <v>4342.721</v>
      </c>
    </row>
    <row r="446">
      <c r="A446" s="160" t="n">
        <v>30133</v>
      </c>
      <c r="B446" t="n">
        <v>6.6</v>
      </c>
      <c r="C446" t="n">
        <v>373.283</v>
      </c>
      <c r="D446" t="n">
        <v>1781.703</v>
      </c>
      <c r="E446" t="n">
        <v>6804.139</v>
      </c>
      <c r="F446" t="n">
        <v>49.472</v>
      </c>
      <c r="G446" t="n">
        <v>834.075</v>
      </c>
      <c r="H446" t="n">
        <v>425.635</v>
      </c>
      <c r="I446" t="n">
        <v>47.672</v>
      </c>
      <c r="J446" t="n">
        <v>4371.833</v>
      </c>
    </row>
    <row r="447">
      <c r="A447" s="160" t="n">
        <v>30225</v>
      </c>
      <c r="B447" t="n">
        <v>5.7</v>
      </c>
      <c r="C447" t="n">
        <v>356.178</v>
      </c>
      <c r="D447" t="n">
        <v>1809.171</v>
      </c>
      <c r="E447" t="n">
        <v>6806.857</v>
      </c>
      <c r="F447" t="n">
        <v>49.973</v>
      </c>
      <c r="G447" t="n">
        <v>769.602</v>
      </c>
      <c r="H447" t="n">
        <v>408.929</v>
      </c>
      <c r="I447" t="n">
        <v>48.336</v>
      </c>
      <c r="J447" t="n">
        <v>4448.414</v>
      </c>
    </row>
    <row r="448">
      <c r="A448" s="160" t="n">
        <v>30317</v>
      </c>
      <c r="B448" t="n">
        <v>5.4</v>
      </c>
      <c r="C448" t="n">
        <v>361.923</v>
      </c>
      <c r="D448" t="n">
        <v>1826.558</v>
      </c>
      <c r="E448" t="n">
        <v>6896.561</v>
      </c>
      <c r="F448" t="n">
        <v>50.372</v>
      </c>
      <c r="G448" t="n">
        <v>796.266</v>
      </c>
      <c r="H448" t="n">
        <v>418.301</v>
      </c>
      <c r="I448" t="n">
        <v>48.971</v>
      </c>
      <c r="J448" t="n">
        <v>4492.395</v>
      </c>
    </row>
    <row r="449">
      <c r="A449" s="160" t="n">
        <v>30407</v>
      </c>
      <c r="B449" t="n">
        <v>3.1</v>
      </c>
      <c r="C449" t="n">
        <v>363.006</v>
      </c>
      <c r="D449" t="n">
        <v>1841.608</v>
      </c>
      <c r="E449" t="n">
        <v>7053.5</v>
      </c>
      <c r="F449" t="n">
        <v>50.746</v>
      </c>
      <c r="G449" t="n">
        <v>866.784</v>
      </c>
      <c r="H449" t="n">
        <v>450.465</v>
      </c>
      <c r="I449" t="n">
        <v>49.346</v>
      </c>
      <c r="J449" t="n">
        <v>4583.873</v>
      </c>
    </row>
    <row r="450">
      <c r="A450" s="160" t="n">
        <v>30498</v>
      </c>
      <c r="B450" t="n">
        <v>6.2</v>
      </c>
      <c r="C450" t="n">
        <v>368.463</v>
      </c>
      <c r="D450" t="n">
        <v>1873.396</v>
      </c>
      <c r="E450" t="n">
        <v>7194.504</v>
      </c>
      <c r="F450" t="n">
        <v>51.285</v>
      </c>
      <c r="G450" t="n">
        <v>921.051</v>
      </c>
      <c r="H450" t="n">
        <v>485.556</v>
      </c>
      <c r="I450" t="n">
        <v>50.095</v>
      </c>
      <c r="J450" t="n">
        <v>4666.07</v>
      </c>
    </row>
    <row r="451">
      <c r="A451" s="160" t="n">
        <v>30590</v>
      </c>
      <c r="B451" t="n">
        <v>3.2</v>
      </c>
      <c r="C451" t="n">
        <v>375.878</v>
      </c>
      <c r="D451" t="n">
        <v>1843.417</v>
      </c>
      <c r="E451" t="n">
        <v>7344.597</v>
      </c>
      <c r="F451" t="n">
        <v>51.669</v>
      </c>
      <c r="G451" t="n">
        <v>1010.654</v>
      </c>
      <c r="H451" t="n">
        <v>509.375</v>
      </c>
      <c r="I451" t="n">
        <v>50.496</v>
      </c>
      <c r="J451" t="n">
        <v>4740.427</v>
      </c>
    </row>
    <row r="452">
      <c r="A452" s="160" t="n">
        <v>30682</v>
      </c>
      <c r="B452" t="n">
        <v>4.1</v>
      </c>
      <c r="C452" t="n">
        <v>383.723</v>
      </c>
      <c r="D452" t="n">
        <v>1862.955</v>
      </c>
      <c r="E452" t="n">
        <v>7488.167</v>
      </c>
      <c r="F452" t="n">
        <v>52.178</v>
      </c>
      <c r="G452" t="n">
        <v>1108.328</v>
      </c>
      <c r="H452" t="n">
        <v>550.324</v>
      </c>
      <c r="I452" t="n">
        <v>51.006</v>
      </c>
      <c r="J452" t="n">
        <v>4779.767</v>
      </c>
    </row>
    <row r="453">
      <c r="A453" s="160" t="n">
        <v>30773</v>
      </c>
      <c r="B453" t="n">
        <v>4.8</v>
      </c>
      <c r="C453" t="n">
        <v>393.26</v>
      </c>
      <c r="D453" t="n">
        <v>1903.424</v>
      </c>
      <c r="E453" t="n">
        <v>7617.547</v>
      </c>
      <c r="F453" t="n">
        <v>52.647</v>
      </c>
      <c r="G453" t="n">
        <v>1144.371</v>
      </c>
      <c r="H453" t="n">
        <v>573.377</v>
      </c>
      <c r="I453" t="n">
        <v>51.603</v>
      </c>
      <c r="J453" t="n">
        <v>4846.731</v>
      </c>
    </row>
    <row r="454">
      <c r="A454" s="160" t="n">
        <v>30864</v>
      </c>
      <c r="B454" t="n">
        <v>3.8</v>
      </c>
      <c r="C454" t="n">
        <v>401.948</v>
      </c>
      <c r="D454" t="n">
        <v>1918.833</v>
      </c>
      <c r="E454" t="n">
        <v>7690.985</v>
      </c>
      <c r="F454" t="n">
        <v>53.122</v>
      </c>
      <c r="G454" t="n">
        <v>1169.136</v>
      </c>
      <c r="H454" t="n">
        <v>588.22</v>
      </c>
      <c r="I454" t="n">
        <v>52.088</v>
      </c>
      <c r="J454" t="n">
        <v>4882.676</v>
      </c>
    </row>
    <row r="455">
      <c r="A455" s="160" t="n">
        <v>30956</v>
      </c>
      <c r="B455" t="n">
        <v>2.9</v>
      </c>
      <c r="C455" t="n">
        <v>410.126</v>
      </c>
      <c r="D455" t="n">
        <v>1959.121</v>
      </c>
      <c r="E455" t="n">
        <v>7754.117</v>
      </c>
      <c r="F455" t="n">
        <v>53.494</v>
      </c>
      <c r="G455" t="n">
        <v>1153.971</v>
      </c>
      <c r="H455" t="n">
        <v>605.461</v>
      </c>
      <c r="I455" t="n">
        <v>52.458</v>
      </c>
      <c r="J455" t="n">
        <v>4945.926</v>
      </c>
    </row>
    <row r="456">
      <c r="A456" s="160" t="n">
        <v>31048</v>
      </c>
      <c r="B456" t="n">
        <v>5.6</v>
      </c>
      <c r="C456" t="n">
        <v>411.214</v>
      </c>
      <c r="D456" t="n">
        <v>1980.458</v>
      </c>
      <c r="E456" t="n">
        <v>7829.26</v>
      </c>
      <c r="F456" t="n">
        <v>54.041</v>
      </c>
      <c r="G456" t="n">
        <v>1122.331</v>
      </c>
      <c r="H456" t="n">
        <v>592.1079999999999</v>
      </c>
      <c r="I456" t="n">
        <v>53.174</v>
      </c>
      <c r="J456" t="n">
        <v>5029.959</v>
      </c>
    </row>
    <row r="457">
      <c r="A457" s="160" t="n">
        <v>31138</v>
      </c>
      <c r="B457" t="n">
        <v>3.5</v>
      </c>
      <c r="C457" t="n">
        <v>410.332</v>
      </c>
      <c r="D457" t="n">
        <v>2024.41</v>
      </c>
      <c r="E457" t="n">
        <v>7898.194</v>
      </c>
      <c r="F457" t="n">
        <v>54.361</v>
      </c>
      <c r="G457" t="n">
        <v>1141.447</v>
      </c>
      <c r="H457" t="n">
        <v>621.201</v>
      </c>
      <c r="I457" t="n">
        <v>53.635</v>
      </c>
      <c r="J457" t="n">
        <v>5076.136</v>
      </c>
    </row>
    <row r="458">
      <c r="A458" s="160" t="n">
        <v>31229</v>
      </c>
      <c r="B458" t="n">
        <v>4.2</v>
      </c>
      <c r="C458" t="n">
        <v>404.347</v>
      </c>
      <c r="D458" t="n">
        <v>2070.55</v>
      </c>
      <c r="E458" t="n">
        <v>8018.809</v>
      </c>
      <c r="F458" t="n">
        <v>54.722</v>
      </c>
      <c r="G458" t="n">
        <v>1133.665</v>
      </c>
      <c r="H458" t="n">
        <v>615.192</v>
      </c>
      <c r="I458" t="n">
        <v>54.186</v>
      </c>
      <c r="J458" t="n">
        <v>5172.55</v>
      </c>
    </row>
    <row r="459">
      <c r="A459" s="160" t="n">
        <v>31321</v>
      </c>
      <c r="B459" t="n">
        <v>2.9</v>
      </c>
      <c r="C459" t="n">
        <v>416.411</v>
      </c>
      <c r="D459" t="n">
        <v>2079.086</v>
      </c>
      <c r="E459" t="n">
        <v>8078.415</v>
      </c>
      <c r="F459" t="n">
        <v>55.006</v>
      </c>
      <c r="G459" t="n">
        <v>1175.45</v>
      </c>
      <c r="H459" t="n">
        <v>639.2670000000001</v>
      </c>
      <c r="I459" t="n">
        <v>54.575</v>
      </c>
      <c r="J459" t="n">
        <v>5183.741</v>
      </c>
    </row>
    <row r="460">
      <c r="A460" s="160" t="n">
        <v>31413</v>
      </c>
      <c r="B460" t="n">
        <v>4.4</v>
      </c>
      <c r="C460" t="n">
        <v>429.453</v>
      </c>
      <c r="D460" t="n">
        <v>2095.512</v>
      </c>
      <c r="E460" t="n">
        <v>8153.829</v>
      </c>
      <c r="F460" t="n">
        <v>55.278</v>
      </c>
      <c r="G460" t="n">
        <v>1175.105</v>
      </c>
      <c r="H460" t="n">
        <v>638.629</v>
      </c>
      <c r="I460" t="n">
        <v>55.165</v>
      </c>
      <c r="J460" t="n">
        <v>5229.041</v>
      </c>
    </row>
    <row r="461">
      <c r="A461" s="160" t="n">
        <v>31503</v>
      </c>
      <c r="B461" t="n">
        <v>2.8</v>
      </c>
      <c r="C461" t="n">
        <v>434.077</v>
      </c>
      <c r="D461" t="n">
        <v>2139.194</v>
      </c>
      <c r="E461" t="n">
        <v>8190.552</v>
      </c>
      <c r="F461" t="n">
        <v>55.472</v>
      </c>
      <c r="G461" t="n">
        <v>1154.589</v>
      </c>
      <c r="H461" t="n">
        <v>665.801</v>
      </c>
      <c r="I461" t="n">
        <v>55.542</v>
      </c>
      <c r="J461" t="n">
        <v>5286.019</v>
      </c>
    </row>
    <row r="462">
      <c r="A462" s="160" t="n">
        <v>31594</v>
      </c>
      <c r="B462" t="n">
        <v>2.8</v>
      </c>
      <c r="C462" t="n">
        <v>444.012</v>
      </c>
      <c r="D462" t="n">
        <v>2185.789</v>
      </c>
      <c r="E462" t="n">
        <v>8268.934999999999</v>
      </c>
      <c r="F462" t="n">
        <v>55.735</v>
      </c>
      <c r="G462" t="n">
        <v>1123.532</v>
      </c>
      <c r="H462" t="n">
        <v>684.256</v>
      </c>
      <c r="I462" t="n">
        <v>55.924</v>
      </c>
      <c r="J462" t="n">
        <v>5379.527</v>
      </c>
    </row>
    <row r="463">
      <c r="A463" s="160" t="n">
        <v>31686</v>
      </c>
      <c r="B463" t="n">
        <v>3.3</v>
      </c>
      <c r="C463" t="n">
        <v>460.6</v>
      </c>
      <c r="D463" t="n">
        <v>2176.757</v>
      </c>
      <c r="E463" t="n">
        <v>8313.338</v>
      </c>
      <c r="F463" t="n">
        <v>56.066</v>
      </c>
      <c r="G463" t="n">
        <v>1126.895</v>
      </c>
      <c r="H463" t="n">
        <v>689.567</v>
      </c>
      <c r="I463" t="n">
        <v>56.378</v>
      </c>
      <c r="J463" t="n">
        <v>5412.515</v>
      </c>
    </row>
    <row r="464">
      <c r="A464" s="160" t="n">
        <v>31778</v>
      </c>
      <c r="B464" t="n">
        <v>2.5</v>
      </c>
      <c r="C464" t="n">
        <v>461.01</v>
      </c>
      <c r="D464" t="n">
        <v>2189.523</v>
      </c>
      <c r="E464" t="n">
        <v>8375.273999999999</v>
      </c>
      <c r="F464" t="n">
        <v>56.391</v>
      </c>
      <c r="G464" t="n">
        <v>1157.306</v>
      </c>
      <c r="H464" t="n">
        <v>685.524</v>
      </c>
      <c r="I464" t="n">
        <v>56.732</v>
      </c>
      <c r="J464" t="n">
        <v>5417.904</v>
      </c>
    </row>
    <row r="465">
      <c r="A465" s="160" t="n">
        <v>31868</v>
      </c>
      <c r="B465" t="n">
        <v>3.9</v>
      </c>
      <c r="C465" t="n">
        <v>480.003</v>
      </c>
      <c r="D465" t="n">
        <v>2206.5</v>
      </c>
      <c r="E465" t="n">
        <v>8465.629999999999</v>
      </c>
      <c r="F465" t="n">
        <v>56.774</v>
      </c>
      <c r="G465" t="n">
        <v>1157.909</v>
      </c>
      <c r="H465" t="n">
        <v>702.675</v>
      </c>
      <c r="I465" t="n">
        <v>57.282</v>
      </c>
      <c r="J465" t="n">
        <v>5491.837</v>
      </c>
    </row>
    <row r="466">
      <c r="A466" s="160" t="n">
        <v>31959</v>
      </c>
      <c r="B466" t="n">
        <v>3.6</v>
      </c>
      <c r="C466" t="n">
        <v>500.839</v>
      </c>
      <c r="D466" t="n">
        <v>2208.818</v>
      </c>
      <c r="E466" t="n">
        <v>8539.075000000001</v>
      </c>
      <c r="F466" t="n">
        <v>57.212</v>
      </c>
      <c r="G466" t="n">
        <v>1158.077</v>
      </c>
      <c r="H466" t="n">
        <v>716.372</v>
      </c>
      <c r="I466" t="n">
        <v>57.795</v>
      </c>
      <c r="J466" t="n">
        <v>5554.512</v>
      </c>
    </row>
    <row r="467">
      <c r="A467" s="160" t="n">
        <v>32051</v>
      </c>
      <c r="B467" t="n">
        <v>4.1</v>
      </c>
      <c r="C467" t="n">
        <v>519.523</v>
      </c>
      <c r="D467" t="n">
        <v>2241.934</v>
      </c>
      <c r="E467" t="n">
        <v>8685.694</v>
      </c>
      <c r="F467" t="n">
        <v>57.641</v>
      </c>
      <c r="G467" t="n">
        <v>1236.986</v>
      </c>
      <c r="H467" t="n">
        <v>732.845</v>
      </c>
      <c r="I467" t="n">
        <v>58.382</v>
      </c>
      <c r="J467" t="n">
        <v>5566.263</v>
      </c>
    </row>
    <row r="468">
      <c r="A468" s="160" t="n">
        <v>32143</v>
      </c>
      <c r="B468" t="n">
        <v>3.9</v>
      </c>
      <c r="C468" t="n">
        <v>548.373</v>
      </c>
      <c r="D468" t="n">
        <v>2223.229</v>
      </c>
      <c r="E468" t="n">
        <v>8730.569</v>
      </c>
      <c r="F468" t="n">
        <v>58.087</v>
      </c>
      <c r="G468" t="n">
        <v>1177.604</v>
      </c>
      <c r="H468" t="n">
        <v>729.393</v>
      </c>
      <c r="I468" t="n">
        <v>58.945</v>
      </c>
      <c r="J468" t="n">
        <v>5664.593</v>
      </c>
    </row>
    <row r="469">
      <c r="A469" s="160" t="n">
        <v>32234</v>
      </c>
      <c r="B469" t="n">
        <v>4.9</v>
      </c>
      <c r="C469" t="n">
        <v>563.741</v>
      </c>
      <c r="D469" t="n">
        <v>2229.868</v>
      </c>
      <c r="E469" t="n">
        <v>8845.280000000001</v>
      </c>
      <c r="F469" t="n">
        <v>58.667</v>
      </c>
      <c r="G469" t="n">
        <v>1205.662</v>
      </c>
      <c r="H469" t="n">
        <v>720.992</v>
      </c>
      <c r="I469" t="n">
        <v>59.66</v>
      </c>
      <c r="J469" t="n">
        <v>5706.414</v>
      </c>
    </row>
    <row r="470">
      <c r="A470" s="160" t="n">
        <v>32325</v>
      </c>
      <c r="B470" t="n">
        <v>4.7</v>
      </c>
      <c r="C470" t="n">
        <v>574.85</v>
      </c>
      <c r="D470" t="n">
        <v>2230.13</v>
      </c>
      <c r="E470" t="n">
        <v>8897.107</v>
      </c>
      <c r="F470" t="n">
        <v>59.385</v>
      </c>
      <c r="G470" t="n">
        <v>1212.36</v>
      </c>
      <c r="H470" t="n">
        <v>738.003</v>
      </c>
      <c r="I470" t="n">
        <v>60.347</v>
      </c>
      <c r="J470" t="n">
        <v>5757.12</v>
      </c>
    </row>
    <row r="471">
      <c r="A471" s="160" t="n">
        <v>32417</v>
      </c>
      <c r="B471" t="n">
        <v>4.5</v>
      </c>
      <c r="C471" t="n">
        <v>592.395</v>
      </c>
      <c r="D471" t="n">
        <v>2273.404</v>
      </c>
      <c r="E471" t="n">
        <v>9015.661</v>
      </c>
      <c r="F471" t="n">
        <v>59.932</v>
      </c>
      <c r="G471" t="n">
        <v>1230.861</v>
      </c>
      <c r="H471" t="n">
        <v>760.484</v>
      </c>
      <c r="I471" t="n">
        <v>61.022</v>
      </c>
      <c r="J471" t="n">
        <v>5822.579</v>
      </c>
    </row>
    <row r="472">
      <c r="A472" s="160" t="n">
        <v>32509</v>
      </c>
      <c r="B472" t="n">
        <v>4.4</v>
      </c>
      <c r="C472" t="n">
        <v>610.088</v>
      </c>
      <c r="D472" t="n">
        <v>2263.411</v>
      </c>
      <c r="E472" t="n">
        <v>9107.314</v>
      </c>
      <c r="F472" t="n">
        <v>60.508</v>
      </c>
      <c r="G472" t="n">
        <v>1272.638</v>
      </c>
      <c r="H472" t="n">
        <v>764.021</v>
      </c>
      <c r="I472" t="n">
        <v>61.687</v>
      </c>
      <c r="J472" t="n">
        <v>5849.592</v>
      </c>
    </row>
    <row r="473">
      <c r="A473" s="160" t="n">
        <v>32599</v>
      </c>
      <c r="B473" t="n">
        <v>3.7</v>
      </c>
      <c r="C473" t="n">
        <v>636.8</v>
      </c>
      <c r="D473" t="n">
        <v>2298.225</v>
      </c>
      <c r="E473" t="n">
        <v>9176.826999999999</v>
      </c>
      <c r="F473" t="n">
        <v>61.163</v>
      </c>
      <c r="G473" t="n">
        <v>1260.328</v>
      </c>
      <c r="H473" t="n">
        <v>767.643</v>
      </c>
      <c r="I473" t="n">
        <v>62.249</v>
      </c>
      <c r="J473" t="n">
        <v>5876.896</v>
      </c>
    </row>
    <row r="474">
      <c r="A474" s="160" t="n">
        <v>32690</v>
      </c>
      <c r="B474" t="n">
        <v>3</v>
      </c>
      <c r="C474" t="n">
        <v>643.3049999999999</v>
      </c>
      <c r="D474" t="n">
        <v>2318.902</v>
      </c>
      <c r="E474" t="n">
        <v>9244.816000000001</v>
      </c>
      <c r="F474" t="n">
        <v>61.617</v>
      </c>
      <c r="G474" t="n">
        <v>1249.012</v>
      </c>
      <c r="H474" t="n">
        <v>766.599</v>
      </c>
      <c r="I474" t="n">
        <v>62.712</v>
      </c>
      <c r="J474" t="n">
        <v>5933.79</v>
      </c>
    </row>
    <row r="475">
      <c r="A475" s="160" t="n">
        <v>32782</v>
      </c>
      <c r="B475" t="n">
        <v>3.7</v>
      </c>
      <c r="C475" t="n">
        <v>653.043</v>
      </c>
      <c r="D475" t="n">
        <v>2330.534</v>
      </c>
      <c r="E475" t="n">
        <v>9263.032999999999</v>
      </c>
      <c r="F475" t="n">
        <v>62.037</v>
      </c>
      <c r="G475" t="n">
        <v>1239.747</v>
      </c>
      <c r="H475" t="n">
        <v>780.4690000000001</v>
      </c>
      <c r="I475" t="n">
        <v>63.286</v>
      </c>
      <c r="J475" t="n">
        <v>5959.58</v>
      </c>
    </row>
    <row r="476">
      <c r="A476" s="160" t="n">
        <v>32874</v>
      </c>
      <c r="B476" t="n">
        <v>4.7</v>
      </c>
      <c r="C476" t="n">
        <v>681.404</v>
      </c>
      <c r="D476" t="n">
        <v>2367.8</v>
      </c>
      <c r="E476" t="n">
        <v>9364.259</v>
      </c>
      <c r="F476" t="n">
        <v>62.713</v>
      </c>
      <c r="G476" t="n">
        <v>1252.058</v>
      </c>
      <c r="H476" t="n">
        <v>805.2190000000001</v>
      </c>
      <c r="I476" t="n">
        <v>64.015</v>
      </c>
      <c r="J476" t="n">
        <v>6009.735</v>
      </c>
    </row>
    <row r="477">
      <c r="A477" s="160" t="n">
        <v>32964</v>
      </c>
      <c r="B477" t="n">
        <v>4.5</v>
      </c>
      <c r="C477" t="n">
        <v>689.878</v>
      </c>
      <c r="D477" t="n">
        <v>2371.533</v>
      </c>
      <c r="E477" t="n">
        <v>9398.243</v>
      </c>
      <c r="F477" t="n">
        <v>63.415</v>
      </c>
      <c r="G477" t="n">
        <v>1252.449</v>
      </c>
      <c r="H477" t="n">
        <v>803.8680000000001</v>
      </c>
      <c r="I477" t="n">
        <v>64.73</v>
      </c>
      <c r="J477" t="n">
        <v>6028.041</v>
      </c>
    </row>
    <row r="478">
      <c r="A478" s="160" t="n">
        <v>33055</v>
      </c>
      <c r="B478" t="n">
        <v>4.1</v>
      </c>
      <c r="C478" t="n">
        <v>695.099</v>
      </c>
      <c r="D478" t="n">
        <v>2375.306</v>
      </c>
      <c r="E478" t="n">
        <v>9404.494000000001</v>
      </c>
      <c r="F478" t="n">
        <v>63.963</v>
      </c>
      <c r="G478" t="n">
        <v>1228.17</v>
      </c>
      <c r="H478" t="n">
        <v>800.622</v>
      </c>
      <c r="I478" t="n">
        <v>65.384</v>
      </c>
      <c r="J478" t="n">
        <v>6051.922</v>
      </c>
    </row>
    <row r="479">
      <c r="A479" s="160" t="n">
        <v>33147</v>
      </c>
      <c r="B479" t="n">
        <v>3.4</v>
      </c>
      <c r="C479" t="n">
        <v>701.2190000000001</v>
      </c>
      <c r="D479" t="n">
        <v>2391.188</v>
      </c>
      <c r="E479" t="n">
        <v>9318.876</v>
      </c>
      <c r="F479" t="n">
        <v>64.452</v>
      </c>
      <c r="G479" t="n">
        <v>1159.464</v>
      </c>
      <c r="H479" t="n">
        <v>779.151</v>
      </c>
      <c r="I479" t="n">
        <v>65.93300000000001</v>
      </c>
      <c r="J479" t="n">
        <v>6005.882</v>
      </c>
    </row>
    <row r="480">
      <c r="A480" s="160" t="n">
        <v>33239</v>
      </c>
      <c r="B480" t="n">
        <v>3.6</v>
      </c>
      <c r="C480" t="n">
        <v>705.503</v>
      </c>
      <c r="D480" t="n">
        <v>2405.447</v>
      </c>
      <c r="E480" t="n">
        <v>9275.276</v>
      </c>
      <c r="F480" t="n">
        <v>65.078</v>
      </c>
      <c r="G480" t="n">
        <v>1120.884</v>
      </c>
      <c r="H480" t="n">
        <v>770.272</v>
      </c>
      <c r="I480" t="n">
        <v>66.518</v>
      </c>
      <c r="J480" t="n">
        <v>5983.298</v>
      </c>
    </row>
    <row r="481">
      <c r="A481" s="160" t="n">
        <v>33329</v>
      </c>
      <c r="B481" t="n">
        <v>3.1</v>
      </c>
      <c r="C481" t="n">
        <v>731.225</v>
      </c>
      <c r="D481" t="n">
        <v>2415.232</v>
      </c>
      <c r="E481" t="n">
        <v>9347.597</v>
      </c>
      <c r="F481" t="n">
        <v>65.547</v>
      </c>
      <c r="G481" t="n">
        <v>1120.88</v>
      </c>
      <c r="H481" t="n">
        <v>783.963</v>
      </c>
      <c r="I481" t="n">
        <v>67.03100000000001</v>
      </c>
      <c r="J481" t="n">
        <v>6032.885</v>
      </c>
    </row>
    <row r="482">
      <c r="A482" s="160" t="n">
        <v>33420</v>
      </c>
      <c r="B482" t="n">
        <v>3.7</v>
      </c>
      <c r="C482" t="n">
        <v>748.5359999999999</v>
      </c>
      <c r="D482" t="n">
        <v>2408.467</v>
      </c>
      <c r="E482" t="n">
        <v>9394.834000000001</v>
      </c>
      <c r="F482" t="n">
        <v>66.05</v>
      </c>
      <c r="G482" t="n">
        <v>1143.073</v>
      </c>
      <c r="H482" t="n">
        <v>806.025</v>
      </c>
      <c r="I482" t="n">
        <v>67.63500000000001</v>
      </c>
      <c r="J482" t="n">
        <v>6062.964</v>
      </c>
    </row>
    <row r="483">
      <c r="A483" s="160" t="n">
        <v>33512</v>
      </c>
      <c r="B483" t="n">
        <v>3.2</v>
      </c>
      <c r="C483" t="n">
        <v>765.391</v>
      </c>
      <c r="D483" t="n">
        <v>2390.844</v>
      </c>
      <c r="E483" t="n">
        <v>9427.581</v>
      </c>
      <c r="F483" t="n">
        <v>66.434</v>
      </c>
      <c r="G483" t="n">
        <v>1183.605</v>
      </c>
      <c r="H483" t="n">
        <v>823.831</v>
      </c>
      <c r="I483" t="n">
        <v>68.167</v>
      </c>
      <c r="J483" t="n">
        <v>6059.93</v>
      </c>
    </row>
    <row r="484">
      <c r="A484" s="160" t="n">
        <v>33604</v>
      </c>
      <c r="B484" t="n">
        <v>3.1</v>
      </c>
      <c r="C484" t="n">
        <v>779.228</v>
      </c>
      <c r="D484" t="n">
        <v>2412.033</v>
      </c>
      <c r="E484" t="n">
        <v>9540.444</v>
      </c>
      <c r="F484" t="n">
        <v>66.7</v>
      </c>
      <c r="G484" t="n">
        <v>1161.74</v>
      </c>
      <c r="H484" t="n">
        <v>829.8150000000001</v>
      </c>
      <c r="I484" t="n">
        <v>68.688</v>
      </c>
      <c r="J484" t="n">
        <v>6173.393</v>
      </c>
    </row>
    <row r="485">
      <c r="A485" s="160" t="n">
        <v>33695</v>
      </c>
      <c r="B485" t="n">
        <v>2.9</v>
      </c>
      <c r="C485" t="n">
        <v>779.599</v>
      </c>
      <c r="D485" t="n">
        <v>2407.369</v>
      </c>
      <c r="E485" t="n">
        <v>9643.893</v>
      </c>
      <c r="F485" t="n">
        <v>67.098</v>
      </c>
      <c r="G485" t="n">
        <v>1227.44</v>
      </c>
      <c r="H485" t="n">
        <v>843.457</v>
      </c>
      <c r="I485" t="n">
        <v>69.173</v>
      </c>
      <c r="J485" t="n">
        <v>6215.3</v>
      </c>
    </row>
    <row r="486">
      <c r="A486" s="160" t="n">
        <v>33786</v>
      </c>
      <c r="B486" t="n">
        <v>2.4</v>
      </c>
      <c r="C486" t="n">
        <v>796.12</v>
      </c>
      <c r="D486" t="n">
        <v>2422.703</v>
      </c>
      <c r="E486" t="n">
        <v>9739.184999999999</v>
      </c>
      <c r="F486" t="n">
        <v>67.419</v>
      </c>
      <c r="G486" t="n">
        <v>1237.197</v>
      </c>
      <c r="H486" t="n">
        <v>856.753</v>
      </c>
      <c r="I486" t="n">
        <v>69.583</v>
      </c>
      <c r="J486" t="n">
        <v>6281.923</v>
      </c>
    </row>
    <row r="487">
      <c r="A487" s="160" t="n">
        <v>33878</v>
      </c>
      <c r="B487" t="n">
        <v>3</v>
      </c>
      <c r="C487" t="n">
        <v>800.11</v>
      </c>
      <c r="D487" t="n">
        <v>2422.424</v>
      </c>
      <c r="E487" t="n">
        <v>9840.753000000001</v>
      </c>
      <c r="F487" t="n">
        <v>67.89400000000001</v>
      </c>
      <c r="G487" t="n">
        <v>1274.945</v>
      </c>
      <c r="H487" t="n">
        <v>877.263</v>
      </c>
      <c r="I487" t="n">
        <v>70.093</v>
      </c>
      <c r="J487" t="n">
        <v>6356.796</v>
      </c>
    </row>
    <row r="488">
      <c r="A488" s="160" t="n">
        <v>33970</v>
      </c>
      <c r="B488" t="n">
        <v>2.8</v>
      </c>
      <c r="C488" t="n">
        <v>801.896</v>
      </c>
      <c r="D488" t="n">
        <v>2392.371</v>
      </c>
      <c r="E488" t="n">
        <v>9857.184999999999</v>
      </c>
      <c r="F488" t="n">
        <v>68.298</v>
      </c>
      <c r="G488" t="n">
        <v>1305.003</v>
      </c>
      <c r="H488" t="n">
        <v>896.2569999999999</v>
      </c>
      <c r="I488" t="n">
        <v>70.57599999999999</v>
      </c>
      <c r="J488" t="n">
        <v>6381.168</v>
      </c>
    </row>
    <row r="489">
      <c r="A489" s="160" t="n">
        <v>34060</v>
      </c>
      <c r="B489" t="n">
        <v>3.1</v>
      </c>
      <c r="C489" t="n">
        <v>811.48</v>
      </c>
      <c r="D489" t="n">
        <v>2392.585</v>
      </c>
      <c r="E489" t="n">
        <v>9914.565000000001</v>
      </c>
      <c r="F489" t="n">
        <v>68.70099999999999</v>
      </c>
      <c r="G489" t="n">
        <v>1312.511</v>
      </c>
      <c r="H489" t="n">
        <v>914.774</v>
      </c>
      <c r="I489" t="n">
        <v>71.11199999999999</v>
      </c>
      <c r="J489" t="n">
        <v>6439.211</v>
      </c>
    </row>
    <row r="490">
      <c r="A490" s="160" t="n">
        <v>34151</v>
      </c>
      <c r="B490" t="n">
        <v>2.3</v>
      </c>
      <c r="C490" t="n">
        <v>809.299</v>
      </c>
      <c r="D490" t="n">
        <v>2395.987</v>
      </c>
      <c r="E490" t="n">
        <v>9961.873</v>
      </c>
      <c r="F490" t="n">
        <v>69.04600000000001</v>
      </c>
      <c r="G490" t="n">
        <v>1303.597</v>
      </c>
      <c r="H490" t="n">
        <v>926.821</v>
      </c>
      <c r="I490" t="n">
        <v>71.509</v>
      </c>
      <c r="J490" t="n">
        <v>6510.874</v>
      </c>
    </row>
    <row r="491">
      <c r="A491" s="160" t="n">
        <v>34243</v>
      </c>
      <c r="B491" t="n">
        <v>2.1</v>
      </c>
      <c r="C491" t="n">
        <v>835.384</v>
      </c>
      <c r="D491" t="n">
        <v>2404.447</v>
      </c>
      <c r="E491" t="n">
        <v>10097.362</v>
      </c>
      <c r="F491" t="n">
        <v>69.452</v>
      </c>
      <c r="G491" t="n">
        <v>1372.097</v>
      </c>
      <c r="H491" t="n">
        <v>964.0549999999999</v>
      </c>
      <c r="I491" t="n">
        <v>71.877</v>
      </c>
      <c r="J491" t="n">
        <v>6568.028</v>
      </c>
    </row>
    <row r="492">
      <c r="A492" s="160" t="n">
        <v>34335</v>
      </c>
      <c r="B492" t="n">
        <v>1.8</v>
      </c>
      <c r="C492" t="n">
        <v>843.5839999999999</v>
      </c>
      <c r="D492" t="n">
        <v>2374.698</v>
      </c>
      <c r="E492" t="n">
        <v>10195.338</v>
      </c>
      <c r="F492" t="n">
        <v>69.807</v>
      </c>
      <c r="G492" t="n">
        <v>1424.36</v>
      </c>
      <c r="H492" t="n">
        <v>986.514</v>
      </c>
      <c r="I492" t="n">
        <v>72.203</v>
      </c>
      <c r="J492" t="n">
        <v>6643.151</v>
      </c>
    </row>
    <row r="493">
      <c r="A493" s="160" t="n">
        <v>34425</v>
      </c>
      <c r="B493" t="n">
        <v>2.7</v>
      </c>
      <c r="C493" t="n">
        <v>872.0650000000001</v>
      </c>
      <c r="D493" t="n">
        <v>2386.451</v>
      </c>
      <c r="E493" t="n">
        <v>10333.495</v>
      </c>
      <c r="F493" t="n">
        <v>70.14</v>
      </c>
      <c r="G493" t="n">
        <v>1494.411</v>
      </c>
      <c r="H493" t="n">
        <v>1023.272</v>
      </c>
      <c r="I493" t="n">
        <v>72.68899999999999</v>
      </c>
      <c r="J493" t="n">
        <v>6694.839</v>
      </c>
    </row>
    <row r="494">
      <c r="A494" s="160" t="n">
        <v>34516</v>
      </c>
      <c r="B494" t="n">
        <v>2.3</v>
      </c>
      <c r="C494" t="n">
        <v>904.705</v>
      </c>
      <c r="D494" t="n">
        <v>2426.679</v>
      </c>
      <c r="E494" t="n">
        <v>10393.898</v>
      </c>
      <c r="F494" t="n">
        <v>70.514</v>
      </c>
      <c r="G494" t="n">
        <v>1469.999</v>
      </c>
      <c r="H494" t="n">
        <v>1052.047</v>
      </c>
      <c r="I494" t="n">
        <v>73.095</v>
      </c>
      <c r="J494" t="n">
        <v>6745.887</v>
      </c>
    </row>
    <row r="495">
      <c r="A495" s="160" t="n">
        <v>34608</v>
      </c>
      <c r="B495" t="n">
        <v>2.1</v>
      </c>
      <c r="C495" t="n">
        <v>925.5890000000001</v>
      </c>
      <c r="D495" t="n">
        <v>2405.565</v>
      </c>
      <c r="E495" t="n">
        <v>10512.962</v>
      </c>
      <c r="F495" t="n">
        <v>70.907</v>
      </c>
      <c r="G495" t="n">
        <v>1530.476</v>
      </c>
      <c r="H495" t="n">
        <v>1081.647</v>
      </c>
      <c r="I495" t="n">
        <v>73.467</v>
      </c>
      <c r="J495" t="n">
        <v>6818.819</v>
      </c>
    </row>
    <row r="496">
      <c r="A496" s="160" t="n">
        <v>34700</v>
      </c>
      <c r="B496" t="n">
        <v>2.1</v>
      </c>
      <c r="C496" t="n">
        <v>943.418</v>
      </c>
      <c r="D496" t="n">
        <v>2413.98</v>
      </c>
      <c r="E496" t="n">
        <v>10550.251</v>
      </c>
      <c r="F496" t="n">
        <v>71.31100000000001</v>
      </c>
      <c r="G496" t="n">
        <v>1546.548</v>
      </c>
      <c r="H496" t="n">
        <v>1105.38</v>
      </c>
      <c r="I496" t="n">
        <v>73.852</v>
      </c>
      <c r="J496" t="n">
        <v>6835.791</v>
      </c>
    </row>
    <row r="497">
      <c r="A497" s="160" t="n">
        <v>34790</v>
      </c>
      <c r="B497" t="n">
        <v>2.4</v>
      </c>
      <c r="C497" t="n">
        <v>956.647</v>
      </c>
      <c r="D497" t="n">
        <v>2422.091</v>
      </c>
      <c r="E497" t="n">
        <v>10581.723</v>
      </c>
      <c r="F497" t="n">
        <v>71.661</v>
      </c>
      <c r="G497" t="n">
        <v>1514.426</v>
      </c>
      <c r="H497" t="n">
        <v>1115.878</v>
      </c>
      <c r="I497" t="n">
        <v>74.29000000000001</v>
      </c>
      <c r="J497" t="n">
        <v>6895.718</v>
      </c>
    </row>
    <row r="498">
      <c r="A498" s="160" t="n">
        <v>34881</v>
      </c>
      <c r="B498" t="n">
        <v>1.9</v>
      </c>
      <c r="C498" t="n">
        <v>998.046</v>
      </c>
      <c r="D498" t="n">
        <v>2415.736</v>
      </c>
      <c r="E498" t="n">
        <v>10671.738</v>
      </c>
      <c r="F498" t="n">
        <v>71.982</v>
      </c>
      <c r="G498" t="n">
        <v>1505.399</v>
      </c>
      <c r="H498" t="n">
        <v>1119.712</v>
      </c>
      <c r="I498" t="n">
        <v>74.64400000000001</v>
      </c>
      <c r="J498" t="n">
        <v>6958.21</v>
      </c>
    </row>
    <row r="499">
      <c r="A499" s="160" t="n">
        <v>34973</v>
      </c>
      <c r="B499" t="n">
        <v>2</v>
      </c>
      <c r="C499" t="n">
        <v>1012.295</v>
      </c>
      <c r="D499" t="n">
        <v>2390.46</v>
      </c>
      <c r="E499" t="n">
        <v>10744.203</v>
      </c>
      <c r="F499" t="n">
        <v>72.322</v>
      </c>
      <c r="G499" t="n">
        <v>1542.785</v>
      </c>
      <c r="H499" t="n">
        <v>1134.024</v>
      </c>
      <c r="I499" t="n">
        <v>75.01900000000001</v>
      </c>
      <c r="J499" t="n">
        <v>7006.747</v>
      </c>
    </row>
    <row r="500">
      <c r="A500" s="160" t="n">
        <v>35065</v>
      </c>
      <c r="B500" t="n">
        <v>1.6</v>
      </c>
      <c r="C500" t="n">
        <v>1024.482</v>
      </c>
      <c r="D500" t="n">
        <v>2406.228</v>
      </c>
      <c r="E500" t="n">
        <v>10824.674</v>
      </c>
      <c r="F500" t="n">
        <v>72.655</v>
      </c>
      <c r="G500" t="n">
        <v>1567.56</v>
      </c>
      <c r="H500" t="n">
        <v>1170.888</v>
      </c>
      <c r="I500" t="n">
        <v>75.313</v>
      </c>
      <c r="J500" t="n">
        <v>7071.369</v>
      </c>
    </row>
    <row r="501">
      <c r="A501" s="160" t="n">
        <v>35156</v>
      </c>
      <c r="B501" t="n">
        <v>1.9</v>
      </c>
      <c r="C501" t="n">
        <v>1041.134</v>
      </c>
      <c r="D501" t="n">
        <v>2436.198</v>
      </c>
      <c r="E501" t="n">
        <v>11005.217</v>
      </c>
      <c r="F501" t="n">
        <v>72.952</v>
      </c>
      <c r="G501" t="n">
        <v>1642.882</v>
      </c>
      <c r="H501" t="n">
        <v>1197.092</v>
      </c>
      <c r="I501" t="n">
        <v>75.672</v>
      </c>
      <c r="J501" t="n">
        <v>7147.441</v>
      </c>
    </row>
    <row r="502">
      <c r="A502" s="160" t="n">
        <v>35247</v>
      </c>
      <c r="B502" t="n">
        <v>1.8</v>
      </c>
      <c r="C502" t="n">
        <v>1049.548</v>
      </c>
      <c r="D502" t="n">
        <v>2436.182</v>
      </c>
      <c r="E502" t="n">
        <v>11103.935</v>
      </c>
      <c r="F502" t="n">
        <v>73.306</v>
      </c>
      <c r="G502" t="n">
        <v>1717.51</v>
      </c>
      <c r="H502" t="n">
        <v>1235.904</v>
      </c>
      <c r="I502" t="n">
        <v>76.017</v>
      </c>
      <c r="J502" t="n">
        <v>7190.713</v>
      </c>
    </row>
    <row r="503">
      <c r="A503" s="160" t="n">
        <v>35339</v>
      </c>
      <c r="B503" t="n">
        <v>2.3</v>
      </c>
      <c r="C503" t="n">
        <v>1114.975</v>
      </c>
      <c r="D503" t="n">
        <v>2452.994</v>
      </c>
      <c r="E503" t="n">
        <v>11219.238</v>
      </c>
      <c r="F503" t="n">
        <v>73.616</v>
      </c>
      <c r="G503" t="n">
        <v>1715.245</v>
      </c>
      <c r="H503" t="n">
        <v>1260.278</v>
      </c>
      <c r="I503" t="n">
        <v>76.45</v>
      </c>
      <c r="J503" t="n">
        <v>7247.987</v>
      </c>
    </row>
    <row r="504">
      <c r="A504" s="160" t="n">
        <v>35431</v>
      </c>
      <c r="B504" t="n">
        <v>1.6</v>
      </c>
      <c r="C504" t="n">
        <v>1136.155</v>
      </c>
      <c r="D504" t="n">
        <v>2440.245</v>
      </c>
      <c r="E504" t="n">
        <v>11291.665</v>
      </c>
      <c r="F504" t="n">
        <v>73.946</v>
      </c>
      <c r="G504" t="n">
        <v>1749.879</v>
      </c>
      <c r="H504" t="n">
        <v>1314.106</v>
      </c>
      <c r="I504" t="n">
        <v>76.75</v>
      </c>
      <c r="J504" t="n">
        <v>7324.388</v>
      </c>
    </row>
    <row r="505">
      <c r="A505" s="160" t="n">
        <v>35521</v>
      </c>
      <c r="B505" t="n">
        <v>2.1</v>
      </c>
      <c r="C505" t="n">
        <v>1181.574</v>
      </c>
      <c r="D505" t="n">
        <v>2471.867</v>
      </c>
      <c r="E505" t="n">
        <v>11479.33</v>
      </c>
      <c r="F505" t="n">
        <v>74.31399999999999</v>
      </c>
      <c r="G505" t="n">
        <v>1856.956</v>
      </c>
      <c r="H505" t="n">
        <v>1358.212</v>
      </c>
      <c r="I505" t="n">
        <v>77.15000000000001</v>
      </c>
      <c r="J505" t="n">
        <v>7357.362</v>
      </c>
    </row>
    <row r="506">
      <c r="A506" s="160" t="n">
        <v>35612</v>
      </c>
      <c r="B506" t="n">
        <v>0.9</v>
      </c>
      <c r="C506" t="n">
        <v>1208.942</v>
      </c>
      <c r="D506" t="n">
        <v>2483.31</v>
      </c>
      <c r="E506" t="n">
        <v>11622.911</v>
      </c>
      <c r="F506" t="n">
        <v>74.535</v>
      </c>
      <c r="G506" t="n">
        <v>1882.955</v>
      </c>
      <c r="H506" t="n">
        <v>1408.264</v>
      </c>
      <c r="I506" t="n">
        <v>77.33</v>
      </c>
      <c r="J506" t="n">
        <v>7482.713</v>
      </c>
    </row>
    <row r="507">
      <c r="A507" s="160" t="n">
        <v>35704</v>
      </c>
      <c r="B507" t="n">
        <v>1.3</v>
      </c>
      <c r="C507" t="n">
        <v>1207.259</v>
      </c>
      <c r="D507" t="n">
        <v>2495.772</v>
      </c>
      <c r="E507" t="n">
        <v>11722.722</v>
      </c>
      <c r="F507" t="n">
        <v>74.80200000000001</v>
      </c>
      <c r="G507" t="n">
        <v>1911.048</v>
      </c>
      <c r="H507" t="n">
        <v>1438.655</v>
      </c>
      <c r="I507" t="n">
        <v>77.575</v>
      </c>
      <c r="J507" t="n">
        <v>7572.147</v>
      </c>
    </row>
    <row r="508">
      <c r="A508" s="160" t="n">
        <v>35796</v>
      </c>
      <c r="B508" t="n">
        <v>1.2</v>
      </c>
      <c r="C508" t="n">
        <v>1212.914</v>
      </c>
      <c r="D508" t="n">
        <v>2486.841</v>
      </c>
      <c r="E508" t="n">
        <v>11839.876</v>
      </c>
      <c r="F508" t="n">
        <v>74.878</v>
      </c>
      <c r="G508" t="n">
        <v>1994.375</v>
      </c>
      <c r="H508" t="n">
        <v>1492.613</v>
      </c>
      <c r="I508" t="n">
        <v>77.804</v>
      </c>
      <c r="J508" t="n">
        <v>7648.741</v>
      </c>
    </row>
    <row r="509">
      <c r="A509" s="160" t="n">
        <v>35886</v>
      </c>
      <c r="B509" t="n">
        <v>1.2</v>
      </c>
      <c r="C509" t="n">
        <v>1199.525</v>
      </c>
      <c r="D509" t="n">
        <v>2530.365</v>
      </c>
      <c r="E509" t="n">
        <v>11949.492</v>
      </c>
      <c r="F509" t="n">
        <v>75.072</v>
      </c>
      <c r="G509" t="n">
        <v>1982.058</v>
      </c>
      <c r="H509" t="n">
        <v>1526.822</v>
      </c>
      <c r="I509" t="n">
        <v>78.042</v>
      </c>
      <c r="J509" t="n">
        <v>7783.43</v>
      </c>
    </row>
    <row r="510">
      <c r="A510" s="160" t="n">
        <v>35977</v>
      </c>
      <c r="B510" t="n">
        <v>1.4</v>
      </c>
      <c r="C510" t="n">
        <v>1193.945</v>
      </c>
      <c r="D510" t="n">
        <v>2549.426</v>
      </c>
      <c r="E510" t="n">
        <v>12099.191</v>
      </c>
      <c r="F510" t="n">
        <v>75.363</v>
      </c>
      <c r="G510" t="n">
        <v>2033.015</v>
      </c>
      <c r="H510" t="n">
        <v>1547.423</v>
      </c>
      <c r="I510" t="n">
        <v>78.319</v>
      </c>
      <c r="J510" t="n">
        <v>7884.929</v>
      </c>
    </row>
    <row r="511">
      <c r="A511" s="160" t="n">
        <v>36069</v>
      </c>
      <c r="B511" t="n">
        <v>1.3</v>
      </c>
      <c r="C511" t="n">
        <v>1238.119</v>
      </c>
      <c r="D511" t="n">
        <v>2564.473</v>
      </c>
      <c r="E511" t="n">
        <v>12294.737</v>
      </c>
      <c r="F511" t="n">
        <v>75.565</v>
      </c>
      <c r="G511" t="n">
        <v>2095.76</v>
      </c>
      <c r="H511" t="n">
        <v>1597.507</v>
      </c>
      <c r="I511" t="n">
        <v>78.568</v>
      </c>
      <c r="J511" t="n">
        <v>7998.842</v>
      </c>
    </row>
    <row r="512">
      <c r="A512" s="160" t="n">
        <v>36161</v>
      </c>
      <c r="B512" t="n">
        <v>1</v>
      </c>
      <c r="C512" t="n">
        <v>1234.528</v>
      </c>
      <c r="D512" t="n">
        <v>2582.887</v>
      </c>
      <c r="E512" t="n">
        <v>12410.778</v>
      </c>
      <c r="F512" t="n">
        <v>75.76900000000001</v>
      </c>
      <c r="G512" t="n">
        <v>2153.308</v>
      </c>
      <c r="H512" t="n">
        <v>1642.647</v>
      </c>
      <c r="I512" t="n">
        <v>78.76600000000001</v>
      </c>
      <c r="J512" t="n">
        <v>8080.996</v>
      </c>
    </row>
    <row r="513">
      <c r="A513" s="160" t="n">
        <v>36251</v>
      </c>
      <c r="B513" t="n">
        <v>1.4</v>
      </c>
      <c r="C513" t="n">
        <v>1249.611</v>
      </c>
      <c r="D513" t="n">
        <v>2592.218</v>
      </c>
      <c r="E513" t="n">
        <v>12514.408</v>
      </c>
      <c r="F513" t="n">
        <v>76.11199999999999</v>
      </c>
      <c r="G513" t="n">
        <v>2154.652</v>
      </c>
      <c r="H513" t="n">
        <v>1689.823</v>
      </c>
      <c r="I513" t="n">
        <v>79.039</v>
      </c>
      <c r="J513" t="n">
        <v>8204.75</v>
      </c>
    </row>
    <row r="514">
      <c r="A514" s="160" t="n">
        <v>36342</v>
      </c>
      <c r="B514" t="n">
        <v>1.5</v>
      </c>
      <c r="C514" t="n">
        <v>1287.16</v>
      </c>
      <c r="D514" t="n">
        <v>2623.423</v>
      </c>
      <c r="E514" t="n">
        <v>12679.977</v>
      </c>
      <c r="F514" t="n">
        <v>76.404</v>
      </c>
      <c r="G514" t="n">
        <v>2213.773</v>
      </c>
      <c r="H514" t="n">
        <v>1750.911</v>
      </c>
      <c r="I514" t="n">
        <v>79.33</v>
      </c>
      <c r="J514" t="n">
        <v>8296.987999999999</v>
      </c>
    </row>
    <row r="515">
      <c r="A515" s="160" t="n">
        <v>36434</v>
      </c>
      <c r="B515" t="n">
        <v>1.9</v>
      </c>
      <c r="C515" t="n">
        <v>1314.637</v>
      </c>
      <c r="D515" t="n">
        <v>2664.236</v>
      </c>
      <c r="E515" t="n">
        <v>12888.281</v>
      </c>
      <c r="F515" t="n">
        <v>76.806</v>
      </c>
      <c r="G515" t="n">
        <v>2273.095</v>
      </c>
      <c r="H515" t="n">
        <v>1795.697</v>
      </c>
      <c r="I515" t="n">
        <v>79.703</v>
      </c>
      <c r="J515" t="n">
        <v>8418.349</v>
      </c>
    </row>
    <row r="516">
      <c r="A516" s="160" t="n">
        <v>36526</v>
      </c>
      <c r="B516" t="n">
        <v>2.1</v>
      </c>
      <c r="C516" t="n">
        <v>1333.666</v>
      </c>
      <c r="D516" t="n">
        <v>2645.323</v>
      </c>
      <c r="E516" t="n">
        <v>12935.252</v>
      </c>
      <c r="F516" t="n">
        <v>77.318</v>
      </c>
      <c r="G516" t="n">
        <v>2257.109</v>
      </c>
      <c r="H516" t="n">
        <v>1863.488</v>
      </c>
      <c r="I516" t="n">
        <v>80.121</v>
      </c>
      <c r="J516" t="n">
        <v>8545.638999999999</v>
      </c>
    </row>
    <row r="517">
      <c r="A517" s="160" t="n">
        <v>36617</v>
      </c>
      <c r="B517" t="n">
        <v>1.4</v>
      </c>
      <c r="C517" t="n">
        <v>1374.292</v>
      </c>
      <c r="D517" t="n">
        <v>2671.398</v>
      </c>
      <c r="E517" t="n">
        <v>13170.749</v>
      </c>
      <c r="F517" t="n">
        <v>77.783</v>
      </c>
      <c r="G517" t="n">
        <v>2390.733</v>
      </c>
      <c r="H517" t="n">
        <v>1922.854</v>
      </c>
      <c r="I517" t="n">
        <v>80.40000000000001</v>
      </c>
      <c r="J517" t="n">
        <v>8625.434999999999</v>
      </c>
    </row>
    <row r="518">
      <c r="A518" s="160" t="n">
        <v>36708</v>
      </c>
      <c r="B518" t="n">
        <v>1.9</v>
      </c>
      <c r="C518" t="n">
        <v>1407.33</v>
      </c>
      <c r="D518" t="n">
        <v>2660.139</v>
      </c>
      <c r="E518" t="n">
        <v>13183.89</v>
      </c>
      <c r="F518" t="n">
        <v>78.27</v>
      </c>
      <c r="G518" t="n">
        <v>2367.274</v>
      </c>
      <c r="H518" t="n">
        <v>1992.04</v>
      </c>
      <c r="I518" t="n">
        <v>80.788</v>
      </c>
      <c r="J518" t="n">
        <v>8708.074000000001</v>
      </c>
    </row>
    <row r="519">
      <c r="A519" s="160" t="n">
        <v>36800</v>
      </c>
      <c r="B519" t="n">
        <v>2</v>
      </c>
      <c r="C519" t="n">
        <v>1393.349</v>
      </c>
      <c r="D519" t="n">
        <v>2676.446</v>
      </c>
      <c r="E519" t="n">
        <v>13262.25</v>
      </c>
      <c r="F519" t="n">
        <v>78.694</v>
      </c>
      <c r="G519" t="n">
        <v>2371.809</v>
      </c>
      <c r="H519" t="n">
        <v>1994.953</v>
      </c>
      <c r="I519" t="n">
        <v>81.18899999999999</v>
      </c>
      <c r="J519" t="n">
        <v>8784.155000000001</v>
      </c>
    </row>
    <row r="520">
      <c r="A520" s="160" t="n">
        <v>36892</v>
      </c>
      <c r="B520" t="n">
        <v>2.6</v>
      </c>
      <c r="C520" t="n">
        <v>1375.8</v>
      </c>
      <c r="D520" t="n">
        <v>2718.291</v>
      </c>
      <c r="E520" t="n">
        <v>13219.251</v>
      </c>
      <c r="F520" t="n">
        <v>79.233</v>
      </c>
      <c r="G520" t="n">
        <v>2264.202</v>
      </c>
      <c r="H520" t="n">
        <v>1969.218</v>
      </c>
      <c r="I520" t="n">
        <v>81.71599999999999</v>
      </c>
      <c r="J520" t="n">
        <v>8816.013999999999</v>
      </c>
    </row>
    <row r="521">
      <c r="A521" s="160" t="n">
        <v>36982</v>
      </c>
      <c r="B521" t="n">
        <v>1.5</v>
      </c>
      <c r="C521" t="n">
        <v>1335.433</v>
      </c>
      <c r="D521" t="n">
        <v>2765.415</v>
      </c>
      <c r="E521" t="n">
        <v>13301.394</v>
      </c>
      <c r="F521" t="n">
        <v>79.761</v>
      </c>
      <c r="G521" t="n">
        <v>2267.433</v>
      </c>
      <c r="H521" t="n">
        <v>1906.189</v>
      </c>
      <c r="I521" t="n">
        <v>82.02500000000001</v>
      </c>
      <c r="J521" t="n">
        <v>8833.726000000001</v>
      </c>
    </row>
    <row r="522">
      <c r="A522" s="160" t="n">
        <v>37073</v>
      </c>
      <c r="B522" t="n">
        <v>1</v>
      </c>
      <c r="C522" t="n">
        <v>1266.999</v>
      </c>
      <c r="D522" t="n">
        <v>2762.681</v>
      </c>
      <c r="E522" t="n">
        <v>13248.142</v>
      </c>
      <c r="F522" t="n">
        <v>80.003</v>
      </c>
      <c r="G522" t="n">
        <v>2218.37</v>
      </c>
      <c r="H522" t="n">
        <v>1862.95</v>
      </c>
      <c r="I522" t="n">
        <v>82.23699999999999</v>
      </c>
      <c r="J522" t="n">
        <v>8864.465</v>
      </c>
    </row>
    <row r="523">
      <c r="A523" s="160" t="n">
        <v>37165</v>
      </c>
      <c r="B523" t="n">
        <v>1.9</v>
      </c>
      <c r="C523" t="n">
        <v>1222.907</v>
      </c>
      <c r="D523" t="n">
        <v>2808.498</v>
      </c>
      <c r="E523" t="n">
        <v>13284.881</v>
      </c>
      <c r="F523" t="n">
        <v>80.261</v>
      </c>
      <c r="G523" t="n">
        <v>2108.5</v>
      </c>
      <c r="H523" t="n">
        <v>1843.656</v>
      </c>
      <c r="I523" t="n">
        <v>82.634</v>
      </c>
      <c r="J523" t="n">
        <v>9007.494000000001</v>
      </c>
    </row>
    <row r="524">
      <c r="A524" s="160" t="n">
        <v>37257</v>
      </c>
      <c r="B524" t="n">
        <v>1.2</v>
      </c>
      <c r="C524" t="n">
        <v>1249.62</v>
      </c>
      <c r="D524" t="n">
        <v>2857.336</v>
      </c>
      <c r="E524" t="n">
        <v>13394.91</v>
      </c>
      <c r="F524" t="n">
        <v>80.47499999999999</v>
      </c>
      <c r="G524" t="n">
        <v>2170.707</v>
      </c>
      <c r="H524" t="n">
        <v>1896.04</v>
      </c>
      <c r="I524" t="n">
        <v>82.88800000000001</v>
      </c>
      <c r="J524" t="n">
        <v>9027.548000000001</v>
      </c>
    </row>
    <row r="525">
      <c r="A525" s="160" t="n">
        <v>37347</v>
      </c>
      <c r="B525" t="n">
        <v>2.2</v>
      </c>
      <c r="C525" t="n">
        <v>1286.817</v>
      </c>
      <c r="D525" t="n">
        <v>2879.282</v>
      </c>
      <c r="E525" t="n">
        <v>13477.356</v>
      </c>
      <c r="F525" t="n">
        <v>80.794</v>
      </c>
      <c r="G525" t="n">
        <v>2206.375</v>
      </c>
      <c r="H525" t="n">
        <v>1959.578</v>
      </c>
      <c r="I525" t="n">
        <v>83.34399999999999</v>
      </c>
      <c r="J525" t="n">
        <v>9073.212</v>
      </c>
    </row>
    <row r="526">
      <c r="A526" s="160" t="n">
        <v>37438</v>
      </c>
      <c r="B526" t="n">
        <v>2.1</v>
      </c>
      <c r="C526" t="n">
        <v>1290.868</v>
      </c>
      <c r="D526" t="n">
        <v>2894.18</v>
      </c>
      <c r="E526" t="n">
        <v>13531.741</v>
      </c>
      <c r="F526" t="n">
        <v>81.155</v>
      </c>
      <c r="G526" t="n">
        <v>2203.109</v>
      </c>
      <c r="H526" t="n">
        <v>1984.492</v>
      </c>
      <c r="I526" t="n">
        <v>83.788</v>
      </c>
      <c r="J526" t="n">
        <v>9136.709000000001</v>
      </c>
    </row>
    <row r="527">
      <c r="A527" s="160" t="n">
        <v>37530</v>
      </c>
      <c r="B527" t="n">
        <v>1.4</v>
      </c>
      <c r="C527" t="n">
        <v>1271.796</v>
      </c>
      <c r="D527" t="n">
        <v>2915.62</v>
      </c>
      <c r="E527" t="n">
        <v>13549.421</v>
      </c>
      <c r="F527" t="n">
        <v>81.627</v>
      </c>
      <c r="G527" t="n">
        <v>2201.749</v>
      </c>
      <c r="H527" t="n">
        <v>2020.124</v>
      </c>
      <c r="I527" t="n">
        <v>84.086</v>
      </c>
      <c r="J527" t="n">
        <v>9187.527</v>
      </c>
    </row>
    <row r="528">
      <c r="A528" s="160" t="n">
        <v>37622</v>
      </c>
      <c r="B528" t="n">
        <v>1.2</v>
      </c>
      <c r="C528" t="n">
        <v>1267.886</v>
      </c>
      <c r="D528" t="n">
        <v>2917.867</v>
      </c>
      <c r="E528" t="n">
        <v>13619.434</v>
      </c>
      <c r="F528" t="n">
        <v>82.068</v>
      </c>
      <c r="G528" t="n">
        <v>2218.685</v>
      </c>
      <c r="H528" t="n">
        <v>2011.331</v>
      </c>
      <c r="I528" t="n">
        <v>84.345</v>
      </c>
      <c r="J528" t="n">
        <v>9232.781999999999</v>
      </c>
    </row>
    <row r="529">
      <c r="A529" s="160" t="n">
        <v>37712</v>
      </c>
      <c r="B529" t="n">
        <v>1.5</v>
      </c>
      <c r="C529" t="n">
        <v>1270.133</v>
      </c>
      <c r="D529" t="n">
        <v>2944.719</v>
      </c>
      <c r="E529" t="n">
        <v>13741.107</v>
      </c>
      <c r="F529" t="n">
        <v>82.349</v>
      </c>
      <c r="G529" t="n">
        <v>2233.997</v>
      </c>
      <c r="H529" t="n">
        <v>2040.651</v>
      </c>
      <c r="I529" t="n">
        <v>84.66500000000001</v>
      </c>
      <c r="J529" t="n">
        <v>9338.495000000001</v>
      </c>
    </row>
    <row r="530">
      <c r="A530" s="160" t="n">
        <v>37803</v>
      </c>
      <c r="B530" t="n">
        <v>1.8</v>
      </c>
      <c r="C530" t="n">
        <v>1304.816</v>
      </c>
      <c r="D530" t="n">
        <v>2951.221</v>
      </c>
      <c r="E530" t="n">
        <v>13970.157</v>
      </c>
      <c r="F530" t="n">
        <v>82.822</v>
      </c>
      <c r="G530" t="n">
        <v>2315.399</v>
      </c>
      <c r="H530" t="n">
        <v>2072.609</v>
      </c>
      <c r="I530" t="n">
        <v>85.053</v>
      </c>
      <c r="J530" t="n">
        <v>9470.540999999999</v>
      </c>
    </row>
    <row r="531">
      <c r="A531" s="160" t="n">
        <v>37895</v>
      </c>
      <c r="B531" t="n">
        <v>1.8</v>
      </c>
      <c r="C531" t="n">
        <v>1363.499</v>
      </c>
      <c r="D531" t="n">
        <v>2969.138</v>
      </c>
      <c r="E531" t="n">
        <v>14131.379</v>
      </c>
      <c r="F531" t="n">
        <v>83.30200000000001</v>
      </c>
      <c r="G531" t="n">
        <v>2393.402</v>
      </c>
      <c r="H531" t="n">
        <v>2138.44</v>
      </c>
      <c r="I531" t="n">
        <v>85.434</v>
      </c>
      <c r="J531" t="n">
        <v>9535.741</v>
      </c>
    </row>
    <row r="532">
      <c r="A532" s="160" t="n">
        <v>37987</v>
      </c>
      <c r="B532" t="n">
        <v>2.2</v>
      </c>
      <c r="C532" t="n">
        <v>1394.311</v>
      </c>
      <c r="D532" t="n">
        <v>2982.735</v>
      </c>
      <c r="E532" t="n">
        <v>14212.34</v>
      </c>
      <c r="F532" t="n">
        <v>83.899</v>
      </c>
      <c r="G532" t="n">
        <v>2398.151</v>
      </c>
      <c r="H532" t="n">
        <v>2198.333</v>
      </c>
      <c r="I532" t="n">
        <v>85.90300000000001</v>
      </c>
      <c r="J532" t="n">
        <v>9624.648999999999</v>
      </c>
    </row>
    <row r="533">
      <c r="A533" s="160" t="n">
        <v>38078</v>
      </c>
      <c r="B533" t="n">
        <v>2.3</v>
      </c>
      <c r="C533" t="n">
        <v>1423.51</v>
      </c>
      <c r="D533" t="n">
        <v>2990.824</v>
      </c>
      <c r="E533" t="n">
        <v>14323.017</v>
      </c>
      <c r="F533" t="n">
        <v>84.58</v>
      </c>
      <c r="G533" t="n">
        <v>2493.945</v>
      </c>
      <c r="H533" t="n">
        <v>2284.933</v>
      </c>
      <c r="I533" t="n">
        <v>86.395</v>
      </c>
      <c r="J533" t="n">
        <v>9677.165999999999</v>
      </c>
    </row>
    <row r="534">
      <c r="A534" s="160" t="n">
        <v>38169</v>
      </c>
      <c r="B534" t="n">
        <v>1.4</v>
      </c>
      <c r="C534" t="n">
        <v>1428.179</v>
      </c>
      <c r="D534" t="n">
        <v>2996.334</v>
      </c>
      <c r="E534" t="n">
        <v>14457.832</v>
      </c>
      <c r="F534" t="n">
        <v>85.116</v>
      </c>
      <c r="G534" t="n">
        <v>2532.635</v>
      </c>
      <c r="H534" t="n">
        <v>2316.604</v>
      </c>
      <c r="I534" t="n">
        <v>86.70399999999999</v>
      </c>
      <c r="J534" t="n">
        <v>9790.835999999999</v>
      </c>
    </row>
    <row r="535">
      <c r="A535" s="160" t="n">
        <v>38261</v>
      </c>
      <c r="B535" t="n">
        <v>2.2</v>
      </c>
      <c r="C535" t="n">
        <v>1462.081</v>
      </c>
      <c r="D535" t="n">
        <v>2994.627</v>
      </c>
      <c r="E535" t="n">
        <v>14605.595</v>
      </c>
      <c r="F535" t="n">
        <v>85.77200000000001</v>
      </c>
      <c r="G535" t="n">
        <v>2585.477</v>
      </c>
      <c r="H535" t="n">
        <v>2370.563</v>
      </c>
      <c r="I535" t="n">
        <v>87.17400000000001</v>
      </c>
      <c r="J535" t="n">
        <v>9901.58</v>
      </c>
    </row>
    <row r="536">
      <c r="A536" s="160" t="n">
        <v>38353</v>
      </c>
      <c r="B536" t="n">
        <v>2.9</v>
      </c>
      <c r="C536" t="n">
        <v>1489.521</v>
      </c>
      <c r="D536" t="n">
        <v>3009.569</v>
      </c>
      <c r="E536" t="n">
        <v>14767.846</v>
      </c>
      <c r="F536" t="n">
        <v>86.43000000000001</v>
      </c>
      <c r="G536" t="n">
        <v>2658.163</v>
      </c>
      <c r="H536" t="n">
        <v>2390.985</v>
      </c>
      <c r="I536" t="n">
        <v>87.794</v>
      </c>
      <c r="J536" t="n">
        <v>9964.495999999999</v>
      </c>
    </row>
    <row r="537">
      <c r="A537" s="160" t="n">
        <v>38443</v>
      </c>
      <c r="B537" t="n">
        <v>2</v>
      </c>
      <c r="C537" t="n">
        <v>1522.746</v>
      </c>
      <c r="D537" t="n">
        <v>3007.831</v>
      </c>
      <c r="E537" t="n">
        <v>14839.707</v>
      </c>
      <c r="F537" t="n">
        <v>87.062</v>
      </c>
      <c r="G537" t="n">
        <v>2622.793</v>
      </c>
      <c r="H537" t="n">
        <v>2422.995</v>
      </c>
      <c r="I537" t="n">
        <v>88.229</v>
      </c>
      <c r="J537" t="n">
        <v>10074.922</v>
      </c>
    </row>
    <row r="538">
      <c r="A538" s="160" t="n">
        <v>38534</v>
      </c>
      <c r="B538" t="n">
        <v>1.6</v>
      </c>
      <c r="C538" t="n">
        <v>1522.433</v>
      </c>
      <c r="D538" t="n">
        <v>3017.773</v>
      </c>
      <c r="E538" t="n">
        <v>14956.291</v>
      </c>
      <c r="F538" t="n">
        <v>87.884</v>
      </c>
      <c r="G538" t="n">
        <v>2657.458</v>
      </c>
      <c r="H538" t="n">
        <v>2436.601</v>
      </c>
      <c r="I538" t="n">
        <v>88.57299999999999</v>
      </c>
      <c r="J538" t="n">
        <v>10158.513</v>
      </c>
    </row>
    <row r="539">
      <c r="A539" s="160" t="n">
        <v>38626</v>
      </c>
      <c r="B539" t="n">
        <v>2.7</v>
      </c>
      <c r="C539" t="n">
        <v>1569.613</v>
      </c>
      <c r="D539" t="n">
        <v>3020.133</v>
      </c>
      <c r="E539" t="n">
        <v>15041.232</v>
      </c>
      <c r="F539" t="n">
        <v>88.584</v>
      </c>
      <c r="G539" t="n">
        <v>2743.846</v>
      </c>
      <c r="H539" t="n">
        <v>2515.132</v>
      </c>
      <c r="I539" t="n">
        <v>89.16500000000001</v>
      </c>
      <c r="J539" t="n">
        <v>10177.238</v>
      </c>
    </row>
    <row r="540">
      <c r="A540" s="160" t="n">
        <v>38718</v>
      </c>
      <c r="B540" t="n">
        <v>2.3</v>
      </c>
      <c r="C540" t="n">
        <v>1633.194</v>
      </c>
      <c r="D540" t="n">
        <v>3058.483</v>
      </c>
      <c r="E540" t="n">
        <v>15244.088</v>
      </c>
      <c r="F540" t="n">
        <v>89.20399999999999</v>
      </c>
      <c r="G540" t="n">
        <v>2784.583</v>
      </c>
      <c r="H540" t="n">
        <v>2566.893</v>
      </c>
      <c r="I540" t="n">
        <v>89.681</v>
      </c>
      <c r="J540" t="n">
        <v>10288.217</v>
      </c>
    </row>
    <row r="541">
      <c r="A541" s="160" t="n">
        <v>38808</v>
      </c>
      <c r="B541" t="n">
        <v>3.2</v>
      </c>
      <c r="C541" t="n">
        <v>1663.431</v>
      </c>
      <c r="D541" t="n">
        <v>3057.551</v>
      </c>
      <c r="E541" t="n">
        <v>15281.525</v>
      </c>
      <c r="F541" t="n">
        <v>89.99299999999999</v>
      </c>
      <c r="G541" t="n">
        <v>2766.628</v>
      </c>
      <c r="H541" t="n">
        <v>2592.455</v>
      </c>
      <c r="I541" t="n">
        <v>90.396</v>
      </c>
      <c r="J541" t="n">
        <v>10341.556</v>
      </c>
    </row>
    <row r="542">
      <c r="A542" s="160" t="n">
        <v>38899</v>
      </c>
      <c r="B542" t="n">
        <v>2.2</v>
      </c>
      <c r="C542" t="n">
        <v>1661.223</v>
      </c>
      <c r="D542" t="n">
        <v>3053.11</v>
      </c>
      <c r="E542" t="n">
        <v>15304.517</v>
      </c>
      <c r="F542" t="n">
        <v>90.652</v>
      </c>
      <c r="G542" t="n">
        <v>2755.954</v>
      </c>
      <c r="H542" t="n">
        <v>2618.357</v>
      </c>
      <c r="I542" t="n">
        <v>90.883</v>
      </c>
      <c r="J542" t="n">
        <v>10407.966</v>
      </c>
    </row>
    <row r="543">
      <c r="A543" s="160" t="n">
        <v>38991</v>
      </c>
      <c r="B543" t="n">
        <v>1.7</v>
      </c>
      <c r="C543" t="n">
        <v>1724.263</v>
      </c>
      <c r="D543" t="n">
        <v>3078.215</v>
      </c>
      <c r="E543" t="n">
        <v>15433.643</v>
      </c>
      <c r="F543" t="n">
        <v>90.997</v>
      </c>
      <c r="G543" t="n">
        <v>2702.487</v>
      </c>
      <c r="H543" t="n">
        <v>2614.992</v>
      </c>
      <c r="I543" t="n">
        <v>91.274</v>
      </c>
      <c r="J543" t="n">
        <v>10507.248</v>
      </c>
    </row>
    <row r="544">
      <c r="A544" s="160" t="n">
        <v>39083</v>
      </c>
      <c r="B544" t="n">
        <v>2.8</v>
      </c>
      <c r="C544" t="n">
        <v>1758.449</v>
      </c>
      <c r="D544" t="n">
        <v>3082.482</v>
      </c>
      <c r="E544" t="n">
        <v>15478.956</v>
      </c>
      <c r="F544" t="n">
        <v>91.908</v>
      </c>
      <c r="G544" t="n">
        <v>2683.893</v>
      </c>
      <c r="H544" t="n">
        <v>2653.058</v>
      </c>
      <c r="I544" t="n">
        <v>91.904</v>
      </c>
      <c r="J544" t="n">
        <v>10572.053</v>
      </c>
    </row>
    <row r="545">
      <c r="A545" s="160" t="n">
        <v>39173</v>
      </c>
      <c r="B545" t="n">
        <v>1.7</v>
      </c>
      <c r="C545" t="n">
        <v>1785.064</v>
      </c>
      <c r="D545" t="n">
        <v>3110.661</v>
      </c>
      <c r="E545" t="n">
        <v>15577.779</v>
      </c>
      <c r="F545" t="n">
        <v>92.491</v>
      </c>
      <c r="G545" t="n">
        <v>2713.495</v>
      </c>
      <c r="H545" t="n">
        <v>2667.163</v>
      </c>
      <c r="I545" t="n">
        <v>92.286</v>
      </c>
      <c r="J545" t="n">
        <v>10599.795</v>
      </c>
    </row>
    <row r="546">
      <c r="A546" s="160" t="n">
        <v>39264</v>
      </c>
      <c r="B546" t="n">
        <v>2</v>
      </c>
      <c r="C546" t="n">
        <v>1840.838</v>
      </c>
      <c r="D546" t="n">
        <v>3124.883</v>
      </c>
      <c r="E546" t="n">
        <v>15671.605</v>
      </c>
      <c r="F546" t="n">
        <v>92.88200000000001</v>
      </c>
      <c r="G546" t="n">
        <v>2686.106</v>
      </c>
      <c r="H546" t="n">
        <v>2682.099</v>
      </c>
      <c r="I546" t="n">
        <v>92.739</v>
      </c>
      <c r="J546" t="n">
        <v>10670.506</v>
      </c>
    </row>
    <row r="547">
      <c r="A547" s="160" t="n">
        <v>39356</v>
      </c>
      <c r="B547" t="n">
        <v>2.8</v>
      </c>
      <c r="C547" t="n">
        <v>1883.062</v>
      </c>
      <c r="D547" t="n">
        <v>3149.542</v>
      </c>
      <c r="E547" t="n">
        <v>15767.146</v>
      </c>
      <c r="F547" t="n">
        <v>93.33199999999999</v>
      </c>
      <c r="G547" t="n">
        <v>2653.056</v>
      </c>
      <c r="H547" t="n">
        <v>2656.767</v>
      </c>
      <c r="I547" t="n">
        <v>93.381</v>
      </c>
      <c r="J547" t="n">
        <v>10712.556</v>
      </c>
    </row>
    <row r="548">
      <c r="A548" s="160" t="n">
        <v>39448</v>
      </c>
      <c r="B548" t="n">
        <v>2.1</v>
      </c>
      <c r="C548" t="n">
        <v>1913.046</v>
      </c>
      <c r="D548" t="n">
        <v>3156.928</v>
      </c>
      <c r="E548" t="n">
        <v>15702.906</v>
      </c>
      <c r="F548" t="n">
        <v>93.735</v>
      </c>
      <c r="G548" t="n">
        <v>2583.253</v>
      </c>
      <c r="H548" t="n">
        <v>2666.73</v>
      </c>
      <c r="I548" t="n">
        <v>93.875</v>
      </c>
      <c r="J548" t="n">
        <v>10697.867</v>
      </c>
    </row>
    <row r="549">
      <c r="A549" s="160" t="n">
        <v>39539</v>
      </c>
      <c r="B549" t="n">
        <v>1.7</v>
      </c>
      <c r="C549" t="n">
        <v>1969.204</v>
      </c>
      <c r="D549" t="n">
        <v>3184.258</v>
      </c>
      <c r="E549" t="n">
        <v>15792.773</v>
      </c>
      <c r="F549" t="n">
        <v>94.075</v>
      </c>
      <c r="G549" t="n">
        <v>2536.403</v>
      </c>
      <c r="H549" t="n">
        <v>2641.498</v>
      </c>
      <c r="I549" t="n">
        <v>94.26900000000001</v>
      </c>
      <c r="J549" t="n">
        <v>10727.347</v>
      </c>
    </row>
    <row r="550">
      <c r="A550" s="160" t="n">
        <v>39630</v>
      </c>
      <c r="B550" t="n">
        <v>2.1</v>
      </c>
      <c r="C550" t="n">
        <v>1960.362</v>
      </c>
      <c r="D550" t="n">
        <v>3210.02</v>
      </c>
      <c r="E550" t="n">
        <v>15709.562</v>
      </c>
      <c r="F550" t="n">
        <v>94.804</v>
      </c>
      <c r="G550" t="n">
        <v>2485.549</v>
      </c>
      <c r="H550" t="n">
        <v>2608.161</v>
      </c>
      <c r="I550" t="n">
        <v>94.751</v>
      </c>
      <c r="J550" t="n">
        <v>10644.668</v>
      </c>
    </row>
    <row r="551">
      <c r="A551" s="160" t="n">
        <v>39722</v>
      </c>
      <c r="B551" t="n">
        <v>-0.3</v>
      </c>
      <c r="C551" t="n">
        <v>1844.981</v>
      </c>
      <c r="D551" t="n">
        <v>3231.944</v>
      </c>
      <c r="E551" t="n">
        <v>15366.607</v>
      </c>
      <c r="F551" t="n">
        <v>94.97499999999999</v>
      </c>
      <c r="G551" t="n">
        <v>2246.441</v>
      </c>
      <c r="H551" t="n">
        <v>2513.844</v>
      </c>
      <c r="I551" t="n">
        <v>94.676</v>
      </c>
      <c r="J551" t="n">
        <v>10548.872</v>
      </c>
    </row>
    <row r="552">
      <c r="A552" s="160" t="n">
        <v>39814</v>
      </c>
      <c r="B552" t="n">
        <v>0</v>
      </c>
      <c r="C552" t="n">
        <v>1697.637</v>
      </c>
      <c r="D552" t="n">
        <v>3268.818</v>
      </c>
      <c r="E552" t="n">
        <v>15187.475</v>
      </c>
      <c r="F552" t="n">
        <v>95.001</v>
      </c>
      <c r="G552" t="n">
        <v>1986.845</v>
      </c>
      <c r="H552" t="n">
        <v>2274.895</v>
      </c>
      <c r="I552" t="n">
        <v>94.675</v>
      </c>
      <c r="J552" t="n">
        <v>10522.083</v>
      </c>
    </row>
    <row r="553">
      <c r="A553" s="160" t="n">
        <v>39904</v>
      </c>
      <c r="B553" t="n">
        <v>1.6</v>
      </c>
      <c r="C553" t="n">
        <v>1708.832</v>
      </c>
      <c r="D553" t="n">
        <v>3316.62</v>
      </c>
      <c r="E553" t="n">
        <v>15161.772</v>
      </c>
      <c r="F553" t="n">
        <v>94.87</v>
      </c>
      <c r="G553" t="n">
        <v>1872.287</v>
      </c>
      <c r="H553" t="n">
        <v>2182.501</v>
      </c>
      <c r="I553" t="n">
        <v>95.04600000000001</v>
      </c>
      <c r="J553" t="n">
        <v>10470.358</v>
      </c>
    </row>
    <row r="554">
      <c r="A554" s="160" t="n">
        <v>39995</v>
      </c>
      <c r="B554" t="n">
        <v>1.4</v>
      </c>
      <c r="C554" t="n">
        <v>1772.004</v>
      </c>
      <c r="D554" t="n">
        <v>3325.682</v>
      </c>
      <c r="E554" t="n">
        <v>15216.647</v>
      </c>
      <c r="F554" t="n">
        <v>94.928</v>
      </c>
      <c r="G554" t="n">
        <v>1868.013</v>
      </c>
      <c r="H554" t="n">
        <v>2272.535</v>
      </c>
      <c r="I554" t="n">
        <v>95.383</v>
      </c>
      <c r="J554" t="n">
        <v>10540.769</v>
      </c>
    </row>
    <row r="555">
      <c r="A555" s="160" t="n">
        <v>40087</v>
      </c>
      <c r="B555" t="n">
        <v>2.5</v>
      </c>
      <c r="C555" t="n">
        <v>1871.485</v>
      </c>
      <c r="D555" t="n">
        <v>3331.645</v>
      </c>
      <c r="E555" t="n">
        <v>15379.155</v>
      </c>
      <c r="F555" t="n">
        <v>95.277</v>
      </c>
      <c r="G555" t="n">
        <v>2040.736</v>
      </c>
      <c r="H555" t="n">
        <v>2385.074</v>
      </c>
      <c r="I555" t="n">
        <v>95.977</v>
      </c>
      <c r="J555" t="n">
        <v>10529.156</v>
      </c>
    </row>
    <row r="556">
      <c r="A556" s="160" t="n">
        <v>40179</v>
      </c>
      <c r="B556" t="n">
        <v>1.4</v>
      </c>
      <c r="C556" t="n">
        <v>1916.239</v>
      </c>
      <c r="D556" t="n">
        <v>3317.347</v>
      </c>
      <c r="E556" t="n">
        <v>15456.059</v>
      </c>
      <c r="F556" t="n">
        <v>95.518</v>
      </c>
      <c r="G556" t="n">
        <v>2087.171</v>
      </c>
      <c r="H556" t="n">
        <v>2448.044</v>
      </c>
      <c r="I556" t="n">
        <v>96.30500000000001</v>
      </c>
      <c r="J556" t="n">
        <v>10590.177</v>
      </c>
    </row>
    <row r="557">
      <c r="A557" s="160" t="n">
        <v>40269</v>
      </c>
      <c r="B557" t="n">
        <v>1.1</v>
      </c>
      <c r="C557" t="n">
        <v>1958.367</v>
      </c>
      <c r="D557" t="n">
        <v>3327.564</v>
      </c>
      <c r="E557" t="n">
        <v>15605.628</v>
      </c>
      <c r="F557" t="n">
        <v>95.96299999999999</v>
      </c>
      <c r="G557" t="n">
        <v>2196.706</v>
      </c>
      <c r="H557" t="n">
        <v>2559.69</v>
      </c>
      <c r="I557" t="n">
        <v>96.565</v>
      </c>
      <c r="J557" t="n">
        <v>10685.145</v>
      </c>
    </row>
    <row r="558">
      <c r="A558" s="160" t="n">
        <v>40360</v>
      </c>
      <c r="B558" t="n">
        <v>0.6</v>
      </c>
      <c r="C558" t="n">
        <v>2014.232</v>
      </c>
      <c r="D558" t="n">
        <v>3304.078</v>
      </c>
      <c r="E558" t="n">
        <v>15726.282</v>
      </c>
      <c r="F558" t="n">
        <v>96.312</v>
      </c>
      <c r="G558" t="n">
        <v>2294.672</v>
      </c>
      <c r="H558" t="n">
        <v>2649.148</v>
      </c>
      <c r="I558" t="n">
        <v>96.71299999999999</v>
      </c>
      <c r="J558" t="n">
        <v>10761.376</v>
      </c>
    </row>
    <row r="559">
      <c r="A559" s="160" t="n">
        <v>40452</v>
      </c>
      <c r="B559" t="n">
        <v>1.3</v>
      </c>
      <c r="C559" t="n">
        <v>2069.349</v>
      </c>
      <c r="D559" t="n">
        <v>3283.046</v>
      </c>
      <c r="E559" t="n">
        <v>15807.995</v>
      </c>
      <c r="F559" t="n">
        <v>96.864</v>
      </c>
      <c r="G559" t="n">
        <v>2287.362</v>
      </c>
      <c r="H559" t="n">
        <v>2658.885</v>
      </c>
      <c r="I559" t="n">
        <v>97.01900000000001</v>
      </c>
      <c r="J559" t="n">
        <v>10827.332</v>
      </c>
    </row>
    <row r="560">
      <c r="A560" s="160" t="n">
        <v>40544</v>
      </c>
      <c r="B560" t="n">
        <v>1.8</v>
      </c>
      <c r="C560" t="n">
        <v>2087.06</v>
      </c>
      <c r="D560" t="n">
        <v>3242.78</v>
      </c>
      <c r="E560" t="n">
        <v>15769.911</v>
      </c>
      <c r="F560" t="n">
        <v>97.339</v>
      </c>
      <c r="G560" t="n">
        <v>2244.241</v>
      </c>
      <c r="H560" t="n">
        <v>2671.872</v>
      </c>
      <c r="I560" t="n">
        <v>97.44499999999999</v>
      </c>
      <c r="J560" t="n">
        <v>10868.689</v>
      </c>
    </row>
    <row r="561">
      <c r="A561" s="160" t="n">
        <v>40634</v>
      </c>
      <c r="B561" t="n">
        <v>2.4</v>
      </c>
      <c r="C561" t="n">
        <v>2122.321</v>
      </c>
      <c r="D561" t="n">
        <v>3220.816</v>
      </c>
      <c r="E561" t="n">
        <v>15876.839</v>
      </c>
      <c r="F561" t="n">
        <v>98.042</v>
      </c>
      <c r="G561" t="n">
        <v>2336.057</v>
      </c>
      <c r="H561" t="n">
        <v>2681.865</v>
      </c>
      <c r="I561" t="n">
        <v>98.015</v>
      </c>
      <c r="J561" t="n">
        <v>10879.873</v>
      </c>
    </row>
    <row r="562">
      <c r="A562" s="160" t="n">
        <v>40725</v>
      </c>
      <c r="B562" t="n">
        <v>1.8</v>
      </c>
      <c r="C562" t="n">
        <v>2151.474</v>
      </c>
      <c r="D562" t="n">
        <v>3174.801</v>
      </c>
      <c r="E562" t="n">
        <v>15870.684</v>
      </c>
      <c r="F562" t="n">
        <v>98.56100000000001</v>
      </c>
      <c r="G562" t="n">
        <v>2343.786</v>
      </c>
      <c r="H562" t="n">
        <v>2711.619</v>
      </c>
      <c r="I562" t="n">
        <v>98.462</v>
      </c>
      <c r="J562" t="n">
        <v>10912.991</v>
      </c>
    </row>
    <row r="563">
      <c r="A563" s="160" t="n">
        <v>40817</v>
      </c>
      <c r="B563" t="n">
        <v>1.4</v>
      </c>
      <c r="C563" t="n">
        <v>2167.652</v>
      </c>
      <c r="D563" t="n">
        <v>3172.535</v>
      </c>
      <c r="E563" t="n">
        <v>16048.702</v>
      </c>
      <c r="F563" t="n">
        <v>98.687</v>
      </c>
      <c r="G563" t="n">
        <v>2524.429</v>
      </c>
      <c r="H563" t="n">
        <v>2747.221</v>
      </c>
      <c r="I563" t="n">
        <v>98.813</v>
      </c>
      <c r="J563" t="n">
        <v>10931.828</v>
      </c>
    </row>
    <row r="564">
      <c r="A564" s="160" t="n">
        <v>40909</v>
      </c>
      <c r="B564" t="n">
        <v>2.6</v>
      </c>
      <c r="C564" t="n">
        <v>2194.087</v>
      </c>
      <c r="D564" t="n">
        <v>3158.939</v>
      </c>
      <c r="E564" t="n">
        <v>16179.968</v>
      </c>
      <c r="F564" t="n">
        <v>99.277</v>
      </c>
      <c r="G564" t="n">
        <v>2577.157</v>
      </c>
      <c r="H564" t="n">
        <v>2760.748</v>
      </c>
      <c r="I564" t="n">
        <v>99.437</v>
      </c>
      <c r="J564" t="n">
        <v>11010.694</v>
      </c>
    </row>
    <row r="565">
      <c r="A565" s="160" t="n">
        <v>41000</v>
      </c>
      <c r="B565" t="n">
        <v>1.7</v>
      </c>
      <c r="C565" t="n">
        <v>2215.753</v>
      </c>
      <c r="D565" t="n">
        <v>3142.418</v>
      </c>
      <c r="E565" t="n">
        <v>16253.726</v>
      </c>
      <c r="F565" t="n">
        <v>99.69</v>
      </c>
      <c r="G565" t="n">
        <v>2636.495</v>
      </c>
      <c r="H565" t="n">
        <v>2771.011</v>
      </c>
      <c r="I565" t="n">
        <v>99.848</v>
      </c>
      <c r="J565" t="n">
        <v>11030.026</v>
      </c>
    </row>
    <row r="566">
      <c r="A566" s="160" t="n">
        <v>41091</v>
      </c>
      <c r="B566" t="n">
        <v>1.2</v>
      </c>
      <c r="C566" t="n">
        <v>2229.353</v>
      </c>
      <c r="D566" t="n">
        <v>3137.664</v>
      </c>
      <c r="E566" t="n">
        <v>16282.151</v>
      </c>
      <c r="F566" t="n">
        <v>100.304</v>
      </c>
      <c r="G566" t="n">
        <v>2648.459</v>
      </c>
      <c r="H566" t="n">
        <v>2785.883</v>
      </c>
      <c r="I566" t="n">
        <v>100.136</v>
      </c>
      <c r="J566" t="n">
        <v>11052.368</v>
      </c>
    </row>
    <row r="567">
      <c r="A567" s="160" t="n">
        <v>41183</v>
      </c>
      <c r="B567" t="n">
        <v>1.8</v>
      </c>
      <c r="C567" t="n">
        <v>2231.607</v>
      </c>
      <c r="D567" t="n">
        <v>3106.86</v>
      </c>
      <c r="E567" t="n">
        <v>16300.035</v>
      </c>
      <c r="F567" t="n">
        <v>100.73</v>
      </c>
      <c r="G567" t="n">
        <v>2624.905</v>
      </c>
      <c r="H567" t="n">
        <v>2759.627</v>
      </c>
      <c r="I567" t="n">
        <v>100.579</v>
      </c>
      <c r="J567" t="n">
        <v>11096.365</v>
      </c>
    </row>
    <row r="568">
      <c r="A568" s="160" t="n">
        <v>41275</v>
      </c>
      <c r="B568" t="n">
        <v>1.6</v>
      </c>
      <c r="C568" t="n">
        <v>2242.308</v>
      </c>
      <c r="D568" t="n">
        <v>3078.855</v>
      </c>
      <c r="E568" t="n">
        <v>16441.485</v>
      </c>
      <c r="F568" t="n">
        <v>101.124</v>
      </c>
      <c r="G568" t="n">
        <v>2722.778</v>
      </c>
      <c r="H568" t="n">
        <v>2757.265</v>
      </c>
      <c r="I568" t="n">
        <v>100.983</v>
      </c>
      <c r="J568" t="n">
        <v>11155.481</v>
      </c>
    </row>
    <row r="569">
      <c r="A569" s="160" t="n">
        <v>41365</v>
      </c>
      <c r="B569" t="n">
        <v>1.2</v>
      </c>
      <c r="C569" t="n">
        <v>2262.524</v>
      </c>
      <c r="D569" t="n">
        <v>3073.677</v>
      </c>
      <c r="E569" t="n">
        <v>16464.402</v>
      </c>
      <c r="F569" t="n">
        <v>101.428</v>
      </c>
      <c r="G569" t="n">
        <v>2753.237</v>
      </c>
      <c r="H569" t="n">
        <v>2797.3</v>
      </c>
      <c r="I569" t="n">
        <v>101.291</v>
      </c>
      <c r="J569" t="n">
        <v>11172.647</v>
      </c>
    </row>
    <row r="570">
      <c r="A570" s="160" t="n">
        <v>41456</v>
      </c>
      <c r="B570" t="n">
        <v>1.6</v>
      </c>
      <c r="C570" t="n">
        <v>2281.979</v>
      </c>
      <c r="D570" t="n">
        <v>3057.212</v>
      </c>
      <c r="E570" t="n">
        <v>16594.743</v>
      </c>
      <c r="F570" t="n">
        <v>101.973</v>
      </c>
      <c r="G570" t="n">
        <v>2859.751</v>
      </c>
      <c r="H570" t="n">
        <v>2817.399</v>
      </c>
      <c r="I570" t="n">
        <v>101.684</v>
      </c>
      <c r="J570" t="n">
        <v>11214.417</v>
      </c>
    </row>
    <row r="571">
      <c r="A571" s="160" t="n">
        <v>41548</v>
      </c>
      <c r="B571" t="n">
        <v>2</v>
      </c>
      <c r="C571" t="n">
        <v>2347.579</v>
      </c>
      <c r="D571" t="n">
        <v>3033.118</v>
      </c>
      <c r="E571" t="n">
        <v>16712.76</v>
      </c>
      <c r="F571" t="n">
        <v>102.55</v>
      </c>
      <c r="G571" t="n">
        <v>2870.127</v>
      </c>
      <c r="H571" t="n">
        <v>2839.671</v>
      </c>
      <c r="I571" t="n">
        <v>102.181</v>
      </c>
      <c r="J571" t="n">
        <v>11304.3</v>
      </c>
    </row>
    <row r="572">
      <c r="A572" s="160" t="n">
        <v>41640</v>
      </c>
      <c r="B572" t="n">
        <v>1.4</v>
      </c>
      <c r="C572" t="n">
        <v>2324.808</v>
      </c>
      <c r="D572" t="n">
        <v>3020.58</v>
      </c>
      <c r="E572" t="n">
        <v>16654.247</v>
      </c>
      <c r="F572" t="n">
        <v>102.965</v>
      </c>
      <c r="G572" t="n">
        <v>2838.287</v>
      </c>
      <c r="H572" t="n">
        <v>2876.337</v>
      </c>
      <c r="I572" t="n">
        <v>102.533</v>
      </c>
      <c r="J572" t="n">
        <v>11347.636</v>
      </c>
    </row>
    <row r="573">
      <c r="A573" s="160" t="n">
        <v>41730</v>
      </c>
      <c r="B573" t="n">
        <v>2</v>
      </c>
      <c r="C573" t="n">
        <v>2375.121</v>
      </c>
      <c r="D573" t="n">
        <v>3024.424</v>
      </c>
      <c r="E573" t="n">
        <v>16868.109</v>
      </c>
      <c r="F573" t="n">
        <v>103.552</v>
      </c>
      <c r="G573" t="n">
        <v>2958.068</v>
      </c>
      <c r="H573" t="n">
        <v>2941.839</v>
      </c>
      <c r="I573" t="n">
        <v>103.04</v>
      </c>
      <c r="J573" t="n">
        <v>11453.014</v>
      </c>
    </row>
    <row r="574">
      <c r="A574" s="160" t="n">
        <v>41821</v>
      </c>
      <c r="B574" t="n">
        <v>1.6</v>
      </c>
      <c r="C574" t="n">
        <v>2384.779</v>
      </c>
      <c r="D574" t="n">
        <v>3044.694</v>
      </c>
      <c r="E574" t="n">
        <v>17064.616</v>
      </c>
      <c r="F574" t="n">
        <v>104.029</v>
      </c>
      <c r="G574" t="n">
        <v>3018.582</v>
      </c>
      <c r="H574" t="n">
        <v>2947.352</v>
      </c>
      <c r="I574" t="n">
        <v>103.438</v>
      </c>
      <c r="J574" t="n">
        <v>11565.682</v>
      </c>
    </row>
    <row r="575">
      <c r="A575" s="160" t="n">
        <v>41913</v>
      </c>
      <c r="B575" t="n">
        <v>1.2</v>
      </c>
      <c r="C575" t="n">
        <v>2404.43</v>
      </c>
      <c r="D575" t="n">
        <v>3043.215</v>
      </c>
      <c r="E575" t="n">
        <v>17141.235</v>
      </c>
      <c r="F575" t="n">
        <v>104.104</v>
      </c>
      <c r="G575" t="n">
        <v>3021.857</v>
      </c>
      <c r="H575" t="n">
        <v>3024.682</v>
      </c>
      <c r="I575" t="n">
        <v>103.735</v>
      </c>
      <c r="J575" t="n">
        <v>11694.917</v>
      </c>
    </row>
    <row r="576">
      <c r="A576" s="160" t="n">
        <v>42005</v>
      </c>
      <c r="B576" t="n">
        <v>0.8</v>
      </c>
      <c r="C576" t="n">
        <v>2384.843</v>
      </c>
      <c r="D576" t="n">
        <v>3058.973</v>
      </c>
      <c r="E576" t="n">
        <v>17280.647</v>
      </c>
      <c r="F576" t="n">
        <v>104.092</v>
      </c>
      <c r="G576" t="n">
        <v>3127.274</v>
      </c>
      <c r="H576" t="n">
        <v>3068.49</v>
      </c>
      <c r="I576" t="n">
        <v>103.938</v>
      </c>
      <c r="J576" t="n">
        <v>11772.949</v>
      </c>
    </row>
    <row r="577">
      <c r="A577" s="160" t="n">
        <v>42095</v>
      </c>
      <c r="B577" t="n">
        <v>1.7</v>
      </c>
      <c r="C577" t="n">
        <v>2391.145</v>
      </c>
      <c r="D577" t="n">
        <v>3085.089</v>
      </c>
      <c r="E577" t="n">
        <v>17380.875</v>
      </c>
      <c r="F577" t="n">
        <v>104.683</v>
      </c>
      <c r="G577" t="n">
        <v>3136.688</v>
      </c>
      <c r="H577" t="n">
        <v>3091.083</v>
      </c>
      <c r="I577" t="n">
        <v>104.384</v>
      </c>
      <c r="J577" t="n">
        <v>11852.652</v>
      </c>
    </row>
    <row r="578">
      <c r="A578" s="160" t="n">
        <v>42186</v>
      </c>
      <c r="B578" t="n">
        <v>1.2</v>
      </c>
      <c r="C578" t="n">
        <v>2371.205</v>
      </c>
      <c r="D578" t="n">
        <v>3099.082</v>
      </c>
      <c r="E578" t="n">
        <v>17437.08</v>
      </c>
      <c r="F578" t="n">
        <v>104.939</v>
      </c>
      <c r="G578" t="n">
        <v>3130.354</v>
      </c>
      <c r="H578" t="n">
        <v>3117.762</v>
      </c>
      <c r="I578" t="n">
        <v>104.699</v>
      </c>
      <c r="J578" t="n">
        <v>11943.043</v>
      </c>
    </row>
    <row r="579">
      <c r="A579" s="160" t="n">
        <v>42278</v>
      </c>
      <c r="B579" t="n">
        <v>0.9</v>
      </c>
      <c r="C579" t="n">
        <v>2367.667</v>
      </c>
      <c r="D579" t="n">
        <v>3110.257</v>
      </c>
      <c r="E579" t="n">
        <v>17462.579</v>
      </c>
      <c r="F579" t="n">
        <v>104.932</v>
      </c>
      <c r="G579" t="n">
        <v>3092.707</v>
      </c>
      <c r="H579" t="n">
        <v>3124.356</v>
      </c>
      <c r="I579" t="n">
        <v>104.926</v>
      </c>
      <c r="J579" t="n">
        <v>12003.146</v>
      </c>
    </row>
    <row r="580">
      <c r="A580" s="160" t="n">
        <v>42370</v>
      </c>
      <c r="B580" t="n">
        <v>1.7</v>
      </c>
      <c r="C580" t="n">
        <v>2360.705</v>
      </c>
      <c r="D580" t="n">
        <v>3142.841</v>
      </c>
      <c r="E580" t="n">
        <v>17565.465</v>
      </c>
      <c r="F580" t="n">
        <v>104.873</v>
      </c>
      <c r="G580" t="n">
        <v>3079.449</v>
      </c>
      <c r="H580" t="n">
        <v>3119.978</v>
      </c>
      <c r="I580" t="n">
        <v>105.365</v>
      </c>
      <c r="J580" t="n">
        <v>12091.178</v>
      </c>
    </row>
    <row r="581">
      <c r="A581" s="160" t="n">
        <v>42461</v>
      </c>
      <c r="B581" t="n">
        <v>2.2</v>
      </c>
      <c r="C581" t="n">
        <v>2378.612</v>
      </c>
      <c r="D581" t="n">
        <v>3137.91</v>
      </c>
      <c r="E581" t="n">
        <v>17618.581</v>
      </c>
      <c r="F581" t="n">
        <v>105.576</v>
      </c>
      <c r="G581" t="n">
        <v>3063.333</v>
      </c>
      <c r="H581" t="n">
        <v>3123.245</v>
      </c>
      <c r="I581" t="n">
        <v>105.937</v>
      </c>
      <c r="J581" t="n">
        <v>12152.627</v>
      </c>
    </row>
    <row r="582">
      <c r="A582" s="160" t="n">
        <v>42552</v>
      </c>
      <c r="B582" t="n">
        <v>1.9</v>
      </c>
      <c r="C582" t="n">
        <v>2415.552</v>
      </c>
      <c r="D582" t="n">
        <v>3153.894</v>
      </c>
      <c r="E582" t="n">
        <v>17724.489</v>
      </c>
      <c r="F582" t="n">
        <v>105.894</v>
      </c>
      <c r="G582" t="n">
        <v>3069.298</v>
      </c>
      <c r="H582" t="n">
        <v>3145.977</v>
      </c>
      <c r="I582" t="n">
        <v>106.43</v>
      </c>
      <c r="J582" t="n">
        <v>12223.822</v>
      </c>
    </row>
    <row r="583">
      <c r="A583" s="160" t="n">
        <v>42644</v>
      </c>
      <c r="B583" t="n">
        <v>1.5</v>
      </c>
      <c r="C583" t="n">
        <v>2398.552</v>
      </c>
      <c r="D583" t="n">
        <v>3160.471</v>
      </c>
      <c r="E583" t="n">
        <v>17812.56</v>
      </c>
      <c r="F583" t="n">
        <v>106.47</v>
      </c>
      <c r="G583" t="n">
        <v>3147.576</v>
      </c>
      <c r="H583" t="n">
        <v>3192.525</v>
      </c>
      <c r="I583" t="n">
        <v>106.818</v>
      </c>
      <c r="J583" t="n">
        <v>12283.076</v>
      </c>
    </row>
    <row r="584">
      <c r="A584" s="160" t="n">
        <v>42736</v>
      </c>
      <c r="B584" t="n">
        <v>1.8</v>
      </c>
      <c r="C584" t="n">
        <v>2455.577</v>
      </c>
      <c r="D584" t="n">
        <v>3153.834</v>
      </c>
      <c r="E584" t="n">
        <v>17896.623</v>
      </c>
      <c r="F584" t="n">
        <v>107.007</v>
      </c>
      <c r="G584" t="n">
        <v>3137.735</v>
      </c>
      <c r="H584" t="n">
        <v>3238.754</v>
      </c>
      <c r="I584" t="n">
        <v>107.289</v>
      </c>
      <c r="J584" t="n">
        <v>12372.247</v>
      </c>
    </row>
    <row r="585">
      <c r="A585" s="160" t="n">
        <v>42826</v>
      </c>
      <c r="B585" t="n">
        <v>1.6</v>
      </c>
      <c r="C585" t="n">
        <v>2465.39</v>
      </c>
      <c r="D585" t="n">
        <v>3163.234</v>
      </c>
      <c r="E585" t="n">
        <v>17996.802</v>
      </c>
      <c r="F585" t="n">
        <v>107.361</v>
      </c>
      <c r="G585" t="n">
        <v>3192.776</v>
      </c>
      <c r="H585" t="n">
        <v>3273.385</v>
      </c>
      <c r="I585" t="n">
        <v>107.721</v>
      </c>
      <c r="J585" t="n">
        <v>12430.081</v>
      </c>
    </row>
    <row r="586">
      <c r="A586" s="160" t="n">
        <v>42917</v>
      </c>
      <c r="B586" t="n">
        <v>1.4</v>
      </c>
      <c r="C586" t="n">
        <v>2481.889</v>
      </c>
      <c r="D586" t="n">
        <v>3160.72</v>
      </c>
      <c r="E586" t="n">
        <v>18126.226</v>
      </c>
      <c r="F586" t="n">
        <v>107.942</v>
      </c>
      <c r="G586" t="n">
        <v>3240.998</v>
      </c>
      <c r="H586" t="n">
        <v>3272.203</v>
      </c>
      <c r="I586" t="n">
        <v>108.09</v>
      </c>
      <c r="J586" t="n">
        <v>12500.402</v>
      </c>
    </row>
    <row r="587">
      <c r="A587" s="160" t="n">
        <v>43009</v>
      </c>
      <c r="B587" t="n">
        <v>2</v>
      </c>
      <c r="C587" t="n">
        <v>2540.146</v>
      </c>
      <c r="D587" t="n">
        <v>3182.962</v>
      </c>
      <c r="E587" t="n">
        <v>18296.685</v>
      </c>
      <c r="F587" t="n">
        <v>108.658</v>
      </c>
      <c r="G587" t="n">
        <v>3278.391</v>
      </c>
      <c r="H587" t="n">
        <v>3356.471</v>
      </c>
      <c r="I587" t="n">
        <v>108.639</v>
      </c>
      <c r="J587" t="n">
        <v>12631.98</v>
      </c>
    </row>
    <row r="588">
      <c r="A588" s="160" t="n">
        <v>43101</v>
      </c>
      <c r="B588" t="n">
        <v>2.4</v>
      </c>
      <c r="C588" t="n">
        <v>2551.569</v>
      </c>
      <c r="D588" t="n">
        <v>3189.744</v>
      </c>
      <c r="E588" t="n">
        <v>18436.262</v>
      </c>
      <c r="F588" t="n">
        <v>109.312</v>
      </c>
      <c r="G588" t="n">
        <v>3346.322</v>
      </c>
      <c r="H588" t="n">
        <v>3378.004</v>
      </c>
      <c r="I588" t="n">
        <v>109.292</v>
      </c>
      <c r="J588" t="n">
        <v>12707.641</v>
      </c>
    </row>
    <row r="589">
      <c r="A589" s="160" t="n">
        <v>43191</v>
      </c>
      <c r="B589" t="n">
        <v>2.4</v>
      </c>
      <c r="C589" t="n">
        <v>2582.895</v>
      </c>
      <c r="D589" t="n">
        <v>3212.179</v>
      </c>
      <c r="E589" t="n">
        <v>18590.004</v>
      </c>
      <c r="F589" t="n">
        <v>110.156</v>
      </c>
      <c r="G589" t="n">
        <v>3352.499</v>
      </c>
      <c r="H589" t="n">
        <v>3390.053</v>
      </c>
      <c r="I589" t="n">
        <v>109.943</v>
      </c>
      <c r="J589" t="n">
        <v>12816.396</v>
      </c>
    </row>
    <row r="590">
      <c r="A590" s="160" t="n">
        <v>43282</v>
      </c>
      <c r="B590" t="n">
        <v>1.4</v>
      </c>
      <c r="C590" t="n">
        <v>2542.472</v>
      </c>
      <c r="D590" t="n">
        <v>3220.013</v>
      </c>
      <c r="E590" t="n">
        <v>18679.599</v>
      </c>
      <c r="F590" t="n">
        <v>110.647</v>
      </c>
      <c r="G590" t="n">
        <v>3430.915</v>
      </c>
      <c r="H590" t="n">
        <v>3439.376</v>
      </c>
      <c r="I590" t="n">
        <v>110.32</v>
      </c>
      <c r="J590" t="n">
        <v>12900.579</v>
      </c>
    </row>
    <row r="591">
      <c r="A591" s="160" t="n">
        <v>43374</v>
      </c>
      <c r="B591" t="n">
        <v>1.9</v>
      </c>
      <c r="C591" t="n">
        <v>2545.573</v>
      </c>
      <c r="D591" t="n">
        <v>3213.368</v>
      </c>
      <c r="E591" t="n">
        <v>18721.281</v>
      </c>
      <c r="F591" t="n">
        <v>111.191</v>
      </c>
      <c r="G591" t="n">
        <v>3449.645</v>
      </c>
      <c r="H591" t="n">
        <v>3472.058</v>
      </c>
      <c r="I591" t="n">
        <v>110.829</v>
      </c>
      <c r="J591" t="n">
        <v>12955.501</v>
      </c>
    </row>
    <row r="592">
      <c r="A592" s="160" t="n">
        <v>43466</v>
      </c>
      <c r="B592" t="n">
        <v>1.1</v>
      </c>
      <c r="C592" t="n">
        <v>2565.316</v>
      </c>
      <c r="D592" t="n">
        <v>3235.153</v>
      </c>
      <c r="E592" t="n">
        <v>18833.195</v>
      </c>
      <c r="F592" t="n">
        <v>111.502</v>
      </c>
      <c r="G592" t="n">
        <v>3503.439</v>
      </c>
      <c r="H592" t="n">
        <v>3472.01</v>
      </c>
      <c r="I592" t="n">
        <v>111.136</v>
      </c>
      <c r="J592" t="n">
        <v>12975.144</v>
      </c>
    </row>
    <row r="593">
      <c r="A593" s="160" t="n">
        <v>43556</v>
      </c>
      <c r="B593" t="n">
        <v>2.3</v>
      </c>
      <c r="C593" t="n">
        <v>2551.325</v>
      </c>
      <c r="D593" t="n">
        <v>3274.933</v>
      </c>
      <c r="E593" t="n">
        <v>18982.528</v>
      </c>
      <c r="F593" t="n">
        <v>112.142</v>
      </c>
      <c r="G593" t="n">
        <v>3525.994</v>
      </c>
      <c r="H593" t="n">
        <v>3486.624</v>
      </c>
      <c r="I593" t="n">
        <v>111.783</v>
      </c>
      <c r="J593" t="n">
        <v>13088.759</v>
      </c>
    </row>
    <row r="594">
      <c r="A594" s="160" t="n">
        <v>43647</v>
      </c>
      <c r="B594" t="n">
        <v>1.8</v>
      </c>
      <c r="C594" t="n">
        <v>2545.891</v>
      </c>
      <c r="D594" t="n">
        <v>3291.711</v>
      </c>
      <c r="E594" t="n">
        <v>19112.653</v>
      </c>
      <c r="F594" t="n">
        <v>112.524</v>
      </c>
      <c r="G594" t="n">
        <v>3535.93</v>
      </c>
      <c r="H594" t="n">
        <v>3477.376</v>
      </c>
      <c r="I594" t="n">
        <v>112.269</v>
      </c>
      <c r="J594" t="n">
        <v>13192.261</v>
      </c>
    </row>
    <row r="595">
      <c r="A595" s="160" t="n">
        <v>43739</v>
      </c>
      <c r="B595" t="n">
        <v>1.4</v>
      </c>
      <c r="C595" t="n">
        <v>2553.312</v>
      </c>
      <c r="D595" t="n">
        <v>3316.263</v>
      </c>
      <c r="E595" t="n">
        <v>19202.31</v>
      </c>
      <c r="F595" t="n">
        <v>112.947</v>
      </c>
      <c r="G595" t="n">
        <v>3477.123</v>
      </c>
      <c r="H595" t="n">
        <v>3400.888</v>
      </c>
      <c r="I595" t="n">
        <v>112.647</v>
      </c>
      <c r="J595" t="n">
        <v>13248.981</v>
      </c>
    </row>
    <row r="596">
      <c r="A596" s="160" t="n">
        <v>43831</v>
      </c>
      <c r="B596" t="n">
        <v>1.7</v>
      </c>
      <c r="C596" t="n">
        <v>2442.052</v>
      </c>
      <c r="D596" t="n">
        <v>3346.322</v>
      </c>
      <c r="E596" t="n">
        <v>18951.992</v>
      </c>
      <c r="F596" t="n">
        <v>113.397</v>
      </c>
      <c r="G596" t="n">
        <v>3430.09</v>
      </c>
      <c r="H596" t="n">
        <v>3283.928</v>
      </c>
      <c r="I596" t="n">
        <v>113.135</v>
      </c>
      <c r="J596" t="n">
        <v>13014.489</v>
      </c>
    </row>
    <row r="597">
      <c r="A597" s="160" t="n">
        <v>43922</v>
      </c>
      <c r="B597" t="n">
        <v>-0.8</v>
      </c>
      <c r="C597" t="n">
        <v>1942.959</v>
      </c>
      <c r="D597" t="n">
        <v>3378.132</v>
      </c>
      <c r="E597" t="n">
        <v>17258.205</v>
      </c>
      <c r="F597" t="n">
        <v>112.969</v>
      </c>
      <c r="G597" t="n">
        <v>2901.934</v>
      </c>
      <c r="H597" t="n">
        <v>2717.742</v>
      </c>
      <c r="I597" t="n">
        <v>112.919</v>
      </c>
      <c r="J597" t="n">
        <v>11756.399</v>
      </c>
    </row>
    <row r="598">
      <c r="A598" s="160" t="n">
        <v>44013</v>
      </c>
      <c r="B598" t="n">
        <v>3.5</v>
      </c>
      <c r="C598" t="n">
        <v>2166.25</v>
      </c>
      <c r="D598" t="n">
        <v>3360.238</v>
      </c>
      <c r="E598" t="n">
        <v>18560.774</v>
      </c>
      <c r="F598" t="n">
        <v>113.984</v>
      </c>
      <c r="G598" t="n">
        <v>3370.975</v>
      </c>
      <c r="H598" t="n">
        <v>3187.514</v>
      </c>
      <c r="I598" t="n">
        <v>113.904</v>
      </c>
      <c r="J598" t="n">
        <v>12820.786</v>
      </c>
    </row>
    <row r="599">
      <c r="A599" s="160" t="n">
        <v>44105</v>
      </c>
      <c r="B599" t="n">
        <v>1.2</v>
      </c>
      <c r="C599" t="n">
        <v>2279.025</v>
      </c>
      <c r="D599" t="n">
        <v>3356.03</v>
      </c>
      <c r="E599" t="n">
        <v>18767.778</v>
      </c>
      <c r="F599" t="n">
        <v>114.611</v>
      </c>
      <c r="G599" t="n">
        <v>3561.893</v>
      </c>
      <c r="H599" t="n">
        <v>3411.843</v>
      </c>
      <c r="I599" t="n">
        <v>114.255</v>
      </c>
      <c r="J599" t="n">
        <v>12927.913</v>
      </c>
    </row>
    <row r="600">
      <c r="A600" s="160" t="n">
        <v>44197</v>
      </c>
      <c r="B600" t="n">
        <v>2.7</v>
      </c>
      <c r="C600" t="n">
        <v>2262.347</v>
      </c>
      <c r="D600" t="n">
        <v>3390.921</v>
      </c>
      <c r="E600" t="n">
        <v>19055.655</v>
      </c>
      <c r="F600" t="n">
        <v>115.826</v>
      </c>
      <c r="G600" t="n">
        <v>3541.305</v>
      </c>
      <c r="H600" t="n">
        <v>3488.445</v>
      </c>
      <c r="I600" t="n">
        <v>115.01</v>
      </c>
      <c r="J600" t="n">
        <v>13282.685</v>
      </c>
    </row>
    <row r="601">
      <c r="A601" s="160" t="n">
        <v>44287</v>
      </c>
      <c r="B601" t="n">
        <v>6.1</v>
      </c>
      <c r="C601" t="n">
        <v>2304.164</v>
      </c>
      <c r="D601" t="n">
        <v>3373.765</v>
      </c>
      <c r="E601" t="n">
        <v>19368.31</v>
      </c>
      <c r="F601" t="n">
        <v>117.546</v>
      </c>
      <c r="G601" t="n">
        <v>3506.014</v>
      </c>
      <c r="H601" t="n">
        <v>3548.699</v>
      </c>
      <c r="I601" t="n">
        <v>116.731</v>
      </c>
      <c r="J601" t="n">
        <v>13665.61</v>
      </c>
    </row>
    <row r="602">
      <c r="A602" s="160" t="n">
        <v>44378</v>
      </c>
      <c r="B602" t="n">
        <v>4.5</v>
      </c>
      <c r="C602" t="n">
        <v>2289.48</v>
      </c>
      <c r="D602" t="n">
        <v>3380.162</v>
      </c>
      <c r="E602" t="n">
        <v>19465.195</v>
      </c>
      <c r="F602" t="n">
        <v>119.19</v>
      </c>
      <c r="G602" t="n">
        <v>3604.304</v>
      </c>
      <c r="H602" t="n">
        <v>3601.184</v>
      </c>
      <c r="I602" t="n">
        <v>118.016</v>
      </c>
      <c r="J602" t="n">
        <v>13719.274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252" activePane="bottomLeft" state="frozen"/>
      <selection pane="bottomLeft" activeCell="AQ298" sqref="AQ298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21.33203125" customWidth="1" style="126" min="5" max="5"/>
    <col width="10.83203125" customWidth="1" style="126" min="6" max="16384"/>
  </cols>
  <sheetData>
    <row r="1" ht="16" customHeight="1" s="126">
      <c r="A1" s="86" t="inlineStr">
        <is>
          <t>GDPC1</t>
        </is>
      </c>
      <c r="B1" s="87" t="inlineStr">
        <is>
          <t>Real Gross Domestic Product</t>
        </is>
      </c>
      <c r="C1" s="25" t="n"/>
      <c r="D1" s="27" t="inlineStr">
        <is>
          <t>https://fred.stlouisfed.org/series/GDPC1</t>
        </is>
      </c>
      <c r="E1" s="26" t="n"/>
      <c r="F1" s="26" t="n"/>
      <c r="G1" s="26" t="n"/>
      <c r="H1" s="26" t="n"/>
      <c r="I1" s="27" t="inlineStr">
        <is>
          <t>https://tradingeconomics.com/united-states/gdp-constant-prices</t>
        </is>
      </c>
      <c r="J1" s="26" t="n"/>
      <c r="K1" s="26" t="n"/>
      <c r="L1" s="125" t="n"/>
      <c r="M1" s="125" t="n"/>
      <c r="N1" s="125" t="n"/>
      <c r="O1" s="125" t="n"/>
      <c r="P1" s="125" t="n"/>
    </row>
    <row r="2">
      <c r="A2" s="28" t="inlineStr">
        <is>
          <t xml:space="preserve"> Billions of Chained 2012 Dollars, Seasonally Adjusted Annual Rate</t>
        </is>
      </c>
      <c r="B2" s="24" t="n"/>
      <c r="C2" s="25" t="n"/>
      <c r="D2" s="25" t="n"/>
      <c r="E2" s="26" t="n"/>
      <c r="F2" s="161" t="n"/>
      <c r="G2" s="26" t="n"/>
      <c r="H2" s="30" t="n"/>
      <c r="I2" s="26" t="inlineStr">
        <is>
          <t>Column A Cell Format Date US Month day year</t>
        </is>
      </c>
      <c r="J2" s="26" t="n"/>
      <c r="K2" s="26" t="n"/>
      <c r="L2" s="125" t="n"/>
      <c r="M2" s="125" t="n"/>
      <c r="N2" s="125" t="n"/>
      <c r="O2" s="125" t="n"/>
      <c r="P2" s="125" t="n"/>
    </row>
    <row r="3">
      <c r="A3" s="162" t="n"/>
      <c r="B3" s="24" t="n"/>
      <c r="C3" s="25" t="n"/>
      <c r="D3" s="25" t="n"/>
      <c r="E3" s="26" t="n"/>
      <c r="F3" s="26" t="n"/>
      <c r="G3" s="26" t="n"/>
      <c r="H3" s="26" t="n"/>
      <c r="I3" s="26" t="n"/>
      <c r="J3" s="26" t="n"/>
      <c r="K3" s="26" t="n"/>
      <c r="L3" s="125" t="n"/>
      <c r="M3" s="125" t="n"/>
      <c r="N3" s="125" t="n"/>
      <c r="O3" s="125" t="n"/>
      <c r="P3" s="125" t="n"/>
    </row>
    <row r="4">
      <c r="A4" s="162" t="n"/>
      <c r="B4" s="24" t="n"/>
      <c r="C4" s="25" t="n"/>
      <c r="D4" s="25" t="n"/>
      <c r="E4" s="26" t="n"/>
      <c r="F4" s="26" t="n"/>
      <c r="G4" s="26" t="n"/>
      <c r="H4" s="26" t="n"/>
      <c r="I4" s="27">
        <f>C1&amp;A2</f>
        <v/>
      </c>
      <c r="J4" s="26" t="n"/>
      <c r="K4" s="26" t="n"/>
      <c r="L4" s="125" t="n"/>
      <c r="M4" s="125" t="n"/>
      <c r="N4" s="125" t="n"/>
      <c r="O4" s="125" t="n"/>
      <c r="P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GDP q/q %</t>
        </is>
      </c>
      <c r="D5" s="116" t="inlineStr">
        <is>
          <t>GDP y/y %</t>
        </is>
      </c>
      <c r="E5" s="117" t="inlineStr">
        <is>
          <t>GDP Annualized QoQ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topLeftCell="A5"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125" min="1" max="2"/>
    <col width="6.33203125" customWidth="1" style="126" min="3" max="3"/>
    <col width="7.6640625" customWidth="1" style="126" min="4" max="4"/>
    <col width="5.6640625" customWidth="1" style="126" min="5" max="6"/>
    <col width="3.33203125" customWidth="1" style="125" min="7" max="7"/>
    <col width="6.5" customWidth="1" style="126" min="8" max="8"/>
    <col width="7.6640625" customWidth="1" style="126" min="9" max="9"/>
    <col width="5.6640625" customWidth="1" style="126" min="10" max="11"/>
    <col width="3.33203125" customWidth="1" style="125" min="12" max="12"/>
    <col width="6.33203125" customWidth="1" style="126" min="13" max="13"/>
    <col width="9.1640625" customWidth="1" style="126" min="14" max="14"/>
    <col width="5.6640625" customWidth="1" style="126" min="15" max="16"/>
    <col width="3.5" customWidth="1" style="125" min="17" max="17"/>
    <col width="5.6640625" customWidth="1" style="126" min="18" max="18"/>
    <col width="7.6640625" customWidth="1" style="126" min="19" max="19"/>
    <col width="5.6640625" customWidth="1" style="126" min="20" max="21"/>
    <col width="3.5" customWidth="1" style="125" min="22" max="22"/>
    <col width="6.5" customWidth="1" style="126" min="23" max="23"/>
    <col width="7.6640625" customWidth="1" style="126" min="24" max="24"/>
    <col width="5.6640625" customWidth="1" style="126" min="25" max="26"/>
    <col width="2.5" customWidth="1" style="125" min="27" max="27"/>
    <col width="6" customWidth="1" style="126" min="28" max="28"/>
    <col width="7.6640625" customWidth="1" style="126" min="29" max="29"/>
    <col width="5.6640625" customWidth="1" style="126" min="30" max="31"/>
    <col width="2.6640625" customWidth="1" style="125" min="32" max="32"/>
    <col width="6" customWidth="1" style="126" min="33" max="33"/>
    <col width="7.6640625" customWidth="1" style="126" min="34" max="34"/>
    <col width="5.6640625" customWidth="1" style="126" min="35" max="36"/>
    <col width="3.33203125" customWidth="1" style="125" min="37" max="37"/>
    <col width="6" customWidth="1" style="126" min="38" max="38"/>
    <col width="7.6640625" customWidth="1" style="126" min="39" max="39"/>
    <col width="5.6640625" customWidth="1" style="126" min="40" max="41"/>
    <col width="9.1640625" customWidth="1" style="125" min="42" max="154"/>
  </cols>
  <sheetData>
    <row r="1" ht="16" customFormat="1" customHeight="1" s="125" thickBot="1">
      <c r="F1" s="57" t="n"/>
      <c r="K1" s="57" t="n"/>
    </row>
    <row r="2" ht="16" customFormat="1" customHeight="1" s="125" thickBot="1">
      <c r="C2" s="166" t="inlineStr">
        <is>
          <t>US GDP</t>
        </is>
      </c>
      <c r="D2" s="155" t="n"/>
      <c r="E2" s="155" t="n"/>
      <c r="F2" s="156" t="n"/>
      <c r="H2" s="166" t="inlineStr">
        <is>
          <t>Personal Consumption</t>
        </is>
      </c>
      <c r="I2" s="155" t="n"/>
      <c r="J2" s="155" t="n"/>
      <c r="K2" s="156" t="n"/>
      <c r="M2" s="167" t="inlineStr">
        <is>
          <t>Private Investment</t>
        </is>
      </c>
      <c r="N2" s="155" t="n"/>
      <c r="O2" s="155" t="n"/>
      <c r="P2" s="156" t="n"/>
      <c r="R2" s="167" t="inlineStr">
        <is>
          <t>Exports</t>
        </is>
      </c>
      <c r="S2" s="155" t="n"/>
      <c r="T2" s="155" t="n"/>
      <c r="U2" s="156" t="n"/>
      <c r="W2" s="167" t="inlineStr">
        <is>
          <t>Imports</t>
        </is>
      </c>
      <c r="X2" s="155" t="n"/>
      <c r="Y2" s="155" t="n"/>
      <c r="Z2" s="156" t="n"/>
      <c r="AB2" s="167" t="inlineStr">
        <is>
          <t>Government</t>
        </is>
      </c>
      <c r="AC2" s="155" t="n"/>
      <c r="AD2" s="155" t="n"/>
      <c r="AE2" s="156" t="n"/>
      <c r="AG2" s="167" t="inlineStr">
        <is>
          <t>GDP Price index</t>
        </is>
      </c>
      <c r="AH2" s="155" t="n"/>
      <c r="AI2" s="155" t="n"/>
      <c r="AJ2" s="156" t="n"/>
      <c r="AL2" s="166" t="inlineStr">
        <is>
          <t>Core PCE QoQ</t>
        </is>
      </c>
      <c r="AM2" s="155" t="n"/>
      <c r="AN2" s="155" t="n"/>
      <c r="AO2" s="156" t="n"/>
    </row>
    <row r="3" ht="13" customFormat="1" customHeight="1" s="5">
      <c r="A3" s="10" t="n"/>
      <c r="B3" s="10" t="n"/>
      <c r="C3" s="168" t="inlineStr">
        <is>
          <t>Date</t>
        </is>
      </c>
      <c r="D3" s="59" t="inlineStr">
        <is>
          <t>Value mil$</t>
        </is>
      </c>
      <c r="E3" s="60" t="inlineStr">
        <is>
          <t>q/q</t>
        </is>
      </c>
      <c r="F3" s="60" t="inlineStr">
        <is>
          <t>y/y</t>
        </is>
      </c>
      <c r="G3" s="10" t="n"/>
      <c r="H3" s="169" t="inlineStr">
        <is>
          <t>Date</t>
        </is>
      </c>
      <c r="I3" s="3" t="inlineStr">
        <is>
          <t>Value mil$</t>
        </is>
      </c>
      <c r="J3" s="4" t="inlineStr">
        <is>
          <t>q/q</t>
        </is>
      </c>
      <c r="K3" s="4" t="inlineStr">
        <is>
          <t>y/y</t>
        </is>
      </c>
      <c r="L3" s="10" t="n"/>
      <c r="M3" s="169" t="inlineStr">
        <is>
          <t>Date</t>
        </is>
      </c>
      <c r="N3" s="3" t="inlineStr">
        <is>
          <t>Value mil$</t>
        </is>
      </c>
      <c r="O3" s="4" t="inlineStr">
        <is>
          <t>q/q</t>
        </is>
      </c>
      <c r="P3" s="4" t="inlineStr">
        <is>
          <t>y/y</t>
        </is>
      </c>
      <c r="Q3" s="10" t="n"/>
      <c r="R3" s="169" t="inlineStr">
        <is>
          <t>Date</t>
        </is>
      </c>
      <c r="S3" s="3" t="inlineStr">
        <is>
          <t>Value mil$</t>
        </is>
      </c>
      <c r="T3" s="4" t="inlineStr">
        <is>
          <t>q/q</t>
        </is>
      </c>
      <c r="U3" s="4" t="inlineStr">
        <is>
          <t>y/y</t>
        </is>
      </c>
      <c r="V3" s="10" t="n"/>
      <c r="W3" s="169" t="inlineStr">
        <is>
          <t>Date</t>
        </is>
      </c>
      <c r="X3" s="3" t="inlineStr">
        <is>
          <t>Value mil$</t>
        </is>
      </c>
      <c r="Y3" s="4" t="inlineStr">
        <is>
          <t>q/q</t>
        </is>
      </c>
      <c r="Z3" s="4" t="inlineStr">
        <is>
          <t>y/y</t>
        </is>
      </c>
      <c r="AA3" s="10" t="n"/>
      <c r="AB3" s="169" t="inlineStr">
        <is>
          <t>Date</t>
        </is>
      </c>
      <c r="AC3" s="3" t="inlineStr">
        <is>
          <t>Value mil$</t>
        </is>
      </c>
      <c r="AD3" s="4" t="inlineStr">
        <is>
          <t>q/q</t>
        </is>
      </c>
      <c r="AE3" s="4" t="inlineStr">
        <is>
          <t>y/y</t>
        </is>
      </c>
      <c r="AF3" s="10" t="n"/>
      <c r="AG3" s="169" t="inlineStr">
        <is>
          <t>Date</t>
        </is>
      </c>
      <c r="AH3" s="3" t="inlineStr">
        <is>
          <t>Value mil$</t>
        </is>
      </c>
      <c r="AI3" s="4" t="inlineStr">
        <is>
          <t>q/q</t>
        </is>
      </c>
      <c r="AJ3" s="4" t="inlineStr">
        <is>
          <t>y/y</t>
        </is>
      </c>
      <c r="AK3" s="10" t="n"/>
      <c r="AL3" s="169" t="inlineStr">
        <is>
          <t>Date</t>
        </is>
      </c>
      <c r="AM3" s="3" t="inlineStr">
        <is>
          <t>Value mil$</t>
        </is>
      </c>
      <c r="AN3" s="4" t="inlineStr">
        <is>
          <t>q/q</t>
        </is>
      </c>
      <c r="AO3" s="4" t="inlineStr">
        <is>
          <t>y/y</t>
        </is>
      </c>
      <c r="AP3" s="10" t="n"/>
      <c r="AQ3" s="10" t="n"/>
      <c r="AR3" s="10" t="n"/>
      <c r="AS3" s="10" t="n"/>
      <c r="AT3" s="10" t="n"/>
      <c r="AU3" s="10" t="n"/>
      <c r="AV3" s="10" t="n"/>
      <c r="AW3" s="10" t="n"/>
      <c r="AX3" s="10" t="n"/>
      <c r="AY3" s="10" t="n"/>
      <c r="AZ3" s="10" t="n"/>
      <c r="BA3" s="10" t="n"/>
      <c r="BB3" s="10" t="n"/>
      <c r="BC3" s="10" t="n"/>
      <c r="BD3" s="10" t="n"/>
      <c r="BE3" s="10" t="n"/>
      <c r="BF3" s="10" t="n"/>
      <c r="BG3" s="10" t="n"/>
      <c r="BH3" s="10" t="n"/>
      <c r="BI3" s="10" t="n"/>
      <c r="BJ3" s="10" t="n"/>
      <c r="BK3" s="10" t="n"/>
      <c r="BL3" s="10" t="n"/>
      <c r="BM3" s="10" t="n"/>
      <c r="BN3" s="10" t="n"/>
      <c r="BO3" s="10" t="n"/>
      <c r="BP3" s="10" t="n"/>
      <c r="BQ3" s="10" t="n"/>
      <c r="BR3" s="10" t="n"/>
      <c r="BS3" s="10" t="n"/>
      <c r="BT3" s="10" t="n"/>
      <c r="BU3" s="10" t="n"/>
      <c r="BV3" s="10" t="n"/>
      <c r="BW3" s="10" t="n"/>
      <c r="BX3" s="10" t="n"/>
      <c r="BY3" s="10" t="n"/>
      <c r="BZ3" s="10" t="n"/>
      <c r="CA3" s="10" t="n"/>
      <c r="CB3" s="10" t="n"/>
      <c r="CC3" s="10" t="n"/>
      <c r="CD3" s="10" t="n"/>
      <c r="CE3" s="10" t="n"/>
      <c r="CF3" s="10" t="n"/>
      <c r="CG3" s="10" t="n"/>
      <c r="CH3" s="10" t="n"/>
      <c r="CI3" s="10" t="n"/>
      <c r="CJ3" s="10" t="n"/>
      <c r="CK3" s="10" t="n"/>
      <c r="CL3" s="10" t="n"/>
      <c r="CM3" s="10" t="n"/>
      <c r="CN3" s="10" t="n"/>
      <c r="CO3" s="10" t="n"/>
      <c r="CP3" s="10" t="n"/>
      <c r="CQ3" s="10" t="n"/>
      <c r="CR3" s="10" t="n"/>
      <c r="CS3" s="10" t="n"/>
      <c r="CT3" s="10" t="n"/>
      <c r="CU3" s="10" t="n"/>
      <c r="CV3" s="10" t="n"/>
      <c r="CW3" s="10" t="n"/>
      <c r="CX3" s="10" t="n"/>
      <c r="CY3" s="10" t="n"/>
      <c r="CZ3" s="10" t="n"/>
      <c r="DA3" s="10" t="n"/>
      <c r="DB3" s="10" t="n"/>
      <c r="DC3" s="10" t="n"/>
      <c r="DD3" s="10" t="n"/>
      <c r="DE3" s="10" t="n"/>
      <c r="DF3" s="10" t="n"/>
      <c r="DG3" s="10" t="n"/>
      <c r="DH3" s="10" t="n"/>
      <c r="DI3" s="10" t="n"/>
      <c r="DJ3" s="10" t="n"/>
      <c r="DK3" s="10" t="n"/>
      <c r="DL3" s="10" t="n"/>
      <c r="DM3" s="10" t="n"/>
      <c r="DN3" s="10" t="n"/>
      <c r="DO3" s="10" t="n"/>
      <c r="DP3" s="10" t="n"/>
      <c r="DQ3" s="10" t="n"/>
      <c r="DR3" s="10" t="n"/>
      <c r="DS3" s="10" t="n"/>
      <c r="DT3" s="10" t="n"/>
      <c r="DU3" s="10" t="n"/>
      <c r="DV3" s="10" t="n"/>
      <c r="DW3" s="10" t="n"/>
      <c r="DX3" s="10" t="n"/>
      <c r="DY3" s="10" t="n"/>
      <c r="DZ3" s="10" t="n"/>
      <c r="EA3" s="10" t="n"/>
      <c r="EB3" s="10" t="n"/>
      <c r="EC3" s="10" t="n"/>
      <c r="ED3" s="10" t="n"/>
      <c r="EE3" s="10" t="n"/>
      <c r="EF3" s="10" t="n"/>
      <c r="EG3" s="10" t="n"/>
      <c r="EH3" s="10" t="n"/>
      <c r="EI3" s="10" t="n"/>
      <c r="EJ3" s="10" t="n"/>
      <c r="EK3" s="10" t="n"/>
      <c r="EL3" s="10" t="n"/>
      <c r="EM3" s="10" t="n"/>
      <c r="EN3" s="10" t="n"/>
      <c r="EO3" s="10" t="n"/>
      <c r="EP3" s="10" t="n"/>
      <c r="EQ3" s="10" t="n"/>
      <c r="ER3" s="10" t="n"/>
      <c r="ES3" s="10" t="n"/>
      <c r="ET3" s="10" t="n"/>
      <c r="EU3" s="10" t="n"/>
      <c r="EV3" s="10" t="n"/>
      <c r="EW3" s="10" t="n"/>
      <c r="EX3" s="10" t="n"/>
    </row>
    <row r="4">
      <c r="C4" s="170">
        <f>'U.S. GDP'!A266</f>
        <v/>
      </c>
      <c r="D4" s="7">
        <f>'U.S. GDP'!B266</f>
        <v/>
      </c>
      <c r="E4" s="8">
        <f>'U.S. GDP'!C266</f>
        <v/>
      </c>
      <c r="F4" s="8">
        <f>'U.S. GDP'!E266</f>
        <v/>
      </c>
      <c r="H4" s="170">
        <f>PersonalConsumption!A266</f>
        <v/>
      </c>
      <c r="I4" s="7">
        <f>PersonalConsumption!B266</f>
        <v/>
      </c>
      <c r="J4" s="8">
        <f>PersonalConsumption!C266</f>
        <v/>
      </c>
      <c r="K4" s="8">
        <f>PersonalConsumption!E266</f>
        <v/>
      </c>
      <c r="M4" s="170">
        <f>PrivateInvestment!A266</f>
        <v/>
      </c>
      <c r="N4" s="7">
        <f>PrivateInvestment!B266</f>
        <v/>
      </c>
      <c r="O4" s="8">
        <f>PrivateInvestment!C266</f>
        <v/>
      </c>
      <c r="P4" s="8">
        <f>PrivateInvestment!E266</f>
        <v/>
      </c>
      <c r="R4" s="170">
        <f>Exports!A266</f>
        <v/>
      </c>
      <c r="S4" s="7">
        <f>Exports!B266</f>
        <v/>
      </c>
      <c r="T4" s="8">
        <f>Exports!C266</f>
        <v/>
      </c>
      <c r="U4" s="8">
        <f>Exports!E266</f>
        <v/>
      </c>
      <c r="W4" s="170">
        <f>Imports!A266</f>
        <v/>
      </c>
      <c r="X4" s="7">
        <f>Imports!B266</f>
        <v/>
      </c>
      <c r="Y4" s="8">
        <f>Imports!C266</f>
        <v/>
      </c>
      <c r="Z4" s="8">
        <f>Imports!E266</f>
        <v/>
      </c>
      <c r="AB4" s="170">
        <f>Government!A266</f>
        <v/>
      </c>
      <c r="AC4" s="7">
        <f>Government!B266</f>
        <v/>
      </c>
      <c r="AD4" s="8">
        <f>Government!C266</f>
        <v/>
      </c>
      <c r="AE4" s="8">
        <f>Government!E266</f>
        <v/>
      </c>
      <c r="AG4" s="170">
        <f>GDPPriceIndex!A266</f>
        <v/>
      </c>
      <c r="AH4" s="7">
        <f>GDPPriceIndex!B266</f>
        <v/>
      </c>
      <c r="AI4" s="8">
        <f>GDPPriceIndex!C266</f>
        <v/>
      </c>
      <c r="AJ4" s="8">
        <f>GDPPriceIndex!D266</f>
        <v/>
      </c>
      <c r="AL4" s="170">
        <f>CorePCE!A266</f>
        <v/>
      </c>
      <c r="AM4" s="7">
        <f>CorePCE!B266</f>
        <v/>
      </c>
      <c r="AN4" s="8">
        <f>CorePCE!C266</f>
        <v/>
      </c>
      <c r="AO4" s="8">
        <f>CorePCE!D266</f>
        <v/>
      </c>
    </row>
    <row r="5">
      <c r="C5" s="170">
        <f>'U.S. GDP'!A267</f>
        <v/>
      </c>
      <c r="D5" s="7">
        <f>'U.S. GDP'!B267</f>
        <v/>
      </c>
      <c r="E5" s="8">
        <f>'U.S. GDP'!C267</f>
        <v/>
      </c>
      <c r="F5" s="8">
        <f>'U.S. GDP'!E267</f>
        <v/>
      </c>
      <c r="H5" s="170">
        <f>PersonalConsumption!A267</f>
        <v/>
      </c>
      <c r="I5" s="7">
        <f>PersonalConsumption!B267</f>
        <v/>
      </c>
      <c r="J5" s="8">
        <f>PersonalConsumption!C267</f>
        <v/>
      </c>
      <c r="K5" s="8">
        <f>PersonalConsumption!E267</f>
        <v/>
      </c>
      <c r="M5" s="170">
        <f>PrivateInvestment!A267</f>
        <v/>
      </c>
      <c r="N5" s="7">
        <f>PrivateInvestment!B267</f>
        <v/>
      </c>
      <c r="O5" s="8">
        <f>PrivateInvestment!C267</f>
        <v/>
      </c>
      <c r="P5" s="8">
        <f>PrivateInvestment!E267</f>
        <v/>
      </c>
      <c r="R5" s="170">
        <f>Exports!A267</f>
        <v/>
      </c>
      <c r="S5" s="7">
        <f>Exports!B267</f>
        <v/>
      </c>
      <c r="T5" s="8">
        <f>Exports!C267</f>
        <v/>
      </c>
      <c r="U5" s="8">
        <f>Exports!E267</f>
        <v/>
      </c>
      <c r="W5" s="170">
        <f>Imports!A267</f>
        <v/>
      </c>
      <c r="X5" s="7">
        <f>Imports!B267</f>
        <v/>
      </c>
      <c r="Y5" s="8">
        <f>Imports!C267</f>
        <v/>
      </c>
      <c r="Z5" s="8">
        <f>Imports!E267</f>
        <v/>
      </c>
      <c r="AB5" s="170">
        <f>Government!A267</f>
        <v/>
      </c>
      <c r="AC5" s="7">
        <f>Government!B267</f>
        <v/>
      </c>
      <c r="AD5" s="8">
        <f>Government!C267</f>
        <v/>
      </c>
      <c r="AE5" s="8">
        <f>Government!E267</f>
        <v/>
      </c>
      <c r="AG5" s="170">
        <f>GDPPriceIndex!A267</f>
        <v/>
      </c>
      <c r="AH5" s="7">
        <f>GDPPriceIndex!B267</f>
        <v/>
      </c>
      <c r="AI5" s="8">
        <f>GDPPriceIndex!C267</f>
        <v/>
      </c>
      <c r="AJ5" s="8">
        <f>GDPPriceIndex!D267</f>
        <v/>
      </c>
      <c r="AL5" s="170">
        <f>CorePCE!A267</f>
        <v/>
      </c>
      <c r="AM5" s="7">
        <f>CorePCE!B267</f>
        <v/>
      </c>
      <c r="AN5" s="8">
        <f>CorePCE!C267</f>
        <v/>
      </c>
      <c r="AO5" s="8">
        <f>CorePCE!D267</f>
        <v/>
      </c>
    </row>
    <row r="6">
      <c r="C6" s="170">
        <f>'U.S. GDP'!A268</f>
        <v/>
      </c>
      <c r="D6" s="7">
        <f>'U.S. GDP'!B268</f>
        <v/>
      </c>
      <c r="E6" s="8">
        <f>'U.S. GDP'!C268</f>
        <v/>
      </c>
      <c r="F6" s="8">
        <f>'U.S. GDP'!E268</f>
        <v/>
      </c>
      <c r="H6" s="170">
        <f>PersonalConsumption!A268</f>
        <v/>
      </c>
      <c r="I6" s="7">
        <f>PersonalConsumption!B268</f>
        <v/>
      </c>
      <c r="J6" s="8">
        <f>PersonalConsumption!C268</f>
        <v/>
      </c>
      <c r="K6" s="8">
        <f>PersonalConsumption!E268</f>
        <v/>
      </c>
      <c r="M6" s="170">
        <f>PrivateInvestment!A268</f>
        <v/>
      </c>
      <c r="N6" s="7">
        <f>PrivateInvestment!B268</f>
        <v/>
      </c>
      <c r="O6" s="8">
        <f>PrivateInvestment!C268</f>
        <v/>
      </c>
      <c r="P6" s="8">
        <f>PrivateInvestment!E268</f>
        <v/>
      </c>
      <c r="R6" s="170">
        <f>Exports!A268</f>
        <v/>
      </c>
      <c r="S6" s="7">
        <f>Exports!B268</f>
        <v/>
      </c>
      <c r="T6" s="8">
        <f>Exports!C268</f>
        <v/>
      </c>
      <c r="U6" s="8">
        <f>Exports!E268</f>
        <v/>
      </c>
      <c r="W6" s="170">
        <f>Imports!A268</f>
        <v/>
      </c>
      <c r="X6" s="7">
        <f>Imports!B268</f>
        <v/>
      </c>
      <c r="Y6" s="8">
        <f>Imports!C268</f>
        <v/>
      </c>
      <c r="Z6" s="8">
        <f>Imports!E268</f>
        <v/>
      </c>
      <c r="AB6" s="170">
        <f>Government!A268</f>
        <v/>
      </c>
      <c r="AC6" s="7">
        <f>Government!B268</f>
        <v/>
      </c>
      <c r="AD6" s="8">
        <f>Government!C268</f>
        <v/>
      </c>
      <c r="AE6" s="8">
        <f>Government!E268</f>
        <v/>
      </c>
      <c r="AG6" s="170">
        <f>GDPPriceIndex!A268</f>
        <v/>
      </c>
      <c r="AH6" s="7">
        <f>GDPPriceIndex!B268</f>
        <v/>
      </c>
      <c r="AI6" s="8">
        <f>GDPPriceIndex!C268</f>
        <v/>
      </c>
      <c r="AJ6" s="8">
        <f>GDPPriceIndex!D268</f>
        <v/>
      </c>
      <c r="AL6" s="170">
        <f>CorePCE!A268</f>
        <v/>
      </c>
      <c r="AM6" s="7">
        <f>CorePCE!B268</f>
        <v/>
      </c>
      <c r="AN6" s="8">
        <f>CorePCE!C268</f>
        <v/>
      </c>
      <c r="AO6" s="8">
        <f>CorePCE!D268</f>
        <v/>
      </c>
    </row>
    <row r="7">
      <c r="C7" s="170">
        <f>'U.S. GDP'!A269</f>
        <v/>
      </c>
      <c r="D7" s="7">
        <f>'U.S. GDP'!B269</f>
        <v/>
      </c>
      <c r="E7" s="8">
        <f>'U.S. GDP'!C269</f>
        <v/>
      </c>
      <c r="F7" s="8">
        <f>'U.S. GDP'!E269</f>
        <v/>
      </c>
      <c r="H7" s="170">
        <f>PersonalConsumption!A269</f>
        <v/>
      </c>
      <c r="I7" s="7">
        <f>PersonalConsumption!B269</f>
        <v/>
      </c>
      <c r="J7" s="8">
        <f>PersonalConsumption!C269</f>
        <v/>
      </c>
      <c r="K7" s="8">
        <f>PersonalConsumption!E269</f>
        <v/>
      </c>
      <c r="M7" s="170">
        <f>PrivateInvestment!A269</f>
        <v/>
      </c>
      <c r="N7" s="7">
        <f>PrivateInvestment!B269</f>
        <v/>
      </c>
      <c r="O7" s="8">
        <f>PrivateInvestment!C269</f>
        <v/>
      </c>
      <c r="P7" s="8">
        <f>PrivateInvestment!E269</f>
        <v/>
      </c>
      <c r="R7" s="170">
        <f>Exports!A269</f>
        <v/>
      </c>
      <c r="S7" s="7">
        <f>Exports!B269</f>
        <v/>
      </c>
      <c r="T7" s="8">
        <f>Exports!C269</f>
        <v/>
      </c>
      <c r="U7" s="8">
        <f>Exports!E269</f>
        <v/>
      </c>
      <c r="W7" s="170">
        <f>Imports!A269</f>
        <v/>
      </c>
      <c r="X7" s="7">
        <f>Imports!B269</f>
        <v/>
      </c>
      <c r="Y7" s="8">
        <f>Imports!C269</f>
        <v/>
      </c>
      <c r="Z7" s="8">
        <f>Imports!E269</f>
        <v/>
      </c>
      <c r="AB7" s="170">
        <f>Government!A269</f>
        <v/>
      </c>
      <c r="AC7" s="7">
        <f>Government!B269</f>
        <v/>
      </c>
      <c r="AD7" s="8">
        <f>Government!C269</f>
        <v/>
      </c>
      <c r="AE7" s="8">
        <f>Government!E269</f>
        <v/>
      </c>
      <c r="AG7" s="170">
        <f>GDPPriceIndex!A269</f>
        <v/>
      </c>
      <c r="AH7" s="7">
        <f>GDPPriceIndex!B269</f>
        <v/>
      </c>
      <c r="AI7" s="8">
        <f>GDPPriceIndex!C269</f>
        <v/>
      </c>
      <c r="AJ7" s="8">
        <f>GDPPriceIndex!D269</f>
        <v/>
      </c>
      <c r="AL7" s="170">
        <f>CorePCE!A269</f>
        <v/>
      </c>
      <c r="AM7" s="7">
        <f>CorePCE!B269</f>
        <v/>
      </c>
      <c r="AN7" s="8">
        <f>CorePCE!C269</f>
        <v/>
      </c>
      <c r="AO7" s="8">
        <f>CorePCE!D269</f>
        <v/>
      </c>
    </row>
    <row r="8">
      <c r="C8" s="170">
        <f>'U.S. GDP'!A270</f>
        <v/>
      </c>
      <c r="D8" s="7">
        <f>'U.S. GDP'!B270</f>
        <v/>
      </c>
      <c r="E8" s="8">
        <f>'U.S. GDP'!C270</f>
        <v/>
      </c>
      <c r="F8" s="8">
        <f>'U.S. GDP'!E270</f>
        <v/>
      </c>
      <c r="H8" s="170">
        <f>PersonalConsumption!A270</f>
        <v/>
      </c>
      <c r="I8" s="7">
        <f>PersonalConsumption!B270</f>
        <v/>
      </c>
      <c r="J8" s="8">
        <f>PersonalConsumption!C270</f>
        <v/>
      </c>
      <c r="K8" s="8">
        <f>PersonalConsumption!E270</f>
        <v/>
      </c>
      <c r="M8" s="170">
        <f>PrivateInvestment!A270</f>
        <v/>
      </c>
      <c r="N8" s="7">
        <f>PrivateInvestment!B270</f>
        <v/>
      </c>
      <c r="O8" s="8">
        <f>PrivateInvestment!C270</f>
        <v/>
      </c>
      <c r="P8" s="8">
        <f>PrivateInvestment!E270</f>
        <v/>
      </c>
      <c r="R8" s="170">
        <f>Exports!A270</f>
        <v/>
      </c>
      <c r="S8" s="7">
        <f>Exports!B270</f>
        <v/>
      </c>
      <c r="T8" s="8">
        <f>Exports!C270</f>
        <v/>
      </c>
      <c r="U8" s="8">
        <f>Exports!E270</f>
        <v/>
      </c>
      <c r="W8" s="170">
        <f>Imports!A270</f>
        <v/>
      </c>
      <c r="X8" s="7">
        <f>Imports!B270</f>
        <v/>
      </c>
      <c r="Y8" s="8">
        <f>Imports!C270</f>
        <v/>
      </c>
      <c r="Z8" s="8">
        <f>Imports!E270</f>
        <v/>
      </c>
      <c r="AB8" s="170">
        <f>Government!A270</f>
        <v/>
      </c>
      <c r="AC8" s="7">
        <f>Government!B270</f>
        <v/>
      </c>
      <c r="AD8" s="8">
        <f>Government!C270</f>
        <v/>
      </c>
      <c r="AE8" s="8">
        <f>Government!E270</f>
        <v/>
      </c>
      <c r="AG8" s="170">
        <f>GDPPriceIndex!A270</f>
        <v/>
      </c>
      <c r="AH8" s="7">
        <f>GDPPriceIndex!B270</f>
        <v/>
      </c>
      <c r="AI8" s="8">
        <f>GDPPriceIndex!C270</f>
        <v/>
      </c>
      <c r="AJ8" s="8">
        <f>GDPPriceIndex!D270</f>
        <v/>
      </c>
      <c r="AL8" s="170">
        <f>CorePCE!A270</f>
        <v/>
      </c>
      <c r="AM8" s="7">
        <f>CorePCE!B270</f>
        <v/>
      </c>
      <c r="AN8" s="8">
        <f>CorePCE!C270</f>
        <v/>
      </c>
      <c r="AO8" s="8">
        <f>CorePCE!D270</f>
        <v/>
      </c>
    </row>
    <row r="9">
      <c r="C9" s="170">
        <f>'U.S. GDP'!A271</f>
        <v/>
      </c>
      <c r="D9" s="7">
        <f>'U.S. GDP'!B271</f>
        <v/>
      </c>
      <c r="E9" s="8">
        <f>'U.S. GDP'!C271</f>
        <v/>
      </c>
      <c r="F9" s="8">
        <f>'U.S. GDP'!E271</f>
        <v/>
      </c>
      <c r="H9" s="170">
        <f>PersonalConsumption!A271</f>
        <v/>
      </c>
      <c r="I9" s="7">
        <f>PersonalConsumption!B271</f>
        <v/>
      </c>
      <c r="J9" s="8">
        <f>PersonalConsumption!C271</f>
        <v/>
      </c>
      <c r="K9" s="8">
        <f>PersonalConsumption!E271</f>
        <v/>
      </c>
      <c r="M9" s="170">
        <f>PrivateInvestment!A271</f>
        <v/>
      </c>
      <c r="N9" s="7">
        <f>PrivateInvestment!B271</f>
        <v/>
      </c>
      <c r="O9" s="8">
        <f>PrivateInvestment!C271</f>
        <v/>
      </c>
      <c r="P9" s="8">
        <f>PrivateInvestment!E271</f>
        <v/>
      </c>
      <c r="R9" s="170">
        <f>Exports!A271</f>
        <v/>
      </c>
      <c r="S9" s="7">
        <f>Exports!B271</f>
        <v/>
      </c>
      <c r="T9" s="8">
        <f>Exports!C271</f>
        <v/>
      </c>
      <c r="U9" s="8">
        <f>Exports!E271</f>
        <v/>
      </c>
      <c r="W9" s="170">
        <f>Imports!A271</f>
        <v/>
      </c>
      <c r="X9" s="7">
        <f>Imports!B271</f>
        <v/>
      </c>
      <c r="Y9" s="8">
        <f>Imports!C271</f>
        <v/>
      </c>
      <c r="Z9" s="8">
        <f>Imports!E271</f>
        <v/>
      </c>
      <c r="AB9" s="170">
        <f>Government!A271</f>
        <v/>
      </c>
      <c r="AC9" s="7">
        <f>Government!B271</f>
        <v/>
      </c>
      <c r="AD9" s="8">
        <f>Government!C271</f>
        <v/>
      </c>
      <c r="AE9" s="8">
        <f>Government!E271</f>
        <v/>
      </c>
      <c r="AG9" s="170">
        <f>GDPPriceIndex!A271</f>
        <v/>
      </c>
      <c r="AH9" s="7">
        <f>GDPPriceIndex!B271</f>
        <v/>
      </c>
      <c r="AI9" s="8">
        <f>GDPPriceIndex!C271</f>
        <v/>
      </c>
      <c r="AJ9" s="8">
        <f>GDPPriceIndex!D271</f>
        <v/>
      </c>
      <c r="AL9" s="170">
        <f>CorePCE!A271</f>
        <v/>
      </c>
      <c r="AM9" s="7">
        <f>CorePCE!B271</f>
        <v/>
      </c>
      <c r="AN9" s="8">
        <f>CorePCE!C271</f>
        <v/>
      </c>
      <c r="AO9" s="8">
        <f>CorePCE!D271</f>
        <v/>
      </c>
    </row>
    <row r="10">
      <c r="C10" s="170">
        <f>'U.S. GDP'!A272</f>
        <v/>
      </c>
      <c r="D10" s="7">
        <f>'U.S. GDP'!B272</f>
        <v/>
      </c>
      <c r="E10" s="8">
        <f>'U.S. GDP'!C272</f>
        <v/>
      </c>
      <c r="F10" s="8">
        <f>'U.S. GDP'!E272</f>
        <v/>
      </c>
      <c r="H10" s="170">
        <f>PersonalConsumption!A272</f>
        <v/>
      </c>
      <c r="I10" s="7">
        <f>PersonalConsumption!B272</f>
        <v/>
      </c>
      <c r="J10" s="8">
        <f>PersonalConsumption!C272</f>
        <v/>
      </c>
      <c r="K10" s="8">
        <f>PersonalConsumption!E272</f>
        <v/>
      </c>
      <c r="M10" s="170">
        <f>PrivateInvestment!A272</f>
        <v/>
      </c>
      <c r="N10" s="7">
        <f>PrivateInvestment!B272</f>
        <v/>
      </c>
      <c r="O10" s="8">
        <f>PrivateInvestment!C272</f>
        <v/>
      </c>
      <c r="P10" s="8">
        <f>PrivateInvestment!E272</f>
        <v/>
      </c>
      <c r="R10" s="170">
        <f>Exports!A272</f>
        <v/>
      </c>
      <c r="S10" s="7">
        <f>Exports!B272</f>
        <v/>
      </c>
      <c r="T10" s="8">
        <f>Exports!C272</f>
        <v/>
      </c>
      <c r="U10" s="8">
        <f>Exports!E272</f>
        <v/>
      </c>
      <c r="W10" s="170">
        <f>Imports!A272</f>
        <v/>
      </c>
      <c r="X10" s="7">
        <f>Imports!B272</f>
        <v/>
      </c>
      <c r="Y10" s="8">
        <f>Imports!C272</f>
        <v/>
      </c>
      <c r="Z10" s="8">
        <f>Imports!E272</f>
        <v/>
      </c>
      <c r="AB10" s="170">
        <f>Government!A272</f>
        <v/>
      </c>
      <c r="AC10" s="7">
        <f>Government!B272</f>
        <v/>
      </c>
      <c r="AD10" s="8">
        <f>Government!C272</f>
        <v/>
      </c>
      <c r="AE10" s="8">
        <f>Government!E272</f>
        <v/>
      </c>
      <c r="AG10" s="170">
        <f>GDPPriceIndex!A272</f>
        <v/>
      </c>
      <c r="AH10" s="7">
        <f>GDPPriceIndex!B272</f>
        <v/>
      </c>
      <c r="AI10" s="8">
        <f>GDPPriceIndex!C272</f>
        <v/>
      </c>
      <c r="AJ10" s="8">
        <f>GDPPriceIndex!D272</f>
        <v/>
      </c>
      <c r="AL10" s="170">
        <f>CorePCE!A272</f>
        <v/>
      </c>
      <c r="AM10" s="7">
        <f>CorePCE!B272</f>
        <v/>
      </c>
      <c r="AN10" s="8">
        <f>CorePCE!C272</f>
        <v/>
      </c>
      <c r="AO10" s="8">
        <f>CorePCE!D272</f>
        <v/>
      </c>
    </row>
    <row r="11">
      <c r="C11" s="170">
        <f>'U.S. GDP'!A273</f>
        <v/>
      </c>
      <c r="D11" s="7">
        <f>'U.S. GDP'!B273</f>
        <v/>
      </c>
      <c r="E11" s="8">
        <f>'U.S. GDP'!C273</f>
        <v/>
      </c>
      <c r="F11" s="8">
        <f>'U.S. GDP'!E273</f>
        <v/>
      </c>
      <c r="H11" s="170">
        <f>PersonalConsumption!A273</f>
        <v/>
      </c>
      <c r="I11" s="7">
        <f>PersonalConsumption!B273</f>
        <v/>
      </c>
      <c r="J11" s="8">
        <f>PersonalConsumption!C273</f>
        <v/>
      </c>
      <c r="K11" s="8">
        <f>PersonalConsumption!E273</f>
        <v/>
      </c>
      <c r="M11" s="170">
        <f>PrivateInvestment!A273</f>
        <v/>
      </c>
      <c r="N11" s="7">
        <f>PrivateInvestment!B273</f>
        <v/>
      </c>
      <c r="O11" s="8">
        <f>PrivateInvestment!C273</f>
        <v/>
      </c>
      <c r="P11" s="8">
        <f>PrivateInvestment!E273</f>
        <v/>
      </c>
      <c r="R11" s="170">
        <f>Exports!A273</f>
        <v/>
      </c>
      <c r="S11" s="7">
        <f>Exports!B273</f>
        <v/>
      </c>
      <c r="T11" s="8">
        <f>Exports!C273</f>
        <v/>
      </c>
      <c r="U11" s="8">
        <f>Exports!E273</f>
        <v/>
      </c>
      <c r="W11" s="170">
        <f>Imports!A273</f>
        <v/>
      </c>
      <c r="X11" s="7">
        <f>Imports!B273</f>
        <v/>
      </c>
      <c r="Y11" s="8">
        <f>Imports!C273</f>
        <v/>
      </c>
      <c r="Z11" s="8">
        <f>Imports!E273</f>
        <v/>
      </c>
      <c r="AB11" s="170">
        <f>Government!A273</f>
        <v/>
      </c>
      <c r="AC11" s="7">
        <f>Government!B273</f>
        <v/>
      </c>
      <c r="AD11" s="8">
        <f>Government!C273</f>
        <v/>
      </c>
      <c r="AE11" s="8">
        <f>Government!E273</f>
        <v/>
      </c>
      <c r="AG11" s="170">
        <f>GDPPriceIndex!A273</f>
        <v/>
      </c>
      <c r="AH11" s="7">
        <f>GDPPriceIndex!B273</f>
        <v/>
      </c>
      <c r="AI11" s="8">
        <f>GDPPriceIndex!C273</f>
        <v/>
      </c>
      <c r="AJ11" s="8">
        <f>GDPPriceIndex!D273</f>
        <v/>
      </c>
      <c r="AL11" s="170">
        <f>CorePCE!A273</f>
        <v/>
      </c>
      <c r="AM11" s="7">
        <f>CorePCE!B273</f>
        <v/>
      </c>
      <c r="AN11" s="8">
        <f>CorePCE!C273</f>
        <v/>
      </c>
      <c r="AO11" s="8">
        <f>CorePCE!D273</f>
        <v/>
      </c>
    </row>
    <row r="12">
      <c r="C12" s="170">
        <f>'U.S. GDP'!A274</f>
        <v/>
      </c>
      <c r="D12" s="7">
        <f>'U.S. GDP'!B274</f>
        <v/>
      </c>
      <c r="E12" s="8">
        <f>'U.S. GDP'!C274</f>
        <v/>
      </c>
      <c r="F12" s="8">
        <f>'U.S. GDP'!E274</f>
        <v/>
      </c>
      <c r="H12" s="170">
        <f>PersonalConsumption!A274</f>
        <v/>
      </c>
      <c r="I12" s="7">
        <f>PersonalConsumption!B274</f>
        <v/>
      </c>
      <c r="J12" s="8">
        <f>PersonalConsumption!C274</f>
        <v/>
      </c>
      <c r="K12" s="8">
        <f>PersonalConsumption!E274</f>
        <v/>
      </c>
      <c r="M12" s="170">
        <f>PrivateInvestment!A274</f>
        <v/>
      </c>
      <c r="N12" s="7">
        <f>PrivateInvestment!B274</f>
        <v/>
      </c>
      <c r="O12" s="8">
        <f>PrivateInvestment!C274</f>
        <v/>
      </c>
      <c r="P12" s="8">
        <f>PrivateInvestment!E274</f>
        <v/>
      </c>
      <c r="R12" s="170">
        <f>Exports!A274</f>
        <v/>
      </c>
      <c r="S12" s="7">
        <f>Exports!B274</f>
        <v/>
      </c>
      <c r="T12" s="8">
        <f>Exports!C274</f>
        <v/>
      </c>
      <c r="U12" s="8">
        <f>Exports!E274</f>
        <v/>
      </c>
      <c r="W12" s="170">
        <f>Imports!A274</f>
        <v/>
      </c>
      <c r="X12" s="7">
        <f>Imports!B274</f>
        <v/>
      </c>
      <c r="Y12" s="8">
        <f>Imports!C274</f>
        <v/>
      </c>
      <c r="Z12" s="8">
        <f>Imports!E274</f>
        <v/>
      </c>
      <c r="AB12" s="170">
        <f>Government!A274</f>
        <v/>
      </c>
      <c r="AC12" s="7">
        <f>Government!B274</f>
        <v/>
      </c>
      <c r="AD12" s="8">
        <f>Government!C274</f>
        <v/>
      </c>
      <c r="AE12" s="8">
        <f>Government!E274</f>
        <v/>
      </c>
      <c r="AG12" s="170">
        <f>GDPPriceIndex!A274</f>
        <v/>
      </c>
      <c r="AH12" s="7">
        <f>GDPPriceIndex!B274</f>
        <v/>
      </c>
      <c r="AI12" s="8">
        <f>GDPPriceIndex!C274</f>
        <v/>
      </c>
      <c r="AJ12" s="8">
        <f>GDPPriceIndex!D274</f>
        <v/>
      </c>
      <c r="AL12" s="170">
        <f>CorePCE!A274</f>
        <v/>
      </c>
      <c r="AM12" s="7">
        <f>CorePCE!B274</f>
        <v/>
      </c>
      <c r="AN12" s="8">
        <f>CorePCE!C274</f>
        <v/>
      </c>
      <c r="AO12" s="8">
        <f>CorePCE!D274</f>
        <v/>
      </c>
    </row>
    <row r="13">
      <c r="C13" s="170">
        <f>'U.S. GDP'!A275</f>
        <v/>
      </c>
      <c r="D13" s="7">
        <f>'U.S. GDP'!B275</f>
        <v/>
      </c>
      <c r="E13" s="8">
        <f>'U.S. GDP'!C275</f>
        <v/>
      </c>
      <c r="F13" s="8">
        <f>'U.S. GDP'!E275</f>
        <v/>
      </c>
      <c r="H13" s="170">
        <f>PersonalConsumption!A275</f>
        <v/>
      </c>
      <c r="I13" s="7">
        <f>PersonalConsumption!B275</f>
        <v/>
      </c>
      <c r="J13" s="8">
        <f>PersonalConsumption!C275</f>
        <v/>
      </c>
      <c r="K13" s="8">
        <f>PersonalConsumption!E275</f>
        <v/>
      </c>
      <c r="M13" s="170">
        <f>PrivateInvestment!A275</f>
        <v/>
      </c>
      <c r="N13" s="7">
        <f>PrivateInvestment!B275</f>
        <v/>
      </c>
      <c r="O13" s="8">
        <f>PrivateInvestment!C275</f>
        <v/>
      </c>
      <c r="P13" s="8">
        <f>PrivateInvestment!E275</f>
        <v/>
      </c>
      <c r="R13" s="170">
        <f>Exports!A275</f>
        <v/>
      </c>
      <c r="S13" s="7">
        <f>Exports!B275</f>
        <v/>
      </c>
      <c r="T13" s="8">
        <f>Exports!C275</f>
        <v/>
      </c>
      <c r="U13" s="8">
        <f>Exports!E275</f>
        <v/>
      </c>
      <c r="W13" s="170">
        <f>Imports!A275</f>
        <v/>
      </c>
      <c r="X13" s="7">
        <f>Imports!B275</f>
        <v/>
      </c>
      <c r="Y13" s="8">
        <f>Imports!C275</f>
        <v/>
      </c>
      <c r="Z13" s="8">
        <f>Imports!E275</f>
        <v/>
      </c>
      <c r="AB13" s="170">
        <f>Government!A275</f>
        <v/>
      </c>
      <c r="AC13" s="7">
        <f>Government!B275</f>
        <v/>
      </c>
      <c r="AD13" s="8">
        <f>Government!C275</f>
        <v/>
      </c>
      <c r="AE13" s="8">
        <f>Government!E275</f>
        <v/>
      </c>
      <c r="AG13" s="170">
        <f>GDPPriceIndex!A275</f>
        <v/>
      </c>
      <c r="AH13" s="7">
        <f>GDPPriceIndex!B275</f>
        <v/>
      </c>
      <c r="AI13" s="8">
        <f>GDPPriceIndex!C275</f>
        <v/>
      </c>
      <c r="AJ13" s="8">
        <f>GDPPriceIndex!D275</f>
        <v/>
      </c>
      <c r="AL13" s="170">
        <f>CorePCE!A275</f>
        <v/>
      </c>
      <c r="AM13" s="7">
        <f>CorePCE!B275</f>
        <v/>
      </c>
      <c r="AN13" s="8">
        <f>CorePCE!C275</f>
        <v/>
      </c>
      <c r="AO13" s="8">
        <f>CorePCE!D275</f>
        <v/>
      </c>
    </row>
    <row r="14">
      <c r="C14" s="170">
        <f>'U.S. GDP'!A276</f>
        <v/>
      </c>
      <c r="D14" s="7">
        <f>'U.S. GDP'!B276</f>
        <v/>
      </c>
      <c r="E14" s="8">
        <f>'U.S. GDP'!C276</f>
        <v/>
      </c>
      <c r="F14" s="8">
        <f>'U.S. GDP'!E276</f>
        <v/>
      </c>
      <c r="H14" s="170">
        <f>PersonalConsumption!A276</f>
        <v/>
      </c>
      <c r="I14" s="7">
        <f>PersonalConsumption!B276</f>
        <v/>
      </c>
      <c r="J14" s="8">
        <f>PersonalConsumption!C276</f>
        <v/>
      </c>
      <c r="K14" s="8">
        <f>PersonalConsumption!E276</f>
        <v/>
      </c>
      <c r="M14" s="170">
        <f>PrivateInvestment!A276</f>
        <v/>
      </c>
      <c r="N14" s="7">
        <f>PrivateInvestment!B276</f>
        <v/>
      </c>
      <c r="O14" s="8">
        <f>PrivateInvestment!C276</f>
        <v/>
      </c>
      <c r="P14" s="8">
        <f>PrivateInvestment!E276</f>
        <v/>
      </c>
      <c r="R14" s="170">
        <f>Exports!A276</f>
        <v/>
      </c>
      <c r="S14" s="7">
        <f>Exports!B276</f>
        <v/>
      </c>
      <c r="T14" s="8">
        <f>Exports!C276</f>
        <v/>
      </c>
      <c r="U14" s="8">
        <f>Exports!E276</f>
        <v/>
      </c>
      <c r="W14" s="170">
        <f>Imports!A276</f>
        <v/>
      </c>
      <c r="X14" s="7">
        <f>Imports!B276</f>
        <v/>
      </c>
      <c r="Y14" s="8">
        <f>Imports!C276</f>
        <v/>
      </c>
      <c r="Z14" s="8">
        <f>Imports!E276</f>
        <v/>
      </c>
      <c r="AB14" s="170">
        <f>Government!A276</f>
        <v/>
      </c>
      <c r="AC14" s="7">
        <f>Government!B276</f>
        <v/>
      </c>
      <c r="AD14" s="8">
        <f>Government!C276</f>
        <v/>
      </c>
      <c r="AE14" s="8">
        <f>Government!E276</f>
        <v/>
      </c>
      <c r="AG14" s="170">
        <f>GDPPriceIndex!A276</f>
        <v/>
      </c>
      <c r="AH14" s="7">
        <f>GDPPriceIndex!B276</f>
        <v/>
      </c>
      <c r="AI14" s="8">
        <f>GDPPriceIndex!C276</f>
        <v/>
      </c>
      <c r="AJ14" s="8">
        <f>GDPPriceIndex!D276</f>
        <v/>
      </c>
      <c r="AL14" s="170">
        <f>CorePCE!A276</f>
        <v/>
      </c>
      <c r="AM14" s="7">
        <f>CorePCE!B276</f>
        <v/>
      </c>
      <c r="AN14" s="8">
        <f>CorePCE!C276</f>
        <v/>
      </c>
      <c r="AO14" s="8">
        <f>CorePCE!D276</f>
        <v/>
      </c>
    </row>
    <row r="15">
      <c r="C15" s="170">
        <f>'U.S. GDP'!A277</f>
        <v/>
      </c>
      <c r="D15" s="7">
        <f>'U.S. GDP'!B277</f>
        <v/>
      </c>
      <c r="E15" s="8">
        <f>'U.S. GDP'!C277</f>
        <v/>
      </c>
      <c r="F15" s="8">
        <f>'U.S. GDP'!E277</f>
        <v/>
      </c>
      <c r="H15" s="170">
        <f>PersonalConsumption!A277</f>
        <v/>
      </c>
      <c r="I15" s="7">
        <f>PersonalConsumption!B277</f>
        <v/>
      </c>
      <c r="J15" s="8">
        <f>PersonalConsumption!C277</f>
        <v/>
      </c>
      <c r="K15" s="8">
        <f>PersonalConsumption!E277</f>
        <v/>
      </c>
      <c r="M15" s="170">
        <f>PrivateInvestment!A277</f>
        <v/>
      </c>
      <c r="N15" s="7">
        <f>PrivateInvestment!B277</f>
        <v/>
      </c>
      <c r="O15" s="8">
        <f>PrivateInvestment!C277</f>
        <v/>
      </c>
      <c r="P15" s="8">
        <f>PrivateInvestment!E277</f>
        <v/>
      </c>
      <c r="R15" s="170">
        <f>Exports!A277</f>
        <v/>
      </c>
      <c r="S15" s="7">
        <f>Exports!B277</f>
        <v/>
      </c>
      <c r="T15" s="8">
        <f>Exports!C277</f>
        <v/>
      </c>
      <c r="U15" s="8">
        <f>Exports!E277</f>
        <v/>
      </c>
      <c r="W15" s="170">
        <f>Imports!A277</f>
        <v/>
      </c>
      <c r="X15" s="7">
        <f>Imports!B277</f>
        <v/>
      </c>
      <c r="Y15" s="8">
        <f>Imports!C277</f>
        <v/>
      </c>
      <c r="Z15" s="8">
        <f>Imports!E277</f>
        <v/>
      </c>
      <c r="AB15" s="170">
        <f>Government!A277</f>
        <v/>
      </c>
      <c r="AC15" s="7">
        <f>Government!B277</f>
        <v/>
      </c>
      <c r="AD15" s="8">
        <f>Government!C277</f>
        <v/>
      </c>
      <c r="AE15" s="8">
        <f>Government!E277</f>
        <v/>
      </c>
      <c r="AG15" s="170">
        <f>GDPPriceIndex!A277</f>
        <v/>
      </c>
      <c r="AH15" s="7">
        <f>GDPPriceIndex!B277</f>
        <v/>
      </c>
      <c r="AI15" s="8">
        <f>GDPPriceIndex!C277</f>
        <v/>
      </c>
      <c r="AJ15" s="8">
        <f>GDPPriceIndex!D277</f>
        <v/>
      </c>
      <c r="AL15" s="170">
        <f>CorePCE!A277</f>
        <v/>
      </c>
      <c r="AM15" s="7">
        <f>CorePCE!B277</f>
        <v/>
      </c>
      <c r="AN15" s="8">
        <f>CorePCE!C277</f>
        <v/>
      </c>
      <c r="AO15" s="8">
        <f>CorePCE!D277</f>
        <v/>
      </c>
    </row>
    <row r="16">
      <c r="C16" s="170">
        <f>'U.S. GDP'!A278</f>
        <v/>
      </c>
      <c r="D16" s="7">
        <f>'U.S. GDP'!B278</f>
        <v/>
      </c>
      <c r="E16" s="8">
        <f>'U.S. GDP'!C278</f>
        <v/>
      </c>
      <c r="F16" s="8">
        <f>'U.S. GDP'!E278</f>
        <v/>
      </c>
      <c r="H16" s="170">
        <f>PersonalConsumption!A278</f>
        <v/>
      </c>
      <c r="I16" s="7">
        <f>PersonalConsumption!B278</f>
        <v/>
      </c>
      <c r="J16" s="8">
        <f>PersonalConsumption!C278</f>
        <v/>
      </c>
      <c r="K16" s="8">
        <f>PersonalConsumption!E278</f>
        <v/>
      </c>
      <c r="M16" s="170">
        <f>PrivateInvestment!A278</f>
        <v/>
      </c>
      <c r="N16" s="7">
        <f>PrivateInvestment!B278</f>
        <v/>
      </c>
      <c r="O16" s="8">
        <f>PrivateInvestment!C278</f>
        <v/>
      </c>
      <c r="P16" s="8">
        <f>PrivateInvestment!E278</f>
        <v/>
      </c>
      <c r="R16" s="170">
        <f>Exports!A278</f>
        <v/>
      </c>
      <c r="S16" s="7">
        <f>Exports!B278</f>
        <v/>
      </c>
      <c r="T16" s="8">
        <f>Exports!C278</f>
        <v/>
      </c>
      <c r="U16" s="8">
        <f>Exports!E278</f>
        <v/>
      </c>
      <c r="W16" s="170">
        <f>Imports!A278</f>
        <v/>
      </c>
      <c r="X16" s="7">
        <f>Imports!B278</f>
        <v/>
      </c>
      <c r="Y16" s="8">
        <f>Imports!C278</f>
        <v/>
      </c>
      <c r="Z16" s="8">
        <f>Imports!E278</f>
        <v/>
      </c>
      <c r="AB16" s="170">
        <f>Government!A278</f>
        <v/>
      </c>
      <c r="AC16" s="7">
        <f>Government!B278</f>
        <v/>
      </c>
      <c r="AD16" s="8">
        <f>Government!C278</f>
        <v/>
      </c>
      <c r="AE16" s="8">
        <f>Government!E278</f>
        <v/>
      </c>
      <c r="AG16" s="170">
        <f>GDPPriceIndex!A278</f>
        <v/>
      </c>
      <c r="AH16" s="7">
        <f>GDPPriceIndex!B278</f>
        <v/>
      </c>
      <c r="AI16" s="8">
        <f>GDPPriceIndex!C278</f>
        <v/>
      </c>
      <c r="AJ16" s="8">
        <f>GDPPriceIndex!D278</f>
        <v/>
      </c>
      <c r="AL16" s="170">
        <f>CorePCE!A278</f>
        <v/>
      </c>
      <c r="AM16" s="7">
        <f>CorePCE!B278</f>
        <v/>
      </c>
      <c r="AN16" s="8">
        <f>CorePCE!C278</f>
        <v/>
      </c>
      <c r="AO16" s="8">
        <f>CorePCE!D278</f>
        <v/>
      </c>
    </row>
    <row r="17">
      <c r="C17" s="170">
        <f>'U.S. GDP'!A279</f>
        <v/>
      </c>
      <c r="D17" s="7">
        <f>'U.S. GDP'!B279</f>
        <v/>
      </c>
      <c r="E17" s="8">
        <f>'U.S. GDP'!C279</f>
        <v/>
      </c>
      <c r="F17" s="8">
        <f>'U.S. GDP'!E279</f>
        <v/>
      </c>
      <c r="H17" s="170">
        <f>PersonalConsumption!A279</f>
        <v/>
      </c>
      <c r="I17" s="7">
        <f>PersonalConsumption!B279</f>
        <v/>
      </c>
      <c r="J17" s="8">
        <f>PersonalConsumption!C279</f>
        <v/>
      </c>
      <c r="K17" s="8">
        <f>PersonalConsumption!E279</f>
        <v/>
      </c>
      <c r="M17" s="170">
        <f>PrivateInvestment!A279</f>
        <v/>
      </c>
      <c r="N17" s="7">
        <f>PrivateInvestment!B279</f>
        <v/>
      </c>
      <c r="O17" s="8">
        <f>PrivateInvestment!C279</f>
        <v/>
      </c>
      <c r="P17" s="8">
        <f>PrivateInvestment!E279</f>
        <v/>
      </c>
      <c r="R17" s="170">
        <f>Exports!A279</f>
        <v/>
      </c>
      <c r="S17" s="7">
        <f>Exports!B279</f>
        <v/>
      </c>
      <c r="T17" s="8">
        <f>Exports!C279</f>
        <v/>
      </c>
      <c r="U17" s="8">
        <f>Exports!E279</f>
        <v/>
      </c>
      <c r="W17" s="170">
        <f>Imports!A279</f>
        <v/>
      </c>
      <c r="X17" s="7">
        <f>Imports!B279</f>
        <v/>
      </c>
      <c r="Y17" s="8">
        <f>Imports!C279</f>
        <v/>
      </c>
      <c r="Z17" s="8">
        <f>Imports!E279</f>
        <v/>
      </c>
      <c r="AB17" s="170">
        <f>Government!A279</f>
        <v/>
      </c>
      <c r="AC17" s="7">
        <f>Government!B279</f>
        <v/>
      </c>
      <c r="AD17" s="8">
        <f>Government!C279</f>
        <v/>
      </c>
      <c r="AE17" s="8">
        <f>Government!E279</f>
        <v/>
      </c>
      <c r="AG17" s="170">
        <f>GDPPriceIndex!A279</f>
        <v/>
      </c>
      <c r="AH17" s="7">
        <f>GDPPriceIndex!B279</f>
        <v/>
      </c>
      <c r="AI17" s="8">
        <f>GDPPriceIndex!C279</f>
        <v/>
      </c>
      <c r="AJ17" s="8">
        <f>GDPPriceIndex!D279</f>
        <v/>
      </c>
      <c r="AL17" s="170">
        <f>CorePCE!A279</f>
        <v/>
      </c>
      <c r="AM17" s="7">
        <f>CorePCE!B279</f>
        <v/>
      </c>
      <c r="AN17" s="8">
        <f>CorePCE!C279</f>
        <v/>
      </c>
      <c r="AO17" s="8">
        <f>CorePCE!D279</f>
        <v/>
      </c>
    </row>
    <row r="18">
      <c r="C18" s="170">
        <f>'U.S. GDP'!A280</f>
        <v/>
      </c>
      <c r="D18" s="7">
        <f>'U.S. GDP'!B280</f>
        <v/>
      </c>
      <c r="E18" s="8">
        <f>'U.S. GDP'!C280</f>
        <v/>
      </c>
      <c r="F18" s="8">
        <f>'U.S. GDP'!E280</f>
        <v/>
      </c>
      <c r="H18" s="170">
        <f>PersonalConsumption!A280</f>
        <v/>
      </c>
      <c r="I18" s="7">
        <f>PersonalConsumption!B280</f>
        <v/>
      </c>
      <c r="J18" s="8">
        <f>PersonalConsumption!C280</f>
        <v/>
      </c>
      <c r="K18" s="8">
        <f>PersonalConsumption!E280</f>
        <v/>
      </c>
      <c r="M18" s="170">
        <f>PrivateInvestment!A280</f>
        <v/>
      </c>
      <c r="N18" s="7">
        <f>PrivateInvestment!B280</f>
        <v/>
      </c>
      <c r="O18" s="8">
        <f>PrivateInvestment!C280</f>
        <v/>
      </c>
      <c r="P18" s="8">
        <f>PrivateInvestment!E280</f>
        <v/>
      </c>
      <c r="R18" s="170">
        <f>Exports!A280</f>
        <v/>
      </c>
      <c r="S18" s="7">
        <f>Exports!B280</f>
        <v/>
      </c>
      <c r="T18" s="8">
        <f>Exports!C280</f>
        <v/>
      </c>
      <c r="U18" s="8">
        <f>Exports!E280</f>
        <v/>
      </c>
      <c r="W18" s="170">
        <f>Imports!A280</f>
        <v/>
      </c>
      <c r="X18" s="7">
        <f>Imports!B280</f>
        <v/>
      </c>
      <c r="Y18" s="8">
        <f>Imports!C280</f>
        <v/>
      </c>
      <c r="Z18" s="8">
        <f>Imports!E280</f>
        <v/>
      </c>
      <c r="AB18" s="170">
        <f>Government!A280</f>
        <v/>
      </c>
      <c r="AC18" s="7">
        <f>Government!B280</f>
        <v/>
      </c>
      <c r="AD18" s="8">
        <f>Government!C280</f>
        <v/>
      </c>
      <c r="AE18" s="8">
        <f>Government!E280</f>
        <v/>
      </c>
      <c r="AG18" s="170">
        <f>GDPPriceIndex!A280</f>
        <v/>
      </c>
      <c r="AH18" s="7">
        <f>GDPPriceIndex!B280</f>
        <v/>
      </c>
      <c r="AI18" s="8">
        <f>GDPPriceIndex!C280</f>
        <v/>
      </c>
      <c r="AJ18" s="8">
        <f>GDPPriceIndex!D280</f>
        <v/>
      </c>
      <c r="AL18" s="170">
        <f>CorePCE!A280</f>
        <v/>
      </c>
      <c r="AM18" s="7">
        <f>CorePCE!B280</f>
        <v/>
      </c>
      <c r="AN18" s="8">
        <f>CorePCE!C280</f>
        <v/>
      </c>
      <c r="AO18" s="8">
        <f>CorePCE!D280</f>
        <v/>
      </c>
    </row>
    <row r="19">
      <c r="C19" s="170">
        <f>'U.S. GDP'!A281</f>
        <v/>
      </c>
      <c r="D19" s="7">
        <f>'U.S. GDP'!B281</f>
        <v/>
      </c>
      <c r="E19" s="8">
        <f>'U.S. GDP'!C281</f>
        <v/>
      </c>
      <c r="F19" s="8">
        <f>'U.S. GDP'!E281</f>
        <v/>
      </c>
      <c r="H19" s="170">
        <f>PersonalConsumption!A281</f>
        <v/>
      </c>
      <c r="I19" s="7">
        <f>PersonalConsumption!B281</f>
        <v/>
      </c>
      <c r="J19" s="8">
        <f>PersonalConsumption!C281</f>
        <v/>
      </c>
      <c r="K19" s="8">
        <f>PersonalConsumption!E281</f>
        <v/>
      </c>
      <c r="M19" s="170">
        <f>PrivateInvestment!A281</f>
        <v/>
      </c>
      <c r="N19" s="7">
        <f>PrivateInvestment!B281</f>
        <v/>
      </c>
      <c r="O19" s="8">
        <f>PrivateInvestment!C281</f>
        <v/>
      </c>
      <c r="P19" s="8">
        <f>PrivateInvestment!E281</f>
        <v/>
      </c>
      <c r="R19" s="170">
        <f>Exports!A281</f>
        <v/>
      </c>
      <c r="S19" s="7">
        <f>Exports!B281</f>
        <v/>
      </c>
      <c r="T19" s="8">
        <f>Exports!C281</f>
        <v/>
      </c>
      <c r="U19" s="8">
        <f>Exports!E281</f>
        <v/>
      </c>
      <c r="W19" s="170">
        <f>Imports!A281</f>
        <v/>
      </c>
      <c r="X19" s="7">
        <f>Imports!B281</f>
        <v/>
      </c>
      <c r="Y19" s="8">
        <f>Imports!C281</f>
        <v/>
      </c>
      <c r="Z19" s="8">
        <f>Imports!E281</f>
        <v/>
      </c>
      <c r="AB19" s="170">
        <f>Government!A281</f>
        <v/>
      </c>
      <c r="AC19" s="7">
        <f>Government!B281</f>
        <v/>
      </c>
      <c r="AD19" s="8">
        <f>Government!C281</f>
        <v/>
      </c>
      <c r="AE19" s="8">
        <f>Government!E281</f>
        <v/>
      </c>
      <c r="AG19" s="170">
        <f>GDPPriceIndex!A281</f>
        <v/>
      </c>
      <c r="AH19" s="7">
        <f>GDPPriceIndex!B281</f>
        <v/>
      </c>
      <c r="AI19" s="8">
        <f>GDPPriceIndex!C281</f>
        <v/>
      </c>
      <c r="AJ19" s="8">
        <f>GDPPriceIndex!D281</f>
        <v/>
      </c>
      <c r="AL19" s="170">
        <f>CorePCE!A281</f>
        <v/>
      </c>
      <c r="AM19" s="7">
        <f>CorePCE!B281</f>
        <v/>
      </c>
      <c r="AN19" s="8">
        <f>CorePCE!C281</f>
        <v/>
      </c>
      <c r="AO19" s="8">
        <f>CorePCE!D281</f>
        <v/>
      </c>
    </row>
    <row r="20">
      <c r="C20" s="170">
        <f>'U.S. GDP'!A282</f>
        <v/>
      </c>
      <c r="D20" s="7">
        <f>'U.S. GDP'!B282</f>
        <v/>
      </c>
      <c r="E20" s="8">
        <f>'U.S. GDP'!C282</f>
        <v/>
      </c>
      <c r="F20" s="8">
        <f>'U.S. GDP'!E282</f>
        <v/>
      </c>
      <c r="H20" s="170">
        <f>PersonalConsumption!A282</f>
        <v/>
      </c>
      <c r="I20" s="7">
        <f>PersonalConsumption!B282</f>
        <v/>
      </c>
      <c r="J20" s="8">
        <f>PersonalConsumption!C282</f>
        <v/>
      </c>
      <c r="K20" s="8">
        <f>PersonalConsumption!E282</f>
        <v/>
      </c>
      <c r="M20" s="170">
        <f>PrivateInvestment!A282</f>
        <v/>
      </c>
      <c r="N20" s="7">
        <f>PrivateInvestment!B282</f>
        <v/>
      </c>
      <c r="O20" s="8">
        <f>PrivateInvestment!C282</f>
        <v/>
      </c>
      <c r="P20" s="8">
        <f>PrivateInvestment!E282</f>
        <v/>
      </c>
      <c r="R20" s="170">
        <f>Exports!A282</f>
        <v/>
      </c>
      <c r="S20" s="7">
        <f>Exports!B282</f>
        <v/>
      </c>
      <c r="T20" s="8">
        <f>Exports!C282</f>
        <v/>
      </c>
      <c r="U20" s="8">
        <f>Exports!E282</f>
        <v/>
      </c>
      <c r="W20" s="170">
        <f>Imports!A282</f>
        <v/>
      </c>
      <c r="X20" s="7">
        <f>Imports!B282</f>
        <v/>
      </c>
      <c r="Y20" s="8">
        <f>Imports!C282</f>
        <v/>
      </c>
      <c r="Z20" s="8">
        <f>Imports!E282</f>
        <v/>
      </c>
      <c r="AB20" s="170">
        <f>Government!A282</f>
        <v/>
      </c>
      <c r="AC20" s="7">
        <f>Government!B282</f>
        <v/>
      </c>
      <c r="AD20" s="8">
        <f>Government!C282</f>
        <v/>
      </c>
      <c r="AE20" s="8">
        <f>Government!E282</f>
        <v/>
      </c>
      <c r="AG20" s="170">
        <f>GDPPriceIndex!A282</f>
        <v/>
      </c>
      <c r="AH20" s="7">
        <f>GDPPriceIndex!B282</f>
        <v/>
      </c>
      <c r="AI20" s="8">
        <f>GDPPriceIndex!C282</f>
        <v/>
      </c>
      <c r="AJ20" s="8">
        <f>GDPPriceIndex!D282</f>
        <v/>
      </c>
      <c r="AL20" s="170">
        <f>CorePCE!A282</f>
        <v/>
      </c>
      <c r="AM20" s="7">
        <f>CorePCE!B282</f>
        <v/>
      </c>
      <c r="AN20" s="8">
        <f>CorePCE!C282</f>
        <v/>
      </c>
      <c r="AO20" s="8">
        <f>CorePCE!D282</f>
        <v/>
      </c>
    </row>
    <row r="21">
      <c r="C21" s="170">
        <f>'U.S. GDP'!A283</f>
        <v/>
      </c>
      <c r="D21" s="7">
        <f>'U.S. GDP'!B283</f>
        <v/>
      </c>
      <c r="E21" s="8">
        <f>'U.S. GDP'!C283</f>
        <v/>
      </c>
      <c r="F21" s="8">
        <f>'U.S. GDP'!E283</f>
        <v/>
      </c>
      <c r="H21" s="170">
        <f>PersonalConsumption!A283</f>
        <v/>
      </c>
      <c r="I21" s="7">
        <f>PersonalConsumption!B283</f>
        <v/>
      </c>
      <c r="J21" s="8">
        <f>PersonalConsumption!C283</f>
        <v/>
      </c>
      <c r="K21" s="8">
        <f>PersonalConsumption!E283</f>
        <v/>
      </c>
      <c r="M21" s="170">
        <f>PrivateInvestment!A283</f>
        <v/>
      </c>
      <c r="N21" s="7">
        <f>PrivateInvestment!B283</f>
        <v/>
      </c>
      <c r="O21" s="8">
        <f>PrivateInvestment!C283</f>
        <v/>
      </c>
      <c r="P21" s="8">
        <f>PrivateInvestment!E283</f>
        <v/>
      </c>
      <c r="R21" s="170">
        <f>Exports!A283</f>
        <v/>
      </c>
      <c r="S21" s="7">
        <f>Exports!B283</f>
        <v/>
      </c>
      <c r="T21" s="8">
        <f>Exports!C283</f>
        <v/>
      </c>
      <c r="U21" s="8">
        <f>Exports!E283</f>
        <v/>
      </c>
      <c r="W21" s="170">
        <f>Imports!A283</f>
        <v/>
      </c>
      <c r="X21" s="7">
        <f>Imports!B283</f>
        <v/>
      </c>
      <c r="Y21" s="8">
        <f>Imports!C283</f>
        <v/>
      </c>
      <c r="Z21" s="8">
        <f>Imports!E283</f>
        <v/>
      </c>
      <c r="AB21" s="170">
        <f>Government!A283</f>
        <v/>
      </c>
      <c r="AC21" s="7">
        <f>Government!B283</f>
        <v/>
      </c>
      <c r="AD21" s="8">
        <f>Government!C283</f>
        <v/>
      </c>
      <c r="AE21" s="8">
        <f>Government!E283</f>
        <v/>
      </c>
      <c r="AG21" s="170">
        <f>GDPPriceIndex!A283</f>
        <v/>
      </c>
      <c r="AH21" s="7">
        <f>GDPPriceIndex!B283</f>
        <v/>
      </c>
      <c r="AI21" s="8">
        <f>GDPPriceIndex!C283</f>
        <v/>
      </c>
      <c r="AJ21" s="8">
        <f>GDPPriceIndex!D283</f>
        <v/>
      </c>
      <c r="AL21" s="170">
        <f>CorePCE!A283</f>
        <v/>
      </c>
      <c r="AM21" s="7">
        <f>CorePCE!B283</f>
        <v/>
      </c>
      <c r="AN21" s="8">
        <f>CorePCE!C283</f>
        <v/>
      </c>
      <c r="AO21" s="8">
        <f>CorePCE!D283</f>
        <v/>
      </c>
    </row>
    <row r="22">
      <c r="C22" s="170">
        <f>'U.S. GDP'!A284</f>
        <v/>
      </c>
      <c r="D22" s="7">
        <f>'U.S. GDP'!B284</f>
        <v/>
      </c>
      <c r="E22" s="8">
        <f>'U.S. GDP'!C284</f>
        <v/>
      </c>
      <c r="F22" s="8">
        <f>'U.S. GDP'!E284</f>
        <v/>
      </c>
      <c r="H22" s="170">
        <f>PersonalConsumption!A284</f>
        <v/>
      </c>
      <c r="I22" s="7">
        <f>PersonalConsumption!B284</f>
        <v/>
      </c>
      <c r="J22" s="8">
        <f>PersonalConsumption!C284</f>
        <v/>
      </c>
      <c r="K22" s="8">
        <f>PersonalConsumption!E284</f>
        <v/>
      </c>
      <c r="M22" s="170">
        <f>PrivateInvestment!A284</f>
        <v/>
      </c>
      <c r="N22" s="7">
        <f>PrivateInvestment!B284</f>
        <v/>
      </c>
      <c r="O22" s="8">
        <f>PrivateInvestment!C284</f>
        <v/>
      </c>
      <c r="P22" s="8">
        <f>PrivateInvestment!E284</f>
        <v/>
      </c>
      <c r="R22" s="170">
        <f>Exports!A284</f>
        <v/>
      </c>
      <c r="S22" s="7">
        <f>Exports!B284</f>
        <v/>
      </c>
      <c r="T22" s="8">
        <f>Exports!C284</f>
        <v/>
      </c>
      <c r="U22" s="8">
        <f>Exports!E284</f>
        <v/>
      </c>
      <c r="W22" s="170">
        <f>Imports!A284</f>
        <v/>
      </c>
      <c r="X22" s="7">
        <f>Imports!B284</f>
        <v/>
      </c>
      <c r="Y22" s="8">
        <f>Imports!C284</f>
        <v/>
      </c>
      <c r="Z22" s="8">
        <f>Imports!E284</f>
        <v/>
      </c>
      <c r="AB22" s="170">
        <f>Government!A284</f>
        <v/>
      </c>
      <c r="AC22" s="7">
        <f>Government!B284</f>
        <v/>
      </c>
      <c r="AD22" s="8">
        <f>Government!C284</f>
        <v/>
      </c>
      <c r="AE22" s="8">
        <f>Government!E284</f>
        <v/>
      </c>
      <c r="AG22" s="170">
        <f>GDPPriceIndex!A284</f>
        <v/>
      </c>
      <c r="AH22" s="7">
        <f>GDPPriceIndex!B284</f>
        <v/>
      </c>
      <c r="AI22" s="8">
        <f>GDPPriceIndex!C284</f>
        <v/>
      </c>
      <c r="AJ22" s="8">
        <f>GDPPriceIndex!D284</f>
        <v/>
      </c>
      <c r="AL22" s="170">
        <f>CorePCE!A284</f>
        <v/>
      </c>
      <c r="AM22" s="7">
        <f>CorePCE!B284</f>
        <v/>
      </c>
      <c r="AN22" s="8">
        <f>CorePCE!C284</f>
        <v/>
      </c>
      <c r="AO22" s="8">
        <f>CorePCE!D284</f>
        <v/>
      </c>
    </row>
    <row r="23">
      <c r="C23" s="170">
        <f>'U.S. GDP'!A285</f>
        <v/>
      </c>
      <c r="D23" s="7">
        <f>'U.S. GDP'!B285</f>
        <v/>
      </c>
      <c r="E23" s="8">
        <f>'U.S. GDP'!C285</f>
        <v/>
      </c>
      <c r="F23" s="8">
        <f>'U.S. GDP'!E285</f>
        <v/>
      </c>
      <c r="H23" s="170">
        <f>PersonalConsumption!A285</f>
        <v/>
      </c>
      <c r="I23" s="7">
        <f>PersonalConsumption!B285</f>
        <v/>
      </c>
      <c r="J23" s="8">
        <f>PersonalConsumption!C285</f>
        <v/>
      </c>
      <c r="K23" s="8">
        <f>PersonalConsumption!E285</f>
        <v/>
      </c>
      <c r="M23" s="170">
        <f>PrivateInvestment!A285</f>
        <v/>
      </c>
      <c r="N23" s="7">
        <f>PrivateInvestment!B285</f>
        <v/>
      </c>
      <c r="O23" s="8">
        <f>PrivateInvestment!C285</f>
        <v/>
      </c>
      <c r="P23" s="8">
        <f>PrivateInvestment!E285</f>
        <v/>
      </c>
      <c r="R23" s="170">
        <f>Exports!A285</f>
        <v/>
      </c>
      <c r="S23" s="7">
        <f>Exports!B285</f>
        <v/>
      </c>
      <c r="T23" s="8">
        <f>Exports!C285</f>
        <v/>
      </c>
      <c r="U23" s="8">
        <f>Exports!E285</f>
        <v/>
      </c>
      <c r="W23" s="170">
        <f>Imports!A285</f>
        <v/>
      </c>
      <c r="X23" s="7">
        <f>Imports!B285</f>
        <v/>
      </c>
      <c r="Y23" s="8">
        <f>Imports!C285</f>
        <v/>
      </c>
      <c r="Z23" s="8">
        <f>Imports!E285</f>
        <v/>
      </c>
      <c r="AB23" s="170">
        <f>Government!A285</f>
        <v/>
      </c>
      <c r="AC23" s="7">
        <f>Government!B285</f>
        <v/>
      </c>
      <c r="AD23" s="8">
        <f>Government!C285</f>
        <v/>
      </c>
      <c r="AE23" s="8">
        <f>Government!E285</f>
        <v/>
      </c>
      <c r="AG23" s="170">
        <f>GDPPriceIndex!A285</f>
        <v/>
      </c>
      <c r="AH23" s="7">
        <f>GDPPriceIndex!B285</f>
        <v/>
      </c>
      <c r="AI23" s="8">
        <f>GDPPriceIndex!C285</f>
        <v/>
      </c>
      <c r="AJ23" s="8">
        <f>GDPPriceIndex!D285</f>
        <v/>
      </c>
      <c r="AL23" s="170">
        <f>CorePCE!A285</f>
        <v/>
      </c>
      <c r="AM23" s="7">
        <f>CorePCE!B285</f>
        <v/>
      </c>
      <c r="AN23" s="8">
        <f>CorePCE!C285</f>
        <v/>
      </c>
      <c r="AO23" s="8">
        <f>CorePCE!D285</f>
        <v/>
      </c>
    </row>
    <row r="24">
      <c r="C24" s="170">
        <f>'U.S. GDP'!A286</f>
        <v/>
      </c>
      <c r="D24" s="7">
        <f>'U.S. GDP'!B286</f>
        <v/>
      </c>
      <c r="E24" s="8">
        <f>'U.S. GDP'!C286</f>
        <v/>
      </c>
      <c r="F24" s="8">
        <f>'U.S. GDP'!E286</f>
        <v/>
      </c>
      <c r="H24" s="170">
        <f>PersonalConsumption!A286</f>
        <v/>
      </c>
      <c r="I24" s="7">
        <f>PersonalConsumption!B286</f>
        <v/>
      </c>
      <c r="J24" s="8">
        <f>PersonalConsumption!C286</f>
        <v/>
      </c>
      <c r="K24" s="8">
        <f>PersonalConsumption!E286</f>
        <v/>
      </c>
      <c r="M24" s="170">
        <f>PrivateInvestment!A286</f>
        <v/>
      </c>
      <c r="N24" s="7">
        <f>PrivateInvestment!B286</f>
        <v/>
      </c>
      <c r="O24" s="8">
        <f>PrivateInvestment!C286</f>
        <v/>
      </c>
      <c r="P24" s="8">
        <f>PrivateInvestment!E286</f>
        <v/>
      </c>
      <c r="R24" s="170">
        <f>Exports!A286</f>
        <v/>
      </c>
      <c r="S24" s="7">
        <f>Exports!B286</f>
        <v/>
      </c>
      <c r="T24" s="8">
        <f>Exports!C286</f>
        <v/>
      </c>
      <c r="U24" s="8">
        <f>Exports!E286</f>
        <v/>
      </c>
      <c r="W24" s="170">
        <f>Imports!A286</f>
        <v/>
      </c>
      <c r="X24" s="7">
        <f>Imports!B286</f>
        <v/>
      </c>
      <c r="Y24" s="8">
        <f>Imports!C286</f>
        <v/>
      </c>
      <c r="Z24" s="8">
        <f>Imports!E286</f>
        <v/>
      </c>
      <c r="AB24" s="170">
        <f>Government!A286</f>
        <v/>
      </c>
      <c r="AC24" s="7">
        <f>Government!B286</f>
        <v/>
      </c>
      <c r="AD24" s="8">
        <f>Government!C286</f>
        <v/>
      </c>
      <c r="AE24" s="8">
        <f>Government!E286</f>
        <v/>
      </c>
      <c r="AG24" s="170">
        <f>GDPPriceIndex!A286</f>
        <v/>
      </c>
      <c r="AH24" s="7">
        <f>GDPPriceIndex!B286</f>
        <v/>
      </c>
      <c r="AI24" s="8">
        <f>GDPPriceIndex!C286</f>
        <v/>
      </c>
      <c r="AJ24" s="8">
        <f>GDPPriceIndex!D286</f>
        <v/>
      </c>
      <c r="AL24" s="170">
        <f>CorePCE!A286</f>
        <v/>
      </c>
      <c r="AM24" s="7">
        <f>CorePCE!B286</f>
        <v/>
      </c>
      <c r="AN24" s="8">
        <f>CorePCE!C286</f>
        <v/>
      </c>
      <c r="AO24" s="8">
        <f>CorePCE!D286</f>
        <v/>
      </c>
    </row>
    <row r="25">
      <c r="C25" s="170">
        <f>'U.S. GDP'!A287</f>
        <v/>
      </c>
      <c r="D25" s="7">
        <f>'U.S. GDP'!B287</f>
        <v/>
      </c>
      <c r="E25" s="8">
        <f>'U.S. GDP'!C287</f>
        <v/>
      </c>
      <c r="F25" s="8">
        <f>'U.S. GDP'!E287</f>
        <v/>
      </c>
      <c r="H25" s="170">
        <f>PersonalConsumption!A287</f>
        <v/>
      </c>
      <c r="I25" s="7">
        <f>PersonalConsumption!B287</f>
        <v/>
      </c>
      <c r="J25" s="8">
        <f>PersonalConsumption!C287</f>
        <v/>
      </c>
      <c r="K25" s="8">
        <f>PersonalConsumption!E287</f>
        <v/>
      </c>
      <c r="M25" s="170">
        <f>PrivateInvestment!A287</f>
        <v/>
      </c>
      <c r="N25" s="7">
        <f>PrivateInvestment!B287</f>
        <v/>
      </c>
      <c r="O25" s="8">
        <f>PrivateInvestment!C287</f>
        <v/>
      </c>
      <c r="P25" s="8">
        <f>PrivateInvestment!E287</f>
        <v/>
      </c>
      <c r="R25" s="170">
        <f>Exports!A287</f>
        <v/>
      </c>
      <c r="S25" s="7">
        <f>Exports!B287</f>
        <v/>
      </c>
      <c r="T25" s="8">
        <f>Exports!C287</f>
        <v/>
      </c>
      <c r="U25" s="8">
        <f>Exports!E287</f>
        <v/>
      </c>
      <c r="W25" s="170">
        <f>Imports!A287</f>
        <v/>
      </c>
      <c r="X25" s="7">
        <f>Imports!B287</f>
        <v/>
      </c>
      <c r="Y25" s="8">
        <f>Imports!C287</f>
        <v/>
      </c>
      <c r="Z25" s="8">
        <f>Imports!E287</f>
        <v/>
      </c>
      <c r="AB25" s="170">
        <f>Government!A287</f>
        <v/>
      </c>
      <c r="AC25" s="7">
        <f>Government!B287</f>
        <v/>
      </c>
      <c r="AD25" s="8">
        <f>Government!C287</f>
        <v/>
      </c>
      <c r="AE25" s="8">
        <f>Government!E287</f>
        <v/>
      </c>
      <c r="AG25" s="170">
        <f>GDPPriceIndex!A287</f>
        <v/>
      </c>
      <c r="AH25" s="7">
        <f>GDPPriceIndex!B287</f>
        <v/>
      </c>
      <c r="AI25" s="8">
        <f>GDPPriceIndex!C287</f>
        <v/>
      </c>
      <c r="AJ25" s="8">
        <f>GDPPriceIndex!D287</f>
        <v/>
      </c>
      <c r="AL25" s="170">
        <f>CorePCE!A287</f>
        <v/>
      </c>
      <c r="AM25" s="7">
        <f>CorePCE!B287</f>
        <v/>
      </c>
      <c r="AN25" s="8">
        <f>CorePCE!C287</f>
        <v/>
      </c>
      <c r="AO25" s="8">
        <f>CorePCE!D287</f>
        <v/>
      </c>
    </row>
    <row r="26">
      <c r="C26" s="170">
        <f>'U.S. GDP'!A288</f>
        <v/>
      </c>
      <c r="D26" s="7">
        <f>'U.S. GDP'!B288</f>
        <v/>
      </c>
      <c r="E26" s="8">
        <f>'U.S. GDP'!C288</f>
        <v/>
      </c>
      <c r="F26" s="8">
        <f>'U.S. GDP'!E288</f>
        <v/>
      </c>
      <c r="H26" s="170">
        <f>PersonalConsumption!A288</f>
        <v/>
      </c>
      <c r="I26" s="7">
        <f>PersonalConsumption!B288</f>
        <v/>
      </c>
      <c r="J26" s="8">
        <f>PersonalConsumption!C288</f>
        <v/>
      </c>
      <c r="K26" s="8">
        <f>PersonalConsumption!E288</f>
        <v/>
      </c>
      <c r="M26" s="170">
        <f>PrivateInvestment!A288</f>
        <v/>
      </c>
      <c r="N26" s="7">
        <f>PrivateInvestment!B288</f>
        <v/>
      </c>
      <c r="O26" s="8">
        <f>PrivateInvestment!C288</f>
        <v/>
      </c>
      <c r="P26" s="8">
        <f>PrivateInvestment!E288</f>
        <v/>
      </c>
      <c r="R26" s="170">
        <f>Exports!A288</f>
        <v/>
      </c>
      <c r="S26" s="7">
        <f>Exports!B288</f>
        <v/>
      </c>
      <c r="T26" s="8">
        <f>Exports!C288</f>
        <v/>
      </c>
      <c r="U26" s="8">
        <f>Exports!E288</f>
        <v/>
      </c>
      <c r="W26" s="170">
        <f>Imports!A288</f>
        <v/>
      </c>
      <c r="X26" s="7">
        <f>Imports!B288</f>
        <v/>
      </c>
      <c r="Y26" s="8">
        <f>Imports!C288</f>
        <v/>
      </c>
      <c r="Z26" s="8">
        <f>Imports!E288</f>
        <v/>
      </c>
      <c r="AB26" s="170">
        <f>Government!A288</f>
        <v/>
      </c>
      <c r="AC26" s="7">
        <f>Government!B288</f>
        <v/>
      </c>
      <c r="AD26" s="8">
        <f>Government!C288</f>
        <v/>
      </c>
      <c r="AE26" s="8">
        <f>Government!E288</f>
        <v/>
      </c>
      <c r="AG26" s="170">
        <f>GDPPriceIndex!A288</f>
        <v/>
      </c>
      <c r="AH26" s="7">
        <f>GDPPriceIndex!B288</f>
        <v/>
      </c>
      <c r="AI26" s="8">
        <f>GDPPriceIndex!C288</f>
        <v/>
      </c>
      <c r="AJ26" s="8">
        <f>GDPPriceIndex!D288</f>
        <v/>
      </c>
      <c r="AL26" s="170">
        <f>CorePCE!A288</f>
        <v/>
      </c>
      <c r="AM26" s="7">
        <f>CorePCE!B288</f>
        <v/>
      </c>
      <c r="AN26" s="8">
        <f>CorePCE!C288</f>
        <v/>
      </c>
      <c r="AO26" s="8">
        <f>CorePCE!D288</f>
        <v/>
      </c>
    </row>
    <row r="27">
      <c r="C27" s="170">
        <f>'U.S. GDP'!A289</f>
        <v/>
      </c>
      <c r="D27" s="7">
        <f>'U.S. GDP'!B289</f>
        <v/>
      </c>
      <c r="E27" s="8">
        <f>'U.S. GDP'!C289</f>
        <v/>
      </c>
      <c r="F27" s="8">
        <f>'U.S. GDP'!E289</f>
        <v/>
      </c>
      <c r="H27" s="170">
        <f>PersonalConsumption!A289</f>
        <v/>
      </c>
      <c r="I27" s="7">
        <f>PersonalConsumption!B289</f>
        <v/>
      </c>
      <c r="J27" s="8">
        <f>PersonalConsumption!C289</f>
        <v/>
      </c>
      <c r="K27" s="8">
        <f>PersonalConsumption!E289</f>
        <v/>
      </c>
      <c r="M27" s="170">
        <f>PrivateInvestment!A289</f>
        <v/>
      </c>
      <c r="N27" s="7">
        <f>PrivateInvestment!B289</f>
        <v/>
      </c>
      <c r="O27" s="8">
        <f>PrivateInvestment!C289</f>
        <v/>
      </c>
      <c r="P27" s="8">
        <f>PrivateInvestment!E289</f>
        <v/>
      </c>
      <c r="R27" s="170">
        <f>Exports!A289</f>
        <v/>
      </c>
      <c r="S27" s="7">
        <f>Exports!B289</f>
        <v/>
      </c>
      <c r="T27" s="8">
        <f>Exports!C289</f>
        <v/>
      </c>
      <c r="U27" s="8">
        <f>Exports!E289</f>
        <v/>
      </c>
      <c r="W27" s="170">
        <f>Imports!A289</f>
        <v/>
      </c>
      <c r="X27" s="7">
        <f>Imports!B289</f>
        <v/>
      </c>
      <c r="Y27" s="8">
        <f>Imports!C289</f>
        <v/>
      </c>
      <c r="Z27" s="8">
        <f>Imports!E289</f>
        <v/>
      </c>
      <c r="AB27" s="170">
        <f>Government!A289</f>
        <v/>
      </c>
      <c r="AC27" s="7">
        <f>Government!B289</f>
        <v/>
      </c>
      <c r="AD27" s="8">
        <f>Government!C289</f>
        <v/>
      </c>
      <c r="AE27" s="8">
        <f>Government!E289</f>
        <v/>
      </c>
      <c r="AG27" s="170">
        <f>GDPPriceIndex!A289</f>
        <v/>
      </c>
      <c r="AH27" s="7">
        <f>GDPPriceIndex!B289</f>
        <v/>
      </c>
      <c r="AI27" s="8">
        <f>GDPPriceIndex!C289</f>
        <v/>
      </c>
      <c r="AJ27" s="8">
        <f>GDPPriceIndex!D289</f>
        <v/>
      </c>
      <c r="AL27" s="170">
        <f>CorePCE!A289</f>
        <v/>
      </c>
      <c r="AM27" s="7">
        <f>CorePCE!B289</f>
        <v/>
      </c>
      <c r="AN27" s="8">
        <f>CorePCE!C289</f>
        <v/>
      </c>
      <c r="AO27" s="8">
        <f>CorePCE!D289</f>
        <v/>
      </c>
    </row>
    <row r="28">
      <c r="C28" s="170">
        <f>'U.S. GDP'!A290</f>
        <v/>
      </c>
      <c r="D28" s="7">
        <f>'U.S. GDP'!B290</f>
        <v/>
      </c>
      <c r="E28" s="8">
        <f>'U.S. GDP'!C290</f>
        <v/>
      </c>
      <c r="F28" s="8">
        <f>'U.S. GDP'!E290</f>
        <v/>
      </c>
      <c r="H28" s="170">
        <f>PersonalConsumption!A290</f>
        <v/>
      </c>
      <c r="I28" s="7">
        <f>PersonalConsumption!B290</f>
        <v/>
      </c>
      <c r="J28" s="8">
        <f>PersonalConsumption!C290</f>
        <v/>
      </c>
      <c r="K28" s="8">
        <f>PersonalConsumption!E290</f>
        <v/>
      </c>
      <c r="M28" s="170">
        <f>PrivateInvestment!A290</f>
        <v/>
      </c>
      <c r="N28" s="7">
        <f>PrivateInvestment!B290</f>
        <v/>
      </c>
      <c r="O28" s="8">
        <f>PrivateInvestment!C290</f>
        <v/>
      </c>
      <c r="P28" s="8">
        <f>PrivateInvestment!E290</f>
        <v/>
      </c>
      <c r="R28" s="170">
        <f>Exports!A290</f>
        <v/>
      </c>
      <c r="S28" s="7">
        <f>Exports!B290</f>
        <v/>
      </c>
      <c r="T28" s="8">
        <f>Exports!C290</f>
        <v/>
      </c>
      <c r="U28" s="8">
        <f>Exports!E290</f>
        <v/>
      </c>
      <c r="W28" s="170">
        <f>Imports!A290</f>
        <v/>
      </c>
      <c r="X28" s="7">
        <f>Imports!B290</f>
        <v/>
      </c>
      <c r="Y28" s="8">
        <f>Imports!C290</f>
        <v/>
      </c>
      <c r="Z28" s="8">
        <f>Imports!E290</f>
        <v/>
      </c>
      <c r="AB28" s="170">
        <f>Government!A290</f>
        <v/>
      </c>
      <c r="AC28" s="7">
        <f>Government!B290</f>
        <v/>
      </c>
      <c r="AD28" s="8">
        <f>Government!C290</f>
        <v/>
      </c>
      <c r="AE28" s="8">
        <f>Government!E290</f>
        <v/>
      </c>
      <c r="AG28" s="170">
        <f>GDPPriceIndex!A290</f>
        <v/>
      </c>
      <c r="AH28" s="7">
        <f>GDPPriceIndex!B290</f>
        <v/>
      </c>
      <c r="AI28" s="8">
        <f>GDPPriceIndex!C290</f>
        <v/>
      </c>
      <c r="AJ28" s="8">
        <f>GDPPriceIndex!D290</f>
        <v/>
      </c>
      <c r="AL28" s="170">
        <f>CorePCE!A290</f>
        <v/>
      </c>
      <c r="AM28" s="7">
        <f>CorePCE!B290</f>
        <v/>
      </c>
      <c r="AN28" s="8">
        <f>CorePCE!C290</f>
        <v/>
      </c>
      <c r="AO28" s="8">
        <f>CorePCE!D290</f>
        <v/>
      </c>
    </row>
    <row r="29" customFormat="1" s="125">
      <c r="C29" s="170">
        <f>'U.S. GDP'!A291</f>
        <v/>
      </c>
      <c r="D29" s="7">
        <f>'U.S. GDP'!B291</f>
        <v/>
      </c>
      <c r="E29" s="8">
        <f>'U.S. GDP'!C291</f>
        <v/>
      </c>
      <c r="F29" s="8">
        <f>'U.S. GDP'!E291</f>
        <v/>
      </c>
      <c r="H29" s="170">
        <f>PersonalConsumption!A291</f>
        <v/>
      </c>
      <c r="I29" s="7">
        <f>PersonalConsumption!B291</f>
        <v/>
      </c>
      <c r="J29" s="8">
        <f>PersonalConsumption!C291</f>
        <v/>
      </c>
      <c r="K29" s="8">
        <f>PersonalConsumption!E291</f>
        <v/>
      </c>
      <c r="M29" s="170">
        <f>PrivateInvestment!A291</f>
        <v/>
      </c>
      <c r="N29" s="7">
        <f>PrivateInvestment!B291</f>
        <v/>
      </c>
      <c r="O29" s="8">
        <f>PrivateInvestment!C291</f>
        <v/>
      </c>
      <c r="P29" s="8">
        <f>PrivateInvestment!E291</f>
        <v/>
      </c>
      <c r="R29" s="170">
        <f>Exports!A291</f>
        <v/>
      </c>
      <c r="S29" s="7">
        <f>Exports!B291</f>
        <v/>
      </c>
      <c r="T29" s="8">
        <f>Exports!C291</f>
        <v/>
      </c>
      <c r="U29" s="8">
        <f>Exports!E291</f>
        <v/>
      </c>
      <c r="W29" s="170">
        <f>Imports!A291</f>
        <v/>
      </c>
      <c r="X29" s="7">
        <f>Imports!B291</f>
        <v/>
      </c>
      <c r="Y29" s="8">
        <f>Imports!C291</f>
        <v/>
      </c>
      <c r="Z29" s="8">
        <f>Imports!E291</f>
        <v/>
      </c>
      <c r="AB29" s="170">
        <f>Government!A291</f>
        <v/>
      </c>
      <c r="AC29" s="7">
        <f>Government!B291</f>
        <v/>
      </c>
      <c r="AD29" s="8">
        <f>Government!C291</f>
        <v/>
      </c>
      <c r="AE29" s="8">
        <f>Government!E291</f>
        <v/>
      </c>
      <c r="AG29" s="170">
        <f>GDPPriceIndex!A291</f>
        <v/>
      </c>
      <c r="AH29" s="7">
        <f>GDPPriceIndex!B291</f>
        <v/>
      </c>
      <c r="AI29" s="8">
        <f>GDPPriceIndex!C291</f>
        <v/>
      </c>
      <c r="AJ29" s="8">
        <f>GDPPriceIndex!D291</f>
        <v/>
      </c>
      <c r="AL29" s="170">
        <f>CorePCE!A291</f>
        <v/>
      </c>
      <c r="AM29" s="7">
        <f>CorePCE!B291</f>
        <v/>
      </c>
      <c r="AN29" s="8">
        <f>CorePCE!C291</f>
        <v/>
      </c>
      <c r="AO29" s="8">
        <f>CorePCE!D291</f>
        <v/>
      </c>
    </row>
    <row r="30" customFormat="1" s="125">
      <c r="C30" s="170">
        <f>'U.S. GDP'!A292</f>
        <v/>
      </c>
      <c r="D30" s="7">
        <f>'U.S. GDP'!B292</f>
        <v/>
      </c>
      <c r="E30" s="8">
        <f>'U.S. GDP'!C292</f>
        <v/>
      </c>
      <c r="F30" s="8">
        <f>'U.S. GDP'!E292</f>
        <v/>
      </c>
      <c r="H30" s="170">
        <f>PersonalConsumption!A292</f>
        <v/>
      </c>
      <c r="I30" s="7">
        <f>PersonalConsumption!B292</f>
        <v/>
      </c>
      <c r="J30" s="8">
        <f>PersonalConsumption!C292</f>
        <v/>
      </c>
      <c r="K30" s="8">
        <f>PersonalConsumption!E292</f>
        <v/>
      </c>
      <c r="M30" s="170">
        <f>PrivateInvestment!A292</f>
        <v/>
      </c>
      <c r="N30" s="7">
        <f>PrivateInvestment!B292</f>
        <v/>
      </c>
      <c r="O30" s="8">
        <f>PrivateInvestment!C292</f>
        <v/>
      </c>
      <c r="P30" s="8">
        <f>PrivateInvestment!E292</f>
        <v/>
      </c>
      <c r="R30" s="170">
        <f>Exports!A292</f>
        <v/>
      </c>
      <c r="S30" s="7">
        <f>Exports!B292</f>
        <v/>
      </c>
      <c r="T30" s="8">
        <f>Exports!C292</f>
        <v/>
      </c>
      <c r="U30" s="8">
        <f>Exports!E292</f>
        <v/>
      </c>
      <c r="W30" s="170">
        <f>Imports!A292</f>
        <v/>
      </c>
      <c r="X30" s="7">
        <f>Imports!B292</f>
        <v/>
      </c>
      <c r="Y30" s="8">
        <f>Imports!C292</f>
        <v/>
      </c>
      <c r="Z30" s="8">
        <f>Imports!E292</f>
        <v/>
      </c>
      <c r="AB30" s="170">
        <f>Government!A292</f>
        <v/>
      </c>
      <c r="AC30" s="7">
        <f>Government!B292</f>
        <v/>
      </c>
      <c r="AD30" s="8">
        <f>Government!C292</f>
        <v/>
      </c>
      <c r="AE30" s="8">
        <f>Government!E292</f>
        <v/>
      </c>
      <c r="AG30" s="170">
        <f>GDPPriceIndex!A292</f>
        <v/>
      </c>
      <c r="AH30" s="7">
        <f>GDPPriceIndex!B292</f>
        <v/>
      </c>
      <c r="AI30" s="8">
        <f>GDPPriceIndex!C292</f>
        <v/>
      </c>
      <c r="AJ30" s="8">
        <f>GDPPriceIndex!D292</f>
        <v/>
      </c>
      <c r="AL30" s="170">
        <f>CorePCE!A292</f>
        <v/>
      </c>
      <c r="AM30" s="7">
        <f>CorePCE!B292</f>
        <v/>
      </c>
      <c r="AN30" s="8">
        <f>CorePCE!C292</f>
        <v/>
      </c>
      <c r="AO30" s="8">
        <f>CorePCE!D292</f>
        <v/>
      </c>
    </row>
    <row r="31" customFormat="1" s="125">
      <c r="C31" s="170">
        <f>'U.S. GDP'!A293</f>
        <v/>
      </c>
      <c r="D31" s="7">
        <f>'U.S. GDP'!B293</f>
        <v/>
      </c>
      <c r="E31" s="8">
        <f>'U.S. GDP'!C293</f>
        <v/>
      </c>
      <c r="F31" s="8">
        <f>'U.S. GDP'!E293</f>
        <v/>
      </c>
      <c r="H31" s="170">
        <f>PersonalConsumption!A293</f>
        <v/>
      </c>
      <c r="I31" s="7">
        <f>PersonalConsumption!B293</f>
        <v/>
      </c>
      <c r="J31" s="8">
        <f>PersonalConsumption!C293</f>
        <v/>
      </c>
      <c r="K31" s="8">
        <f>PersonalConsumption!E293</f>
        <v/>
      </c>
      <c r="M31" s="170">
        <f>PrivateInvestment!A293</f>
        <v/>
      </c>
      <c r="N31" s="7">
        <f>PrivateInvestment!B293</f>
        <v/>
      </c>
      <c r="O31" s="8">
        <f>PrivateInvestment!C293</f>
        <v/>
      </c>
      <c r="P31" s="8">
        <f>PrivateInvestment!E293</f>
        <v/>
      </c>
      <c r="R31" s="170">
        <f>Exports!A293</f>
        <v/>
      </c>
      <c r="S31" s="7">
        <f>Exports!B293</f>
        <v/>
      </c>
      <c r="T31" s="8">
        <f>Exports!C293</f>
        <v/>
      </c>
      <c r="U31" s="8">
        <f>Exports!E293</f>
        <v/>
      </c>
      <c r="W31" s="170">
        <f>Imports!A293</f>
        <v/>
      </c>
      <c r="X31" s="7">
        <f>Imports!B293</f>
        <v/>
      </c>
      <c r="Y31" s="8">
        <f>Imports!C293</f>
        <v/>
      </c>
      <c r="Z31" s="8">
        <f>Imports!E293</f>
        <v/>
      </c>
      <c r="AB31" s="170">
        <f>Government!A293</f>
        <v/>
      </c>
      <c r="AC31" s="7">
        <f>Government!B293</f>
        <v/>
      </c>
      <c r="AD31" s="8">
        <f>Government!C293</f>
        <v/>
      </c>
      <c r="AE31" s="8">
        <f>Government!E293</f>
        <v/>
      </c>
      <c r="AG31" s="170">
        <f>GDPPriceIndex!A293</f>
        <v/>
      </c>
      <c r="AH31" s="7">
        <f>GDPPriceIndex!B293</f>
        <v/>
      </c>
      <c r="AI31" s="8">
        <f>GDPPriceIndex!C293</f>
        <v/>
      </c>
      <c r="AJ31" s="8">
        <f>GDPPriceIndex!D293</f>
        <v/>
      </c>
      <c r="AL31" s="170">
        <f>CorePCE!A293</f>
        <v/>
      </c>
      <c r="AM31" s="7">
        <f>CorePCE!B293</f>
        <v/>
      </c>
      <c r="AN31" s="8">
        <f>CorePCE!C293</f>
        <v/>
      </c>
      <c r="AO31" s="8">
        <f>CorePCE!D293</f>
        <v/>
      </c>
    </row>
    <row r="32" customFormat="1" s="125">
      <c r="C32" s="170">
        <f>'U.S. GDP'!A294</f>
        <v/>
      </c>
      <c r="D32" s="7">
        <f>'U.S. GDP'!B294</f>
        <v/>
      </c>
      <c r="E32" s="8">
        <f>'U.S. GDP'!C294</f>
        <v/>
      </c>
      <c r="F32" s="8">
        <f>'U.S. GDP'!E294</f>
        <v/>
      </c>
      <c r="H32" s="170">
        <f>PersonalConsumption!A294</f>
        <v/>
      </c>
      <c r="I32" s="7">
        <f>PersonalConsumption!B294</f>
        <v/>
      </c>
      <c r="J32" s="8">
        <f>PersonalConsumption!C294</f>
        <v/>
      </c>
      <c r="K32" s="8">
        <f>PersonalConsumption!E294</f>
        <v/>
      </c>
      <c r="M32" s="170">
        <f>PrivateInvestment!A294</f>
        <v/>
      </c>
      <c r="N32" s="7">
        <f>PrivateInvestment!B294</f>
        <v/>
      </c>
      <c r="O32" s="8">
        <f>PrivateInvestment!C294</f>
        <v/>
      </c>
      <c r="P32" s="8">
        <f>PrivateInvestment!E294</f>
        <v/>
      </c>
      <c r="R32" s="170">
        <f>Exports!A294</f>
        <v/>
      </c>
      <c r="S32" s="7">
        <f>Exports!B294</f>
        <v/>
      </c>
      <c r="T32" s="8">
        <f>Exports!C294</f>
        <v/>
      </c>
      <c r="U32" s="8">
        <f>Exports!E294</f>
        <v/>
      </c>
      <c r="W32" s="170">
        <f>Imports!A294</f>
        <v/>
      </c>
      <c r="X32" s="7">
        <f>Imports!B294</f>
        <v/>
      </c>
      <c r="Y32" s="8">
        <f>Imports!C294</f>
        <v/>
      </c>
      <c r="Z32" s="8">
        <f>Imports!E294</f>
        <v/>
      </c>
      <c r="AB32" s="170">
        <f>Government!A294</f>
        <v/>
      </c>
      <c r="AC32" s="7">
        <f>Government!B294</f>
        <v/>
      </c>
      <c r="AD32" s="8">
        <f>Government!C294</f>
        <v/>
      </c>
      <c r="AE32" s="8">
        <f>Government!E294</f>
        <v/>
      </c>
      <c r="AG32" s="170">
        <f>GDPPriceIndex!A294</f>
        <v/>
      </c>
      <c r="AH32" s="7">
        <f>GDPPriceIndex!B294</f>
        <v/>
      </c>
      <c r="AI32" s="8">
        <f>GDPPriceIndex!C294</f>
        <v/>
      </c>
      <c r="AJ32" s="8">
        <f>GDPPriceIndex!D294</f>
        <v/>
      </c>
      <c r="AL32" s="170">
        <f>CorePCE!A294</f>
        <v/>
      </c>
      <c r="AM32" s="7">
        <f>CorePCE!B294</f>
        <v/>
      </c>
      <c r="AN32" s="8">
        <f>CorePCE!C294</f>
        <v/>
      </c>
      <c r="AO32" s="8">
        <f>CorePCE!D294</f>
        <v/>
      </c>
    </row>
    <row r="33" customFormat="1" s="125">
      <c r="C33" s="170">
        <f>'U.S. GDP'!A295</f>
        <v/>
      </c>
      <c r="D33" s="7">
        <f>'U.S. GDP'!B295</f>
        <v/>
      </c>
      <c r="E33" s="8">
        <f>'U.S. GDP'!C295</f>
        <v/>
      </c>
      <c r="F33" s="8">
        <f>'U.S. GDP'!E295</f>
        <v/>
      </c>
      <c r="H33" s="170">
        <f>PersonalConsumption!A295</f>
        <v/>
      </c>
      <c r="I33" s="7">
        <f>PersonalConsumption!B295</f>
        <v/>
      </c>
      <c r="J33" s="8">
        <f>PersonalConsumption!C295</f>
        <v/>
      </c>
      <c r="K33" s="8">
        <f>PersonalConsumption!E295</f>
        <v/>
      </c>
      <c r="M33" s="170">
        <f>PrivateInvestment!A295</f>
        <v/>
      </c>
      <c r="N33" s="7">
        <f>PrivateInvestment!B295</f>
        <v/>
      </c>
      <c r="O33" s="8">
        <f>PrivateInvestment!C295</f>
        <v/>
      </c>
      <c r="P33" s="8">
        <f>PrivateInvestment!E295</f>
        <v/>
      </c>
      <c r="R33" s="170">
        <f>Exports!A295</f>
        <v/>
      </c>
      <c r="S33" s="7">
        <f>Exports!B295</f>
        <v/>
      </c>
      <c r="T33" s="8">
        <f>Exports!C295</f>
        <v/>
      </c>
      <c r="U33" s="8">
        <f>Exports!E295</f>
        <v/>
      </c>
      <c r="W33" s="170">
        <f>Imports!A295</f>
        <v/>
      </c>
      <c r="X33" s="7">
        <f>Imports!B295</f>
        <v/>
      </c>
      <c r="Y33" s="8">
        <f>Imports!C295</f>
        <v/>
      </c>
      <c r="Z33" s="8">
        <f>Imports!E295</f>
        <v/>
      </c>
      <c r="AB33" s="170">
        <f>Government!A295</f>
        <v/>
      </c>
      <c r="AC33" s="7">
        <f>Government!B295</f>
        <v/>
      </c>
      <c r="AD33" s="8">
        <f>Government!C295</f>
        <v/>
      </c>
      <c r="AE33" s="8">
        <f>Government!E295</f>
        <v/>
      </c>
      <c r="AG33" s="170">
        <f>GDPPriceIndex!A295</f>
        <v/>
      </c>
      <c r="AH33" s="7">
        <f>GDPPriceIndex!B295</f>
        <v/>
      </c>
      <c r="AI33" s="8">
        <f>GDPPriceIndex!C295</f>
        <v/>
      </c>
      <c r="AJ33" s="8">
        <f>GDPPriceIndex!D295</f>
        <v/>
      </c>
      <c r="AL33" s="170">
        <f>CorePCE!A295</f>
        <v/>
      </c>
      <c r="AM33" s="7">
        <f>CorePCE!B295</f>
        <v/>
      </c>
      <c r="AN33" s="8">
        <f>CorePCE!C295</f>
        <v/>
      </c>
      <c r="AO33" s="8">
        <f>CorePCE!D295</f>
        <v/>
      </c>
    </row>
    <row r="34" customFormat="1" s="125">
      <c r="C34" s="170">
        <f>'U.S. GDP'!A296</f>
        <v/>
      </c>
      <c r="D34" s="7">
        <f>'U.S. GDP'!B296</f>
        <v/>
      </c>
      <c r="E34" s="8">
        <f>'U.S. GDP'!C296</f>
        <v/>
      </c>
      <c r="F34" s="8">
        <f>'U.S. GDP'!E296</f>
        <v/>
      </c>
      <c r="G34" s="125" t="n"/>
      <c r="H34" s="170">
        <f>PersonalConsumption!A296</f>
        <v/>
      </c>
      <c r="I34" s="7">
        <f>PersonalConsumption!B296</f>
        <v/>
      </c>
      <c r="J34" s="8">
        <f>PersonalConsumption!C296</f>
        <v/>
      </c>
      <c r="K34" s="8">
        <f>PersonalConsumption!E296</f>
        <v/>
      </c>
      <c r="L34" s="125" t="n"/>
      <c r="M34" s="170">
        <f>PrivateInvestment!A296</f>
        <v/>
      </c>
      <c r="N34" s="7">
        <f>PrivateInvestment!B296</f>
        <v/>
      </c>
      <c r="O34" s="8">
        <f>PrivateInvestment!C296</f>
        <v/>
      </c>
      <c r="P34" s="8">
        <f>PrivateInvestment!E296</f>
        <v/>
      </c>
      <c r="Q34" s="125" t="n"/>
      <c r="R34" s="170">
        <f>Exports!A296</f>
        <v/>
      </c>
      <c r="S34" s="7">
        <f>Exports!B296</f>
        <v/>
      </c>
      <c r="T34" s="8">
        <f>Exports!C296</f>
        <v/>
      </c>
      <c r="U34" s="8">
        <f>Exports!E296</f>
        <v/>
      </c>
      <c r="V34" s="125" t="n"/>
      <c r="W34" s="170">
        <f>Imports!A296</f>
        <v/>
      </c>
      <c r="X34" s="7">
        <f>Imports!B296</f>
        <v/>
      </c>
      <c r="Y34" s="8">
        <f>Imports!C296</f>
        <v/>
      </c>
      <c r="Z34" s="8">
        <f>Imports!E296</f>
        <v/>
      </c>
      <c r="AA34" s="125" t="n"/>
      <c r="AB34" s="170">
        <f>Government!A296</f>
        <v/>
      </c>
      <c r="AC34" s="7">
        <f>Government!B296</f>
        <v/>
      </c>
      <c r="AD34" s="8">
        <f>Government!C296</f>
        <v/>
      </c>
      <c r="AE34" s="8">
        <f>Government!E296</f>
        <v/>
      </c>
      <c r="AF34" s="125" t="n"/>
      <c r="AG34" s="170">
        <f>GDPPriceIndex!A296</f>
        <v/>
      </c>
      <c r="AH34" s="7">
        <f>GDPPriceIndex!B296</f>
        <v/>
      </c>
      <c r="AI34" s="8">
        <f>GDPPriceIndex!C296</f>
        <v/>
      </c>
      <c r="AJ34" s="8">
        <f>GDPPriceIndex!D296</f>
        <v/>
      </c>
      <c r="AK34" s="125" t="n"/>
      <c r="AL34" s="170">
        <f>CorePCE!A296</f>
        <v/>
      </c>
      <c r="AM34" s="7">
        <f>CorePCE!B296</f>
        <v/>
      </c>
      <c r="AN34" s="8">
        <f>CorePCE!C296</f>
        <v/>
      </c>
      <c r="AO34" s="8">
        <f>CorePCE!D296</f>
        <v/>
      </c>
    </row>
    <row r="35" customFormat="1" s="125">
      <c r="C35" s="170">
        <f>'U.S. GDP'!A297</f>
        <v/>
      </c>
      <c r="D35" s="7">
        <f>'U.S. GDP'!B297</f>
        <v/>
      </c>
      <c r="E35" s="8">
        <f>'U.S. GDP'!C297</f>
        <v/>
      </c>
      <c r="F35" s="8">
        <f>'U.S. GDP'!E297</f>
        <v/>
      </c>
      <c r="G35" s="125" t="n"/>
      <c r="H35" s="170">
        <f>PersonalConsumption!A297</f>
        <v/>
      </c>
      <c r="I35" s="7">
        <f>PersonalConsumption!B297</f>
        <v/>
      </c>
      <c r="J35" s="8">
        <f>PersonalConsumption!C297</f>
        <v/>
      </c>
      <c r="K35" s="8">
        <f>PersonalConsumption!E297</f>
        <v/>
      </c>
      <c r="L35" s="125" t="n"/>
      <c r="M35" s="170">
        <f>PrivateInvestment!A297</f>
        <v/>
      </c>
      <c r="N35" s="7">
        <f>PrivateInvestment!B297</f>
        <v/>
      </c>
      <c r="O35" s="8">
        <f>PrivateInvestment!C297</f>
        <v/>
      </c>
      <c r="P35" s="8">
        <f>PrivateInvestment!E297</f>
        <v/>
      </c>
      <c r="Q35" s="125" t="n"/>
      <c r="R35" s="170">
        <f>Exports!A297</f>
        <v/>
      </c>
      <c r="S35" s="7">
        <f>Exports!B297</f>
        <v/>
      </c>
      <c r="T35" s="8">
        <f>Exports!C297</f>
        <v/>
      </c>
      <c r="U35" s="8">
        <f>Exports!E297</f>
        <v/>
      </c>
      <c r="V35" s="125" t="n"/>
      <c r="W35" s="170">
        <f>Imports!A297</f>
        <v/>
      </c>
      <c r="X35" s="7">
        <f>Imports!B297</f>
        <v/>
      </c>
      <c r="Y35" s="8">
        <f>Imports!C297</f>
        <v/>
      </c>
      <c r="Z35" s="8">
        <f>Imports!E297</f>
        <v/>
      </c>
      <c r="AA35" s="125" t="n"/>
      <c r="AB35" s="170">
        <f>Government!A297</f>
        <v/>
      </c>
      <c r="AC35" s="7">
        <f>Government!B297</f>
        <v/>
      </c>
      <c r="AD35" s="8">
        <f>Government!C297</f>
        <v/>
      </c>
      <c r="AE35" s="8">
        <f>Government!E297</f>
        <v/>
      </c>
      <c r="AF35" s="125" t="n"/>
      <c r="AG35" s="170">
        <f>GDPPriceIndex!A297</f>
        <v/>
      </c>
      <c r="AH35" s="7">
        <f>GDPPriceIndex!B297</f>
        <v/>
      </c>
      <c r="AI35" s="8">
        <f>GDPPriceIndex!C297</f>
        <v/>
      </c>
      <c r="AJ35" s="8">
        <f>GDPPriceIndex!D297</f>
        <v/>
      </c>
      <c r="AK35" s="125" t="n"/>
      <c r="AL35" s="170">
        <f>CorePCE!A297</f>
        <v/>
      </c>
      <c r="AM35" s="7">
        <f>CorePCE!B297</f>
        <v/>
      </c>
      <c r="AN35" s="8">
        <f>CorePCE!C297</f>
        <v/>
      </c>
      <c r="AO35" s="8">
        <f>CorePCE!D297</f>
        <v/>
      </c>
    </row>
    <row r="36" customFormat="1" s="125">
      <c r="C36" s="170">
        <f>'U.S. GDP'!A298</f>
        <v/>
      </c>
      <c r="D36" s="7">
        <f>'U.S. GDP'!B298</f>
        <v/>
      </c>
      <c r="E36" s="8">
        <f>'U.S. GDP'!C298</f>
        <v/>
      </c>
      <c r="F36" s="8">
        <f>'U.S. GDP'!E298</f>
        <v/>
      </c>
      <c r="G36" s="125" t="n"/>
      <c r="H36" s="170">
        <f>PersonalConsumption!A298</f>
        <v/>
      </c>
      <c r="I36" s="7">
        <f>PersonalConsumption!B298</f>
        <v/>
      </c>
      <c r="J36" s="8">
        <f>PersonalConsumption!C298</f>
        <v/>
      </c>
      <c r="K36" s="8">
        <f>PersonalConsumption!E298</f>
        <v/>
      </c>
      <c r="L36" s="125" t="n"/>
      <c r="M36" s="170">
        <f>PrivateInvestment!A298</f>
        <v/>
      </c>
      <c r="N36" s="7">
        <f>PrivateInvestment!B298</f>
        <v/>
      </c>
      <c r="O36" s="8">
        <f>PrivateInvestment!C298</f>
        <v/>
      </c>
      <c r="P36" s="8">
        <f>PrivateInvestment!E298</f>
        <v/>
      </c>
      <c r="Q36" s="125" t="n"/>
      <c r="R36" s="170">
        <f>Exports!A298</f>
        <v/>
      </c>
      <c r="S36" s="7">
        <f>Exports!B298</f>
        <v/>
      </c>
      <c r="T36" s="8">
        <f>Exports!C298</f>
        <v/>
      </c>
      <c r="U36" s="8">
        <f>Exports!E298</f>
        <v/>
      </c>
      <c r="V36" s="125" t="n"/>
      <c r="W36" s="170">
        <f>Imports!A298</f>
        <v/>
      </c>
      <c r="X36" s="7">
        <f>Imports!B298</f>
        <v/>
      </c>
      <c r="Y36" s="8">
        <f>Imports!C298</f>
        <v/>
      </c>
      <c r="Z36" s="8">
        <f>Imports!E298</f>
        <v/>
      </c>
      <c r="AA36" s="125" t="n"/>
      <c r="AB36" s="170">
        <f>Government!A298</f>
        <v/>
      </c>
      <c r="AC36" s="7">
        <f>Government!B298</f>
        <v/>
      </c>
      <c r="AD36" s="8">
        <f>Government!C298</f>
        <v/>
      </c>
      <c r="AE36" s="8">
        <f>Government!E298</f>
        <v/>
      </c>
      <c r="AF36" s="125" t="n"/>
      <c r="AG36" s="170">
        <f>GDPPriceIndex!A298</f>
        <v/>
      </c>
      <c r="AH36" s="7">
        <f>GDPPriceIndex!B298</f>
        <v/>
      </c>
      <c r="AI36" s="8">
        <f>GDPPriceIndex!C298</f>
        <v/>
      </c>
      <c r="AJ36" s="8">
        <f>GDPPriceIndex!D298</f>
        <v/>
      </c>
      <c r="AK36" s="125" t="n"/>
      <c r="AL36" s="170">
        <f>CorePCE!A298</f>
        <v/>
      </c>
      <c r="AM36" s="7">
        <f>CorePCE!B298</f>
        <v/>
      </c>
      <c r="AN36" s="8">
        <f>CorePCE!C298</f>
        <v/>
      </c>
      <c r="AO36" s="8">
        <f>CorePCE!D298</f>
        <v/>
      </c>
    </row>
    <row r="37" customFormat="1" s="125">
      <c r="C37" s="170">
        <f>'U.S. GDP'!A299</f>
        <v/>
      </c>
      <c r="D37" s="7">
        <f>'U.S. GDP'!B299</f>
        <v/>
      </c>
      <c r="E37" s="8">
        <f>'U.S. GDP'!C299</f>
        <v/>
      </c>
      <c r="F37" s="8">
        <f>'U.S. GDP'!E299</f>
        <v/>
      </c>
      <c r="G37" s="125" t="n"/>
      <c r="H37" s="170">
        <f>PersonalConsumption!A299</f>
        <v/>
      </c>
      <c r="I37" s="7">
        <f>PersonalConsumption!B299</f>
        <v/>
      </c>
      <c r="J37" s="8">
        <f>PersonalConsumption!C299</f>
        <v/>
      </c>
      <c r="K37" s="8">
        <f>PersonalConsumption!E299</f>
        <v/>
      </c>
      <c r="L37" s="125" t="n"/>
      <c r="M37" s="170">
        <f>PrivateInvestment!A299</f>
        <v/>
      </c>
      <c r="N37" s="7">
        <f>PrivateInvestment!B299</f>
        <v/>
      </c>
      <c r="O37" s="8">
        <f>PrivateInvestment!C299</f>
        <v/>
      </c>
      <c r="P37" s="8">
        <f>PrivateInvestment!E299</f>
        <v/>
      </c>
      <c r="Q37" s="125" t="n"/>
      <c r="R37" s="170">
        <f>Exports!A299</f>
        <v/>
      </c>
      <c r="S37" s="7">
        <f>Exports!B299</f>
        <v/>
      </c>
      <c r="T37" s="8">
        <f>Exports!C299</f>
        <v/>
      </c>
      <c r="U37" s="8">
        <f>Exports!E299</f>
        <v/>
      </c>
      <c r="V37" s="125" t="n"/>
      <c r="W37" s="170">
        <f>Imports!A299</f>
        <v/>
      </c>
      <c r="X37" s="7">
        <f>Imports!B299</f>
        <v/>
      </c>
      <c r="Y37" s="8">
        <f>Imports!C299</f>
        <v/>
      </c>
      <c r="Z37" s="8">
        <f>Imports!E299</f>
        <v/>
      </c>
      <c r="AA37" s="125" t="n"/>
      <c r="AB37" s="170">
        <f>Government!A299</f>
        <v/>
      </c>
      <c r="AC37" s="7">
        <f>Government!B299</f>
        <v/>
      </c>
      <c r="AD37" s="8">
        <f>Government!C299</f>
        <v/>
      </c>
      <c r="AE37" s="8">
        <f>Government!E299</f>
        <v/>
      </c>
      <c r="AF37" s="125" t="n"/>
      <c r="AG37" s="170">
        <f>GDPPriceIndex!A299</f>
        <v/>
      </c>
      <c r="AH37" s="7">
        <f>GDPPriceIndex!B299</f>
        <v/>
      </c>
      <c r="AI37" s="8">
        <f>GDPPriceIndex!C299</f>
        <v/>
      </c>
      <c r="AJ37" s="8">
        <f>GDPPriceIndex!D299</f>
        <v/>
      </c>
      <c r="AK37" s="125" t="n"/>
      <c r="AL37" s="170">
        <f>CorePCE!A299</f>
        <v/>
      </c>
      <c r="AM37" s="7">
        <f>CorePCE!B299</f>
        <v/>
      </c>
      <c r="AN37" s="8">
        <f>CorePCE!C299</f>
        <v/>
      </c>
      <c r="AO37" s="8">
        <f>CorePCE!D299</f>
        <v/>
      </c>
    </row>
    <row r="38" customFormat="1" s="125">
      <c r="C38" s="170">
        <f>'U.S. GDP'!A300</f>
        <v/>
      </c>
      <c r="D38" s="7">
        <f>'U.S. GDP'!B300</f>
        <v/>
      </c>
      <c r="E38" s="8">
        <f>'U.S. GDP'!C300</f>
        <v/>
      </c>
      <c r="F38" s="8">
        <f>'U.S. GDP'!E300</f>
        <v/>
      </c>
      <c r="G38" s="125" t="n"/>
      <c r="H38" s="170">
        <f>PersonalConsumption!A300</f>
        <v/>
      </c>
      <c r="I38" s="7">
        <f>PersonalConsumption!B300</f>
        <v/>
      </c>
      <c r="J38" s="8">
        <f>PersonalConsumption!C300</f>
        <v/>
      </c>
      <c r="K38" s="8">
        <f>PersonalConsumption!E300</f>
        <v/>
      </c>
      <c r="L38" s="125" t="n"/>
      <c r="M38" s="170">
        <f>PrivateInvestment!A300</f>
        <v/>
      </c>
      <c r="N38" s="7">
        <f>PrivateInvestment!B300</f>
        <v/>
      </c>
      <c r="O38" s="8">
        <f>PrivateInvestment!C300</f>
        <v/>
      </c>
      <c r="P38" s="8">
        <f>PrivateInvestment!E300</f>
        <v/>
      </c>
      <c r="Q38" s="125" t="n"/>
      <c r="R38" s="170">
        <f>Exports!A300</f>
        <v/>
      </c>
      <c r="S38" s="7">
        <f>Exports!B300</f>
        <v/>
      </c>
      <c r="T38" s="8">
        <f>Exports!C300</f>
        <v/>
      </c>
      <c r="U38" s="8">
        <f>Exports!E300</f>
        <v/>
      </c>
      <c r="V38" s="125" t="n"/>
      <c r="W38" s="170">
        <f>Imports!A300</f>
        <v/>
      </c>
      <c r="X38" s="7">
        <f>Imports!B300</f>
        <v/>
      </c>
      <c r="Y38" s="8">
        <f>Imports!C300</f>
        <v/>
      </c>
      <c r="Z38" s="8">
        <f>Imports!E300</f>
        <v/>
      </c>
      <c r="AA38" s="125" t="n"/>
      <c r="AB38" s="170">
        <f>Government!A300</f>
        <v/>
      </c>
      <c r="AC38" s="7">
        <f>Government!B300</f>
        <v/>
      </c>
      <c r="AD38" s="8">
        <f>Government!C300</f>
        <v/>
      </c>
      <c r="AE38" s="8">
        <f>Government!E300</f>
        <v/>
      </c>
      <c r="AF38" s="125" t="n"/>
      <c r="AG38" s="170">
        <f>GDPPriceIndex!A300</f>
        <v/>
      </c>
      <c r="AH38" s="7">
        <f>GDPPriceIndex!B300</f>
        <v/>
      </c>
      <c r="AI38" s="8">
        <f>GDPPriceIndex!C300</f>
        <v/>
      </c>
      <c r="AJ38" s="8">
        <f>GDPPriceIndex!D300</f>
        <v/>
      </c>
      <c r="AK38" s="125" t="n"/>
      <c r="AL38" s="170">
        <f>CorePCE!A300</f>
        <v/>
      </c>
      <c r="AM38" s="7">
        <f>CorePCE!B300</f>
        <v/>
      </c>
      <c r="AN38" s="8">
        <f>CorePCE!C300</f>
        <v/>
      </c>
      <c r="AO38" s="8">
        <f>CorePCE!D300</f>
        <v/>
      </c>
    </row>
    <row r="39" customFormat="1" s="125">
      <c r="C39" s="170">
        <f>'U.S. GDP'!A301</f>
        <v/>
      </c>
      <c r="D39" s="7">
        <f>'U.S. GDP'!B301</f>
        <v/>
      </c>
      <c r="E39" s="8">
        <f>'U.S. GDP'!C301</f>
        <v/>
      </c>
      <c r="F39" s="8">
        <f>'U.S. GDP'!E301</f>
        <v/>
      </c>
      <c r="G39" s="125" t="n"/>
      <c r="H39" s="170">
        <f>PersonalConsumption!A301</f>
        <v/>
      </c>
      <c r="I39" s="7">
        <f>PersonalConsumption!B301</f>
        <v/>
      </c>
      <c r="J39" s="8">
        <f>PersonalConsumption!C301</f>
        <v/>
      </c>
      <c r="K39" s="8">
        <f>PersonalConsumption!E301</f>
        <v/>
      </c>
      <c r="L39" s="125" t="n"/>
      <c r="M39" s="170">
        <f>PrivateInvestment!A301</f>
        <v/>
      </c>
      <c r="N39" s="7">
        <f>PrivateInvestment!B301</f>
        <v/>
      </c>
      <c r="O39" s="8">
        <f>PrivateInvestment!C301</f>
        <v/>
      </c>
      <c r="P39" s="8">
        <f>PrivateInvestment!E301</f>
        <v/>
      </c>
      <c r="Q39" s="125" t="n"/>
      <c r="R39" s="170">
        <f>Exports!A301</f>
        <v/>
      </c>
      <c r="S39" s="7">
        <f>Exports!B301</f>
        <v/>
      </c>
      <c r="T39" s="8">
        <f>Exports!C301</f>
        <v/>
      </c>
      <c r="U39" s="8">
        <f>Exports!E301</f>
        <v/>
      </c>
      <c r="V39" s="125" t="n"/>
      <c r="W39" s="170">
        <f>Imports!A301</f>
        <v/>
      </c>
      <c r="X39" s="7">
        <f>Imports!B301</f>
        <v/>
      </c>
      <c r="Y39" s="8">
        <f>Imports!C301</f>
        <v/>
      </c>
      <c r="Z39" s="8">
        <f>Imports!E301</f>
        <v/>
      </c>
      <c r="AA39" s="125" t="n"/>
      <c r="AB39" s="170">
        <f>Government!A301</f>
        <v/>
      </c>
      <c r="AC39" s="7">
        <f>Government!B301</f>
        <v/>
      </c>
      <c r="AD39" s="8">
        <f>Government!C301</f>
        <v/>
      </c>
      <c r="AE39" s="8">
        <f>Government!E301</f>
        <v/>
      </c>
      <c r="AF39" s="125" t="n"/>
      <c r="AG39" s="170">
        <f>GDPPriceIndex!A301</f>
        <v/>
      </c>
      <c r="AH39" s="7">
        <f>GDPPriceIndex!B301</f>
        <v/>
      </c>
      <c r="AI39" s="8">
        <f>GDPPriceIndex!C301</f>
        <v/>
      </c>
      <c r="AJ39" s="8">
        <f>GDPPriceIndex!D301</f>
        <v/>
      </c>
      <c r="AK39" s="125" t="n"/>
      <c r="AL39" s="170">
        <f>CorePCE!A301</f>
        <v/>
      </c>
      <c r="AM39" s="7">
        <f>CorePCE!B301</f>
        <v/>
      </c>
      <c r="AN39" s="8">
        <f>CorePCE!C301</f>
        <v/>
      </c>
      <c r="AO39" s="8">
        <f>CorePCE!D301</f>
        <v/>
      </c>
    </row>
    <row r="40" customFormat="1" s="125">
      <c r="C40" s="170">
        <f>'U.S. GDP'!A302</f>
        <v/>
      </c>
      <c r="D40" s="7">
        <f>'U.S. GDP'!B302</f>
        <v/>
      </c>
      <c r="E40" s="8">
        <f>'U.S. GDP'!C302</f>
        <v/>
      </c>
      <c r="F40" s="8">
        <f>'U.S. GDP'!E302</f>
        <v/>
      </c>
      <c r="G40" s="125" t="n"/>
      <c r="H40" s="170">
        <f>PersonalConsumption!A302</f>
        <v/>
      </c>
      <c r="I40" s="7">
        <f>PersonalConsumption!B302</f>
        <v/>
      </c>
      <c r="J40" s="8">
        <f>PersonalConsumption!C302</f>
        <v/>
      </c>
      <c r="K40" s="8">
        <f>PersonalConsumption!E302</f>
        <v/>
      </c>
      <c r="L40" s="125" t="n"/>
      <c r="M40" s="170">
        <f>PrivateInvestment!A302</f>
        <v/>
      </c>
      <c r="N40" s="7">
        <f>PrivateInvestment!B302</f>
        <v/>
      </c>
      <c r="O40" s="8">
        <f>PrivateInvestment!C302</f>
        <v/>
      </c>
      <c r="P40" s="8">
        <f>PrivateInvestment!E302</f>
        <v/>
      </c>
      <c r="Q40" s="125" t="n"/>
      <c r="R40" s="170">
        <f>Exports!A302</f>
        <v/>
      </c>
      <c r="S40" s="7">
        <f>Exports!B302</f>
        <v/>
      </c>
      <c r="T40" s="8">
        <f>Exports!C302</f>
        <v/>
      </c>
      <c r="U40" s="8">
        <f>Exports!E302</f>
        <v/>
      </c>
      <c r="V40" s="125" t="n"/>
      <c r="W40" s="170">
        <f>Imports!A302</f>
        <v/>
      </c>
      <c r="X40" s="7">
        <f>Imports!B302</f>
        <v/>
      </c>
      <c r="Y40" s="8">
        <f>Imports!C302</f>
        <v/>
      </c>
      <c r="Z40" s="8">
        <f>Imports!E302</f>
        <v/>
      </c>
      <c r="AA40" s="125" t="n"/>
      <c r="AB40" s="170">
        <f>Government!A302</f>
        <v/>
      </c>
      <c r="AC40" s="7">
        <f>Government!B302</f>
        <v/>
      </c>
      <c r="AD40" s="8">
        <f>Government!C302</f>
        <v/>
      </c>
      <c r="AE40" s="8">
        <f>Government!E302</f>
        <v/>
      </c>
      <c r="AF40" s="125" t="n"/>
      <c r="AG40" s="170">
        <f>GDPPriceIndex!A302</f>
        <v/>
      </c>
      <c r="AH40" s="7">
        <f>GDPPriceIndex!B302</f>
        <v/>
      </c>
      <c r="AI40" s="8">
        <f>GDPPriceIndex!C302</f>
        <v/>
      </c>
      <c r="AJ40" s="8">
        <f>GDPPriceIndex!D302</f>
        <v/>
      </c>
      <c r="AK40" s="125" t="n"/>
      <c r="AL40" s="170">
        <f>CorePCE!A302</f>
        <v/>
      </c>
      <c r="AM40" s="7">
        <f>CorePCE!B302</f>
        <v/>
      </c>
      <c r="AN40" s="8">
        <f>CorePCE!C302</f>
        <v/>
      </c>
      <c r="AO40" s="8">
        <f>CorePCE!D302</f>
        <v/>
      </c>
    </row>
    <row r="41" customFormat="1" s="125">
      <c r="C41" s="170">
        <f>'U.S. GDP'!A303</f>
        <v/>
      </c>
      <c r="D41" s="7">
        <f>'U.S. GDP'!B303</f>
        <v/>
      </c>
      <c r="E41" s="8">
        <f>'U.S. GDP'!C303</f>
        <v/>
      </c>
      <c r="F41" s="8">
        <f>'U.S. GDP'!E303</f>
        <v/>
      </c>
      <c r="G41" s="125" t="n"/>
      <c r="H41" s="170">
        <f>PersonalConsumption!A303</f>
        <v/>
      </c>
      <c r="I41" s="7">
        <f>PersonalConsumption!B303</f>
        <v/>
      </c>
      <c r="J41" s="8">
        <f>PersonalConsumption!C303</f>
        <v/>
      </c>
      <c r="K41" s="8">
        <f>PersonalConsumption!E303</f>
        <v/>
      </c>
      <c r="L41" s="125" t="n"/>
      <c r="M41" s="170">
        <f>PrivateInvestment!A303</f>
        <v/>
      </c>
      <c r="N41" s="7">
        <f>PrivateInvestment!B303</f>
        <v/>
      </c>
      <c r="O41" s="8">
        <f>PrivateInvestment!C303</f>
        <v/>
      </c>
      <c r="P41" s="8">
        <f>PrivateInvestment!E303</f>
        <v/>
      </c>
      <c r="Q41" s="125" t="n"/>
      <c r="R41" s="170">
        <f>Exports!A303</f>
        <v/>
      </c>
      <c r="S41" s="7">
        <f>Exports!B303</f>
        <v/>
      </c>
      <c r="T41" s="8">
        <f>Exports!C303</f>
        <v/>
      </c>
      <c r="U41" s="8">
        <f>Exports!E303</f>
        <v/>
      </c>
      <c r="V41" s="125" t="n"/>
      <c r="W41" s="170">
        <f>Imports!A303</f>
        <v/>
      </c>
      <c r="X41" s="7">
        <f>Imports!B303</f>
        <v/>
      </c>
      <c r="Y41" s="8">
        <f>Imports!C303</f>
        <v/>
      </c>
      <c r="Z41" s="8">
        <f>Imports!E303</f>
        <v/>
      </c>
      <c r="AA41" s="125" t="n"/>
      <c r="AB41" s="170">
        <f>Government!A303</f>
        <v/>
      </c>
      <c r="AC41" s="7">
        <f>Government!B303</f>
        <v/>
      </c>
      <c r="AD41" s="8">
        <f>Government!C303</f>
        <v/>
      </c>
      <c r="AE41" s="8">
        <f>Government!E303</f>
        <v/>
      </c>
      <c r="AF41" s="125" t="n"/>
      <c r="AG41" s="170">
        <f>GDPPriceIndex!A303</f>
        <v/>
      </c>
      <c r="AH41" s="7">
        <f>GDPPriceIndex!B303</f>
        <v/>
      </c>
      <c r="AI41" s="8">
        <f>GDPPriceIndex!C303</f>
        <v/>
      </c>
      <c r="AJ41" s="8">
        <f>GDPPriceIndex!D303</f>
        <v/>
      </c>
      <c r="AK41" s="125" t="n"/>
      <c r="AL41" s="170">
        <f>CorePCE!A303</f>
        <v/>
      </c>
      <c r="AM41" s="7">
        <f>CorePCE!B303</f>
        <v/>
      </c>
      <c r="AN41" s="8">
        <f>CorePCE!C303</f>
        <v/>
      </c>
      <c r="AO41" s="8">
        <f>CorePCE!D303</f>
        <v/>
      </c>
    </row>
    <row r="42" customFormat="1" s="125">
      <c r="C42" s="170">
        <f>'U.S. GDP'!A304</f>
        <v/>
      </c>
      <c r="D42" s="7">
        <f>'U.S. GDP'!B304</f>
        <v/>
      </c>
      <c r="E42" s="8">
        <f>'U.S. GDP'!C304</f>
        <v/>
      </c>
      <c r="F42" s="8">
        <f>'U.S. GDP'!E304</f>
        <v/>
      </c>
      <c r="G42" s="125" t="n"/>
      <c r="H42" s="170">
        <f>PersonalConsumption!A304</f>
        <v/>
      </c>
      <c r="I42" s="7">
        <f>PersonalConsumption!B304</f>
        <v/>
      </c>
      <c r="J42" s="8">
        <f>PersonalConsumption!C304</f>
        <v/>
      </c>
      <c r="K42" s="8">
        <f>PersonalConsumption!E304</f>
        <v/>
      </c>
      <c r="L42" s="125" t="n"/>
      <c r="M42" s="170">
        <f>PrivateInvestment!A304</f>
        <v/>
      </c>
      <c r="N42" s="7">
        <f>PrivateInvestment!B304</f>
        <v/>
      </c>
      <c r="O42" s="8">
        <f>PrivateInvestment!C304</f>
        <v/>
      </c>
      <c r="P42" s="8">
        <f>PrivateInvestment!E304</f>
        <v/>
      </c>
      <c r="Q42" s="125" t="n"/>
      <c r="R42" s="170">
        <f>Exports!A304</f>
        <v/>
      </c>
      <c r="S42" s="7">
        <f>Exports!B304</f>
        <v/>
      </c>
      <c r="T42" s="8">
        <f>Exports!C304</f>
        <v/>
      </c>
      <c r="U42" s="8">
        <f>Exports!E304</f>
        <v/>
      </c>
      <c r="V42" s="125" t="n"/>
      <c r="W42" s="170">
        <f>Imports!A304</f>
        <v/>
      </c>
      <c r="X42" s="7">
        <f>Imports!B304</f>
        <v/>
      </c>
      <c r="Y42" s="8">
        <f>Imports!C304</f>
        <v/>
      </c>
      <c r="Z42" s="8">
        <f>Imports!E304</f>
        <v/>
      </c>
      <c r="AA42" s="125" t="n"/>
      <c r="AB42" s="170">
        <f>Government!A304</f>
        <v/>
      </c>
      <c r="AC42" s="7">
        <f>Government!B304</f>
        <v/>
      </c>
      <c r="AD42" s="8">
        <f>Government!C304</f>
        <v/>
      </c>
      <c r="AE42" s="8">
        <f>Government!E304</f>
        <v/>
      </c>
      <c r="AF42" s="125" t="n"/>
      <c r="AG42" s="170">
        <f>GDPPriceIndex!A304</f>
        <v/>
      </c>
      <c r="AH42" s="7">
        <f>GDPPriceIndex!B304</f>
        <v/>
      </c>
      <c r="AI42" s="8">
        <f>GDPPriceIndex!C304</f>
        <v/>
      </c>
      <c r="AJ42" s="8">
        <f>GDPPriceIndex!D304</f>
        <v/>
      </c>
      <c r="AK42" s="125" t="n"/>
      <c r="AL42" s="170">
        <f>CorePCE!A304</f>
        <v/>
      </c>
      <c r="AM42" s="7">
        <f>CorePCE!B304</f>
        <v/>
      </c>
      <c r="AN42" s="8">
        <f>CorePCE!C304</f>
        <v/>
      </c>
      <c r="AO42" s="8">
        <f>CorePCE!D304</f>
        <v/>
      </c>
    </row>
    <row r="43" customFormat="1" s="125"/>
    <row r="44" customFormat="1" s="125"/>
    <row r="45" customFormat="1" s="125"/>
    <row r="46" customFormat="1" s="125"/>
    <row r="47" customFormat="1" s="125"/>
    <row r="48" customFormat="1" s="125"/>
    <row r="49" customFormat="1" s="125"/>
    <row r="50" customFormat="1" s="125"/>
    <row r="51" customFormat="1" s="125"/>
    <row r="52" customFormat="1" s="125"/>
    <row r="53" customFormat="1" s="125"/>
    <row r="54" customFormat="1" s="125"/>
    <row r="55" customFormat="1" s="125"/>
    <row r="56" customFormat="1" s="125"/>
    <row r="57" customFormat="1" s="125"/>
    <row r="58" customFormat="1" s="125"/>
    <row r="59" customFormat="1" s="125"/>
    <row r="60" customFormat="1" s="125"/>
    <row r="61" customFormat="1" s="125"/>
    <row r="62" customFormat="1" s="125"/>
    <row r="63" customFormat="1" s="125"/>
    <row r="64" customFormat="1" s="125"/>
    <row r="65" customFormat="1" s="125"/>
    <row r="66" customFormat="1" s="125"/>
    <row r="67" customFormat="1" s="125"/>
    <row r="68" customFormat="1" s="125"/>
    <row r="69" customFormat="1" s="125"/>
    <row r="70" customFormat="1" s="125"/>
    <row r="71" customFormat="1" s="125"/>
    <row r="72" customFormat="1" s="125"/>
    <row r="73" customFormat="1" s="125"/>
    <row r="74" customFormat="1" s="125"/>
    <row r="75" customFormat="1" s="125"/>
    <row r="76" customFormat="1" s="125"/>
    <row r="77" customFormat="1" s="125"/>
    <row r="78" customFormat="1" s="125"/>
    <row r="79" customFormat="1" s="125"/>
    <row r="80" customFormat="1" s="125"/>
    <row r="81" customFormat="1" s="125"/>
    <row r="82" customFormat="1" s="125"/>
    <row r="83" customFormat="1" s="125"/>
    <row r="84" customFormat="1" s="125"/>
    <row r="85" customFormat="1" s="125"/>
    <row r="86" customFormat="1" s="125"/>
    <row r="87" customFormat="1" s="125"/>
    <row r="88" customFormat="1" s="125"/>
    <row r="89" customFormat="1" s="125"/>
    <row r="90" customFormat="1" s="125"/>
    <row r="91" customFormat="1" s="125"/>
    <row r="92" customFormat="1" s="125"/>
    <row r="93" customFormat="1" s="125"/>
    <row r="94" customFormat="1" s="125"/>
    <row r="95" customFormat="1" s="125"/>
    <row r="96" customFormat="1" s="125"/>
    <row r="97" customFormat="1" s="125"/>
    <row r="98" customFormat="1" s="125"/>
    <row r="99" customFormat="1" s="125"/>
    <row r="100" customFormat="1" s="125"/>
    <row r="101" customFormat="1" s="125"/>
    <row r="102" customFormat="1" s="125"/>
    <row r="103" customFormat="1" s="125"/>
    <row r="104" customFormat="1" s="125"/>
    <row r="105" customFormat="1" s="125"/>
    <row r="106" customFormat="1" s="125"/>
    <row r="107" customFormat="1" s="125"/>
    <row r="108" customFormat="1" s="125"/>
    <row r="109" customFormat="1" s="125"/>
    <row r="110" customFormat="1" s="125"/>
    <row r="111" customFormat="1" s="125"/>
    <row r="112" customFormat="1" s="125"/>
    <row r="113" customFormat="1" s="125"/>
    <row r="114" customFormat="1" s="125"/>
    <row r="115" customFormat="1" s="125"/>
    <row r="116" customFormat="1" s="125"/>
    <row r="117" customFormat="1" s="125"/>
    <row r="118" customFormat="1" s="125"/>
    <row r="119" customFormat="1" s="125"/>
    <row r="120" customFormat="1" s="125"/>
    <row r="121" customFormat="1" s="125"/>
    <row r="122" customFormat="1" s="125"/>
    <row r="123" customFormat="1" s="125"/>
    <row r="124" customFormat="1" s="125"/>
    <row r="125" customFormat="1" s="125"/>
    <row r="126" customFormat="1" s="125"/>
    <row r="127" customFormat="1" s="125"/>
    <row r="128" customFormat="1" s="125"/>
    <row r="129" customFormat="1" s="125"/>
    <row r="130" customFormat="1" s="125"/>
    <row r="131" customFormat="1" s="125"/>
    <row r="132" customFormat="1" s="125"/>
    <row r="133" customFormat="1" s="125"/>
    <row r="134" customFormat="1" s="125"/>
    <row r="135" customFormat="1" s="125"/>
    <row r="136" customFormat="1" s="125"/>
    <row r="137" customFormat="1" s="125"/>
    <row r="138" customFormat="1" s="125"/>
    <row r="139" customFormat="1" s="125"/>
    <row r="140" customFormat="1" s="125"/>
    <row r="141" customFormat="1" s="125"/>
    <row r="142" customFormat="1" s="125"/>
    <row r="143" customFormat="1" s="125"/>
    <row r="144" customFormat="1" s="125"/>
    <row r="145" customFormat="1" s="125"/>
    <row r="146" customFormat="1" s="125"/>
    <row r="147" customFormat="1" s="125"/>
    <row r="148" customFormat="1" s="125"/>
    <row r="149" customFormat="1" s="125"/>
    <row r="150" customFormat="1" s="125"/>
    <row r="151" customFormat="1" s="125"/>
    <row r="152" customFormat="1" s="125"/>
    <row r="153" customFormat="1" s="125"/>
    <row r="154" customFormat="1" s="125"/>
    <row r="155" customFormat="1" s="125"/>
    <row r="156" customFormat="1" s="125"/>
    <row r="157" customFormat="1" s="125"/>
    <row r="158" customFormat="1" s="125"/>
    <row r="159" customFormat="1" s="125"/>
    <row r="160" customFormat="1" s="125"/>
    <row r="161" customFormat="1" s="125"/>
    <row r="162" customFormat="1" s="125"/>
    <row r="163" customFormat="1" s="125"/>
    <row r="164" customFormat="1" s="125"/>
    <row r="165" customFormat="1" s="125"/>
    <row r="166" customFormat="1" s="125"/>
    <row r="167" customFormat="1" s="125"/>
    <row r="168" customFormat="1" s="125"/>
    <row r="169" customFormat="1" s="125"/>
    <row r="170" customFormat="1" s="125"/>
    <row r="171" customFormat="1" s="125"/>
    <row r="172" customFormat="1" s="125"/>
    <row r="173" customFormat="1" s="125"/>
    <row r="174" customFormat="1" s="125"/>
    <row r="175" customFormat="1" s="125"/>
    <row r="176" customFormat="1" s="125"/>
    <row r="177" customFormat="1" s="125"/>
    <row r="178" customFormat="1" s="125"/>
    <row r="179" customFormat="1" s="125"/>
    <row r="180" customFormat="1" s="125"/>
    <row r="181" customFormat="1" s="125"/>
    <row r="182" customFormat="1" s="125"/>
    <row r="183" customFormat="1" s="125"/>
    <row r="184" customFormat="1" s="125"/>
    <row r="185" customFormat="1" s="125"/>
    <row r="186" customFormat="1" s="125"/>
    <row r="187" customFormat="1" s="125"/>
    <row r="188" customFormat="1" s="125"/>
    <row r="189" customFormat="1" s="125"/>
    <row r="190" customFormat="1" s="125"/>
    <row r="191" customFormat="1" s="125"/>
    <row r="192" customFormat="1" s="125"/>
    <row r="193" customFormat="1" s="125"/>
    <row r="194" customFormat="1" s="125"/>
    <row r="195" customFormat="1" s="125"/>
    <row r="196" customFormat="1" s="125"/>
    <row r="197" customFormat="1" s="125"/>
    <row r="198" customFormat="1" s="125"/>
    <row r="199" customFormat="1" s="125"/>
    <row r="200" customFormat="1" s="125"/>
    <row r="201" customFormat="1" s="125"/>
    <row r="202" customFormat="1" s="125"/>
    <row r="203" customFormat="1" s="125"/>
    <row r="204" customFormat="1" s="125"/>
    <row r="205" customFormat="1" s="125"/>
    <row r="206" customFormat="1" s="125"/>
    <row r="207" customFormat="1" s="125"/>
    <row r="208" customFormat="1" s="125"/>
    <row r="209" customFormat="1" s="125"/>
    <row r="210" customFormat="1" s="125"/>
    <row r="211" customFormat="1" s="125"/>
    <row r="212" customFormat="1" s="125"/>
    <row r="213" customFormat="1" s="125"/>
    <row r="214" customFormat="1" s="125"/>
    <row r="215" customFormat="1" s="125"/>
    <row r="216" customFormat="1" s="125"/>
    <row r="217" customFormat="1" s="125"/>
    <row r="218" customFormat="1" s="125"/>
    <row r="219" customFormat="1" s="125"/>
    <row r="220" customFormat="1" s="125"/>
    <row r="221" customFormat="1" s="125"/>
    <row r="222" customFormat="1" s="125"/>
    <row r="223" customFormat="1" s="125"/>
    <row r="224" customFormat="1" s="125"/>
    <row r="225" customFormat="1" s="125"/>
    <row r="226" customFormat="1" s="125"/>
    <row r="227" customFormat="1" s="125"/>
    <row r="228" customFormat="1" s="125"/>
    <row r="229" customFormat="1" s="125"/>
    <row r="230" customFormat="1" s="125"/>
    <row r="231" customFormat="1" s="125"/>
    <row r="232" customFormat="1" s="125"/>
    <row r="233" customFormat="1" s="125"/>
    <row r="234" customFormat="1" s="125"/>
    <row r="235" customFormat="1" s="125"/>
    <row r="236" customFormat="1" s="125"/>
    <row r="237" customFormat="1" s="125"/>
    <row r="238" customFormat="1" s="125"/>
    <row r="239" customFormat="1" s="125"/>
    <row r="240" customFormat="1" s="125"/>
    <row r="241" customFormat="1" s="125"/>
    <row r="242" customFormat="1" s="125"/>
    <row r="243" customFormat="1" s="125"/>
    <row r="244" customFormat="1" s="125"/>
    <row r="245" customFormat="1" s="125"/>
    <row r="246" customFormat="1" s="125"/>
    <row r="247" customFormat="1" s="125"/>
    <row r="248" customFormat="1" s="125"/>
    <row r="249" customFormat="1" s="125"/>
    <row r="250" customFormat="1" s="125"/>
    <row r="251" customFormat="1" s="125"/>
    <row r="252" customFormat="1" s="125"/>
    <row r="253" customFormat="1" s="125"/>
    <row r="254" customFormat="1" s="125"/>
    <row r="255" customFormat="1" s="125"/>
    <row r="256" customFormat="1" s="125"/>
    <row r="257" customFormat="1" s="125"/>
    <row r="258" customFormat="1" s="125"/>
    <row r="259" customFormat="1" s="125"/>
    <row r="260" customFormat="1" s="125"/>
    <row r="261" customFormat="1" s="125"/>
    <row r="262" customFormat="1" s="125"/>
    <row r="263" customFormat="1" s="125"/>
    <row r="264" customFormat="1" s="125"/>
    <row r="265" customFormat="1" s="125"/>
    <row r="266" customFormat="1" s="125"/>
    <row r="267" customFormat="1" s="125"/>
    <row r="268" customFormat="1" s="125"/>
    <row r="269" customFormat="1" s="125"/>
    <row r="270" customFormat="1" s="125"/>
    <row r="271" customFormat="1" s="125"/>
    <row r="272" customFormat="1" s="125"/>
    <row r="273" customFormat="1" s="125"/>
    <row r="274" customFormat="1" s="125"/>
    <row r="275" customFormat="1" s="125"/>
    <row r="276" customFormat="1" s="125"/>
    <row r="277" customFormat="1" s="125"/>
    <row r="278" customFormat="1" s="125"/>
    <row r="279" customFormat="1" s="125"/>
    <row r="280" customFormat="1" s="125"/>
    <row r="281" customFormat="1" s="125"/>
    <row r="282" customFormat="1" s="125"/>
    <row r="283" customFormat="1" s="125"/>
    <row r="284" customFormat="1" s="125"/>
    <row r="285" customFormat="1" s="125"/>
    <row r="286" customFormat="1" s="125"/>
    <row r="287" customFormat="1" s="125"/>
    <row r="288" customFormat="1" s="125"/>
    <row r="289" customFormat="1" s="125"/>
    <row r="290" customFormat="1" s="125"/>
    <row r="291" customFormat="1" s="125"/>
    <row r="292" customFormat="1" s="125"/>
    <row r="293" customFormat="1" s="125"/>
    <row r="294" customFormat="1" s="125"/>
    <row r="295" customFormat="1" s="125"/>
    <row r="296" customFormat="1" s="125"/>
    <row r="297" customFormat="1" s="125"/>
    <row r="298" customFormat="1" s="125"/>
    <row r="299" customFormat="1" s="125"/>
    <row r="300" customFormat="1" s="125"/>
    <row r="301" customFormat="1" s="125"/>
    <row r="302" customFormat="1" s="125"/>
    <row r="303" customFormat="1" s="125"/>
    <row r="304" customFormat="1" s="125"/>
    <row r="305" customFormat="1" s="125"/>
    <row r="306" customFormat="1" s="125"/>
    <row r="307" customFormat="1" s="125"/>
    <row r="308" customFormat="1" s="125"/>
    <row r="309" customFormat="1" s="125"/>
    <row r="310" customFormat="1" s="125"/>
    <row r="311" customFormat="1" s="125"/>
    <row r="312" customFormat="1" s="125"/>
    <row r="313" customFormat="1" s="125"/>
    <row r="314" customFormat="1" s="125"/>
    <row r="315" customFormat="1" s="125"/>
    <row r="316" customFormat="1" s="125"/>
    <row r="317" customFormat="1" s="125"/>
    <row r="318" customFormat="1" s="125"/>
    <row r="319" customFormat="1" s="125"/>
    <row r="320" customFormat="1" s="125"/>
    <row r="321" customFormat="1" s="125"/>
    <row r="322" customFormat="1" s="125"/>
    <row r="323" customFormat="1" s="125"/>
    <row r="324" customFormat="1" s="125"/>
    <row r="325" customFormat="1" s="125"/>
    <row r="326" customFormat="1" s="125"/>
    <row r="327" customFormat="1" s="125"/>
    <row r="328" customFormat="1" s="125"/>
    <row r="329" customFormat="1" s="125"/>
    <row r="330" customFormat="1" s="125"/>
    <row r="331" customFormat="1" s="125"/>
    <row r="332" customFormat="1" s="125"/>
    <row r="333" customFormat="1" s="125"/>
    <row r="334" customFormat="1" s="125"/>
    <row r="335" customFormat="1" s="125"/>
    <row r="336" customFormat="1" s="125"/>
    <row r="337" customFormat="1" s="125"/>
    <row r="338" customFormat="1" s="125"/>
    <row r="339" customFormat="1" s="125"/>
    <row r="340" customFormat="1" s="125"/>
    <row r="341" customFormat="1" s="125"/>
    <row r="342" customFormat="1" s="125"/>
    <row r="343" customFormat="1" s="125"/>
    <row r="344" customFormat="1" s="125"/>
    <row r="345" customFormat="1" s="125"/>
    <row r="346" customFormat="1" s="125"/>
    <row r="347" customFormat="1" s="125"/>
    <row r="348" customFormat="1" s="125"/>
    <row r="349" customFormat="1" s="125"/>
    <row r="350" customFormat="1" s="125"/>
    <row r="351" customFormat="1" s="125"/>
    <row r="352" customFormat="1" s="125"/>
    <row r="353" customFormat="1" s="125"/>
    <row r="354" customFormat="1" s="125"/>
    <row r="355" customFormat="1" s="125"/>
    <row r="356" customFormat="1" s="125"/>
    <row r="357" customFormat="1" s="125"/>
    <row r="358" customFormat="1" s="125"/>
    <row r="359" customFormat="1" s="125"/>
    <row r="360" customFormat="1" s="125"/>
    <row r="361" customFormat="1" s="125"/>
    <row r="362" customFormat="1" s="125"/>
    <row r="363" customFormat="1" s="125"/>
    <row r="364" customFormat="1" s="125"/>
    <row r="365" customFormat="1" s="125"/>
    <row r="366" customFormat="1" s="125"/>
    <row r="367" customFormat="1" s="125"/>
    <row r="368" customFormat="1" s="125"/>
    <row r="369" customFormat="1" s="125"/>
    <row r="370" customFormat="1" s="125"/>
    <row r="371" customFormat="1" s="125"/>
    <row r="372" customFormat="1" s="125"/>
    <row r="373" customFormat="1" s="125"/>
    <row r="374" customFormat="1" s="125"/>
    <row r="375" customFormat="1" s="125"/>
    <row r="376" customFormat="1" s="125"/>
    <row r="377" customFormat="1" s="125"/>
    <row r="378" customFormat="1" s="125"/>
    <row r="379" customFormat="1" s="125"/>
    <row r="380" customFormat="1" s="125"/>
    <row r="381" customFormat="1" s="125"/>
    <row r="382" customFormat="1" s="125"/>
    <row r="383" customFormat="1" s="125"/>
    <row r="384" customFormat="1" s="125"/>
    <row r="385" customFormat="1" s="125"/>
    <row r="386" customFormat="1" s="125"/>
    <row r="387" customFormat="1" s="125"/>
    <row r="388" customFormat="1" s="125"/>
    <row r="389" customFormat="1" s="125"/>
    <row r="390" customFormat="1" s="125"/>
    <row r="391" customFormat="1" s="125"/>
    <row r="392" customFormat="1" s="125"/>
    <row r="393" customFormat="1" s="125"/>
    <row r="394" customFormat="1" s="125"/>
    <row r="395" customFormat="1" s="125"/>
    <row r="396" customFormat="1" s="125"/>
    <row r="397" customFormat="1" s="125"/>
    <row r="398" customFormat="1" s="125"/>
    <row r="399" customFormat="1" s="125"/>
    <row r="400" customFormat="1" s="125"/>
    <row r="401" customFormat="1" s="125"/>
    <row r="402" customFormat="1" s="125"/>
    <row r="403" customFormat="1" s="125"/>
    <row r="404" customFormat="1" s="125"/>
    <row r="405" customFormat="1" s="125"/>
    <row r="406" customFormat="1" s="125"/>
    <row r="407" customFormat="1" s="125"/>
    <row r="408" customFormat="1" s="125"/>
    <row r="409" customFormat="1" s="125"/>
    <row r="410" customFormat="1" s="125"/>
    <row r="411" customFormat="1" s="125"/>
    <row r="412" customFormat="1" s="125"/>
    <row r="413" customFormat="1" s="125"/>
    <row r="414" customFormat="1" s="125"/>
    <row r="415" customFormat="1" s="125"/>
    <row r="416" customFormat="1" s="125"/>
    <row r="417" customFormat="1" s="125"/>
    <row r="418" customFormat="1" s="125"/>
    <row r="419" customFormat="1" s="125"/>
    <row r="420" customFormat="1" s="125"/>
    <row r="421" customFormat="1" s="125"/>
    <row r="422" customFormat="1" s="125"/>
    <row r="423" customFormat="1" s="125"/>
    <row r="424" customFormat="1" s="125"/>
    <row r="425" customFormat="1" s="125"/>
    <row r="426" customFormat="1" s="125"/>
    <row r="427" customFormat="1" s="125"/>
    <row r="428" customFormat="1" s="125"/>
    <row r="429" customFormat="1" s="125"/>
    <row r="430" customFormat="1" s="125"/>
    <row r="431" customFormat="1" s="125"/>
    <row r="432" customFormat="1" s="125"/>
    <row r="433" customFormat="1" s="125"/>
    <row r="434" customFormat="1" s="125"/>
    <row r="435" customFormat="1" s="125"/>
    <row r="436" customFormat="1" s="125"/>
    <row r="437" customFormat="1" s="125"/>
    <row r="438" customFormat="1" s="125"/>
    <row r="439" customFormat="1" s="125"/>
    <row r="440" customFormat="1" s="125"/>
    <row r="441" customFormat="1" s="125"/>
    <row r="442" customFormat="1" s="125"/>
    <row r="443" customFormat="1" s="125"/>
    <row r="444" customFormat="1" s="125"/>
    <row r="445" customFormat="1" s="125"/>
    <row r="446" customFormat="1" s="125"/>
    <row r="447" customFormat="1" s="125"/>
    <row r="448" customFormat="1" s="125"/>
    <row r="449" customFormat="1" s="12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31" min="1" max="1"/>
    <col width="10.83203125" customWidth="1" style="171" min="2" max="3"/>
    <col width="10.83203125" customWidth="1" style="33" min="4" max="4"/>
    <col width="10.83203125" customWidth="1" style="34" min="5" max="7"/>
    <col width="10.83203125" customWidth="1" style="33" min="8" max="8"/>
    <col width="10.83203125" customWidth="1" style="34" min="9" max="11"/>
    <col width="13" customWidth="1" style="34" min="12" max="12"/>
    <col width="9.1640625" customWidth="1" style="125" min="13" max="14"/>
    <col width="9.1640625" customWidth="1" style="53" min="15" max="15"/>
    <col width="9.1640625" customWidth="1" style="125" min="16" max="253"/>
    <col width="10.83203125" customWidth="1" style="125" min="254" max="254"/>
    <col width="18.1640625" customWidth="1" style="125" min="255" max="255"/>
    <col width="15" customWidth="1" style="125" min="256" max="256"/>
    <col width="13" customWidth="1" style="125" min="257" max="260"/>
    <col width="17.5" customWidth="1" style="125" min="261" max="261"/>
    <col width="9.1640625" customWidth="1" style="125" min="262" max="509"/>
    <col width="10.83203125" customWidth="1" style="125" min="510" max="510"/>
    <col width="18.1640625" customWidth="1" style="125" min="511" max="511"/>
    <col width="15" customWidth="1" style="125" min="512" max="512"/>
    <col width="13" customWidth="1" style="125" min="513" max="516"/>
    <col width="17.5" customWidth="1" style="125" min="517" max="517"/>
    <col width="9.1640625" customWidth="1" style="125" min="518" max="765"/>
    <col width="10.83203125" customWidth="1" style="125" min="766" max="766"/>
    <col width="18.1640625" customWidth="1" style="125" min="767" max="767"/>
    <col width="15" customWidth="1" style="125" min="768" max="768"/>
    <col width="13" customWidth="1" style="125" min="769" max="772"/>
    <col width="17.5" customWidth="1" style="125" min="773" max="773"/>
    <col width="9.1640625" customWidth="1" style="125" min="774" max="1021"/>
    <col width="10.83203125" customWidth="1" style="125" min="1022" max="1022"/>
    <col width="18.1640625" customWidth="1" style="125" min="1023" max="1023"/>
    <col width="15" customWidth="1" style="125" min="1024" max="1024"/>
    <col width="13" customWidth="1" style="125" min="1025" max="1028"/>
    <col width="17.5" customWidth="1" style="125" min="1029" max="1029"/>
    <col width="9.1640625" customWidth="1" style="125" min="1030" max="1277"/>
    <col width="10.83203125" customWidth="1" style="125" min="1278" max="1278"/>
    <col width="18.1640625" customWidth="1" style="125" min="1279" max="1279"/>
    <col width="15" customWidth="1" style="125" min="1280" max="1280"/>
    <col width="13" customWidth="1" style="125" min="1281" max="1284"/>
    <col width="17.5" customWidth="1" style="125" min="1285" max="1285"/>
    <col width="9.1640625" customWidth="1" style="125" min="1286" max="1533"/>
    <col width="10.83203125" customWidth="1" style="125" min="1534" max="1534"/>
    <col width="18.1640625" customWidth="1" style="125" min="1535" max="1535"/>
    <col width="15" customWidth="1" style="125" min="1536" max="1536"/>
    <col width="13" customWidth="1" style="125" min="1537" max="1540"/>
    <col width="17.5" customWidth="1" style="125" min="1541" max="1541"/>
    <col width="9.1640625" customWidth="1" style="125" min="1542" max="1789"/>
    <col width="10.83203125" customWidth="1" style="125" min="1790" max="1790"/>
    <col width="18.1640625" customWidth="1" style="125" min="1791" max="1791"/>
    <col width="15" customWidth="1" style="125" min="1792" max="1792"/>
    <col width="13" customWidth="1" style="125" min="1793" max="1796"/>
    <col width="17.5" customWidth="1" style="125" min="1797" max="1797"/>
    <col width="9.1640625" customWidth="1" style="125" min="1798" max="2045"/>
    <col width="10.83203125" customWidth="1" style="125" min="2046" max="2046"/>
    <col width="18.1640625" customWidth="1" style="125" min="2047" max="2047"/>
    <col width="15" customWidth="1" style="125" min="2048" max="2048"/>
    <col width="13" customWidth="1" style="125" min="2049" max="2052"/>
    <col width="17.5" customWidth="1" style="125" min="2053" max="2053"/>
    <col width="9.1640625" customWidth="1" style="125" min="2054" max="2301"/>
    <col width="10.83203125" customWidth="1" style="125" min="2302" max="2302"/>
    <col width="18.1640625" customWidth="1" style="125" min="2303" max="2303"/>
    <col width="15" customWidth="1" style="125" min="2304" max="2304"/>
    <col width="13" customWidth="1" style="125" min="2305" max="2308"/>
    <col width="17.5" customWidth="1" style="125" min="2309" max="2309"/>
    <col width="9.1640625" customWidth="1" style="125" min="2310" max="2557"/>
    <col width="10.83203125" customWidth="1" style="125" min="2558" max="2558"/>
    <col width="18.1640625" customWidth="1" style="125" min="2559" max="2559"/>
    <col width="15" customWidth="1" style="125" min="2560" max="2560"/>
    <col width="13" customWidth="1" style="125" min="2561" max="2564"/>
    <col width="17.5" customWidth="1" style="125" min="2565" max="2565"/>
    <col width="9.1640625" customWidth="1" style="125" min="2566" max="2813"/>
    <col width="10.83203125" customWidth="1" style="125" min="2814" max="2814"/>
    <col width="18.1640625" customWidth="1" style="125" min="2815" max="2815"/>
    <col width="15" customWidth="1" style="125" min="2816" max="2816"/>
    <col width="13" customWidth="1" style="125" min="2817" max="2820"/>
    <col width="17.5" customWidth="1" style="125" min="2821" max="2821"/>
    <col width="9.1640625" customWidth="1" style="125" min="2822" max="3069"/>
    <col width="10.83203125" customWidth="1" style="125" min="3070" max="3070"/>
    <col width="18.1640625" customWidth="1" style="125" min="3071" max="3071"/>
    <col width="15" customWidth="1" style="125" min="3072" max="3072"/>
    <col width="13" customWidth="1" style="125" min="3073" max="3076"/>
    <col width="17.5" customWidth="1" style="125" min="3077" max="3077"/>
    <col width="9.1640625" customWidth="1" style="125" min="3078" max="3325"/>
    <col width="10.83203125" customWidth="1" style="125" min="3326" max="3326"/>
    <col width="18.1640625" customWidth="1" style="125" min="3327" max="3327"/>
    <col width="15" customWidth="1" style="125" min="3328" max="3328"/>
    <col width="13" customWidth="1" style="125" min="3329" max="3332"/>
    <col width="17.5" customWidth="1" style="125" min="3333" max="3333"/>
    <col width="9.1640625" customWidth="1" style="125" min="3334" max="3581"/>
    <col width="10.83203125" customWidth="1" style="125" min="3582" max="3582"/>
    <col width="18.1640625" customWidth="1" style="125" min="3583" max="3583"/>
    <col width="15" customWidth="1" style="125" min="3584" max="3584"/>
    <col width="13" customWidth="1" style="125" min="3585" max="3588"/>
    <col width="17.5" customWidth="1" style="125" min="3589" max="3589"/>
    <col width="9.1640625" customWidth="1" style="125" min="3590" max="3837"/>
    <col width="10.83203125" customWidth="1" style="125" min="3838" max="3838"/>
    <col width="18.1640625" customWidth="1" style="125" min="3839" max="3839"/>
    <col width="15" customWidth="1" style="125" min="3840" max="3840"/>
    <col width="13" customWidth="1" style="125" min="3841" max="3844"/>
    <col width="17.5" customWidth="1" style="125" min="3845" max="3845"/>
    <col width="9.1640625" customWidth="1" style="125" min="3846" max="4093"/>
    <col width="10.83203125" customWidth="1" style="125" min="4094" max="4094"/>
    <col width="18.1640625" customWidth="1" style="125" min="4095" max="4095"/>
    <col width="15" customWidth="1" style="125" min="4096" max="4096"/>
    <col width="13" customWidth="1" style="125" min="4097" max="4100"/>
    <col width="17.5" customWidth="1" style="125" min="4101" max="4101"/>
    <col width="9.1640625" customWidth="1" style="125" min="4102" max="4349"/>
    <col width="10.83203125" customWidth="1" style="125" min="4350" max="4350"/>
    <col width="18.1640625" customWidth="1" style="125" min="4351" max="4351"/>
    <col width="15" customWidth="1" style="125" min="4352" max="4352"/>
    <col width="13" customWidth="1" style="125" min="4353" max="4356"/>
    <col width="17.5" customWidth="1" style="125" min="4357" max="4357"/>
    <col width="9.1640625" customWidth="1" style="125" min="4358" max="4605"/>
    <col width="10.83203125" customWidth="1" style="125" min="4606" max="4606"/>
    <col width="18.1640625" customWidth="1" style="125" min="4607" max="4607"/>
    <col width="15" customWidth="1" style="125" min="4608" max="4608"/>
    <col width="13" customWidth="1" style="125" min="4609" max="4612"/>
    <col width="17.5" customWidth="1" style="125" min="4613" max="4613"/>
    <col width="9.1640625" customWidth="1" style="125" min="4614" max="4861"/>
    <col width="10.83203125" customWidth="1" style="125" min="4862" max="4862"/>
    <col width="18.1640625" customWidth="1" style="125" min="4863" max="4863"/>
    <col width="15" customWidth="1" style="125" min="4864" max="4864"/>
    <col width="13" customWidth="1" style="125" min="4865" max="4868"/>
    <col width="17.5" customWidth="1" style="125" min="4869" max="4869"/>
    <col width="9.1640625" customWidth="1" style="125" min="4870" max="5117"/>
    <col width="10.83203125" customWidth="1" style="125" min="5118" max="5118"/>
    <col width="18.1640625" customWidth="1" style="125" min="5119" max="5119"/>
    <col width="15" customWidth="1" style="125" min="5120" max="5120"/>
    <col width="13" customWidth="1" style="125" min="5121" max="5124"/>
    <col width="17.5" customWidth="1" style="125" min="5125" max="5125"/>
    <col width="9.1640625" customWidth="1" style="125" min="5126" max="5373"/>
    <col width="10.83203125" customWidth="1" style="125" min="5374" max="5374"/>
    <col width="18.1640625" customWidth="1" style="125" min="5375" max="5375"/>
    <col width="15" customWidth="1" style="125" min="5376" max="5376"/>
    <col width="13" customWidth="1" style="125" min="5377" max="5380"/>
    <col width="17.5" customWidth="1" style="125" min="5381" max="5381"/>
    <col width="9.1640625" customWidth="1" style="125" min="5382" max="5629"/>
    <col width="10.83203125" customWidth="1" style="125" min="5630" max="5630"/>
    <col width="18.1640625" customWidth="1" style="125" min="5631" max="5631"/>
    <col width="15" customWidth="1" style="125" min="5632" max="5632"/>
    <col width="13" customWidth="1" style="125" min="5633" max="5636"/>
    <col width="17.5" customWidth="1" style="125" min="5637" max="5637"/>
    <col width="9.1640625" customWidth="1" style="125" min="5638" max="5885"/>
    <col width="10.83203125" customWidth="1" style="125" min="5886" max="5886"/>
    <col width="18.1640625" customWidth="1" style="125" min="5887" max="5887"/>
    <col width="15" customWidth="1" style="125" min="5888" max="5888"/>
    <col width="13" customWidth="1" style="125" min="5889" max="5892"/>
    <col width="17.5" customWidth="1" style="125" min="5893" max="5893"/>
    <col width="9.1640625" customWidth="1" style="125" min="5894" max="6141"/>
    <col width="10.83203125" customWidth="1" style="125" min="6142" max="6142"/>
    <col width="18.1640625" customWidth="1" style="125" min="6143" max="6143"/>
    <col width="15" customWidth="1" style="125" min="6144" max="6144"/>
    <col width="13" customWidth="1" style="125" min="6145" max="6148"/>
    <col width="17.5" customWidth="1" style="125" min="6149" max="6149"/>
    <col width="9.1640625" customWidth="1" style="125" min="6150" max="6397"/>
    <col width="10.83203125" customWidth="1" style="125" min="6398" max="6398"/>
    <col width="18.1640625" customWidth="1" style="125" min="6399" max="6399"/>
    <col width="15" customWidth="1" style="125" min="6400" max="6400"/>
    <col width="13" customWidth="1" style="125" min="6401" max="6404"/>
    <col width="17.5" customWidth="1" style="125" min="6405" max="6405"/>
    <col width="9.1640625" customWidth="1" style="125" min="6406" max="6653"/>
    <col width="10.83203125" customWidth="1" style="125" min="6654" max="6654"/>
    <col width="18.1640625" customWidth="1" style="125" min="6655" max="6655"/>
    <col width="15" customWidth="1" style="125" min="6656" max="6656"/>
    <col width="13" customWidth="1" style="125" min="6657" max="6660"/>
    <col width="17.5" customWidth="1" style="125" min="6661" max="6661"/>
    <col width="9.1640625" customWidth="1" style="125" min="6662" max="6909"/>
    <col width="10.83203125" customWidth="1" style="125" min="6910" max="6910"/>
    <col width="18.1640625" customWidth="1" style="125" min="6911" max="6911"/>
    <col width="15" customWidth="1" style="125" min="6912" max="6912"/>
    <col width="13" customWidth="1" style="125" min="6913" max="6916"/>
    <col width="17.5" customWidth="1" style="125" min="6917" max="6917"/>
    <col width="9.1640625" customWidth="1" style="125" min="6918" max="7165"/>
    <col width="10.83203125" customWidth="1" style="125" min="7166" max="7166"/>
    <col width="18.1640625" customWidth="1" style="125" min="7167" max="7167"/>
    <col width="15" customWidth="1" style="125" min="7168" max="7168"/>
    <col width="13" customWidth="1" style="125" min="7169" max="7172"/>
    <col width="17.5" customWidth="1" style="125" min="7173" max="7173"/>
    <col width="9.1640625" customWidth="1" style="125" min="7174" max="7421"/>
    <col width="10.83203125" customWidth="1" style="125" min="7422" max="7422"/>
    <col width="18.1640625" customWidth="1" style="125" min="7423" max="7423"/>
    <col width="15" customWidth="1" style="125" min="7424" max="7424"/>
    <col width="13" customWidth="1" style="125" min="7425" max="7428"/>
    <col width="17.5" customWidth="1" style="125" min="7429" max="7429"/>
    <col width="9.1640625" customWidth="1" style="125" min="7430" max="7677"/>
    <col width="10.83203125" customWidth="1" style="125" min="7678" max="7678"/>
    <col width="18.1640625" customWidth="1" style="125" min="7679" max="7679"/>
    <col width="15" customWidth="1" style="125" min="7680" max="7680"/>
    <col width="13" customWidth="1" style="125" min="7681" max="7684"/>
    <col width="17.5" customWidth="1" style="125" min="7685" max="7685"/>
    <col width="9.1640625" customWidth="1" style="125" min="7686" max="7933"/>
    <col width="10.83203125" customWidth="1" style="125" min="7934" max="7934"/>
    <col width="18.1640625" customWidth="1" style="125" min="7935" max="7935"/>
    <col width="15" customWidth="1" style="125" min="7936" max="7936"/>
    <col width="13" customWidth="1" style="125" min="7937" max="7940"/>
    <col width="17.5" customWidth="1" style="125" min="7941" max="7941"/>
    <col width="9.1640625" customWidth="1" style="125" min="7942" max="8189"/>
    <col width="10.83203125" customWidth="1" style="125" min="8190" max="8190"/>
    <col width="18.1640625" customWidth="1" style="125" min="8191" max="8191"/>
    <col width="15" customWidth="1" style="125" min="8192" max="8192"/>
    <col width="13" customWidth="1" style="125" min="8193" max="8196"/>
    <col width="17.5" customWidth="1" style="125" min="8197" max="8197"/>
    <col width="9.1640625" customWidth="1" style="125" min="8198" max="8445"/>
    <col width="10.83203125" customWidth="1" style="125" min="8446" max="8446"/>
    <col width="18.1640625" customWidth="1" style="125" min="8447" max="8447"/>
    <col width="15" customWidth="1" style="125" min="8448" max="8448"/>
    <col width="13" customWidth="1" style="125" min="8449" max="8452"/>
    <col width="17.5" customWidth="1" style="125" min="8453" max="8453"/>
    <col width="9.1640625" customWidth="1" style="125" min="8454" max="8701"/>
    <col width="10.83203125" customWidth="1" style="125" min="8702" max="8702"/>
    <col width="18.1640625" customWidth="1" style="125" min="8703" max="8703"/>
    <col width="15" customWidth="1" style="125" min="8704" max="8704"/>
    <col width="13" customWidth="1" style="125" min="8705" max="8708"/>
    <col width="17.5" customWidth="1" style="125" min="8709" max="8709"/>
    <col width="9.1640625" customWidth="1" style="125" min="8710" max="8957"/>
    <col width="10.83203125" customWidth="1" style="125" min="8958" max="8958"/>
    <col width="18.1640625" customWidth="1" style="125" min="8959" max="8959"/>
    <col width="15" customWidth="1" style="125" min="8960" max="8960"/>
    <col width="13" customWidth="1" style="125" min="8961" max="8964"/>
    <col width="17.5" customWidth="1" style="125" min="8965" max="8965"/>
    <col width="9.1640625" customWidth="1" style="125" min="8966" max="9213"/>
    <col width="10.83203125" customWidth="1" style="125" min="9214" max="9214"/>
    <col width="18.1640625" customWidth="1" style="125" min="9215" max="9215"/>
    <col width="15" customWidth="1" style="125" min="9216" max="9216"/>
    <col width="13" customWidth="1" style="125" min="9217" max="9220"/>
    <col width="17.5" customWidth="1" style="125" min="9221" max="9221"/>
    <col width="9.1640625" customWidth="1" style="125" min="9222" max="9469"/>
    <col width="10.83203125" customWidth="1" style="125" min="9470" max="9470"/>
    <col width="18.1640625" customWidth="1" style="125" min="9471" max="9471"/>
    <col width="15" customWidth="1" style="125" min="9472" max="9472"/>
    <col width="13" customWidth="1" style="125" min="9473" max="9476"/>
    <col width="17.5" customWidth="1" style="125" min="9477" max="9477"/>
    <col width="9.1640625" customWidth="1" style="125" min="9478" max="9725"/>
    <col width="10.83203125" customWidth="1" style="125" min="9726" max="9726"/>
    <col width="18.1640625" customWidth="1" style="125" min="9727" max="9727"/>
    <col width="15" customWidth="1" style="125" min="9728" max="9728"/>
    <col width="13" customWidth="1" style="125" min="9729" max="9732"/>
    <col width="17.5" customWidth="1" style="125" min="9733" max="9733"/>
    <col width="9.1640625" customWidth="1" style="125" min="9734" max="9981"/>
    <col width="10.83203125" customWidth="1" style="125" min="9982" max="9982"/>
    <col width="18.1640625" customWidth="1" style="125" min="9983" max="9983"/>
    <col width="15" customWidth="1" style="125" min="9984" max="9984"/>
    <col width="13" customWidth="1" style="125" min="9985" max="9988"/>
    <col width="17.5" customWidth="1" style="125" min="9989" max="9989"/>
    <col width="9.1640625" customWidth="1" style="125" min="9990" max="10237"/>
    <col width="10.83203125" customWidth="1" style="125" min="10238" max="10238"/>
    <col width="18.1640625" customWidth="1" style="125" min="10239" max="10239"/>
    <col width="15" customWidth="1" style="125" min="10240" max="10240"/>
    <col width="13" customWidth="1" style="125" min="10241" max="10244"/>
    <col width="17.5" customWidth="1" style="125" min="10245" max="10245"/>
    <col width="9.1640625" customWidth="1" style="125" min="10246" max="10493"/>
    <col width="10.83203125" customWidth="1" style="125" min="10494" max="10494"/>
    <col width="18.1640625" customWidth="1" style="125" min="10495" max="10495"/>
    <col width="15" customWidth="1" style="125" min="10496" max="10496"/>
    <col width="13" customWidth="1" style="125" min="10497" max="10500"/>
    <col width="17.5" customWidth="1" style="125" min="10501" max="10501"/>
    <col width="9.1640625" customWidth="1" style="125" min="10502" max="10749"/>
    <col width="10.83203125" customWidth="1" style="125" min="10750" max="10750"/>
    <col width="18.1640625" customWidth="1" style="125" min="10751" max="10751"/>
    <col width="15" customWidth="1" style="125" min="10752" max="10752"/>
    <col width="13" customWidth="1" style="125" min="10753" max="10756"/>
    <col width="17.5" customWidth="1" style="125" min="10757" max="10757"/>
    <col width="9.1640625" customWidth="1" style="125" min="10758" max="11005"/>
    <col width="10.83203125" customWidth="1" style="125" min="11006" max="11006"/>
    <col width="18.1640625" customWidth="1" style="125" min="11007" max="11007"/>
    <col width="15" customWidth="1" style="125" min="11008" max="11008"/>
    <col width="13" customWidth="1" style="125" min="11009" max="11012"/>
    <col width="17.5" customWidth="1" style="125" min="11013" max="11013"/>
    <col width="9.1640625" customWidth="1" style="125" min="11014" max="11261"/>
    <col width="10.83203125" customWidth="1" style="125" min="11262" max="11262"/>
    <col width="18.1640625" customWidth="1" style="125" min="11263" max="11263"/>
    <col width="15" customWidth="1" style="125" min="11264" max="11264"/>
    <col width="13" customWidth="1" style="125" min="11265" max="11268"/>
    <col width="17.5" customWidth="1" style="125" min="11269" max="11269"/>
    <col width="9.1640625" customWidth="1" style="125" min="11270" max="11517"/>
    <col width="10.83203125" customWidth="1" style="125" min="11518" max="11518"/>
    <col width="18.1640625" customWidth="1" style="125" min="11519" max="11519"/>
    <col width="15" customWidth="1" style="125" min="11520" max="11520"/>
    <col width="13" customWidth="1" style="125" min="11521" max="11524"/>
    <col width="17.5" customWidth="1" style="125" min="11525" max="11525"/>
    <col width="9.1640625" customWidth="1" style="125" min="11526" max="11773"/>
    <col width="10.83203125" customWidth="1" style="125" min="11774" max="11774"/>
    <col width="18.1640625" customWidth="1" style="125" min="11775" max="11775"/>
    <col width="15" customWidth="1" style="125" min="11776" max="11776"/>
    <col width="13" customWidth="1" style="125" min="11777" max="11780"/>
    <col width="17.5" customWidth="1" style="125" min="11781" max="11781"/>
    <col width="9.1640625" customWidth="1" style="125" min="11782" max="12029"/>
    <col width="10.83203125" customWidth="1" style="125" min="12030" max="12030"/>
    <col width="18.1640625" customWidth="1" style="125" min="12031" max="12031"/>
    <col width="15" customWidth="1" style="125" min="12032" max="12032"/>
    <col width="13" customWidth="1" style="125" min="12033" max="12036"/>
    <col width="17.5" customWidth="1" style="125" min="12037" max="12037"/>
    <col width="9.1640625" customWidth="1" style="125" min="12038" max="12285"/>
    <col width="10.83203125" customWidth="1" style="125" min="12286" max="12286"/>
    <col width="18.1640625" customWidth="1" style="125" min="12287" max="12287"/>
    <col width="15" customWidth="1" style="125" min="12288" max="12288"/>
    <col width="13" customWidth="1" style="125" min="12289" max="12292"/>
    <col width="17.5" customWidth="1" style="125" min="12293" max="12293"/>
    <col width="9.1640625" customWidth="1" style="125" min="12294" max="12541"/>
    <col width="10.83203125" customWidth="1" style="125" min="12542" max="12542"/>
    <col width="18.1640625" customWidth="1" style="125" min="12543" max="12543"/>
    <col width="15" customWidth="1" style="125" min="12544" max="12544"/>
    <col width="13" customWidth="1" style="125" min="12545" max="12548"/>
    <col width="17.5" customWidth="1" style="125" min="12549" max="12549"/>
    <col width="9.1640625" customWidth="1" style="125" min="12550" max="12797"/>
    <col width="10.83203125" customWidth="1" style="125" min="12798" max="12798"/>
    <col width="18.1640625" customWidth="1" style="125" min="12799" max="12799"/>
    <col width="15" customWidth="1" style="125" min="12800" max="12800"/>
    <col width="13" customWidth="1" style="125" min="12801" max="12804"/>
    <col width="17.5" customWidth="1" style="125" min="12805" max="12805"/>
    <col width="9.1640625" customWidth="1" style="125" min="12806" max="13053"/>
    <col width="10.83203125" customWidth="1" style="125" min="13054" max="13054"/>
    <col width="18.1640625" customWidth="1" style="125" min="13055" max="13055"/>
    <col width="15" customWidth="1" style="125" min="13056" max="13056"/>
    <col width="13" customWidth="1" style="125" min="13057" max="13060"/>
    <col width="17.5" customWidth="1" style="125" min="13061" max="13061"/>
    <col width="9.1640625" customWidth="1" style="125" min="13062" max="13309"/>
    <col width="10.83203125" customWidth="1" style="125" min="13310" max="13310"/>
    <col width="18.1640625" customWidth="1" style="125" min="13311" max="13311"/>
    <col width="15" customWidth="1" style="125" min="13312" max="13312"/>
    <col width="13" customWidth="1" style="125" min="13313" max="13316"/>
    <col width="17.5" customWidth="1" style="125" min="13317" max="13317"/>
    <col width="9.1640625" customWidth="1" style="125" min="13318" max="13565"/>
    <col width="10.83203125" customWidth="1" style="125" min="13566" max="13566"/>
    <col width="18.1640625" customWidth="1" style="125" min="13567" max="13567"/>
    <col width="15" customWidth="1" style="125" min="13568" max="13568"/>
    <col width="13" customWidth="1" style="125" min="13569" max="13572"/>
    <col width="17.5" customWidth="1" style="125" min="13573" max="13573"/>
    <col width="9.1640625" customWidth="1" style="125" min="13574" max="13821"/>
    <col width="10.83203125" customWidth="1" style="125" min="13822" max="13822"/>
    <col width="18.1640625" customWidth="1" style="125" min="13823" max="13823"/>
    <col width="15" customWidth="1" style="125" min="13824" max="13824"/>
    <col width="13" customWidth="1" style="125" min="13825" max="13828"/>
    <col width="17.5" customWidth="1" style="125" min="13829" max="13829"/>
    <col width="9.1640625" customWidth="1" style="125" min="13830" max="14077"/>
    <col width="10.83203125" customWidth="1" style="125" min="14078" max="14078"/>
    <col width="18.1640625" customWidth="1" style="125" min="14079" max="14079"/>
    <col width="15" customWidth="1" style="125" min="14080" max="14080"/>
    <col width="13" customWidth="1" style="125" min="14081" max="14084"/>
    <col width="17.5" customWidth="1" style="125" min="14085" max="14085"/>
    <col width="9.1640625" customWidth="1" style="125" min="14086" max="14333"/>
    <col width="10.83203125" customWidth="1" style="125" min="14334" max="14334"/>
    <col width="18.1640625" customWidth="1" style="125" min="14335" max="14335"/>
    <col width="15" customWidth="1" style="125" min="14336" max="14336"/>
    <col width="13" customWidth="1" style="125" min="14337" max="14340"/>
    <col width="17.5" customWidth="1" style="125" min="14341" max="14341"/>
    <col width="9.1640625" customWidth="1" style="125" min="14342" max="14589"/>
    <col width="10.83203125" customWidth="1" style="125" min="14590" max="14590"/>
    <col width="18.1640625" customWidth="1" style="125" min="14591" max="14591"/>
    <col width="15" customWidth="1" style="125" min="14592" max="14592"/>
    <col width="13" customWidth="1" style="125" min="14593" max="14596"/>
    <col width="17.5" customWidth="1" style="125" min="14597" max="14597"/>
    <col width="9.1640625" customWidth="1" style="125" min="14598" max="14845"/>
    <col width="10.83203125" customWidth="1" style="125" min="14846" max="14846"/>
    <col width="18.1640625" customWidth="1" style="125" min="14847" max="14847"/>
    <col width="15" customWidth="1" style="125" min="14848" max="14848"/>
    <col width="13" customWidth="1" style="125" min="14849" max="14852"/>
    <col width="17.5" customWidth="1" style="125" min="14853" max="14853"/>
    <col width="9.1640625" customWidth="1" style="125" min="14854" max="15101"/>
    <col width="10.83203125" customWidth="1" style="125" min="15102" max="15102"/>
    <col width="18.1640625" customWidth="1" style="125" min="15103" max="15103"/>
    <col width="15" customWidth="1" style="125" min="15104" max="15104"/>
    <col width="13" customWidth="1" style="125" min="15105" max="15108"/>
    <col width="17.5" customWidth="1" style="125" min="15109" max="15109"/>
    <col width="9.1640625" customWidth="1" style="125" min="15110" max="15357"/>
    <col width="10.83203125" customWidth="1" style="125" min="15358" max="15358"/>
    <col width="18.1640625" customWidth="1" style="125" min="15359" max="15359"/>
    <col width="15" customWidth="1" style="125" min="15360" max="15360"/>
    <col width="13" customWidth="1" style="125" min="15361" max="15364"/>
    <col width="17.5" customWidth="1" style="125" min="15365" max="15365"/>
    <col width="9.1640625" customWidth="1" style="125" min="15366" max="15613"/>
    <col width="10.83203125" customWidth="1" style="125" min="15614" max="15614"/>
    <col width="18.1640625" customWidth="1" style="125" min="15615" max="15615"/>
    <col width="15" customWidth="1" style="125" min="15616" max="15616"/>
    <col width="13" customWidth="1" style="125" min="15617" max="15620"/>
    <col width="17.5" customWidth="1" style="125" min="15621" max="15621"/>
    <col width="9.1640625" customWidth="1" style="125" min="15622" max="15869"/>
    <col width="10.83203125" customWidth="1" style="125" min="15870" max="15870"/>
    <col width="18.1640625" customWidth="1" style="125" min="15871" max="15871"/>
    <col width="15" customWidth="1" style="125" min="15872" max="15872"/>
    <col width="13" customWidth="1" style="125" min="15873" max="15876"/>
    <col width="17.5" customWidth="1" style="125" min="15877" max="15877"/>
    <col width="9.1640625" customWidth="1" style="125" min="15878" max="16125"/>
    <col width="10.83203125" customWidth="1" style="125" min="16126" max="16126"/>
    <col width="18.1640625" customWidth="1" style="125" min="16127" max="16127"/>
    <col width="15" customWidth="1" style="125" min="16128" max="16128"/>
    <col width="13" customWidth="1" style="125" min="16129" max="16132"/>
    <col width="17.5" customWidth="1" style="125" min="16133" max="16133"/>
    <col width="9.1640625" customWidth="1" style="125" min="16134" max="16384"/>
  </cols>
  <sheetData>
    <row r="2">
      <c r="A2" s="101" t="n"/>
      <c r="B2" s="172" t="n"/>
      <c r="C2" s="172" t="n"/>
      <c r="P2" s="172" t="n"/>
      <c r="R2" s="37" t="n"/>
    </row>
    <row r="4" ht="16" customHeight="1" s="126" thickBot="1"/>
    <row r="5" ht="23.25" customFormat="1" customHeight="1" s="122">
      <c r="A5" s="88" t="inlineStr">
        <is>
          <t>Date</t>
        </is>
      </c>
      <c r="B5" s="173" t="inlineStr">
        <is>
          <t>GDP</t>
        </is>
      </c>
      <c r="C5" s="173" t="inlineStr">
        <is>
          <t>Personal Consumption</t>
        </is>
      </c>
      <c r="D5" s="90" t="inlineStr">
        <is>
          <t>Private Investment</t>
        </is>
      </c>
      <c r="E5" s="91" t="inlineStr">
        <is>
          <t>Exports</t>
        </is>
      </c>
      <c r="F5" s="91" t="inlineStr">
        <is>
          <t>Imports</t>
        </is>
      </c>
      <c r="G5" s="92" t="inlineStr">
        <is>
          <t>Government</t>
        </is>
      </c>
      <c r="H5" s="90" t="inlineStr">
        <is>
          <t>PC%</t>
        </is>
      </c>
      <c r="I5" s="92" t="inlineStr">
        <is>
          <t>I%</t>
        </is>
      </c>
      <c r="J5" s="92" t="inlineStr">
        <is>
          <t>E%</t>
        </is>
      </c>
      <c r="K5" s="92" t="inlineStr">
        <is>
          <t>I%2</t>
        </is>
      </c>
      <c r="L5" s="93" t="inlineStr">
        <is>
          <t>G%</t>
        </is>
      </c>
      <c r="N5" s="51" t="inlineStr">
        <is>
          <t>Total</t>
        </is>
      </c>
      <c r="O5" s="54" t="inlineStr">
        <is>
          <t>Total</t>
        </is>
      </c>
    </row>
    <row r="6">
      <c r="A6" s="94" t="n">
        <v>17168</v>
      </c>
      <c r="B6" s="164">
        <f>VLOOKUP(A6,'U.S. GDP'!A:B,2,)</f>
        <v/>
      </c>
      <c r="C6" s="164">
        <f>VLOOKUP(A6,PersonalConsumption!A:B,2,)</f>
        <v/>
      </c>
      <c r="D6" s="164">
        <f>VLOOKUP(A6,PrivateInvestment!A:B,2,)</f>
        <v/>
      </c>
      <c r="E6" s="164">
        <f>VLOOKUP(A6,Exports!A:B,2,)</f>
        <v/>
      </c>
      <c r="F6" s="164">
        <f>VLOOKUP(A6,Imports!A:B,2,)</f>
        <v/>
      </c>
      <c r="G6" s="164">
        <f>VLOOKUP(A6,Government!A:B,2,)</f>
        <v/>
      </c>
      <c r="H6" s="85">
        <f>Table58[[#This Row],[Personal Consumption]]/Table58[[#This Row],[GDP]]</f>
        <v/>
      </c>
      <c r="I6" s="85">
        <f>Table58[[#This Row],[Private Investment]]/Table58[[#This Row],[GDP]]</f>
        <v/>
      </c>
      <c r="J6" s="85">
        <f>Table58[[#This Row],[Exports]]/Table58[[#This Row],[GDP]]</f>
        <v/>
      </c>
      <c r="K6" s="85">
        <f>-Table58[[#This Row],[Imports]]/Table58[[#This Row],[GDP]]</f>
        <v/>
      </c>
      <c r="L6" s="85">
        <f>Table58[[#This Row],[Government]]/Table58[[#This Row],[GDP]]</f>
        <v/>
      </c>
      <c r="N6" s="52">
        <f>SUM(Table58[[#This Row],[PC%]:[G%]])</f>
        <v/>
      </c>
      <c r="O6" s="55">
        <f>Table58[[#This Row],[Personal Consumption]]+Table58[[#This Row],[Private Investment]]+Table58[[#This Row],[Exports]]+Table58[[#This Row],[Government]]-Table58[[#This Row],[Imports]]</f>
        <v/>
      </c>
    </row>
    <row r="7">
      <c r="A7" s="94" t="n">
        <v>17258</v>
      </c>
      <c r="B7" s="164">
        <f>VLOOKUP(A7,'U.S. GDP'!A:B,2,)</f>
        <v/>
      </c>
      <c r="C7" s="164">
        <f>VLOOKUP(A7,PersonalConsumption!A:B,2,)</f>
        <v/>
      </c>
      <c r="D7" s="164">
        <f>VLOOKUP(A7,PrivateInvestment!A:B,2,)</f>
        <v/>
      </c>
      <c r="E7" s="164">
        <f>VLOOKUP(A7,Exports!A:B,2,)</f>
        <v/>
      </c>
      <c r="F7" s="164">
        <f>VLOOKUP(A7,Imports!A:B,2,)</f>
        <v/>
      </c>
      <c r="G7" s="164">
        <f>VLOOKUP(A7,Government!A:B,2,)</f>
        <v/>
      </c>
      <c r="H7" s="85">
        <f>Table58[[#This Row],[Personal Consumption]]/Table58[[#This Row],[GDP]]</f>
        <v/>
      </c>
      <c r="I7" s="85">
        <f>Table58[[#This Row],[Private Investment]]/Table58[[#This Row],[GDP]]</f>
        <v/>
      </c>
      <c r="J7" s="85">
        <f>Table58[[#This Row],[Exports]]/Table58[[#This Row],[GDP]]</f>
        <v/>
      </c>
      <c r="K7" s="85">
        <f>-Table58[[#This Row],[Imports]]/Table58[[#This Row],[GDP]]</f>
        <v/>
      </c>
      <c r="L7" s="85">
        <f>Table58[[#This Row],[Government]]/Table58[[#This Row],[GDP]]</f>
        <v/>
      </c>
      <c r="N7" s="52">
        <f>SUM(Table58[[#This Row],[PC%]:[G%]])</f>
        <v/>
      </c>
      <c r="O7" s="55">
        <f>Table58[[#This Row],[Personal Consumption]]+Table58[[#This Row],[Private Investment]]+Table58[[#This Row],[Exports]]+Table58[[#This Row],[Government]]-Table58[[#This Row],[Imports]]</f>
        <v/>
      </c>
    </row>
    <row r="8">
      <c r="A8" s="94" t="n">
        <v>17349</v>
      </c>
      <c r="B8" s="164">
        <f>VLOOKUP(A8,'U.S. GDP'!A:B,2,)</f>
        <v/>
      </c>
      <c r="C8" s="164">
        <f>VLOOKUP(A8,PersonalConsumption!A:B,2,)</f>
        <v/>
      </c>
      <c r="D8" s="164">
        <f>VLOOKUP(A8,PrivateInvestment!A:B,2,)</f>
        <v/>
      </c>
      <c r="E8" s="164">
        <f>VLOOKUP(A8,Exports!A:B,2,)</f>
        <v/>
      </c>
      <c r="F8" s="164">
        <f>VLOOKUP(A8,Imports!A:B,2,)</f>
        <v/>
      </c>
      <c r="G8" s="164">
        <f>VLOOKUP(A8,Government!A:B,2,)</f>
        <v/>
      </c>
      <c r="H8" s="85">
        <f>Table58[[#This Row],[Personal Consumption]]/Table58[[#This Row],[GDP]]</f>
        <v/>
      </c>
      <c r="I8" s="85">
        <f>Table58[[#This Row],[Private Investment]]/Table58[[#This Row],[GDP]]</f>
        <v/>
      </c>
      <c r="J8" s="85">
        <f>Table58[[#This Row],[Exports]]/Table58[[#This Row],[GDP]]</f>
        <v/>
      </c>
      <c r="K8" s="85">
        <f>-Table58[[#This Row],[Imports]]/Table58[[#This Row],[GDP]]</f>
        <v/>
      </c>
      <c r="L8" s="85">
        <f>Table58[[#This Row],[Government]]/Table58[[#This Row],[GDP]]</f>
        <v/>
      </c>
      <c r="N8" s="52">
        <f>SUM(Table58[[#This Row],[PC%]:[G%]])</f>
        <v/>
      </c>
      <c r="O8" s="55">
        <f>Table58[[#This Row],[Personal Consumption]]+Table58[[#This Row],[Private Investment]]+Table58[[#This Row],[Exports]]+Table58[[#This Row],[Government]]-Table58[[#This Row],[Imports]]</f>
        <v/>
      </c>
    </row>
    <row r="9">
      <c r="A9" s="94" t="n">
        <v>17441</v>
      </c>
      <c r="B9" s="164">
        <f>VLOOKUP(A9,'U.S. GDP'!A:B,2,)</f>
        <v/>
      </c>
      <c r="C9" s="164">
        <f>VLOOKUP(A9,PersonalConsumption!A:B,2,)</f>
        <v/>
      </c>
      <c r="D9" s="164">
        <f>VLOOKUP(A9,PrivateInvestment!A:B,2,)</f>
        <v/>
      </c>
      <c r="E9" s="164">
        <f>VLOOKUP(A9,Exports!A:B,2,)</f>
        <v/>
      </c>
      <c r="F9" s="164">
        <f>VLOOKUP(A9,Imports!A:B,2,)</f>
        <v/>
      </c>
      <c r="G9" s="164">
        <f>VLOOKUP(A9,Government!A:B,2,)</f>
        <v/>
      </c>
      <c r="H9" s="85">
        <f>Table58[[#This Row],[Personal Consumption]]/Table58[[#This Row],[GDP]]</f>
        <v/>
      </c>
      <c r="I9" s="85">
        <f>Table58[[#This Row],[Private Investment]]/Table58[[#This Row],[GDP]]</f>
        <v/>
      </c>
      <c r="J9" s="85">
        <f>Table58[[#This Row],[Exports]]/Table58[[#This Row],[GDP]]</f>
        <v/>
      </c>
      <c r="K9" s="85">
        <f>-Table58[[#This Row],[Imports]]/Table58[[#This Row],[GDP]]</f>
        <v/>
      </c>
      <c r="L9" s="85">
        <f>Table58[[#This Row],[Government]]/Table58[[#This Row],[GDP]]</f>
        <v/>
      </c>
      <c r="N9" s="52">
        <f>SUM(Table58[[#This Row],[PC%]:[G%]])</f>
        <v/>
      </c>
      <c r="O9" s="55">
        <f>Table58[[#This Row],[Personal Consumption]]+Table58[[#This Row],[Private Investment]]+Table58[[#This Row],[Exports]]+Table58[[#This Row],[Government]]-Table58[[#This Row],[Imports]]</f>
        <v/>
      </c>
    </row>
    <row r="10">
      <c r="A10" s="94" t="n">
        <v>17533</v>
      </c>
      <c r="B10" s="164">
        <f>VLOOKUP(A10,'U.S. GDP'!A:B,2,)</f>
        <v/>
      </c>
      <c r="C10" s="164">
        <f>VLOOKUP(A10,PersonalConsumption!A:B,2,)</f>
        <v/>
      </c>
      <c r="D10" s="164">
        <f>VLOOKUP(A10,PrivateInvestment!A:B,2,)</f>
        <v/>
      </c>
      <c r="E10" s="164">
        <f>VLOOKUP(A10,Exports!A:B,2,)</f>
        <v/>
      </c>
      <c r="F10" s="164">
        <f>VLOOKUP(A10,Imports!A:B,2,)</f>
        <v/>
      </c>
      <c r="G10" s="164">
        <f>VLOOKUP(A10,Government!A:B,2,)</f>
        <v/>
      </c>
      <c r="H10" s="85">
        <f>Table58[[#This Row],[Personal Consumption]]/Table58[[#This Row],[GDP]]</f>
        <v/>
      </c>
      <c r="I10" s="85">
        <f>Table58[[#This Row],[Private Investment]]/Table58[[#This Row],[GDP]]</f>
        <v/>
      </c>
      <c r="J10" s="85">
        <f>Table58[[#This Row],[Exports]]/Table58[[#This Row],[GDP]]</f>
        <v/>
      </c>
      <c r="K10" s="85">
        <f>-Table58[[#This Row],[Imports]]/Table58[[#This Row],[GDP]]</f>
        <v/>
      </c>
      <c r="L10" s="85">
        <f>Table58[[#This Row],[Government]]/Table58[[#This Row],[GDP]]</f>
        <v/>
      </c>
      <c r="N10" s="52">
        <f>SUM(Table58[[#This Row],[PC%]:[G%]])</f>
        <v/>
      </c>
      <c r="O10" s="55">
        <f>Table58[[#This Row],[Personal Consumption]]+Table58[[#This Row],[Private Investment]]+Table58[[#This Row],[Exports]]+Table58[[#This Row],[Government]]-Table58[[#This Row],[Imports]]</f>
        <v/>
      </c>
    </row>
    <row r="11">
      <c r="A11" s="94" t="n">
        <v>17624</v>
      </c>
      <c r="B11" s="164">
        <f>VLOOKUP(A11,'U.S. GDP'!A:B,2,)</f>
        <v/>
      </c>
      <c r="C11" s="164">
        <f>VLOOKUP(A11,PersonalConsumption!A:B,2,)</f>
        <v/>
      </c>
      <c r="D11" s="164">
        <f>VLOOKUP(A11,PrivateInvestment!A:B,2,)</f>
        <v/>
      </c>
      <c r="E11" s="164">
        <f>VLOOKUP(A11,Exports!A:B,2,)</f>
        <v/>
      </c>
      <c r="F11" s="164">
        <f>VLOOKUP(A11,Imports!A:B,2,)</f>
        <v/>
      </c>
      <c r="G11" s="164">
        <f>VLOOKUP(A11,Government!A:B,2,)</f>
        <v/>
      </c>
      <c r="H11" s="85">
        <f>Table58[[#This Row],[Personal Consumption]]/Table58[[#This Row],[GDP]]</f>
        <v/>
      </c>
      <c r="I11" s="85">
        <f>Table58[[#This Row],[Private Investment]]/Table58[[#This Row],[GDP]]</f>
        <v/>
      </c>
      <c r="J11" s="85">
        <f>Table58[[#This Row],[Exports]]/Table58[[#This Row],[GDP]]</f>
        <v/>
      </c>
      <c r="K11" s="85">
        <f>-Table58[[#This Row],[Imports]]/Table58[[#This Row],[GDP]]</f>
        <v/>
      </c>
      <c r="L11" s="85">
        <f>Table58[[#This Row],[Government]]/Table58[[#This Row],[GDP]]</f>
        <v/>
      </c>
      <c r="N11" s="52">
        <f>SUM(Table58[[#This Row],[PC%]:[G%]])</f>
        <v/>
      </c>
      <c r="O11" s="55">
        <f>Table58[[#This Row],[Personal Consumption]]+Table58[[#This Row],[Private Investment]]+Table58[[#This Row],[Exports]]+Table58[[#This Row],[Government]]-Table58[[#This Row],[Imports]]</f>
        <v/>
      </c>
    </row>
    <row r="12">
      <c r="A12" s="94" t="n">
        <v>17715</v>
      </c>
      <c r="B12" s="164">
        <f>VLOOKUP(A12,'U.S. GDP'!A:B,2,)</f>
        <v/>
      </c>
      <c r="C12" s="164">
        <f>VLOOKUP(A12,PersonalConsumption!A:B,2,)</f>
        <v/>
      </c>
      <c r="D12" s="164">
        <f>VLOOKUP(A12,PrivateInvestment!A:B,2,)</f>
        <v/>
      </c>
      <c r="E12" s="164">
        <f>VLOOKUP(A12,Exports!A:B,2,)</f>
        <v/>
      </c>
      <c r="F12" s="164">
        <f>VLOOKUP(A12,Imports!A:B,2,)</f>
        <v/>
      </c>
      <c r="G12" s="164">
        <f>VLOOKUP(A12,Government!A:B,2,)</f>
        <v/>
      </c>
      <c r="H12" s="85">
        <f>Table58[[#This Row],[Personal Consumption]]/Table58[[#This Row],[GDP]]</f>
        <v/>
      </c>
      <c r="I12" s="85">
        <f>Table58[[#This Row],[Private Investment]]/Table58[[#This Row],[GDP]]</f>
        <v/>
      </c>
      <c r="J12" s="85">
        <f>Table58[[#This Row],[Exports]]/Table58[[#This Row],[GDP]]</f>
        <v/>
      </c>
      <c r="K12" s="85">
        <f>-Table58[[#This Row],[Imports]]/Table58[[#This Row],[GDP]]</f>
        <v/>
      </c>
      <c r="L12" s="85">
        <f>Table58[[#This Row],[Government]]/Table58[[#This Row],[GDP]]</f>
        <v/>
      </c>
      <c r="N12" s="52">
        <f>SUM(Table58[[#This Row],[PC%]:[G%]])</f>
        <v/>
      </c>
      <c r="O12" s="55">
        <f>Table58[[#This Row],[Personal Consumption]]+Table58[[#This Row],[Private Investment]]+Table58[[#This Row],[Exports]]+Table58[[#This Row],[Government]]-Table58[[#This Row],[Imports]]</f>
        <v/>
      </c>
    </row>
    <row r="13">
      <c r="A13" s="94" t="n">
        <v>17807</v>
      </c>
      <c r="B13" s="164">
        <f>VLOOKUP(A13,'U.S. GDP'!A:B,2,)</f>
        <v/>
      </c>
      <c r="C13" s="164">
        <f>VLOOKUP(A13,PersonalConsumption!A:B,2,)</f>
        <v/>
      </c>
      <c r="D13" s="164">
        <f>VLOOKUP(A13,PrivateInvestment!A:B,2,)</f>
        <v/>
      </c>
      <c r="E13" s="164">
        <f>VLOOKUP(A13,Exports!A:B,2,)</f>
        <v/>
      </c>
      <c r="F13" s="164">
        <f>VLOOKUP(A13,Imports!A:B,2,)</f>
        <v/>
      </c>
      <c r="G13" s="164">
        <f>VLOOKUP(A13,Government!A:B,2,)</f>
        <v/>
      </c>
      <c r="H13" s="85">
        <f>Table58[[#This Row],[Personal Consumption]]/Table58[[#This Row],[GDP]]</f>
        <v/>
      </c>
      <c r="I13" s="85">
        <f>Table58[[#This Row],[Private Investment]]/Table58[[#This Row],[GDP]]</f>
        <v/>
      </c>
      <c r="J13" s="85">
        <f>Table58[[#This Row],[Exports]]/Table58[[#This Row],[GDP]]</f>
        <v/>
      </c>
      <c r="K13" s="85">
        <f>-Table58[[#This Row],[Imports]]/Table58[[#This Row],[GDP]]</f>
        <v/>
      </c>
      <c r="L13" s="85">
        <f>Table58[[#This Row],[Government]]/Table58[[#This Row],[GDP]]</f>
        <v/>
      </c>
      <c r="N13" s="52">
        <f>SUM(Table58[[#This Row],[PC%]:[G%]])</f>
        <v/>
      </c>
      <c r="O13" s="55">
        <f>Table58[[#This Row],[Personal Consumption]]+Table58[[#This Row],[Private Investment]]+Table58[[#This Row],[Exports]]+Table58[[#This Row],[Government]]-Table58[[#This Row],[Imports]]</f>
        <v/>
      </c>
    </row>
    <row r="14">
      <c r="A14" s="94" t="n">
        <v>17899</v>
      </c>
      <c r="B14" s="164">
        <f>VLOOKUP(A14,'U.S. GDP'!A:B,2,)</f>
        <v/>
      </c>
      <c r="C14" s="164">
        <f>VLOOKUP(A14,PersonalConsumption!A:B,2,)</f>
        <v/>
      </c>
      <c r="D14" s="164">
        <f>VLOOKUP(A14,PrivateInvestment!A:B,2,)</f>
        <v/>
      </c>
      <c r="E14" s="164">
        <f>VLOOKUP(A14,Exports!A:B,2,)</f>
        <v/>
      </c>
      <c r="F14" s="164">
        <f>VLOOKUP(A14,Imports!A:B,2,)</f>
        <v/>
      </c>
      <c r="G14" s="164">
        <f>VLOOKUP(A14,Government!A:B,2,)</f>
        <v/>
      </c>
      <c r="H14" s="85">
        <f>Table58[[#This Row],[Personal Consumption]]/Table58[[#This Row],[GDP]]</f>
        <v/>
      </c>
      <c r="I14" s="85">
        <f>Table58[[#This Row],[Private Investment]]/Table58[[#This Row],[GDP]]</f>
        <v/>
      </c>
      <c r="J14" s="85">
        <f>Table58[[#This Row],[Exports]]/Table58[[#This Row],[GDP]]</f>
        <v/>
      </c>
      <c r="K14" s="85">
        <f>-Table58[[#This Row],[Imports]]/Table58[[#This Row],[GDP]]</f>
        <v/>
      </c>
      <c r="L14" s="85">
        <f>Table58[[#This Row],[Government]]/Table58[[#This Row],[GDP]]</f>
        <v/>
      </c>
      <c r="N14" s="52">
        <f>SUM(Table58[[#This Row],[PC%]:[G%]])</f>
        <v/>
      </c>
      <c r="O14" s="55">
        <f>Table58[[#This Row],[Personal Consumption]]+Table58[[#This Row],[Private Investment]]+Table58[[#This Row],[Exports]]+Table58[[#This Row],[Government]]-Table58[[#This Row],[Imports]]</f>
        <v/>
      </c>
    </row>
    <row r="15">
      <c r="A15" s="94" t="n">
        <v>17989</v>
      </c>
      <c r="B15" s="164">
        <f>VLOOKUP(A15,'U.S. GDP'!A:B,2,)</f>
        <v/>
      </c>
      <c r="C15" s="164">
        <f>VLOOKUP(A15,PersonalConsumption!A:B,2,)</f>
        <v/>
      </c>
      <c r="D15" s="164">
        <f>VLOOKUP(A15,PrivateInvestment!A:B,2,)</f>
        <v/>
      </c>
      <c r="E15" s="164">
        <f>VLOOKUP(A15,Exports!A:B,2,)</f>
        <v/>
      </c>
      <c r="F15" s="164">
        <f>VLOOKUP(A15,Imports!A:B,2,)</f>
        <v/>
      </c>
      <c r="G15" s="164">
        <f>VLOOKUP(A15,Government!A:B,2,)</f>
        <v/>
      </c>
      <c r="H15" s="85">
        <f>Table58[[#This Row],[Personal Consumption]]/Table58[[#This Row],[GDP]]</f>
        <v/>
      </c>
      <c r="I15" s="85">
        <f>Table58[[#This Row],[Private Investment]]/Table58[[#This Row],[GDP]]</f>
        <v/>
      </c>
      <c r="J15" s="85">
        <f>Table58[[#This Row],[Exports]]/Table58[[#This Row],[GDP]]</f>
        <v/>
      </c>
      <c r="K15" s="85">
        <f>-Table58[[#This Row],[Imports]]/Table58[[#This Row],[GDP]]</f>
        <v/>
      </c>
      <c r="L15" s="85">
        <f>Table58[[#This Row],[Government]]/Table58[[#This Row],[GDP]]</f>
        <v/>
      </c>
      <c r="N15" s="52">
        <f>SUM(Table58[[#This Row],[PC%]:[G%]])</f>
        <v/>
      </c>
      <c r="O15" s="55">
        <f>Table58[[#This Row],[Personal Consumption]]+Table58[[#This Row],[Private Investment]]+Table58[[#This Row],[Exports]]+Table58[[#This Row],[Government]]-Table58[[#This Row],[Imports]]</f>
        <v/>
      </c>
    </row>
    <row r="16">
      <c r="A16" s="94" t="n">
        <v>18080</v>
      </c>
      <c r="B16" s="164">
        <f>VLOOKUP(A16,'U.S. GDP'!A:B,2,)</f>
        <v/>
      </c>
      <c r="C16" s="164">
        <f>VLOOKUP(A16,PersonalConsumption!A:B,2,)</f>
        <v/>
      </c>
      <c r="D16" s="164">
        <f>VLOOKUP(A16,PrivateInvestment!A:B,2,)</f>
        <v/>
      </c>
      <c r="E16" s="164">
        <f>VLOOKUP(A16,Exports!A:B,2,)</f>
        <v/>
      </c>
      <c r="F16" s="164">
        <f>VLOOKUP(A16,Imports!A:B,2,)</f>
        <v/>
      </c>
      <c r="G16" s="164">
        <f>VLOOKUP(A16,Government!A:B,2,)</f>
        <v/>
      </c>
      <c r="H16" s="85">
        <f>Table58[[#This Row],[Personal Consumption]]/Table58[[#This Row],[GDP]]</f>
        <v/>
      </c>
      <c r="I16" s="85">
        <f>Table58[[#This Row],[Private Investment]]/Table58[[#This Row],[GDP]]</f>
        <v/>
      </c>
      <c r="J16" s="85">
        <f>Table58[[#This Row],[Exports]]/Table58[[#This Row],[GDP]]</f>
        <v/>
      </c>
      <c r="K16" s="85">
        <f>-Table58[[#This Row],[Imports]]/Table58[[#This Row],[GDP]]</f>
        <v/>
      </c>
      <c r="L16" s="85">
        <f>Table58[[#This Row],[Government]]/Table58[[#This Row],[GDP]]</f>
        <v/>
      </c>
      <c r="N16" s="52">
        <f>SUM(Table58[[#This Row],[PC%]:[G%]])</f>
        <v/>
      </c>
      <c r="O16" s="55">
        <f>Table58[[#This Row],[Personal Consumption]]+Table58[[#This Row],[Private Investment]]+Table58[[#This Row],[Exports]]+Table58[[#This Row],[Government]]-Table58[[#This Row],[Imports]]</f>
        <v/>
      </c>
    </row>
    <row r="17">
      <c r="A17" s="94" t="n">
        <v>18172</v>
      </c>
      <c r="B17" s="164">
        <f>VLOOKUP(A17,'U.S. GDP'!A:B,2,)</f>
        <v/>
      </c>
      <c r="C17" s="164">
        <f>VLOOKUP(A17,PersonalConsumption!A:B,2,)</f>
        <v/>
      </c>
      <c r="D17" s="164">
        <f>VLOOKUP(A17,PrivateInvestment!A:B,2,)</f>
        <v/>
      </c>
      <c r="E17" s="164">
        <f>VLOOKUP(A17,Exports!A:B,2,)</f>
        <v/>
      </c>
      <c r="F17" s="164">
        <f>VLOOKUP(A17,Imports!A:B,2,)</f>
        <v/>
      </c>
      <c r="G17" s="164">
        <f>VLOOKUP(A17,Government!A:B,2,)</f>
        <v/>
      </c>
      <c r="H17" s="85">
        <f>Table58[[#This Row],[Personal Consumption]]/Table58[[#This Row],[GDP]]</f>
        <v/>
      </c>
      <c r="I17" s="85">
        <f>Table58[[#This Row],[Private Investment]]/Table58[[#This Row],[GDP]]</f>
        <v/>
      </c>
      <c r="J17" s="85">
        <f>Table58[[#This Row],[Exports]]/Table58[[#This Row],[GDP]]</f>
        <v/>
      </c>
      <c r="K17" s="85">
        <f>-Table58[[#This Row],[Imports]]/Table58[[#This Row],[GDP]]</f>
        <v/>
      </c>
      <c r="L17" s="85">
        <f>Table58[[#This Row],[Government]]/Table58[[#This Row],[GDP]]</f>
        <v/>
      </c>
      <c r="N17" s="52">
        <f>SUM(Table58[[#This Row],[PC%]:[G%]])</f>
        <v/>
      </c>
      <c r="O17" s="55">
        <f>Table58[[#This Row],[Personal Consumption]]+Table58[[#This Row],[Private Investment]]+Table58[[#This Row],[Exports]]+Table58[[#This Row],[Government]]-Table58[[#This Row],[Imports]]</f>
        <v/>
      </c>
    </row>
    <row r="18">
      <c r="A18" s="94" t="n">
        <v>18264</v>
      </c>
      <c r="B18" s="164">
        <f>VLOOKUP(A18,'U.S. GDP'!A:B,2,)</f>
        <v/>
      </c>
      <c r="C18" s="164">
        <f>VLOOKUP(A18,PersonalConsumption!A:B,2,)</f>
        <v/>
      </c>
      <c r="D18" s="164">
        <f>VLOOKUP(A18,PrivateInvestment!A:B,2,)</f>
        <v/>
      </c>
      <c r="E18" s="164">
        <f>VLOOKUP(A18,Exports!A:B,2,)</f>
        <v/>
      </c>
      <c r="F18" s="164">
        <f>VLOOKUP(A18,Imports!A:B,2,)</f>
        <v/>
      </c>
      <c r="G18" s="164">
        <f>VLOOKUP(A18,Government!A:B,2,)</f>
        <v/>
      </c>
      <c r="H18" s="85">
        <f>Table58[[#This Row],[Personal Consumption]]/Table58[[#This Row],[GDP]]</f>
        <v/>
      </c>
      <c r="I18" s="85">
        <f>Table58[[#This Row],[Private Investment]]/Table58[[#This Row],[GDP]]</f>
        <v/>
      </c>
      <c r="J18" s="85">
        <f>Table58[[#This Row],[Exports]]/Table58[[#This Row],[GDP]]</f>
        <v/>
      </c>
      <c r="K18" s="85">
        <f>-Table58[[#This Row],[Imports]]/Table58[[#This Row],[GDP]]</f>
        <v/>
      </c>
      <c r="L18" s="85">
        <f>Table58[[#This Row],[Government]]/Table58[[#This Row],[GDP]]</f>
        <v/>
      </c>
      <c r="N18" s="52">
        <f>SUM(Table58[[#This Row],[PC%]:[G%]])</f>
        <v/>
      </c>
      <c r="O18" s="55">
        <f>Table58[[#This Row],[Personal Consumption]]+Table58[[#This Row],[Private Investment]]+Table58[[#This Row],[Exports]]+Table58[[#This Row],[Government]]-Table58[[#This Row],[Imports]]</f>
        <v/>
      </c>
    </row>
    <row r="19">
      <c r="A19" s="94" t="n">
        <v>18354</v>
      </c>
      <c r="B19" s="164">
        <f>VLOOKUP(A19,'U.S. GDP'!A:B,2,)</f>
        <v/>
      </c>
      <c r="C19" s="164">
        <f>VLOOKUP(A19,PersonalConsumption!A:B,2,)</f>
        <v/>
      </c>
      <c r="D19" s="164">
        <f>VLOOKUP(A19,PrivateInvestment!A:B,2,)</f>
        <v/>
      </c>
      <c r="E19" s="164">
        <f>VLOOKUP(A19,Exports!A:B,2,)</f>
        <v/>
      </c>
      <c r="F19" s="164">
        <f>VLOOKUP(A19,Imports!A:B,2,)</f>
        <v/>
      </c>
      <c r="G19" s="164">
        <f>VLOOKUP(A19,Government!A:B,2,)</f>
        <v/>
      </c>
      <c r="H19" s="85">
        <f>Table58[[#This Row],[Personal Consumption]]/Table58[[#This Row],[GDP]]</f>
        <v/>
      </c>
      <c r="I19" s="85">
        <f>Table58[[#This Row],[Private Investment]]/Table58[[#This Row],[GDP]]</f>
        <v/>
      </c>
      <c r="J19" s="85">
        <f>Table58[[#This Row],[Exports]]/Table58[[#This Row],[GDP]]</f>
        <v/>
      </c>
      <c r="K19" s="85">
        <f>-Table58[[#This Row],[Imports]]/Table58[[#This Row],[GDP]]</f>
        <v/>
      </c>
      <c r="L19" s="85">
        <f>Table58[[#This Row],[Government]]/Table58[[#This Row],[GDP]]</f>
        <v/>
      </c>
      <c r="N19" s="52">
        <f>SUM(Table58[[#This Row],[PC%]:[G%]])</f>
        <v/>
      </c>
      <c r="O19" s="55">
        <f>Table58[[#This Row],[Personal Consumption]]+Table58[[#This Row],[Private Investment]]+Table58[[#This Row],[Exports]]+Table58[[#This Row],[Government]]-Table58[[#This Row],[Imports]]</f>
        <v/>
      </c>
    </row>
    <row r="20">
      <c r="A20" s="94" t="n">
        <v>18445</v>
      </c>
      <c r="B20" s="164">
        <f>VLOOKUP(A20,'U.S. GDP'!A:B,2,)</f>
        <v/>
      </c>
      <c r="C20" s="164">
        <f>VLOOKUP(A20,PersonalConsumption!A:B,2,)</f>
        <v/>
      </c>
      <c r="D20" s="164">
        <f>VLOOKUP(A20,PrivateInvestment!A:B,2,)</f>
        <v/>
      </c>
      <c r="E20" s="164">
        <f>VLOOKUP(A20,Exports!A:B,2,)</f>
        <v/>
      </c>
      <c r="F20" s="164">
        <f>VLOOKUP(A20,Imports!A:B,2,)</f>
        <v/>
      </c>
      <c r="G20" s="164">
        <f>VLOOKUP(A20,Government!A:B,2,)</f>
        <v/>
      </c>
      <c r="H20" s="85">
        <f>Table58[[#This Row],[Personal Consumption]]/Table58[[#This Row],[GDP]]</f>
        <v/>
      </c>
      <c r="I20" s="85">
        <f>Table58[[#This Row],[Private Investment]]/Table58[[#This Row],[GDP]]</f>
        <v/>
      </c>
      <c r="J20" s="85">
        <f>Table58[[#This Row],[Exports]]/Table58[[#This Row],[GDP]]</f>
        <v/>
      </c>
      <c r="K20" s="85">
        <f>-Table58[[#This Row],[Imports]]/Table58[[#This Row],[GDP]]</f>
        <v/>
      </c>
      <c r="L20" s="85">
        <f>Table58[[#This Row],[Government]]/Table58[[#This Row],[GDP]]</f>
        <v/>
      </c>
      <c r="N20" s="52">
        <f>SUM(Table58[[#This Row],[PC%]:[G%]])</f>
        <v/>
      </c>
      <c r="O20" s="55">
        <f>Table58[[#This Row],[Personal Consumption]]+Table58[[#This Row],[Private Investment]]+Table58[[#This Row],[Exports]]+Table58[[#This Row],[Government]]-Table58[[#This Row],[Imports]]</f>
        <v/>
      </c>
    </row>
    <row r="21">
      <c r="A21" s="94" t="n">
        <v>18537</v>
      </c>
      <c r="B21" s="164">
        <f>VLOOKUP(A21,'U.S. GDP'!A:B,2,)</f>
        <v/>
      </c>
      <c r="C21" s="164">
        <f>VLOOKUP(A21,PersonalConsumption!A:B,2,)</f>
        <v/>
      </c>
      <c r="D21" s="164">
        <f>VLOOKUP(A21,PrivateInvestment!A:B,2,)</f>
        <v/>
      </c>
      <c r="E21" s="164">
        <f>VLOOKUP(A21,Exports!A:B,2,)</f>
        <v/>
      </c>
      <c r="F21" s="164">
        <f>VLOOKUP(A21,Imports!A:B,2,)</f>
        <v/>
      </c>
      <c r="G21" s="164">
        <f>VLOOKUP(A21,Government!A:B,2,)</f>
        <v/>
      </c>
      <c r="H21" s="85">
        <f>Table58[[#This Row],[Personal Consumption]]/Table58[[#This Row],[GDP]]</f>
        <v/>
      </c>
      <c r="I21" s="85">
        <f>Table58[[#This Row],[Private Investment]]/Table58[[#This Row],[GDP]]</f>
        <v/>
      </c>
      <c r="J21" s="85">
        <f>Table58[[#This Row],[Exports]]/Table58[[#This Row],[GDP]]</f>
        <v/>
      </c>
      <c r="K21" s="85">
        <f>-Table58[[#This Row],[Imports]]/Table58[[#This Row],[GDP]]</f>
        <v/>
      </c>
      <c r="L21" s="85">
        <f>Table58[[#This Row],[Government]]/Table58[[#This Row],[GDP]]</f>
        <v/>
      </c>
      <c r="N21" s="52">
        <f>SUM(Table58[[#This Row],[PC%]:[G%]])</f>
        <v/>
      </c>
      <c r="O21" s="55">
        <f>Table58[[#This Row],[Personal Consumption]]+Table58[[#This Row],[Private Investment]]+Table58[[#This Row],[Exports]]+Table58[[#This Row],[Government]]-Table58[[#This Row],[Imports]]</f>
        <v/>
      </c>
    </row>
    <row r="22">
      <c r="A22" s="94" t="n">
        <v>18629</v>
      </c>
      <c r="B22" s="164">
        <f>VLOOKUP(A22,'U.S. GDP'!A:B,2,)</f>
        <v/>
      </c>
      <c r="C22" s="164">
        <f>VLOOKUP(A22,PersonalConsumption!A:B,2,)</f>
        <v/>
      </c>
      <c r="D22" s="164">
        <f>VLOOKUP(A22,PrivateInvestment!A:B,2,)</f>
        <v/>
      </c>
      <c r="E22" s="164">
        <f>VLOOKUP(A22,Exports!A:B,2,)</f>
        <v/>
      </c>
      <c r="F22" s="164">
        <f>VLOOKUP(A22,Imports!A:B,2,)</f>
        <v/>
      </c>
      <c r="G22" s="164">
        <f>VLOOKUP(A22,Government!A:B,2,)</f>
        <v/>
      </c>
      <c r="H22" s="85">
        <f>Table58[[#This Row],[Personal Consumption]]/Table58[[#This Row],[GDP]]</f>
        <v/>
      </c>
      <c r="I22" s="85">
        <f>Table58[[#This Row],[Private Investment]]/Table58[[#This Row],[GDP]]</f>
        <v/>
      </c>
      <c r="J22" s="85">
        <f>Table58[[#This Row],[Exports]]/Table58[[#This Row],[GDP]]</f>
        <v/>
      </c>
      <c r="K22" s="85">
        <f>-Table58[[#This Row],[Imports]]/Table58[[#This Row],[GDP]]</f>
        <v/>
      </c>
      <c r="L22" s="85">
        <f>Table58[[#This Row],[Government]]/Table58[[#This Row],[GDP]]</f>
        <v/>
      </c>
      <c r="N22" s="52">
        <f>SUM(Table58[[#This Row],[PC%]:[G%]])</f>
        <v/>
      </c>
      <c r="O22" s="55">
        <f>Table58[[#This Row],[Personal Consumption]]+Table58[[#This Row],[Private Investment]]+Table58[[#This Row],[Exports]]+Table58[[#This Row],[Government]]-Table58[[#This Row],[Imports]]</f>
        <v/>
      </c>
    </row>
    <row r="23">
      <c r="A23" s="94" t="n">
        <v>18719</v>
      </c>
      <c r="B23" s="164">
        <f>VLOOKUP(A23,'U.S. GDP'!A:B,2,)</f>
        <v/>
      </c>
      <c r="C23" s="164">
        <f>VLOOKUP(A23,PersonalConsumption!A:B,2,)</f>
        <v/>
      </c>
      <c r="D23" s="164">
        <f>VLOOKUP(A23,PrivateInvestment!A:B,2,)</f>
        <v/>
      </c>
      <c r="E23" s="164">
        <f>VLOOKUP(A23,Exports!A:B,2,)</f>
        <v/>
      </c>
      <c r="F23" s="164">
        <f>VLOOKUP(A23,Imports!A:B,2,)</f>
        <v/>
      </c>
      <c r="G23" s="164">
        <f>VLOOKUP(A23,Government!A:B,2,)</f>
        <v/>
      </c>
      <c r="H23" s="85">
        <f>Table58[[#This Row],[Personal Consumption]]/Table58[[#This Row],[GDP]]</f>
        <v/>
      </c>
      <c r="I23" s="85">
        <f>Table58[[#This Row],[Private Investment]]/Table58[[#This Row],[GDP]]</f>
        <v/>
      </c>
      <c r="J23" s="85">
        <f>Table58[[#This Row],[Exports]]/Table58[[#This Row],[GDP]]</f>
        <v/>
      </c>
      <c r="K23" s="85">
        <f>-Table58[[#This Row],[Imports]]/Table58[[#This Row],[GDP]]</f>
        <v/>
      </c>
      <c r="L23" s="85">
        <f>Table58[[#This Row],[Government]]/Table58[[#This Row],[GDP]]</f>
        <v/>
      </c>
      <c r="N23" s="52">
        <f>SUM(Table58[[#This Row],[PC%]:[G%]])</f>
        <v/>
      </c>
      <c r="O23" s="55">
        <f>Table58[[#This Row],[Personal Consumption]]+Table58[[#This Row],[Private Investment]]+Table58[[#This Row],[Exports]]+Table58[[#This Row],[Government]]-Table58[[#This Row],[Imports]]</f>
        <v/>
      </c>
    </row>
    <row r="24">
      <c r="A24" s="94" t="n">
        <v>18810</v>
      </c>
      <c r="B24" s="164">
        <f>VLOOKUP(A24,'U.S. GDP'!A:B,2,)</f>
        <v/>
      </c>
      <c r="C24" s="164">
        <f>VLOOKUP(A24,PersonalConsumption!A:B,2,)</f>
        <v/>
      </c>
      <c r="D24" s="164">
        <f>VLOOKUP(A24,PrivateInvestment!A:B,2,)</f>
        <v/>
      </c>
      <c r="E24" s="164">
        <f>VLOOKUP(A24,Exports!A:B,2,)</f>
        <v/>
      </c>
      <c r="F24" s="164">
        <f>VLOOKUP(A24,Imports!A:B,2,)</f>
        <v/>
      </c>
      <c r="G24" s="164">
        <f>VLOOKUP(A24,Government!A:B,2,)</f>
        <v/>
      </c>
      <c r="H24" s="85">
        <f>Table58[[#This Row],[Personal Consumption]]/Table58[[#This Row],[GDP]]</f>
        <v/>
      </c>
      <c r="I24" s="85">
        <f>Table58[[#This Row],[Private Investment]]/Table58[[#This Row],[GDP]]</f>
        <v/>
      </c>
      <c r="J24" s="85">
        <f>Table58[[#This Row],[Exports]]/Table58[[#This Row],[GDP]]</f>
        <v/>
      </c>
      <c r="K24" s="85">
        <f>-Table58[[#This Row],[Imports]]/Table58[[#This Row],[GDP]]</f>
        <v/>
      </c>
      <c r="L24" s="85">
        <f>Table58[[#This Row],[Government]]/Table58[[#This Row],[GDP]]</f>
        <v/>
      </c>
      <c r="N24" s="52">
        <f>SUM(Table58[[#This Row],[PC%]:[G%]])</f>
        <v/>
      </c>
      <c r="O24" s="55">
        <f>Table58[[#This Row],[Personal Consumption]]+Table58[[#This Row],[Private Investment]]+Table58[[#This Row],[Exports]]+Table58[[#This Row],[Government]]-Table58[[#This Row],[Imports]]</f>
        <v/>
      </c>
    </row>
    <row r="25">
      <c r="A25" s="94" t="n">
        <v>18902</v>
      </c>
      <c r="B25" s="164">
        <f>VLOOKUP(A25,'U.S. GDP'!A:B,2,)</f>
        <v/>
      </c>
      <c r="C25" s="164">
        <f>VLOOKUP(A25,PersonalConsumption!A:B,2,)</f>
        <v/>
      </c>
      <c r="D25" s="164">
        <f>VLOOKUP(A25,PrivateInvestment!A:B,2,)</f>
        <v/>
      </c>
      <c r="E25" s="164">
        <f>VLOOKUP(A25,Exports!A:B,2,)</f>
        <v/>
      </c>
      <c r="F25" s="164">
        <f>VLOOKUP(A25,Imports!A:B,2,)</f>
        <v/>
      </c>
      <c r="G25" s="164">
        <f>VLOOKUP(A25,Government!A:B,2,)</f>
        <v/>
      </c>
      <c r="H25" s="85">
        <f>Table58[[#This Row],[Personal Consumption]]/Table58[[#This Row],[GDP]]</f>
        <v/>
      </c>
      <c r="I25" s="85">
        <f>Table58[[#This Row],[Private Investment]]/Table58[[#This Row],[GDP]]</f>
        <v/>
      </c>
      <c r="J25" s="85">
        <f>Table58[[#This Row],[Exports]]/Table58[[#This Row],[GDP]]</f>
        <v/>
      </c>
      <c r="K25" s="85">
        <f>-Table58[[#This Row],[Imports]]/Table58[[#This Row],[GDP]]</f>
        <v/>
      </c>
      <c r="L25" s="85">
        <f>Table58[[#This Row],[Government]]/Table58[[#This Row],[GDP]]</f>
        <v/>
      </c>
      <c r="N25" s="52">
        <f>SUM(Table58[[#This Row],[PC%]:[G%]])</f>
        <v/>
      </c>
      <c r="O25" s="55">
        <f>Table58[[#This Row],[Personal Consumption]]+Table58[[#This Row],[Private Investment]]+Table58[[#This Row],[Exports]]+Table58[[#This Row],[Government]]-Table58[[#This Row],[Imports]]</f>
        <v/>
      </c>
    </row>
    <row r="26">
      <c r="A26" s="94" t="n">
        <v>18994</v>
      </c>
      <c r="B26" s="164">
        <f>VLOOKUP(A26,'U.S. GDP'!A:B,2,)</f>
        <v/>
      </c>
      <c r="C26" s="164">
        <f>VLOOKUP(A26,PersonalConsumption!A:B,2,)</f>
        <v/>
      </c>
      <c r="D26" s="164">
        <f>VLOOKUP(A26,PrivateInvestment!A:B,2,)</f>
        <v/>
      </c>
      <c r="E26" s="164">
        <f>VLOOKUP(A26,Exports!A:B,2,)</f>
        <v/>
      </c>
      <c r="F26" s="164">
        <f>VLOOKUP(A26,Imports!A:B,2,)</f>
        <v/>
      </c>
      <c r="G26" s="164">
        <f>VLOOKUP(A26,Government!A:B,2,)</f>
        <v/>
      </c>
      <c r="H26" s="85">
        <f>Table58[[#This Row],[Personal Consumption]]/Table58[[#This Row],[GDP]]</f>
        <v/>
      </c>
      <c r="I26" s="85">
        <f>Table58[[#This Row],[Private Investment]]/Table58[[#This Row],[GDP]]</f>
        <v/>
      </c>
      <c r="J26" s="85">
        <f>Table58[[#This Row],[Exports]]/Table58[[#This Row],[GDP]]</f>
        <v/>
      </c>
      <c r="K26" s="85">
        <f>-Table58[[#This Row],[Imports]]/Table58[[#This Row],[GDP]]</f>
        <v/>
      </c>
      <c r="L26" s="85">
        <f>Table58[[#This Row],[Government]]/Table58[[#This Row],[GDP]]</f>
        <v/>
      </c>
      <c r="N26" s="52">
        <f>SUM(Table58[[#This Row],[PC%]:[G%]])</f>
        <v/>
      </c>
      <c r="O26" s="55">
        <f>Table58[[#This Row],[Personal Consumption]]+Table58[[#This Row],[Private Investment]]+Table58[[#This Row],[Exports]]+Table58[[#This Row],[Government]]-Table58[[#This Row],[Imports]]</f>
        <v/>
      </c>
    </row>
    <row r="27">
      <c r="A27" s="94" t="n">
        <v>19085</v>
      </c>
      <c r="B27" s="164">
        <f>VLOOKUP(A27,'U.S. GDP'!A:B,2,)</f>
        <v/>
      </c>
      <c r="C27" s="164">
        <f>VLOOKUP(A27,PersonalConsumption!A:B,2,)</f>
        <v/>
      </c>
      <c r="D27" s="164">
        <f>VLOOKUP(A27,PrivateInvestment!A:B,2,)</f>
        <v/>
      </c>
      <c r="E27" s="164">
        <f>VLOOKUP(A27,Exports!A:B,2,)</f>
        <v/>
      </c>
      <c r="F27" s="164">
        <f>VLOOKUP(A27,Imports!A:B,2,)</f>
        <v/>
      </c>
      <c r="G27" s="164">
        <f>VLOOKUP(A27,Government!A:B,2,)</f>
        <v/>
      </c>
      <c r="H27" s="85">
        <f>Table58[[#This Row],[Personal Consumption]]/Table58[[#This Row],[GDP]]</f>
        <v/>
      </c>
      <c r="I27" s="85">
        <f>Table58[[#This Row],[Private Investment]]/Table58[[#This Row],[GDP]]</f>
        <v/>
      </c>
      <c r="J27" s="85">
        <f>Table58[[#This Row],[Exports]]/Table58[[#This Row],[GDP]]</f>
        <v/>
      </c>
      <c r="K27" s="85">
        <f>-Table58[[#This Row],[Imports]]/Table58[[#This Row],[GDP]]</f>
        <v/>
      </c>
      <c r="L27" s="85">
        <f>Table58[[#This Row],[Government]]/Table58[[#This Row],[GDP]]</f>
        <v/>
      </c>
      <c r="N27" s="52">
        <f>SUM(Table58[[#This Row],[PC%]:[G%]])</f>
        <v/>
      </c>
      <c r="O27" s="55">
        <f>Table58[[#This Row],[Personal Consumption]]+Table58[[#This Row],[Private Investment]]+Table58[[#This Row],[Exports]]+Table58[[#This Row],[Government]]-Table58[[#This Row],[Imports]]</f>
        <v/>
      </c>
    </row>
    <row r="28">
      <c r="A28" s="94" t="n">
        <v>19176</v>
      </c>
      <c r="B28" s="164">
        <f>VLOOKUP(A28,'U.S. GDP'!A:B,2,)</f>
        <v/>
      </c>
      <c r="C28" s="164">
        <f>VLOOKUP(A28,PersonalConsumption!A:B,2,)</f>
        <v/>
      </c>
      <c r="D28" s="164">
        <f>VLOOKUP(A28,PrivateInvestment!A:B,2,)</f>
        <v/>
      </c>
      <c r="E28" s="164">
        <f>VLOOKUP(A28,Exports!A:B,2,)</f>
        <v/>
      </c>
      <c r="F28" s="164">
        <f>VLOOKUP(A28,Imports!A:B,2,)</f>
        <v/>
      </c>
      <c r="G28" s="164">
        <f>VLOOKUP(A28,Government!A:B,2,)</f>
        <v/>
      </c>
      <c r="H28" s="85">
        <f>Table58[[#This Row],[Personal Consumption]]/Table58[[#This Row],[GDP]]</f>
        <v/>
      </c>
      <c r="I28" s="85">
        <f>Table58[[#This Row],[Private Investment]]/Table58[[#This Row],[GDP]]</f>
        <v/>
      </c>
      <c r="J28" s="85">
        <f>Table58[[#This Row],[Exports]]/Table58[[#This Row],[GDP]]</f>
        <v/>
      </c>
      <c r="K28" s="85">
        <f>-Table58[[#This Row],[Imports]]/Table58[[#This Row],[GDP]]</f>
        <v/>
      </c>
      <c r="L28" s="85">
        <f>Table58[[#This Row],[Government]]/Table58[[#This Row],[GDP]]</f>
        <v/>
      </c>
      <c r="N28" s="52">
        <f>SUM(Table58[[#This Row],[PC%]:[G%]])</f>
        <v/>
      </c>
      <c r="O28" s="55">
        <f>Table58[[#This Row],[Personal Consumption]]+Table58[[#This Row],[Private Investment]]+Table58[[#This Row],[Exports]]+Table58[[#This Row],[Government]]-Table58[[#This Row],[Imports]]</f>
        <v/>
      </c>
    </row>
    <row r="29">
      <c r="A29" s="94" t="n">
        <v>19268</v>
      </c>
      <c r="B29" s="164">
        <f>VLOOKUP(A29,'U.S. GDP'!A:B,2,)</f>
        <v/>
      </c>
      <c r="C29" s="164">
        <f>VLOOKUP(A29,PersonalConsumption!A:B,2,)</f>
        <v/>
      </c>
      <c r="D29" s="164">
        <f>VLOOKUP(A29,PrivateInvestment!A:B,2,)</f>
        <v/>
      </c>
      <c r="E29" s="164">
        <f>VLOOKUP(A29,Exports!A:B,2,)</f>
        <v/>
      </c>
      <c r="F29" s="164">
        <f>VLOOKUP(A29,Imports!A:B,2,)</f>
        <v/>
      </c>
      <c r="G29" s="164">
        <f>VLOOKUP(A29,Government!A:B,2,)</f>
        <v/>
      </c>
      <c r="H29" s="85">
        <f>Table58[[#This Row],[Personal Consumption]]/Table58[[#This Row],[GDP]]</f>
        <v/>
      </c>
      <c r="I29" s="85">
        <f>Table58[[#This Row],[Private Investment]]/Table58[[#This Row],[GDP]]</f>
        <v/>
      </c>
      <c r="J29" s="85">
        <f>Table58[[#This Row],[Exports]]/Table58[[#This Row],[GDP]]</f>
        <v/>
      </c>
      <c r="K29" s="85">
        <f>-Table58[[#This Row],[Imports]]/Table58[[#This Row],[GDP]]</f>
        <v/>
      </c>
      <c r="L29" s="85">
        <f>Table58[[#This Row],[Government]]/Table58[[#This Row],[GDP]]</f>
        <v/>
      </c>
      <c r="N29" s="52">
        <f>SUM(Table58[[#This Row],[PC%]:[G%]])</f>
        <v/>
      </c>
      <c r="O29" s="55">
        <f>Table58[[#This Row],[Personal Consumption]]+Table58[[#This Row],[Private Investment]]+Table58[[#This Row],[Exports]]+Table58[[#This Row],[Government]]-Table58[[#This Row],[Imports]]</f>
        <v/>
      </c>
    </row>
    <row r="30">
      <c r="A30" s="94" t="n">
        <v>19360</v>
      </c>
      <c r="B30" s="164">
        <f>VLOOKUP(A30,'U.S. GDP'!A:B,2,)</f>
        <v/>
      </c>
      <c r="C30" s="164">
        <f>VLOOKUP(A30,PersonalConsumption!A:B,2,)</f>
        <v/>
      </c>
      <c r="D30" s="164">
        <f>VLOOKUP(A30,PrivateInvestment!A:B,2,)</f>
        <v/>
      </c>
      <c r="E30" s="164">
        <f>VLOOKUP(A30,Exports!A:B,2,)</f>
        <v/>
      </c>
      <c r="F30" s="164">
        <f>VLOOKUP(A30,Imports!A:B,2,)</f>
        <v/>
      </c>
      <c r="G30" s="164">
        <f>VLOOKUP(A30,Government!A:B,2,)</f>
        <v/>
      </c>
      <c r="H30" s="85">
        <f>Table58[[#This Row],[Personal Consumption]]/Table58[[#This Row],[GDP]]</f>
        <v/>
      </c>
      <c r="I30" s="85">
        <f>Table58[[#This Row],[Private Investment]]/Table58[[#This Row],[GDP]]</f>
        <v/>
      </c>
      <c r="J30" s="85">
        <f>Table58[[#This Row],[Exports]]/Table58[[#This Row],[GDP]]</f>
        <v/>
      </c>
      <c r="K30" s="85">
        <f>-Table58[[#This Row],[Imports]]/Table58[[#This Row],[GDP]]</f>
        <v/>
      </c>
      <c r="L30" s="85">
        <f>Table58[[#This Row],[Government]]/Table58[[#This Row],[GDP]]</f>
        <v/>
      </c>
      <c r="N30" s="52">
        <f>SUM(Table58[[#This Row],[PC%]:[G%]])</f>
        <v/>
      </c>
      <c r="O30" s="55">
        <f>Table58[[#This Row],[Personal Consumption]]+Table58[[#This Row],[Private Investment]]+Table58[[#This Row],[Exports]]+Table58[[#This Row],[Government]]-Table58[[#This Row],[Imports]]</f>
        <v/>
      </c>
    </row>
    <row r="31">
      <c r="A31" s="94" t="n">
        <v>19450</v>
      </c>
      <c r="B31" s="164">
        <f>VLOOKUP(A31,'U.S. GDP'!A:B,2,)</f>
        <v/>
      </c>
      <c r="C31" s="164">
        <f>VLOOKUP(A31,PersonalConsumption!A:B,2,)</f>
        <v/>
      </c>
      <c r="D31" s="164">
        <f>VLOOKUP(A31,PrivateInvestment!A:B,2,)</f>
        <v/>
      </c>
      <c r="E31" s="164">
        <f>VLOOKUP(A31,Exports!A:B,2,)</f>
        <v/>
      </c>
      <c r="F31" s="164">
        <f>VLOOKUP(A31,Imports!A:B,2,)</f>
        <v/>
      </c>
      <c r="G31" s="164">
        <f>VLOOKUP(A31,Government!A:B,2,)</f>
        <v/>
      </c>
      <c r="H31" s="85">
        <f>Table58[[#This Row],[Personal Consumption]]/Table58[[#This Row],[GDP]]</f>
        <v/>
      </c>
      <c r="I31" s="85">
        <f>Table58[[#This Row],[Private Investment]]/Table58[[#This Row],[GDP]]</f>
        <v/>
      </c>
      <c r="J31" s="85">
        <f>Table58[[#This Row],[Exports]]/Table58[[#This Row],[GDP]]</f>
        <v/>
      </c>
      <c r="K31" s="85">
        <f>-Table58[[#This Row],[Imports]]/Table58[[#This Row],[GDP]]</f>
        <v/>
      </c>
      <c r="L31" s="85">
        <f>Table58[[#This Row],[Government]]/Table58[[#This Row],[GDP]]</f>
        <v/>
      </c>
      <c r="N31" s="52">
        <f>SUM(Table58[[#This Row],[PC%]:[G%]])</f>
        <v/>
      </c>
      <c r="O31" s="55">
        <f>Table58[[#This Row],[Personal Consumption]]+Table58[[#This Row],[Private Investment]]+Table58[[#This Row],[Exports]]+Table58[[#This Row],[Government]]-Table58[[#This Row],[Imports]]</f>
        <v/>
      </c>
    </row>
    <row r="32">
      <c r="A32" s="94" t="n">
        <v>19541</v>
      </c>
      <c r="B32" s="164">
        <f>VLOOKUP(A32,'U.S. GDP'!A:B,2,)</f>
        <v/>
      </c>
      <c r="C32" s="164">
        <f>VLOOKUP(A32,PersonalConsumption!A:B,2,)</f>
        <v/>
      </c>
      <c r="D32" s="164">
        <f>VLOOKUP(A32,PrivateInvestment!A:B,2,)</f>
        <v/>
      </c>
      <c r="E32" s="164">
        <f>VLOOKUP(A32,Exports!A:B,2,)</f>
        <v/>
      </c>
      <c r="F32" s="164">
        <f>VLOOKUP(A32,Imports!A:B,2,)</f>
        <v/>
      </c>
      <c r="G32" s="164">
        <f>VLOOKUP(A32,Government!A:B,2,)</f>
        <v/>
      </c>
      <c r="H32" s="85">
        <f>Table58[[#This Row],[Personal Consumption]]/Table58[[#This Row],[GDP]]</f>
        <v/>
      </c>
      <c r="I32" s="85">
        <f>Table58[[#This Row],[Private Investment]]/Table58[[#This Row],[GDP]]</f>
        <v/>
      </c>
      <c r="J32" s="85">
        <f>Table58[[#This Row],[Exports]]/Table58[[#This Row],[GDP]]</f>
        <v/>
      </c>
      <c r="K32" s="85">
        <f>-Table58[[#This Row],[Imports]]/Table58[[#This Row],[GDP]]</f>
        <v/>
      </c>
      <c r="L32" s="85">
        <f>Table58[[#This Row],[Government]]/Table58[[#This Row],[GDP]]</f>
        <v/>
      </c>
      <c r="N32" s="52">
        <f>SUM(Table58[[#This Row],[PC%]:[G%]])</f>
        <v/>
      </c>
      <c r="O32" s="55">
        <f>Table58[[#This Row],[Personal Consumption]]+Table58[[#This Row],[Private Investment]]+Table58[[#This Row],[Exports]]+Table58[[#This Row],[Government]]-Table58[[#This Row],[Imports]]</f>
        <v/>
      </c>
    </row>
    <row r="33">
      <c r="A33" s="94" t="n">
        <v>19633</v>
      </c>
      <c r="B33" s="164">
        <f>VLOOKUP(A33,'U.S. GDP'!A:B,2,)</f>
        <v/>
      </c>
      <c r="C33" s="164">
        <f>VLOOKUP(A33,PersonalConsumption!A:B,2,)</f>
        <v/>
      </c>
      <c r="D33" s="164">
        <f>VLOOKUP(A33,PrivateInvestment!A:B,2,)</f>
        <v/>
      </c>
      <c r="E33" s="164">
        <f>VLOOKUP(A33,Exports!A:B,2,)</f>
        <v/>
      </c>
      <c r="F33" s="164">
        <f>VLOOKUP(A33,Imports!A:B,2,)</f>
        <v/>
      </c>
      <c r="G33" s="164">
        <f>VLOOKUP(A33,Government!A:B,2,)</f>
        <v/>
      </c>
      <c r="H33" s="85">
        <f>Table58[[#This Row],[Personal Consumption]]/Table58[[#This Row],[GDP]]</f>
        <v/>
      </c>
      <c r="I33" s="85">
        <f>Table58[[#This Row],[Private Investment]]/Table58[[#This Row],[GDP]]</f>
        <v/>
      </c>
      <c r="J33" s="85">
        <f>Table58[[#This Row],[Exports]]/Table58[[#This Row],[GDP]]</f>
        <v/>
      </c>
      <c r="K33" s="85">
        <f>-Table58[[#This Row],[Imports]]/Table58[[#This Row],[GDP]]</f>
        <v/>
      </c>
      <c r="L33" s="85">
        <f>Table58[[#This Row],[Government]]/Table58[[#This Row],[GDP]]</f>
        <v/>
      </c>
      <c r="N33" s="52">
        <f>SUM(Table58[[#This Row],[PC%]:[G%]])</f>
        <v/>
      </c>
      <c r="O33" s="55">
        <f>Table58[[#This Row],[Personal Consumption]]+Table58[[#This Row],[Private Investment]]+Table58[[#This Row],[Exports]]+Table58[[#This Row],[Government]]-Table58[[#This Row],[Imports]]</f>
        <v/>
      </c>
    </row>
    <row r="34">
      <c r="A34" s="94" t="n">
        <v>19725</v>
      </c>
      <c r="B34" s="164">
        <f>VLOOKUP(A34,'U.S. GDP'!A:B,2,)</f>
        <v/>
      </c>
      <c r="C34" s="164">
        <f>VLOOKUP(A34,PersonalConsumption!A:B,2,)</f>
        <v/>
      </c>
      <c r="D34" s="164">
        <f>VLOOKUP(A34,PrivateInvestment!A:B,2,)</f>
        <v/>
      </c>
      <c r="E34" s="164">
        <f>VLOOKUP(A34,Exports!A:B,2,)</f>
        <v/>
      </c>
      <c r="F34" s="164">
        <f>VLOOKUP(A34,Imports!A:B,2,)</f>
        <v/>
      </c>
      <c r="G34" s="164">
        <f>VLOOKUP(A34,Government!A:B,2,)</f>
        <v/>
      </c>
      <c r="H34" s="85">
        <f>Table58[[#This Row],[Personal Consumption]]/Table58[[#This Row],[GDP]]</f>
        <v/>
      </c>
      <c r="I34" s="85">
        <f>Table58[[#This Row],[Private Investment]]/Table58[[#This Row],[GDP]]</f>
        <v/>
      </c>
      <c r="J34" s="85">
        <f>Table58[[#This Row],[Exports]]/Table58[[#This Row],[GDP]]</f>
        <v/>
      </c>
      <c r="K34" s="85">
        <f>-Table58[[#This Row],[Imports]]/Table58[[#This Row],[GDP]]</f>
        <v/>
      </c>
      <c r="L34" s="85">
        <f>Table58[[#This Row],[Government]]/Table58[[#This Row],[GDP]]</f>
        <v/>
      </c>
      <c r="N34" s="52">
        <f>SUM(Table58[[#This Row],[PC%]:[G%]])</f>
        <v/>
      </c>
      <c r="O34" s="55">
        <f>Table58[[#This Row],[Personal Consumption]]+Table58[[#This Row],[Private Investment]]+Table58[[#This Row],[Exports]]+Table58[[#This Row],[Government]]-Table58[[#This Row],[Imports]]</f>
        <v/>
      </c>
    </row>
    <row r="35">
      <c r="A35" s="94" t="n">
        <v>19815</v>
      </c>
      <c r="B35" s="164">
        <f>VLOOKUP(A35,'U.S. GDP'!A:B,2,)</f>
        <v/>
      </c>
      <c r="C35" s="164">
        <f>VLOOKUP(A35,PersonalConsumption!A:B,2,)</f>
        <v/>
      </c>
      <c r="D35" s="164">
        <f>VLOOKUP(A35,PrivateInvestment!A:B,2,)</f>
        <v/>
      </c>
      <c r="E35" s="164">
        <f>VLOOKUP(A35,Exports!A:B,2,)</f>
        <v/>
      </c>
      <c r="F35" s="164">
        <f>VLOOKUP(A35,Imports!A:B,2,)</f>
        <v/>
      </c>
      <c r="G35" s="164">
        <f>VLOOKUP(A35,Government!A:B,2,)</f>
        <v/>
      </c>
      <c r="H35" s="85">
        <f>Table58[[#This Row],[Personal Consumption]]/Table58[[#This Row],[GDP]]</f>
        <v/>
      </c>
      <c r="I35" s="85">
        <f>Table58[[#This Row],[Private Investment]]/Table58[[#This Row],[GDP]]</f>
        <v/>
      </c>
      <c r="J35" s="85">
        <f>Table58[[#This Row],[Exports]]/Table58[[#This Row],[GDP]]</f>
        <v/>
      </c>
      <c r="K35" s="85">
        <f>-Table58[[#This Row],[Imports]]/Table58[[#This Row],[GDP]]</f>
        <v/>
      </c>
      <c r="L35" s="85">
        <f>Table58[[#This Row],[Government]]/Table58[[#This Row],[GDP]]</f>
        <v/>
      </c>
      <c r="N35" s="52">
        <f>SUM(Table58[[#This Row],[PC%]:[G%]])</f>
        <v/>
      </c>
      <c r="O35" s="55">
        <f>Table58[[#This Row],[Personal Consumption]]+Table58[[#This Row],[Private Investment]]+Table58[[#This Row],[Exports]]+Table58[[#This Row],[Government]]-Table58[[#This Row],[Imports]]</f>
        <v/>
      </c>
    </row>
    <row r="36">
      <c r="A36" s="94" t="n">
        <v>19906</v>
      </c>
      <c r="B36" s="164">
        <f>VLOOKUP(A36,'U.S. GDP'!A:B,2,)</f>
        <v/>
      </c>
      <c r="C36" s="164">
        <f>VLOOKUP(A36,PersonalConsumption!A:B,2,)</f>
        <v/>
      </c>
      <c r="D36" s="164">
        <f>VLOOKUP(A36,PrivateInvestment!A:B,2,)</f>
        <v/>
      </c>
      <c r="E36" s="164">
        <f>VLOOKUP(A36,Exports!A:B,2,)</f>
        <v/>
      </c>
      <c r="F36" s="164">
        <f>VLOOKUP(A36,Imports!A:B,2,)</f>
        <v/>
      </c>
      <c r="G36" s="164">
        <f>VLOOKUP(A36,Government!A:B,2,)</f>
        <v/>
      </c>
      <c r="H36" s="85">
        <f>Table58[[#This Row],[Personal Consumption]]/Table58[[#This Row],[GDP]]</f>
        <v/>
      </c>
      <c r="I36" s="85">
        <f>Table58[[#This Row],[Private Investment]]/Table58[[#This Row],[GDP]]</f>
        <v/>
      </c>
      <c r="J36" s="85">
        <f>Table58[[#This Row],[Exports]]/Table58[[#This Row],[GDP]]</f>
        <v/>
      </c>
      <c r="K36" s="85">
        <f>-Table58[[#This Row],[Imports]]/Table58[[#This Row],[GDP]]</f>
        <v/>
      </c>
      <c r="L36" s="85">
        <f>Table58[[#This Row],[Government]]/Table58[[#This Row],[GDP]]</f>
        <v/>
      </c>
      <c r="N36" s="52">
        <f>SUM(Table58[[#This Row],[PC%]:[G%]])</f>
        <v/>
      </c>
      <c r="O36" s="55">
        <f>Table58[[#This Row],[Personal Consumption]]+Table58[[#This Row],[Private Investment]]+Table58[[#This Row],[Exports]]+Table58[[#This Row],[Government]]-Table58[[#This Row],[Imports]]</f>
        <v/>
      </c>
    </row>
    <row r="37">
      <c r="A37" s="94" t="n">
        <v>19998</v>
      </c>
      <c r="B37" s="164">
        <f>VLOOKUP(A37,'U.S. GDP'!A:B,2,)</f>
        <v/>
      </c>
      <c r="C37" s="164">
        <f>VLOOKUP(A37,PersonalConsumption!A:B,2,)</f>
        <v/>
      </c>
      <c r="D37" s="164">
        <f>VLOOKUP(A37,PrivateInvestment!A:B,2,)</f>
        <v/>
      </c>
      <c r="E37" s="164">
        <f>VLOOKUP(A37,Exports!A:B,2,)</f>
        <v/>
      </c>
      <c r="F37" s="164">
        <f>VLOOKUP(A37,Imports!A:B,2,)</f>
        <v/>
      </c>
      <c r="G37" s="164">
        <f>VLOOKUP(A37,Government!A:B,2,)</f>
        <v/>
      </c>
      <c r="H37" s="85">
        <f>Table58[[#This Row],[Personal Consumption]]/Table58[[#This Row],[GDP]]</f>
        <v/>
      </c>
      <c r="I37" s="85">
        <f>Table58[[#This Row],[Private Investment]]/Table58[[#This Row],[GDP]]</f>
        <v/>
      </c>
      <c r="J37" s="85">
        <f>Table58[[#This Row],[Exports]]/Table58[[#This Row],[GDP]]</f>
        <v/>
      </c>
      <c r="K37" s="85">
        <f>-Table58[[#This Row],[Imports]]/Table58[[#This Row],[GDP]]</f>
        <v/>
      </c>
      <c r="L37" s="85">
        <f>Table58[[#This Row],[Government]]/Table58[[#This Row],[GDP]]</f>
        <v/>
      </c>
      <c r="N37" s="52">
        <f>SUM(Table58[[#This Row],[PC%]:[G%]])</f>
        <v/>
      </c>
      <c r="O37" s="55">
        <f>Table58[[#This Row],[Personal Consumption]]+Table58[[#This Row],[Private Investment]]+Table58[[#This Row],[Exports]]+Table58[[#This Row],[Government]]-Table58[[#This Row],[Imports]]</f>
        <v/>
      </c>
    </row>
    <row r="38">
      <c r="A38" s="94" t="n">
        <v>20090</v>
      </c>
      <c r="B38" s="164">
        <f>VLOOKUP(A38,'U.S. GDP'!A:B,2,)</f>
        <v/>
      </c>
      <c r="C38" s="164">
        <f>VLOOKUP(A38,PersonalConsumption!A:B,2,)</f>
        <v/>
      </c>
      <c r="D38" s="164">
        <f>VLOOKUP(A38,PrivateInvestment!A:B,2,)</f>
        <v/>
      </c>
      <c r="E38" s="164">
        <f>VLOOKUP(A38,Exports!A:B,2,)</f>
        <v/>
      </c>
      <c r="F38" s="164">
        <f>VLOOKUP(A38,Imports!A:B,2,)</f>
        <v/>
      </c>
      <c r="G38" s="164">
        <f>VLOOKUP(A38,Government!A:B,2,)</f>
        <v/>
      </c>
      <c r="H38" s="85">
        <f>Table58[[#This Row],[Personal Consumption]]/Table58[[#This Row],[GDP]]</f>
        <v/>
      </c>
      <c r="I38" s="85">
        <f>Table58[[#This Row],[Private Investment]]/Table58[[#This Row],[GDP]]</f>
        <v/>
      </c>
      <c r="J38" s="85">
        <f>Table58[[#This Row],[Exports]]/Table58[[#This Row],[GDP]]</f>
        <v/>
      </c>
      <c r="K38" s="85">
        <f>-Table58[[#This Row],[Imports]]/Table58[[#This Row],[GDP]]</f>
        <v/>
      </c>
      <c r="L38" s="85">
        <f>Table58[[#This Row],[Government]]/Table58[[#This Row],[GDP]]</f>
        <v/>
      </c>
      <c r="N38" s="52">
        <f>SUM(Table58[[#This Row],[PC%]:[G%]])</f>
        <v/>
      </c>
      <c r="O38" s="55">
        <f>Table58[[#This Row],[Personal Consumption]]+Table58[[#This Row],[Private Investment]]+Table58[[#This Row],[Exports]]+Table58[[#This Row],[Government]]-Table58[[#This Row],[Imports]]</f>
        <v/>
      </c>
    </row>
    <row r="39">
      <c r="A39" s="94" t="n">
        <v>20180</v>
      </c>
      <c r="B39" s="164">
        <f>VLOOKUP(A39,'U.S. GDP'!A:B,2,)</f>
        <v/>
      </c>
      <c r="C39" s="164">
        <f>VLOOKUP(A39,PersonalConsumption!A:B,2,)</f>
        <v/>
      </c>
      <c r="D39" s="164">
        <f>VLOOKUP(A39,PrivateInvestment!A:B,2,)</f>
        <v/>
      </c>
      <c r="E39" s="164">
        <f>VLOOKUP(A39,Exports!A:B,2,)</f>
        <v/>
      </c>
      <c r="F39" s="164">
        <f>VLOOKUP(A39,Imports!A:B,2,)</f>
        <v/>
      </c>
      <c r="G39" s="164">
        <f>VLOOKUP(A39,Government!A:B,2,)</f>
        <v/>
      </c>
      <c r="H39" s="85">
        <f>Table58[[#This Row],[Personal Consumption]]/Table58[[#This Row],[GDP]]</f>
        <v/>
      </c>
      <c r="I39" s="85">
        <f>Table58[[#This Row],[Private Investment]]/Table58[[#This Row],[GDP]]</f>
        <v/>
      </c>
      <c r="J39" s="85">
        <f>Table58[[#This Row],[Exports]]/Table58[[#This Row],[GDP]]</f>
        <v/>
      </c>
      <c r="K39" s="85">
        <f>-Table58[[#This Row],[Imports]]/Table58[[#This Row],[GDP]]</f>
        <v/>
      </c>
      <c r="L39" s="85">
        <f>Table58[[#This Row],[Government]]/Table58[[#This Row],[GDP]]</f>
        <v/>
      </c>
      <c r="N39" s="52">
        <f>SUM(Table58[[#This Row],[PC%]:[G%]])</f>
        <v/>
      </c>
      <c r="O39" s="55">
        <f>Table58[[#This Row],[Personal Consumption]]+Table58[[#This Row],[Private Investment]]+Table58[[#This Row],[Exports]]+Table58[[#This Row],[Government]]-Table58[[#This Row],[Imports]]</f>
        <v/>
      </c>
    </row>
    <row r="40">
      <c r="A40" s="94" t="n">
        <v>20271</v>
      </c>
      <c r="B40" s="164">
        <f>VLOOKUP(A40,'U.S. GDP'!A:B,2,)</f>
        <v/>
      </c>
      <c r="C40" s="164">
        <f>VLOOKUP(A40,PersonalConsumption!A:B,2,)</f>
        <v/>
      </c>
      <c r="D40" s="164">
        <f>VLOOKUP(A40,PrivateInvestment!A:B,2,)</f>
        <v/>
      </c>
      <c r="E40" s="164">
        <f>VLOOKUP(A40,Exports!A:B,2,)</f>
        <v/>
      </c>
      <c r="F40" s="164">
        <f>VLOOKUP(A40,Imports!A:B,2,)</f>
        <v/>
      </c>
      <c r="G40" s="164">
        <f>VLOOKUP(A40,Government!A:B,2,)</f>
        <v/>
      </c>
      <c r="H40" s="85">
        <f>Table58[[#This Row],[Personal Consumption]]/Table58[[#This Row],[GDP]]</f>
        <v/>
      </c>
      <c r="I40" s="85">
        <f>Table58[[#This Row],[Private Investment]]/Table58[[#This Row],[GDP]]</f>
        <v/>
      </c>
      <c r="J40" s="85">
        <f>Table58[[#This Row],[Exports]]/Table58[[#This Row],[GDP]]</f>
        <v/>
      </c>
      <c r="K40" s="85">
        <f>-Table58[[#This Row],[Imports]]/Table58[[#This Row],[GDP]]</f>
        <v/>
      </c>
      <c r="L40" s="85">
        <f>Table58[[#This Row],[Government]]/Table58[[#This Row],[GDP]]</f>
        <v/>
      </c>
      <c r="N40" s="52">
        <f>SUM(Table58[[#This Row],[PC%]:[G%]])</f>
        <v/>
      </c>
      <c r="O40" s="55">
        <f>Table58[[#This Row],[Personal Consumption]]+Table58[[#This Row],[Private Investment]]+Table58[[#This Row],[Exports]]+Table58[[#This Row],[Government]]-Table58[[#This Row],[Imports]]</f>
        <v/>
      </c>
    </row>
    <row r="41">
      <c r="A41" s="94" t="n">
        <v>20363</v>
      </c>
      <c r="B41" s="164">
        <f>VLOOKUP(A41,'U.S. GDP'!A:B,2,)</f>
        <v/>
      </c>
      <c r="C41" s="164">
        <f>VLOOKUP(A41,PersonalConsumption!A:B,2,)</f>
        <v/>
      </c>
      <c r="D41" s="164">
        <f>VLOOKUP(A41,PrivateInvestment!A:B,2,)</f>
        <v/>
      </c>
      <c r="E41" s="164">
        <f>VLOOKUP(A41,Exports!A:B,2,)</f>
        <v/>
      </c>
      <c r="F41" s="164">
        <f>VLOOKUP(A41,Imports!A:B,2,)</f>
        <v/>
      </c>
      <c r="G41" s="164">
        <f>VLOOKUP(A41,Government!A:B,2,)</f>
        <v/>
      </c>
      <c r="H41" s="85">
        <f>Table58[[#This Row],[Personal Consumption]]/Table58[[#This Row],[GDP]]</f>
        <v/>
      </c>
      <c r="I41" s="85">
        <f>Table58[[#This Row],[Private Investment]]/Table58[[#This Row],[GDP]]</f>
        <v/>
      </c>
      <c r="J41" s="85">
        <f>Table58[[#This Row],[Exports]]/Table58[[#This Row],[GDP]]</f>
        <v/>
      </c>
      <c r="K41" s="85">
        <f>-Table58[[#This Row],[Imports]]/Table58[[#This Row],[GDP]]</f>
        <v/>
      </c>
      <c r="L41" s="85">
        <f>Table58[[#This Row],[Government]]/Table58[[#This Row],[GDP]]</f>
        <v/>
      </c>
      <c r="N41" s="52">
        <f>SUM(Table58[[#This Row],[PC%]:[G%]])</f>
        <v/>
      </c>
      <c r="O41" s="55">
        <f>Table58[[#This Row],[Personal Consumption]]+Table58[[#This Row],[Private Investment]]+Table58[[#This Row],[Exports]]+Table58[[#This Row],[Government]]-Table58[[#This Row],[Imports]]</f>
        <v/>
      </c>
    </row>
    <row r="42">
      <c r="A42" s="94" t="n">
        <v>20455</v>
      </c>
      <c r="B42" s="164">
        <f>VLOOKUP(A42,'U.S. GDP'!A:B,2,)</f>
        <v/>
      </c>
      <c r="C42" s="164">
        <f>VLOOKUP(A42,PersonalConsumption!A:B,2,)</f>
        <v/>
      </c>
      <c r="D42" s="164">
        <f>VLOOKUP(A42,PrivateInvestment!A:B,2,)</f>
        <v/>
      </c>
      <c r="E42" s="164">
        <f>VLOOKUP(A42,Exports!A:B,2,)</f>
        <v/>
      </c>
      <c r="F42" s="164">
        <f>VLOOKUP(A42,Imports!A:B,2,)</f>
        <v/>
      </c>
      <c r="G42" s="164">
        <f>VLOOKUP(A42,Government!A:B,2,)</f>
        <v/>
      </c>
      <c r="H42" s="85">
        <f>Table58[[#This Row],[Personal Consumption]]/Table58[[#This Row],[GDP]]</f>
        <v/>
      </c>
      <c r="I42" s="85">
        <f>Table58[[#This Row],[Private Investment]]/Table58[[#This Row],[GDP]]</f>
        <v/>
      </c>
      <c r="J42" s="85">
        <f>Table58[[#This Row],[Exports]]/Table58[[#This Row],[GDP]]</f>
        <v/>
      </c>
      <c r="K42" s="85">
        <f>-Table58[[#This Row],[Imports]]/Table58[[#This Row],[GDP]]</f>
        <v/>
      </c>
      <c r="L42" s="85">
        <f>Table58[[#This Row],[Government]]/Table58[[#This Row],[GDP]]</f>
        <v/>
      </c>
      <c r="N42" s="52">
        <f>SUM(Table58[[#This Row],[PC%]:[G%]])</f>
        <v/>
      </c>
      <c r="O42" s="55">
        <f>Table58[[#This Row],[Personal Consumption]]+Table58[[#This Row],[Private Investment]]+Table58[[#This Row],[Exports]]+Table58[[#This Row],[Government]]-Table58[[#This Row],[Imports]]</f>
        <v/>
      </c>
    </row>
    <row r="43">
      <c r="A43" s="94" t="n">
        <v>20546</v>
      </c>
      <c r="B43" s="164">
        <f>VLOOKUP(A43,'U.S. GDP'!A:B,2,)</f>
        <v/>
      </c>
      <c r="C43" s="164">
        <f>VLOOKUP(A43,PersonalConsumption!A:B,2,)</f>
        <v/>
      </c>
      <c r="D43" s="164">
        <f>VLOOKUP(A43,PrivateInvestment!A:B,2,)</f>
        <v/>
      </c>
      <c r="E43" s="164">
        <f>VLOOKUP(A43,Exports!A:B,2,)</f>
        <v/>
      </c>
      <c r="F43" s="164">
        <f>VLOOKUP(A43,Imports!A:B,2,)</f>
        <v/>
      </c>
      <c r="G43" s="164">
        <f>VLOOKUP(A43,Government!A:B,2,)</f>
        <v/>
      </c>
      <c r="H43" s="85">
        <f>Table58[[#This Row],[Personal Consumption]]/Table58[[#This Row],[GDP]]</f>
        <v/>
      </c>
      <c r="I43" s="85">
        <f>Table58[[#This Row],[Private Investment]]/Table58[[#This Row],[GDP]]</f>
        <v/>
      </c>
      <c r="J43" s="85">
        <f>Table58[[#This Row],[Exports]]/Table58[[#This Row],[GDP]]</f>
        <v/>
      </c>
      <c r="K43" s="85">
        <f>-Table58[[#This Row],[Imports]]/Table58[[#This Row],[GDP]]</f>
        <v/>
      </c>
      <c r="L43" s="85">
        <f>Table58[[#This Row],[Government]]/Table58[[#This Row],[GDP]]</f>
        <v/>
      </c>
      <c r="N43" s="52">
        <f>SUM(Table58[[#This Row],[PC%]:[G%]])</f>
        <v/>
      </c>
      <c r="O43" s="55">
        <f>Table58[[#This Row],[Personal Consumption]]+Table58[[#This Row],[Private Investment]]+Table58[[#This Row],[Exports]]+Table58[[#This Row],[Government]]-Table58[[#This Row],[Imports]]</f>
        <v/>
      </c>
    </row>
    <row r="44">
      <c r="A44" s="94" t="n">
        <v>20637</v>
      </c>
      <c r="B44" s="164">
        <f>VLOOKUP(A44,'U.S. GDP'!A:B,2,)</f>
        <v/>
      </c>
      <c r="C44" s="164">
        <f>VLOOKUP(A44,PersonalConsumption!A:B,2,)</f>
        <v/>
      </c>
      <c r="D44" s="164">
        <f>VLOOKUP(A44,PrivateInvestment!A:B,2,)</f>
        <v/>
      </c>
      <c r="E44" s="164">
        <f>VLOOKUP(A44,Exports!A:B,2,)</f>
        <v/>
      </c>
      <c r="F44" s="164">
        <f>VLOOKUP(A44,Imports!A:B,2,)</f>
        <v/>
      </c>
      <c r="G44" s="164">
        <f>VLOOKUP(A44,Government!A:B,2,)</f>
        <v/>
      </c>
      <c r="H44" s="85">
        <f>Table58[[#This Row],[Personal Consumption]]/Table58[[#This Row],[GDP]]</f>
        <v/>
      </c>
      <c r="I44" s="85">
        <f>Table58[[#This Row],[Private Investment]]/Table58[[#This Row],[GDP]]</f>
        <v/>
      </c>
      <c r="J44" s="85">
        <f>Table58[[#This Row],[Exports]]/Table58[[#This Row],[GDP]]</f>
        <v/>
      </c>
      <c r="K44" s="85">
        <f>-Table58[[#This Row],[Imports]]/Table58[[#This Row],[GDP]]</f>
        <v/>
      </c>
      <c r="L44" s="85">
        <f>Table58[[#This Row],[Government]]/Table58[[#This Row],[GDP]]</f>
        <v/>
      </c>
      <c r="N44" s="52">
        <f>SUM(Table58[[#This Row],[PC%]:[G%]])</f>
        <v/>
      </c>
      <c r="O44" s="55">
        <f>Table58[[#This Row],[Personal Consumption]]+Table58[[#This Row],[Private Investment]]+Table58[[#This Row],[Exports]]+Table58[[#This Row],[Government]]-Table58[[#This Row],[Imports]]</f>
        <v/>
      </c>
    </row>
    <row r="45">
      <c r="A45" s="94" t="n">
        <v>20729</v>
      </c>
      <c r="B45" s="164">
        <f>VLOOKUP(A45,'U.S. GDP'!A:B,2,)</f>
        <v/>
      </c>
      <c r="C45" s="164">
        <f>VLOOKUP(A45,PersonalConsumption!A:B,2,)</f>
        <v/>
      </c>
      <c r="D45" s="164">
        <f>VLOOKUP(A45,PrivateInvestment!A:B,2,)</f>
        <v/>
      </c>
      <c r="E45" s="164">
        <f>VLOOKUP(A45,Exports!A:B,2,)</f>
        <v/>
      </c>
      <c r="F45" s="164">
        <f>VLOOKUP(A45,Imports!A:B,2,)</f>
        <v/>
      </c>
      <c r="G45" s="164">
        <f>VLOOKUP(A45,Government!A:B,2,)</f>
        <v/>
      </c>
      <c r="H45" s="85">
        <f>Table58[[#This Row],[Personal Consumption]]/Table58[[#This Row],[GDP]]</f>
        <v/>
      </c>
      <c r="I45" s="85">
        <f>Table58[[#This Row],[Private Investment]]/Table58[[#This Row],[GDP]]</f>
        <v/>
      </c>
      <c r="J45" s="85">
        <f>Table58[[#This Row],[Exports]]/Table58[[#This Row],[GDP]]</f>
        <v/>
      </c>
      <c r="K45" s="85">
        <f>-Table58[[#This Row],[Imports]]/Table58[[#This Row],[GDP]]</f>
        <v/>
      </c>
      <c r="L45" s="85">
        <f>Table58[[#This Row],[Government]]/Table58[[#This Row],[GDP]]</f>
        <v/>
      </c>
      <c r="N45" s="52">
        <f>SUM(Table58[[#This Row],[PC%]:[G%]])</f>
        <v/>
      </c>
      <c r="O45" s="55">
        <f>Table58[[#This Row],[Personal Consumption]]+Table58[[#This Row],[Private Investment]]+Table58[[#This Row],[Exports]]+Table58[[#This Row],[Government]]-Table58[[#This Row],[Imports]]</f>
        <v/>
      </c>
    </row>
    <row r="46">
      <c r="A46" s="94" t="n">
        <v>20821</v>
      </c>
      <c r="B46" s="164">
        <f>VLOOKUP(A46,'U.S. GDP'!A:B,2,)</f>
        <v/>
      </c>
      <c r="C46" s="164">
        <f>VLOOKUP(A46,PersonalConsumption!A:B,2,)</f>
        <v/>
      </c>
      <c r="D46" s="164">
        <f>VLOOKUP(A46,PrivateInvestment!A:B,2,)</f>
        <v/>
      </c>
      <c r="E46" s="164">
        <f>VLOOKUP(A46,Exports!A:B,2,)</f>
        <v/>
      </c>
      <c r="F46" s="164">
        <f>VLOOKUP(A46,Imports!A:B,2,)</f>
        <v/>
      </c>
      <c r="G46" s="164">
        <f>VLOOKUP(A46,Government!A:B,2,)</f>
        <v/>
      </c>
      <c r="H46" s="85">
        <f>Table58[[#This Row],[Personal Consumption]]/Table58[[#This Row],[GDP]]</f>
        <v/>
      </c>
      <c r="I46" s="85">
        <f>Table58[[#This Row],[Private Investment]]/Table58[[#This Row],[GDP]]</f>
        <v/>
      </c>
      <c r="J46" s="85">
        <f>Table58[[#This Row],[Exports]]/Table58[[#This Row],[GDP]]</f>
        <v/>
      </c>
      <c r="K46" s="85">
        <f>-Table58[[#This Row],[Imports]]/Table58[[#This Row],[GDP]]</f>
        <v/>
      </c>
      <c r="L46" s="85">
        <f>Table58[[#This Row],[Government]]/Table58[[#This Row],[GDP]]</f>
        <v/>
      </c>
      <c r="N46" s="52">
        <f>SUM(Table58[[#This Row],[PC%]:[G%]])</f>
        <v/>
      </c>
      <c r="O46" s="55">
        <f>Table58[[#This Row],[Personal Consumption]]+Table58[[#This Row],[Private Investment]]+Table58[[#This Row],[Exports]]+Table58[[#This Row],[Government]]-Table58[[#This Row],[Imports]]</f>
        <v/>
      </c>
    </row>
    <row r="47">
      <c r="A47" s="94" t="n">
        <v>20911</v>
      </c>
      <c r="B47" s="164">
        <f>VLOOKUP(A47,'U.S. GDP'!A:B,2,)</f>
        <v/>
      </c>
      <c r="C47" s="164">
        <f>VLOOKUP(A47,PersonalConsumption!A:B,2,)</f>
        <v/>
      </c>
      <c r="D47" s="164">
        <f>VLOOKUP(A47,PrivateInvestment!A:B,2,)</f>
        <v/>
      </c>
      <c r="E47" s="164">
        <f>VLOOKUP(A47,Exports!A:B,2,)</f>
        <v/>
      </c>
      <c r="F47" s="164">
        <f>VLOOKUP(A47,Imports!A:B,2,)</f>
        <v/>
      </c>
      <c r="G47" s="164">
        <f>VLOOKUP(A47,Government!A:B,2,)</f>
        <v/>
      </c>
      <c r="H47" s="85">
        <f>Table58[[#This Row],[Personal Consumption]]/Table58[[#This Row],[GDP]]</f>
        <v/>
      </c>
      <c r="I47" s="85">
        <f>Table58[[#This Row],[Private Investment]]/Table58[[#This Row],[GDP]]</f>
        <v/>
      </c>
      <c r="J47" s="85">
        <f>Table58[[#This Row],[Exports]]/Table58[[#This Row],[GDP]]</f>
        <v/>
      </c>
      <c r="K47" s="85">
        <f>-Table58[[#This Row],[Imports]]/Table58[[#This Row],[GDP]]</f>
        <v/>
      </c>
      <c r="L47" s="85">
        <f>Table58[[#This Row],[Government]]/Table58[[#This Row],[GDP]]</f>
        <v/>
      </c>
      <c r="N47" s="52">
        <f>SUM(Table58[[#This Row],[PC%]:[G%]])</f>
        <v/>
      </c>
      <c r="O47" s="55">
        <f>Table58[[#This Row],[Personal Consumption]]+Table58[[#This Row],[Private Investment]]+Table58[[#This Row],[Exports]]+Table58[[#This Row],[Government]]-Table58[[#This Row],[Imports]]</f>
        <v/>
      </c>
    </row>
    <row r="48">
      <c r="A48" s="94" t="n">
        <v>21002</v>
      </c>
      <c r="B48" s="164">
        <f>VLOOKUP(A48,'U.S. GDP'!A:B,2,)</f>
        <v/>
      </c>
      <c r="C48" s="164">
        <f>VLOOKUP(A48,PersonalConsumption!A:B,2,)</f>
        <v/>
      </c>
      <c r="D48" s="164">
        <f>VLOOKUP(A48,PrivateInvestment!A:B,2,)</f>
        <v/>
      </c>
      <c r="E48" s="164">
        <f>VLOOKUP(A48,Exports!A:B,2,)</f>
        <v/>
      </c>
      <c r="F48" s="164">
        <f>VLOOKUP(A48,Imports!A:B,2,)</f>
        <v/>
      </c>
      <c r="G48" s="164">
        <f>VLOOKUP(A48,Government!A:B,2,)</f>
        <v/>
      </c>
      <c r="H48" s="85">
        <f>Table58[[#This Row],[Personal Consumption]]/Table58[[#This Row],[GDP]]</f>
        <v/>
      </c>
      <c r="I48" s="85">
        <f>Table58[[#This Row],[Private Investment]]/Table58[[#This Row],[GDP]]</f>
        <v/>
      </c>
      <c r="J48" s="85">
        <f>Table58[[#This Row],[Exports]]/Table58[[#This Row],[GDP]]</f>
        <v/>
      </c>
      <c r="K48" s="85">
        <f>-Table58[[#This Row],[Imports]]/Table58[[#This Row],[GDP]]</f>
        <v/>
      </c>
      <c r="L48" s="85">
        <f>Table58[[#This Row],[Government]]/Table58[[#This Row],[GDP]]</f>
        <v/>
      </c>
      <c r="N48" s="52">
        <f>SUM(Table58[[#This Row],[PC%]:[G%]])</f>
        <v/>
      </c>
      <c r="O48" s="55">
        <f>Table58[[#This Row],[Personal Consumption]]+Table58[[#This Row],[Private Investment]]+Table58[[#This Row],[Exports]]+Table58[[#This Row],[Government]]-Table58[[#This Row],[Imports]]</f>
        <v/>
      </c>
    </row>
    <row r="49">
      <c r="A49" s="94" t="n">
        <v>21094</v>
      </c>
      <c r="B49" s="164">
        <f>VLOOKUP(A49,'U.S. GDP'!A:B,2,)</f>
        <v/>
      </c>
      <c r="C49" s="164">
        <f>VLOOKUP(A49,PersonalConsumption!A:B,2,)</f>
        <v/>
      </c>
      <c r="D49" s="164">
        <f>VLOOKUP(A49,PrivateInvestment!A:B,2,)</f>
        <v/>
      </c>
      <c r="E49" s="164">
        <f>VLOOKUP(A49,Exports!A:B,2,)</f>
        <v/>
      </c>
      <c r="F49" s="164">
        <f>VLOOKUP(A49,Imports!A:B,2,)</f>
        <v/>
      </c>
      <c r="G49" s="164">
        <f>VLOOKUP(A49,Government!A:B,2,)</f>
        <v/>
      </c>
      <c r="H49" s="85">
        <f>Table58[[#This Row],[Personal Consumption]]/Table58[[#This Row],[GDP]]</f>
        <v/>
      </c>
      <c r="I49" s="85">
        <f>Table58[[#This Row],[Private Investment]]/Table58[[#This Row],[GDP]]</f>
        <v/>
      </c>
      <c r="J49" s="85">
        <f>Table58[[#This Row],[Exports]]/Table58[[#This Row],[GDP]]</f>
        <v/>
      </c>
      <c r="K49" s="85">
        <f>-Table58[[#This Row],[Imports]]/Table58[[#This Row],[GDP]]</f>
        <v/>
      </c>
      <c r="L49" s="85">
        <f>Table58[[#This Row],[Government]]/Table58[[#This Row],[GDP]]</f>
        <v/>
      </c>
      <c r="N49" s="52">
        <f>SUM(Table58[[#This Row],[PC%]:[G%]])</f>
        <v/>
      </c>
      <c r="O49" s="55">
        <f>Table58[[#This Row],[Personal Consumption]]+Table58[[#This Row],[Private Investment]]+Table58[[#This Row],[Exports]]+Table58[[#This Row],[Government]]-Table58[[#This Row],[Imports]]</f>
        <v/>
      </c>
    </row>
    <row r="50">
      <c r="A50" s="94" t="n">
        <v>21186</v>
      </c>
      <c r="B50" s="164">
        <f>VLOOKUP(A50,'U.S. GDP'!A:B,2,)</f>
        <v/>
      </c>
      <c r="C50" s="164">
        <f>VLOOKUP(A50,PersonalConsumption!A:B,2,)</f>
        <v/>
      </c>
      <c r="D50" s="164">
        <f>VLOOKUP(A50,PrivateInvestment!A:B,2,)</f>
        <v/>
      </c>
      <c r="E50" s="164">
        <f>VLOOKUP(A50,Exports!A:B,2,)</f>
        <v/>
      </c>
      <c r="F50" s="164">
        <f>VLOOKUP(A50,Imports!A:B,2,)</f>
        <v/>
      </c>
      <c r="G50" s="164">
        <f>VLOOKUP(A50,Government!A:B,2,)</f>
        <v/>
      </c>
      <c r="H50" s="85">
        <f>Table58[[#This Row],[Personal Consumption]]/Table58[[#This Row],[GDP]]</f>
        <v/>
      </c>
      <c r="I50" s="85">
        <f>Table58[[#This Row],[Private Investment]]/Table58[[#This Row],[GDP]]</f>
        <v/>
      </c>
      <c r="J50" s="85">
        <f>Table58[[#This Row],[Exports]]/Table58[[#This Row],[GDP]]</f>
        <v/>
      </c>
      <c r="K50" s="85">
        <f>-Table58[[#This Row],[Imports]]/Table58[[#This Row],[GDP]]</f>
        <v/>
      </c>
      <c r="L50" s="85">
        <f>Table58[[#This Row],[Government]]/Table58[[#This Row],[GDP]]</f>
        <v/>
      </c>
      <c r="N50" s="52">
        <f>SUM(Table58[[#This Row],[PC%]:[G%]])</f>
        <v/>
      </c>
      <c r="O50" s="55">
        <f>Table58[[#This Row],[Personal Consumption]]+Table58[[#This Row],[Private Investment]]+Table58[[#This Row],[Exports]]+Table58[[#This Row],[Government]]-Table58[[#This Row],[Imports]]</f>
        <v/>
      </c>
    </row>
    <row r="51">
      <c r="A51" s="94" t="n">
        <v>21276</v>
      </c>
      <c r="B51" s="164">
        <f>VLOOKUP(A51,'U.S. GDP'!A:B,2,)</f>
        <v/>
      </c>
      <c r="C51" s="164">
        <f>VLOOKUP(A51,PersonalConsumption!A:B,2,)</f>
        <v/>
      </c>
      <c r="D51" s="164">
        <f>VLOOKUP(A51,PrivateInvestment!A:B,2,)</f>
        <v/>
      </c>
      <c r="E51" s="164">
        <f>VLOOKUP(A51,Exports!A:B,2,)</f>
        <v/>
      </c>
      <c r="F51" s="164">
        <f>VLOOKUP(A51,Imports!A:B,2,)</f>
        <v/>
      </c>
      <c r="G51" s="164">
        <f>VLOOKUP(A51,Government!A:B,2,)</f>
        <v/>
      </c>
      <c r="H51" s="85">
        <f>Table58[[#This Row],[Personal Consumption]]/Table58[[#This Row],[GDP]]</f>
        <v/>
      </c>
      <c r="I51" s="85">
        <f>Table58[[#This Row],[Private Investment]]/Table58[[#This Row],[GDP]]</f>
        <v/>
      </c>
      <c r="J51" s="85">
        <f>Table58[[#This Row],[Exports]]/Table58[[#This Row],[GDP]]</f>
        <v/>
      </c>
      <c r="K51" s="85">
        <f>-Table58[[#This Row],[Imports]]/Table58[[#This Row],[GDP]]</f>
        <v/>
      </c>
      <c r="L51" s="85">
        <f>Table58[[#This Row],[Government]]/Table58[[#This Row],[GDP]]</f>
        <v/>
      </c>
      <c r="N51" s="52">
        <f>SUM(Table58[[#This Row],[PC%]:[G%]])</f>
        <v/>
      </c>
      <c r="O51" s="55">
        <f>Table58[[#This Row],[Personal Consumption]]+Table58[[#This Row],[Private Investment]]+Table58[[#This Row],[Exports]]+Table58[[#This Row],[Government]]-Table58[[#This Row],[Imports]]</f>
        <v/>
      </c>
    </row>
    <row r="52">
      <c r="A52" s="94" t="n">
        <v>21367</v>
      </c>
      <c r="B52" s="164">
        <f>VLOOKUP(A52,'U.S. GDP'!A:B,2,)</f>
        <v/>
      </c>
      <c r="C52" s="164">
        <f>VLOOKUP(A52,PersonalConsumption!A:B,2,)</f>
        <v/>
      </c>
      <c r="D52" s="164">
        <f>VLOOKUP(A52,PrivateInvestment!A:B,2,)</f>
        <v/>
      </c>
      <c r="E52" s="164">
        <f>VLOOKUP(A52,Exports!A:B,2,)</f>
        <v/>
      </c>
      <c r="F52" s="164">
        <f>VLOOKUP(A52,Imports!A:B,2,)</f>
        <v/>
      </c>
      <c r="G52" s="164">
        <f>VLOOKUP(A52,Government!A:B,2,)</f>
        <v/>
      </c>
      <c r="H52" s="85">
        <f>Table58[[#This Row],[Personal Consumption]]/Table58[[#This Row],[GDP]]</f>
        <v/>
      </c>
      <c r="I52" s="85">
        <f>Table58[[#This Row],[Private Investment]]/Table58[[#This Row],[GDP]]</f>
        <v/>
      </c>
      <c r="J52" s="85">
        <f>Table58[[#This Row],[Exports]]/Table58[[#This Row],[GDP]]</f>
        <v/>
      </c>
      <c r="K52" s="85">
        <f>-Table58[[#This Row],[Imports]]/Table58[[#This Row],[GDP]]</f>
        <v/>
      </c>
      <c r="L52" s="85">
        <f>Table58[[#This Row],[Government]]/Table58[[#This Row],[GDP]]</f>
        <v/>
      </c>
      <c r="N52" s="52">
        <f>SUM(Table58[[#This Row],[PC%]:[G%]])</f>
        <v/>
      </c>
      <c r="O52" s="55">
        <f>Table58[[#This Row],[Personal Consumption]]+Table58[[#This Row],[Private Investment]]+Table58[[#This Row],[Exports]]+Table58[[#This Row],[Government]]-Table58[[#This Row],[Imports]]</f>
        <v/>
      </c>
    </row>
    <row r="53">
      <c r="A53" s="94" t="n">
        <v>21459</v>
      </c>
      <c r="B53" s="164">
        <f>VLOOKUP(A53,'U.S. GDP'!A:B,2,)</f>
        <v/>
      </c>
      <c r="C53" s="164">
        <f>VLOOKUP(A53,PersonalConsumption!A:B,2,)</f>
        <v/>
      </c>
      <c r="D53" s="164">
        <f>VLOOKUP(A53,PrivateInvestment!A:B,2,)</f>
        <v/>
      </c>
      <c r="E53" s="164">
        <f>VLOOKUP(A53,Exports!A:B,2,)</f>
        <v/>
      </c>
      <c r="F53" s="164">
        <f>VLOOKUP(A53,Imports!A:B,2,)</f>
        <v/>
      </c>
      <c r="G53" s="164">
        <f>VLOOKUP(A53,Government!A:B,2,)</f>
        <v/>
      </c>
      <c r="H53" s="85">
        <f>Table58[[#This Row],[Personal Consumption]]/Table58[[#This Row],[GDP]]</f>
        <v/>
      </c>
      <c r="I53" s="85">
        <f>Table58[[#This Row],[Private Investment]]/Table58[[#This Row],[GDP]]</f>
        <v/>
      </c>
      <c r="J53" s="85">
        <f>Table58[[#This Row],[Exports]]/Table58[[#This Row],[GDP]]</f>
        <v/>
      </c>
      <c r="K53" s="85">
        <f>-Table58[[#This Row],[Imports]]/Table58[[#This Row],[GDP]]</f>
        <v/>
      </c>
      <c r="L53" s="85">
        <f>Table58[[#This Row],[Government]]/Table58[[#This Row],[GDP]]</f>
        <v/>
      </c>
      <c r="N53" s="52">
        <f>SUM(Table58[[#This Row],[PC%]:[G%]])</f>
        <v/>
      </c>
      <c r="O53" s="55">
        <f>Table58[[#This Row],[Personal Consumption]]+Table58[[#This Row],[Private Investment]]+Table58[[#This Row],[Exports]]+Table58[[#This Row],[Government]]-Table58[[#This Row],[Imports]]</f>
        <v/>
      </c>
    </row>
    <row r="54">
      <c r="A54" s="94" t="n">
        <v>21551</v>
      </c>
      <c r="B54" s="164">
        <f>VLOOKUP(A54,'U.S. GDP'!A:B,2,)</f>
        <v/>
      </c>
      <c r="C54" s="164">
        <f>VLOOKUP(A54,PersonalConsumption!A:B,2,)</f>
        <v/>
      </c>
      <c r="D54" s="164">
        <f>VLOOKUP(A54,PrivateInvestment!A:B,2,)</f>
        <v/>
      </c>
      <c r="E54" s="164">
        <f>VLOOKUP(A54,Exports!A:B,2,)</f>
        <v/>
      </c>
      <c r="F54" s="164">
        <f>VLOOKUP(A54,Imports!A:B,2,)</f>
        <v/>
      </c>
      <c r="G54" s="164">
        <f>VLOOKUP(A54,Government!A:B,2,)</f>
        <v/>
      </c>
      <c r="H54" s="85">
        <f>Table58[[#This Row],[Personal Consumption]]/Table58[[#This Row],[GDP]]</f>
        <v/>
      </c>
      <c r="I54" s="85">
        <f>Table58[[#This Row],[Private Investment]]/Table58[[#This Row],[GDP]]</f>
        <v/>
      </c>
      <c r="J54" s="85">
        <f>Table58[[#This Row],[Exports]]/Table58[[#This Row],[GDP]]</f>
        <v/>
      </c>
      <c r="K54" s="85">
        <f>-Table58[[#This Row],[Imports]]/Table58[[#This Row],[GDP]]</f>
        <v/>
      </c>
      <c r="L54" s="85">
        <f>Table58[[#This Row],[Government]]/Table58[[#This Row],[GDP]]</f>
        <v/>
      </c>
      <c r="N54" s="52">
        <f>SUM(Table58[[#This Row],[PC%]:[G%]])</f>
        <v/>
      </c>
      <c r="O54" s="55">
        <f>Table58[[#This Row],[Personal Consumption]]+Table58[[#This Row],[Private Investment]]+Table58[[#This Row],[Exports]]+Table58[[#This Row],[Government]]-Table58[[#This Row],[Imports]]</f>
        <v/>
      </c>
    </row>
    <row r="55">
      <c r="A55" s="94" t="n">
        <v>21641</v>
      </c>
      <c r="B55" s="164">
        <f>VLOOKUP(A55,'U.S. GDP'!A:B,2,)</f>
        <v/>
      </c>
      <c r="C55" s="164">
        <f>VLOOKUP(A55,PersonalConsumption!A:B,2,)</f>
        <v/>
      </c>
      <c r="D55" s="164">
        <f>VLOOKUP(A55,PrivateInvestment!A:B,2,)</f>
        <v/>
      </c>
      <c r="E55" s="164">
        <f>VLOOKUP(A55,Exports!A:B,2,)</f>
        <v/>
      </c>
      <c r="F55" s="164">
        <f>VLOOKUP(A55,Imports!A:B,2,)</f>
        <v/>
      </c>
      <c r="G55" s="164">
        <f>VLOOKUP(A55,Government!A:B,2,)</f>
        <v/>
      </c>
      <c r="H55" s="85">
        <f>Table58[[#This Row],[Personal Consumption]]/Table58[[#This Row],[GDP]]</f>
        <v/>
      </c>
      <c r="I55" s="85">
        <f>Table58[[#This Row],[Private Investment]]/Table58[[#This Row],[GDP]]</f>
        <v/>
      </c>
      <c r="J55" s="85">
        <f>Table58[[#This Row],[Exports]]/Table58[[#This Row],[GDP]]</f>
        <v/>
      </c>
      <c r="K55" s="85">
        <f>-Table58[[#This Row],[Imports]]/Table58[[#This Row],[GDP]]</f>
        <v/>
      </c>
      <c r="L55" s="85">
        <f>Table58[[#This Row],[Government]]/Table58[[#This Row],[GDP]]</f>
        <v/>
      </c>
      <c r="N55" s="52">
        <f>SUM(Table58[[#This Row],[PC%]:[G%]])</f>
        <v/>
      </c>
      <c r="O55" s="55">
        <f>Table58[[#This Row],[Personal Consumption]]+Table58[[#This Row],[Private Investment]]+Table58[[#This Row],[Exports]]+Table58[[#This Row],[Government]]-Table58[[#This Row],[Imports]]</f>
        <v/>
      </c>
    </row>
    <row r="56">
      <c r="A56" s="94" t="n">
        <v>21732</v>
      </c>
      <c r="B56" s="164">
        <f>VLOOKUP(A56,'U.S. GDP'!A:B,2,)</f>
        <v/>
      </c>
      <c r="C56" s="164">
        <f>VLOOKUP(A56,PersonalConsumption!A:B,2,)</f>
        <v/>
      </c>
      <c r="D56" s="164">
        <f>VLOOKUP(A56,PrivateInvestment!A:B,2,)</f>
        <v/>
      </c>
      <c r="E56" s="164">
        <f>VLOOKUP(A56,Exports!A:B,2,)</f>
        <v/>
      </c>
      <c r="F56" s="164">
        <f>VLOOKUP(A56,Imports!A:B,2,)</f>
        <v/>
      </c>
      <c r="G56" s="164">
        <f>VLOOKUP(A56,Government!A:B,2,)</f>
        <v/>
      </c>
      <c r="H56" s="85">
        <f>Table58[[#This Row],[Personal Consumption]]/Table58[[#This Row],[GDP]]</f>
        <v/>
      </c>
      <c r="I56" s="85">
        <f>Table58[[#This Row],[Private Investment]]/Table58[[#This Row],[GDP]]</f>
        <v/>
      </c>
      <c r="J56" s="85">
        <f>Table58[[#This Row],[Exports]]/Table58[[#This Row],[GDP]]</f>
        <v/>
      </c>
      <c r="K56" s="85">
        <f>-Table58[[#This Row],[Imports]]/Table58[[#This Row],[GDP]]</f>
        <v/>
      </c>
      <c r="L56" s="85">
        <f>Table58[[#This Row],[Government]]/Table58[[#This Row],[GDP]]</f>
        <v/>
      </c>
      <c r="N56" s="52">
        <f>SUM(Table58[[#This Row],[PC%]:[G%]])</f>
        <v/>
      </c>
      <c r="O56" s="55">
        <f>Table58[[#This Row],[Personal Consumption]]+Table58[[#This Row],[Private Investment]]+Table58[[#This Row],[Exports]]+Table58[[#This Row],[Government]]-Table58[[#This Row],[Imports]]</f>
        <v/>
      </c>
    </row>
    <row r="57">
      <c r="A57" s="94" t="n">
        <v>21824</v>
      </c>
      <c r="B57" s="164">
        <f>VLOOKUP(A57,'U.S. GDP'!A:B,2,)</f>
        <v/>
      </c>
      <c r="C57" s="164">
        <f>VLOOKUP(A57,PersonalConsumption!A:B,2,)</f>
        <v/>
      </c>
      <c r="D57" s="164">
        <f>VLOOKUP(A57,PrivateInvestment!A:B,2,)</f>
        <v/>
      </c>
      <c r="E57" s="164">
        <f>VLOOKUP(A57,Exports!A:B,2,)</f>
        <v/>
      </c>
      <c r="F57" s="164">
        <f>VLOOKUP(A57,Imports!A:B,2,)</f>
        <v/>
      </c>
      <c r="G57" s="164">
        <f>VLOOKUP(A57,Government!A:B,2,)</f>
        <v/>
      </c>
      <c r="H57" s="85">
        <f>Table58[[#This Row],[Personal Consumption]]/Table58[[#This Row],[GDP]]</f>
        <v/>
      </c>
      <c r="I57" s="85">
        <f>Table58[[#This Row],[Private Investment]]/Table58[[#This Row],[GDP]]</f>
        <v/>
      </c>
      <c r="J57" s="85">
        <f>Table58[[#This Row],[Exports]]/Table58[[#This Row],[GDP]]</f>
        <v/>
      </c>
      <c r="K57" s="85">
        <f>-Table58[[#This Row],[Imports]]/Table58[[#This Row],[GDP]]</f>
        <v/>
      </c>
      <c r="L57" s="85">
        <f>Table58[[#This Row],[Government]]/Table58[[#This Row],[GDP]]</f>
        <v/>
      </c>
      <c r="N57" s="52">
        <f>SUM(Table58[[#This Row],[PC%]:[G%]])</f>
        <v/>
      </c>
      <c r="O57" s="55">
        <f>Table58[[#This Row],[Personal Consumption]]+Table58[[#This Row],[Private Investment]]+Table58[[#This Row],[Exports]]+Table58[[#This Row],[Government]]-Table58[[#This Row],[Imports]]</f>
        <v/>
      </c>
    </row>
    <row r="58">
      <c r="A58" s="94" t="n">
        <v>21916</v>
      </c>
      <c r="B58" s="164">
        <f>VLOOKUP(A58,'U.S. GDP'!A:B,2,)</f>
        <v/>
      </c>
      <c r="C58" s="164">
        <f>VLOOKUP(A58,PersonalConsumption!A:B,2,)</f>
        <v/>
      </c>
      <c r="D58" s="164">
        <f>VLOOKUP(A58,PrivateInvestment!A:B,2,)</f>
        <v/>
      </c>
      <c r="E58" s="164">
        <f>VLOOKUP(A58,Exports!A:B,2,)</f>
        <v/>
      </c>
      <c r="F58" s="164">
        <f>VLOOKUP(A58,Imports!A:B,2,)</f>
        <v/>
      </c>
      <c r="G58" s="164">
        <f>VLOOKUP(A58,Government!A:B,2,)</f>
        <v/>
      </c>
      <c r="H58" s="85">
        <f>Table58[[#This Row],[Personal Consumption]]/Table58[[#This Row],[GDP]]</f>
        <v/>
      </c>
      <c r="I58" s="85">
        <f>Table58[[#This Row],[Private Investment]]/Table58[[#This Row],[GDP]]</f>
        <v/>
      </c>
      <c r="J58" s="85">
        <f>Table58[[#This Row],[Exports]]/Table58[[#This Row],[GDP]]</f>
        <v/>
      </c>
      <c r="K58" s="85">
        <f>-Table58[[#This Row],[Imports]]/Table58[[#This Row],[GDP]]</f>
        <v/>
      </c>
      <c r="L58" s="85">
        <f>Table58[[#This Row],[Government]]/Table58[[#This Row],[GDP]]</f>
        <v/>
      </c>
      <c r="N58" s="52">
        <f>SUM(Table58[[#This Row],[PC%]:[G%]])</f>
        <v/>
      </c>
      <c r="O58" s="55">
        <f>Table58[[#This Row],[Personal Consumption]]+Table58[[#This Row],[Private Investment]]+Table58[[#This Row],[Exports]]+Table58[[#This Row],[Government]]-Table58[[#This Row],[Imports]]</f>
        <v/>
      </c>
    </row>
    <row r="59">
      <c r="A59" s="94" t="n">
        <v>22007</v>
      </c>
      <c r="B59" s="164">
        <f>VLOOKUP(A59,'U.S. GDP'!A:B,2,)</f>
        <v/>
      </c>
      <c r="C59" s="164">
        <f>VLOOKUP(A59,PersonalConsumption!A:B,2,)</f>
        <v/>
      </c>
      <c r="D59" s="164">
        <f>VLOOKUP(A59,PrivateInvestment!A:B,2,)</f>
        <v/>
      </c>
      <c r="E59" s="164">
        <f>VLOOKUP(A59,Exports!A:B,2,)</f>
        <v/>
      </c>
      <c r="F59" s="164">
        <f>VLOOKUP(A59,Imports!A:B,2,)</f>
        <v/>
      </c>
      <c r="G59" s="164">
        <f>VLOOKUP(A59,Government!A:B,2,)</f>
        <v/>
      </c>
      <c r="H59" s="85">
        <f>Table58[[#This Row],[Personal Consumption]]/Table58[[#This Row],[GDP]]</f>
        <v/>
      </c>
      <c r="I59" s="85">
        <f>Table58[[#This Row],[Private Investment]]/Table58[[#This Row],[GDP]]</f>
        <v/>
      </c>
      <c r="J59" s="85">
        <f>Table58[[#This Row],[Exports]]/Table58[[#This Row],[GDP]]</f>
        <v/>
      </c>
      <c r="K59" s="85">
        <f>-Table58[[#This Row],[Imports]]/Table58[[#This Row],[GDP]]</f>
        <v/>
      </c>
      <c r="L59" s="85">
        <f>Table58[[#This Row],[Government]]/Table58[[#This Row],[GDP]]</f>
        <v/>
      </c>
      <c r="N59" s="52">
        <f>SUM(Table58[[#This Row],[PC%]:[G%]])</f>
        <v/>
      </c>
      <c r="O59" s="55">
        <f>Table58[[#This Row],[Personal Consumption]]+Table58[[#This Row],[Private Investment]]+Table58[[#This Row],[Exports]]+Table58[[#This Row],[Government]]-Table58[[#This Row],[Imports]]</f>
        <v/>
      </c>
    </row>
    <row r="60">
      <c r="A60" s="94" t="n">
        <v>22098</v>
      </c>
      <c r="B60" s="164">
        <f>VLOOKUP(A60,'U.S. GDP'!A:B,2,)</f>
        <v/>
      </c>
      <c r="C60" s="164">
        <f>VLOOKUP(A60,PersonalConsumption!A:B,2,)</f>
        <v/>
      </c>
      <c r="D60" s="164">
        <f>VLOOKUP(A60,PrivateInvestment!A:B,2,)</f>
        <v/>
      </c>
      <c r="E60" s="164">
        <f>VLOOKUP(A60,Exports!A:B,2,)</f>
        <v/>
      </c>
      <c r="F60" s="164">
        <f>VLOOKUP(A60,Imports!A:B,2,)</f>
        <v/>
      </c>
      <c r="G60" s="164">
        <f>VLOOKUP(A60,Government!A:B,2,)</f>
        <v/>
      </c>
      <c r="H60" s="85">
        <f>Table58[[#This Row],[Personal Consumption]]/Table58[[#This Row],[GDP]]</f>
        <v/>
      </c>
      <c r="I60" s="85">
        <f>Table58[[#This Row],[Private Investment]]/Table58[[#This Row],[GDP]]</f>
        <v/>
      </c>
      <c r="J60" s="85">
        <f>Table58[[#This Row],[Exports]]/Table58[[#This Row],[GDP]]</f>
        <v/>
      </c>
      <c r="K60" s="85">
        <f>-Table58[[#This Row],[Imports]]/Table58[[#This Row],[GDP]]</f>
        <v/>
      </c>
      <c r="L60" s="85">
        <f>Table58[[#This Row],[Government]]/Table58[[#This Row],[GDP]]</f>
        <v/>
      </c>
      <c r="N60" s="52">
        <f>SUM(Table58[[#This Row],[PC%]:[G%]])</f>
        <v/>
      </c>
      <c r="O60" s="55">
        <f>Table58[[#This Row],[Personal Consumption]]+Table58[[#This Row],[Private Investment]]+Table58[[#This Row],[Exports]]+Table58[[#This Row],[Government]]-Table58[[#This Row],[Imports]]</f>
        <v/>
      </c>
    </row>
    <row r="61">
      <c r="A61" s="94" t="n">
        <v>22190</v>
      </c>
      <c r="B61" s="164">
        <f>VLOOKUP(A61,'U.S. GDP'!A:B,2,)</f>
        <v/>
      </c>
      <c r="C61" s="164">
        <f>VLOOKUP(A61,PersonalConsumption!A:B,2,)</f>
        <v/>
      </c>
      <c r="D61" s="164">
        <f>VLOOKUP(A61,PrivateInvestment!A:B,2,)</f>
        <v/>
      </c>
      <c r="E61" s="164">
        <f>VLOOKUP(A61,Exports!A:B,2,)</f>
        <v/>
      </c>
      <c r="F61" s="164">
        <f>VLOOKUP(A61,Imports!A:B,2,)</f>
        <v/>
      </c>
      <c r="G61" s="164">
        <f>VLOOKUP(A61,Government!A:B,2,)</f>
        <v/>
      </c>
      <c r="H61" s="85">
        <f>Table58[[#This Row],[Personal Consumption]]/Table58[[#This Row],[GDP]]</f>
        <v/>
      </c>
      <c r="I61" s="85">
        <f>Table58[[#This Row],[Private Investment]]/Table58[[#This Row],[GDP]]</f>
        <v/>
      </c>
      <c r="J61" s="85">
        <f>Table58[[#This Row],[Exports]]/Table58[[#This Row],[GDP]]</f>
        <v/>
      </c>
      <c r="K61" s="85">
        <f>-Table58[[#This Row],[Imports]]/Table58[[#This Row],[GDP]]</f>
        <v/>
      </c>
      <c r="L61" s="85">
        <f>Table58[[#This Row],[Government]]/Table58[[#This Row],[GDP]]</f>
        <v/>
      </c>
      <c r="N61" s="52">
        <f>SUM(Table58[[#This Row],[PC%]:[G%]])</f>
        <v/>
      </c>
      <c r="O61" s="55">
        <f>Table58[[#This Row],[Personal Consumption]]+Table58[[#This Row],[Private Investment]]+Table58[[#This Row],[Exports]]+Table58[[#This Row],[Government]]-Table58[[#This Row],[Imports]]</f>
        <v/>
      </c>
    </row>
    <row r="62">
      <c r="A62" s="94" t="n">
        <v>22282</v>
      </c>
      <c r="B62" s="164">
        <f>VLOOKUP(A62,'U.S. GDP'!A:B,2,)</f>
        <v/>
      </c>
      <c r="C62" s="164">
        <f>VLOOKUP(A62,PersonalConsumption!A:B,2,)</f>
        <v/>
      </c>
      <c r="D62" s="164">
        <f>VLOOKUP(A62,PrivateInvestment!A:B,2,)</f>
        <v/>
      </c>
      <c r="E62" s="164">
        <f>VLOOKUP(A62,Exports!A:B,2,)</f>
        <v/>
      </c>
      <c r="F62" s="164">
        <f>VLOOKUP(A62,Imports!A:B,2,)</f>
        <v/>
      </c>
      <c r="G62" s="164">
        <f>VLOOKUP(A62,Government!A:B,2,)</f>
        <v/>
      </c>
      <c r="H62" s="85">
        <f>Table58[[#This Row],[Personal Consumption]]/Table58[[#This Row],[GDP]]</f>
        <v/>
      </c>
      <c r="I62" s="85">
        <f>Table58[[#This Row],[Private Investment]]/Table58[[#This Row],[GDP]]</f>
        <v/>
      </c>
      <c r="J62" s="85">
        <f>Table58[[#This Row],[Exports]]/Table58[[#This Row],[GDP]]</f>
        <v/>
      </c>
      <c r="K62" s="85">
        <f>-Table58[[#This Row],[Imports]]/Table58[[#This Row],[GDP]]</f>
        <v/>
      </c>
      <c r="L62" s="85">
        <f>Table58[[#This Row],[Government]]/Table58[[#This Row],[GDP]]</f>
        <v/>
      </c>
      <c r="N62" s="52">
        <f>SUM(Table58[[#This Row],[PC%]:[G%]])</f>
        <v/>
      </c>
      <c r="O62" s="55">
        <f>Table58[[#This Row],[Personal Consumption]]+Table58[[#This Row],[Private Investment]]+Table58[[#This Row],[Exports]]+Table58[[#This Row],[Government]]-Table58[[#This Row],[Imports]]</f>
        <v/>
      </c>
    </row>
    <row r="63">
      <c r="A63" s="94" t="n">
        <v>22372</v>
      </c>
      <c r="B63" s="164">
        <f>VLOOKUP(A63,'U.S. GDP'!A:B,2,)</f>
        <v/>
      </c>
      <c r="C63" s="164">
        <f>VLOOKUP(A63,PersonalConsumption!A:B,2,)</f>
        <v/>
      </c>
      <c r="D63" s="164">
        <f>VLOOKUP(A63,PrivateInvestment!A:B,2,)</f>
        <v/>
      </c>
      <c r="E63" s="164">
        <f>VLOOKUP(A63,Exports!A:B,2,)</f>
        <v/>
      </c>
      <c r="F63" s="164">
        <f>VLOOKUP(A63,Imports!A:B,2,)</f>
        <v/>
      </c>
      <c r="G63" s="164">
        <f>VLOOKUP(A63,Government!A:B,2,)</f>
        <v/>
      </c>
      <c r="H63" s="85">
        <f>Table58[[#This Row],[Personal Consumption]]/Table58[[#This Row],[GDP]]</f>
        <v/>
      </c>
      <c r="I63" s="85">
        <f>Table58[[#This Row],[Private Investment]]/Table58[[#This Row],[GDP]]</f>
        <v/>
      </c>
      <c r="J63" s="85">
        <f>Table58[[#This Row],[Exports]]/Table58[[#This Row],[GDP]]</f>
        <v/>
      </c>
      <c r="K63" s="85">
        <f>-Table58[[#This Row],[Imports]]/Table58[[#This Row],[GDP]]</f>
        <v/>
      </c>
      <c r="L63" s="85">
        <f>Table58[[#This Row],[Government]]/Table58[[#This Row],[GDP]]</f>
        <v/>
      </c>
      <c r="N63" s="52">
        <f>SUM(Table58[[#This Row],[PC%]:[G%]])</f>
        <v/>
      </c>
      <c r="O63" s="55">
        <f>Table58[[#This Row],[Personal Consumption]]+Table58[[#This Row],[Private Investment]]+Table58[[#This Row],[Exports]]+Table58[[#This Row],[Government]]-Table58[[#This Row],[Imports]]</f>
        <v/>
      </c>
    </row>
    <row r="64">
      <c r="A64" s="94" t="n">
        <v>22463</v>
      </c>
      <c r="B64" s="164">
        <f>VLOOKUP(A64,'U.S. GDP'!A:B,2,)</f>
        <v/>
      </c>
      <c r="C64" s="164">
        <f>VLOOKUP(A64,PersonalConsumption!A:B,2,)</f>
        <v/>
      </c>
      <c r="D64" s="164">
        <f>VLOOKUP(A64,PrivateInvestment!A:B,2,)</f>
        <v/>
      </c>
      <c r="E64" s="164">
        <f>VLOOKUP(A64,Exports!A:B,2,)</f>
        <v/>
      </c>
      <c r="F64" s="164">
        <f>VLOOKUP(A64,Imports!A:B,2,)</f>
        <v/>
      </c>
      <c r="G64" s="164">
        <f>VLOOKUP(A64,Government!A:B,2,)</f>
        <v/>
      </c>
      <c r="H64" s="85">
        <f>Table58[[#This Row],[Personal Consumption]]/Table58[[#This Row],[GDP]]</f>
        <v/>
      </c>
      <c r="I64" s="85">
        <f>Table58[[#This Row],[Private Investment]]/Table58[[#This Row],[GDP]]</f>
        <v/>
      </c>
      <c r="J64" s="85">
        <f>Table58[[#This Row],[Exports]]/Table58[[#This Row],[GDP]]</f>
        <v/>
      </c>
      <c r="K64" s="85">
        <f>-Table58[[#This Row],[Imports]]/Table58[[#This Row],[GDP]]</f>
        <v/>
      </c>
      <c r="L64" s="85">
        <f>Table58[[#This Row],[Government]]/Table58[[#This Row],[GDP]]</f>
        <v/>
      </c>
      <c r="N64" s="52">
        <f>SUM(Table58[[#This Row],[PC%]:[G%]])</f>
        <v/>
      </c>
      <c r="O64" s="55">
        <f>Table58[[#This Row],[Personal Consumption]]+Table58[[#This Row],[Private Investment]]+Table58[[#This Row],[Exports]]+Table58[[#This Row],[Government]]-Table58[[#This Row],[Imports]]</f>
        <v/>
      </c>
    </row>
    <row r="65">
      <c r="A65" s="94" t="n">
        <v>22555</v>
      </c>
      <c r="B65" s="164">
        <f>VLOOKUP(A65,'U.S. GDP'!A:B,2,)</f>
        <v/>
      </c>
      <c r="C65" s="164">
        <f>VLOOKUP(A65,PersonalConsumption!A:B,2,)</f>
        <v/>
      </c>
      <c r="D65" s="164">
        <f>VLOOKUP(A65,PrivateInvestment!A:B,2,)</f>
        <v/>
      </c>
      <c r="E65" s="164">
        <f>VLOOKUP(A65,Exports!A:B,2,)</f>
        <v/>
      </c>
      <c r="F65" s="164">
        <f>VLOOKUP(A65,Imports!A:B,2,)</f>
        <v/>
      </c>
      <c r="G65" s="164">
        <f>VLOOKUP(A65,Government!A:B,2,)</f>
        <v/>
      </c>
      <c r="H65" s="85">
        <f>Table58[[#This Row],[Personal Consumption]]/Table58[[#This Row],[GDP]]</f>
        <v/>
      </c>
      <c r="I65" s="85">
        <f>Table58[[#This Row],[Private Investment]]/Table58[[#This Row],[GDP]]</f>
        <v/>
      </c>
      <c r="J65" s="85">
        <f>Table58[[#This Row],[Exports]]/Table58[[#This Row],[GDP]]</f>
        <v/>
      </c>
      <c r="K65" s="85">
        <f>-Table58[[#This Row],[Imports]]/Table58[[#This Row],[GDP]]</f>
        <v/>
      </c>
      <c r="L65" s="85">
        <f>Table58[[#This Row],[Government]]/Table58[[#This Row],[GDP]]</f>
        <v/>
      </c>
      <c r="N65" s="52">
        <f>SUM(Table58[[#This Row],[PC%]:[G%]])</f>
        <v/>
      </c>
      <c r="O65" s="55">
        <f>Table58[[#This Row],[Personal Consumption]]+Table58[[#This Row],[Private Investment]]+Table58[[#This Row],[Exports]]+Table58[[#This Row],[Government]]-Table58[[#This Row],[Imports]]</f>
        <v/>
      </c>
    </row>
    <row r="66">
      <c r="A66" s="94" t="n">
        <v>22647</v>
      </c>
      <c r="B66" s="164">
        <f>VLOOKUP(A66,'U.S. GDP'!A:B,2,)</f>
        <v/>
      </c>
      <c r="C66" s="164">
        <f>VLOOKUP(A66,PersonalConsumption!A:B,2,)</f>
        <v/>
      </c>
      <c r="D66" s="164">
        <f>VLOOKUP(A66,PrivateInvestment!A:B,2,)</f>
        <v/>
      </c>
      <c r="E66" s="164">
        <f>VLOOKUP(A66,Exports!A:B,2,)</f>
        <v/>
      </c>
      <c r="F66" s="164">
        <f>VLOOKUP(A66,Imports!A:B,2,)</f>
        <v/>
      </c>
      <c r="G66" s="164">
        <f>VLOOKUP(A66,Government!A:B,2,)</f>
        <v/>
      </c>
      <c r="H66" s="85">
        <f>Table58[[#This Row],[Personal Consumption]]/Table58[[#This Row],[GDP]]</f>
        <v/>
      </c>
      <c r="I66" s="85">
        <f>Table58[[#This Row],[Private Investment]]/Table58[[#This Row],[GDP]]</f>
        <v/>
      </c>
      <c r="J66" s="85">
        <f>Table58[[#This Row],[Exports]]/Table58[[#This Row],[GDP]]</f>
        <v/>
      </c>
      <c r="K66" s="85">
        <f>-Table58[[#This Row],[Imports]]/Table58[[#This Row],[GDP]]</f>
        <v/>
      </c>
      <c r="L66" s="85">
        <f>Table58[[#This Row],[Government]]/Table58[[#This Row],[GDP]]</f>
        <v/>
      </c>
      <c r="N66" s="52">
        <f>SUM(Table58[[#This Row],[PC%]:[G%]])</f>
        <v/>
      </c>
      <c r="O66" s="55">
        <f>Table58[[#This Row],[Personal Consumption]]+Table58[[#This Row],[Private Investment]]+Table58[[#This Row],[Exports]]+Table58[[#This Row],[Government]]-Table58[[#This Row],[Imports]]</f>
        <v/>
      </c>
    </row>
    <row r="67">
      <c r="A67" s="94" t="n">
        <v>22737</v>
      </c>
      <c r="B67" s="164">
        <f>VLOOKUP(A67,'U.S. GDP'!A:B,2,)</f>
        <v/>
      </c>
      <c r="C67" s="164">
        <f>VLOOKUP(A67,PersonalConsumption!A:B,2,)</f>
        <v/>
      </c>
      <c r="D67" s="164">
        <f>VLOOKUP(A67,PrivateInvestment!A:B,2,)</f>
        <v/>
      </c>
      <c r="E67" s="164">
        <f>VLOOKUP(A67,Exports!A:B,2,)</f>
        <v/>
      </c>
      <c r="F67" s="164">
        <f>VLOOKUP(A67,Imports!A:B,2,)</f>
        <v/>
      </c>
      <c r="G67" s="164">
        <f>VLOOKUP(A67,Government!A:B,2,)</f>
        <v/>
      </c>
      <c r="H67" s="85">
        <f>Table58[[#This Row],[Personal Consumption]]/Table58[[#This Row],[GDP]]</f>
        <v/>
      </c>
      <c r="I67" s="85">
        <f>Table58[[#This Row],[Private Investment]]/Table58[[#This Row],[GDP]]</f>
        <v/>
      </c>
      <c r="J67" s="85">
        <f>Table58[[#This Row],[Exports]]/Table58[[#This Row],[GDP]]</f>
        <v/>
      </c>
      <c r="K67" s="85">
        <f>-Table58[[#This Row],[Imports]]/Table58[[#This Row],[GDP]]</f>
        <v/>
      </c>
      <c r="L67" s="85">
        <f>Table58[[#This Row],[Government]]/Table58[[#This Row],[GDP]]</f>
        <v/>
      </c>
      <c r="N67" s="52">
        <f>SUM(Table58[[#This Row],[PC%]:[G%]])</f>
        <v/>
      </c>
      <c r="O67" s="55">
        <f>Table58[[#This Row],[Personal Consumption]]+Table58[[#This Row],[Private Investment]]+Table58[[#This Row],[Exports]]+Table58[[#This Row],[Government]]-Table58[[#This Row],[Imports]]</f>
        <v/>
      </c>
    </row>
    <row r="68">
      <c r="A68" s="94" t="n">
        <v>22828</v>
      </c>
      <c r="B68" s="164">
        <f>VLOOKUP(A68,'U.S. GDP'!A:B,2,)</f>
        <v/>
      </c>
      <c r="C68" s="164">
        <f>VLOOKUP(A68,PersonalConsumption!A:B,2,)</f>
        <v/>
      </c>
      <c r="D68" s="164">
        <f>VLOOKUP(A68,PrivateInvestment!A:B,2,)</f>
        <v/>
      </c>
      <c r="E68" s="164">
        <f>VLOOKUP(A68,Exports!A:B,2,)</f>
        <v/>
      </c>
      <c r="F68" s="164">
        <f>VLOOKUP(A68,Imports!A:B,2,)</f>
        <v/>
      </c>
      <c r="G68" s="164">
        <f>VLOOKUP(A68,Government!A:B,2,)</f>
        <v/>
      </c>
      <c r="H68" s="85">
        <f>Table58[[#This Row],[Personal Consumption]]/Table58[[#This Row],[GDP]]</f>
        <v/>
      </c>
      <c r="I68" s="85">
        <f>Table58[[#This Row],[Private Investment]]/Table58[[#This Row],[GDP]]</f>
        <v/>
      </c>
      <c r="J68" s="85">
        <f>Table58[[#This Row],[Exports]]/Table58[[#This Row],[GDP]]</f>
        <v/>
      </c>
      <c r="K68" s="85">
        <f>-Table58[[#This Row],[Imports]]/Table58[[#This Row],[GDP]]</f>
        <v/>
      </c>
      <c r="L68" s="85">
        <f>Table58[[#This Row],[Government]]/Table58[[#This Row],[GDP]]</f>
        <v/>
      </c>
      <c r="N68" s="52">
        <f>SUM(Table58[[#This Row],[PC%]:[G%]])</f>
        <v/>
      </c>
      <c r="O68" s="55">
        <f>Table58[[#This Row],[Personal Consumption]]+Table58[[#This Row],[Private Investment]]+Table58[[#This Row],[Exports]]+Table58[[#This Row],[Government]]-Table58[[#This Row],[Imports]]</f>
        <v/>
      </c>
    </row>
    <row r="69">
      <c r="A69" s="94" t="n">
        <v>22920</v>
      </c>
      <c r="B69" s="164">
        <f>VLOOKUP(A69,'U.S. GDP'!A:B,2,)</f>
        <v/>
      </c>
      <c r="C69" s="164">
        <f>VLOOKUP(A69,PersonalConsumption!A:B,2,)</f>
        <v/>
      </c>
      <c r="D69" s="164">
        <f>VLOOKUP(A69,PrivateInvestment!A:B,2,)</f>
        <v/>
      </c>
      <c r="E69" s="164">
        <f>VLOOKUP(A69,Exports!A:B,2,)</f>
        <v/>
      </c>
      <c r="F69" s="164">
        <f>VLOOKUP(A69,Imports!A:B,2,)</f>
        <v/>
      </c>
      <c r="G69" s="164">
        <f>VLOOKUP(A69,Government!A:B,2,)</f>
        <v/>
      </c>
      <c r="H69" s="85">
        <f>Table58[[#This Row],[Personal Consumption]]/Table58[[#This Row],[GDP]]</f>
        <v/>
      </c>
      <c r="I69" s="85">
        <f>Table58[[#This Row],[Private Investment]]/Table58[[#This Row],[GDP]]</f>
        <v/>
      </c>
      <c r="J69" s="85">
        <f>Table58[[#This Row],[Exports]]/Table58[[#This Row],[GDP]]</f>
        <v/>
      </c>
      <c r="K69" s="85">
        <f>-Table58[[#This Row],[Imports]]/Table58[[#This Row],[GDP]]</f>
        <v/>
      </c>
      <c r="L69" s="85">
        <f>Table58[[#This Row],[Government]]/Table58[[#This Row],[GDP]]</f>
        <v/>
      </c>
      <c r="N69" s="52">
        <f>SUM(Table58[[#This Row],[PC%]:[G%]])</f>
        <v/>
      </c>
      <c r="O69" s="55">
        <f>Table58[[#This Row],[Personal Consumption]]+Table58[[#This Row],[Private Investment]]+Table58[[#This Row],[Exports]]+Table58[[#This Row],[Government]]-Table58[[#This Row],[Imports]]</f>
        <v/>
      </c>
    </row>
    <row r="70">
      <c r="A70" s="94" t="n">
        <v>23012</v>
      </c>
      <c r="B70" s="164">
        <f>VLOOKUP(A70,'U.S. GDP'!A:B,2,)</f>
        <v/>
      </c>
      <c r="C70" s="164">
        <f>VLOOKUP(A70,PersonalConsumption!A:B,2,)</f>
        <v/>
      </c>
      <c r="D70" s="164">
        <f>VLOOKUP(A70,PrivateInvestment!A:B,2,)</f>
        <v/>
      </c>
      <c r="E70" s="164">
        <f>VLOOKUP(A70,Exports!A:B,2,)</f>
        <v/>
      </c>
      <c r="F70" s="164">
        <f>VLOOKUP(A70,Imports!A:B,2,)</f>
        <v/>
      </c>
      <c r="G70" s="164">
        <f>VLOOKUP(A70,Government!A:B,2,)</f>
        <v/>
      </c>
      <c r="H70" s="85">
        <f>Table58[[#This Row],[Personal Consumption]]/Table58[[#This Row],[GDP]]</f>
        <v/>
      </c>
      <c r="I70" s="85">
        <f>Table58[[#This Row],[Private Investment]]/Table58[[#This Row],[GDP]]</f>
        <v/>
      </c>
      <c r="J70" s="85">
        <f>Table58[[#This Row],[Exports]]/Table58[[#This Row],[GDP]]</f>
        <v/>
      </c>
      <c r="K70" s="85">
        <f>-Table58[[#This Row],[Imports]]/Table58[[#This Row],[GDP]]</f>
        <v/>
      </c>
      <c r="L70" s="85">
        <f>Table58[[#This Row],[Government]]/Table58[[#This Row],[GDP]]</f>
        <v/>
      </c>
      <c r="N70" s="52">
        <f>SUM(Table58[[#This Row],[PC%]:[G%]])</f>
        <v/>
      </c>
      <c r="O70" s="55">
        <f>Table58[[#This Row],[Personal Consumption]]+Table58[[#This Row],[Private Investment]]+Table58[[#This Row],[Exports]]+Table58[[#This Row],[Government]]-Table58[[#This Row],[Imports]]</f>
        <v/>
      </c>
    </row>
    <row r="71">
      <c r="A71" s="94" t="n">
        <v>23102</v>
      </c>
      <c r="B71" s="164">
        <f>VLOOKUP(A71,'U.S. GDP'!A:B,2,)</f>
        <v/>
      </c>
      <c r="C71" s="164">
        <f>VLOOKUP(A71,PersonalConsumption!A:B,2,)</f>
        <v/>
      </c>
      <c r="D71" s="164">
        <f>VLOOKUP(A71,PrivateInvestment!A:B,2,)</f>
        <v/>
      </c>
      <c r="E71" s="164">
        <f>VLOOKUP(A71,Exports!A:B,2,)</f>
        <v/>
      </c>
      <c r="F71" s="164">
        <f>VLOOKUP(A71,Imports!A:B,2,)</f>
        <v/>
      </c>
      <c r="G71" s="164">
        <f>VLOOKUP(A71,Government!A:B,2,)</f>
        <v/>
      </c>
      <c r="H71" s="85">
        <f>Table58[[#This Row],[Personal Consumption]]/Table58[[#This Row],[GDP]]</f>
        <v/>
      </c>
      <c r="I71" s="85">
        <f>Table58[[#This Row],[Private Investment]]/Table58[[#This Row],[GDP]]</f>
        <v/>
      </c>
      <c r="J71" s="85">
        <f>Table58[[#This Row],[Exports]]/Table58[[#This Row],[GDP]]</f>
        <v/>
      </c>
      <c r="K71" s="85">
        <f>-Table58[[#This Row],[Imports]]/Table58[[#This Row],[GDP]]</f>
        <v/>
      </c>
      <c r="L71" s="85">
        <f>Table58[[#This Row],[Government]]/Table58[[#This Row],[GDP]]</f>
        <v/>
      </c>
      <c r="N71" s="52">
        <f>SUM(Table58[[#This Row],[PC%]:[G%]])</f>
        <v/>
      </c>
      <c r="O71" s="55">
        <f>Table58[[#This Row],[Personal Consumption]]+Table58[[#This Row],[Private Investment]]+Table58[[#This Row],[Exports]]+Table58[[#This Row],[Government]]-Table58[[#This Row],[Imports]]</f>
        <v/>
      </c>
    </row>
    <row r="72">
      <c r="A72" s="94" t="n">
        <v>23193</v>
      </c>
      <c r="B72" s="164">
        <f>VLOOKUP(A72,'U.S. GDP'!A:B,2,)</f>
        <v/>
      </c>
      <c r="C72" s="164">
        <f>VLOOKUP(A72,PersonalConsumption!A:B,2,)</f>
        <v/>
      </c>
      <c r="D72" s="164">
        <f>VLOOKUP(A72,PrivateInvestment!A:B,2,)</f>
        <v/>
      </c>
      <c r="E72" s="164">
        <f>VLOOKUP(A72,Exports!A:B,2,)</f>
        <v/>
      </c>
      <c r="F72" s="164">
        <f>VLOOKUP(A72,Imports!A:B,2,)</f>
        <v/>
      </c>
      <c r="G72" s="164">
        <f>VLOOKUP(A72,Government!A:B,2,)</f>
        <v/>
      </c>
      <c r="H72" s="85">
        <f>Table58[[#This Row],[Personal Consumption]]/Table58[[#This Row],[GDP]]</f>
        <v/>
      </c>
      <c r="I72" s="85">
        <f>Table58[[#This Row],[Private Investment]]/Table58[[#This Row],[GDP]]</f>
        <v/>
      </c>
      <c r="J72" s="85">
        <f>Table58[[#This Row],[Exports]]/Table58[[#This Row],[GDP]]</f>
        <v/>
      </c>
      <c r="K72" s="85">
        <f>-Table58[[#This Row],[Imports]]/Table58[[#This Row],[GDP]]</f>
        <v/>
      </c>
      <c r="L72" s="85">
        <f>Table58[[#This Row],[Government]]/Table58[[#This Row],[GDP]]</f>
        <v/>
      </c>
      <c r="N72" s="52">
        <f>SUM(Table58[[#This Row],[PC%]:[G%]])</f>
        <v/>
      </c>
      <c r="O72" s="55">
        <f>Table58[[#This Row],[Personal Consumption]]+Table58[[#This Row],[Private Investment]]+Table58[[#This Row],[Exports]]+Table58[[#This Row],[Government]]-Table58[[#This Row],[Imports]]</f>
        <v/>
      </c>
    </row>
    <row r="73">
      <c r="A73" s="94" t="n">
        <v>23285</v>
      </c>
      <c r="B73" s="164">
        <f>VLOOKUP(A73,'U.S. GDP'!A:B,2,)</f>
        <v/>
      </c>
      <c r="C73" s="164">
        <f>VLOOKUP(A73,PersonalConsumption!A:B,2,)</f>
        <v/>
      </c>
      <c r="D73" s="164">
        <f>VLOOKUP(A73,PrivateInvestment!A:B,2,)</f>
        <v/>
      </c>
      <c r="E73" s="164">
        <f>VLOOKUP(A73,Exports!A:B,2,)</f>
        <v/>
      </c>
      <c r="F73" s="164">
        <f>VLOOKUP(A73,Imports!A:B,2,)</f>
        <v/>
      </c>
      <c r="G73" s="164">
        <f>VLOOKUP(A73,Government!A:B,2,)</f>
        <v/>
      </c>
      <c r="H73" s="85">
        <f>Table58[[#This Row],[Personal Consumption]]/Table58[[#This Row],[GDP]]</f>
        <v/>
      </c>
      <c r="I73" s="85">
        <f>Table58[[#This Row],[Private Investment]]/Table58[[#This Row],[GDP]]</f>
        <v/>
      </c>
      <c r="J73" s="85">
        <f>Table58[[#This Row],[Exports]]/Table58[[#This Row],[GDP]]</f>
        <v/>
      </c>
      <c r="K73" s="85">
        <f>-Table58[[#This Row],[Imports]]/Table58[[#This Row],[GDP]]</f>
        <v/>
      </c>
      <c r="L73" s="85">
        <f>Table58[[#This Row],[Government]]/Table58[[#This Row],[GDP]]</f>
        <v/>
      </c>
      <c r="N73" s="52">
        <f>SUM(Table58[[#This Row],[PC%]:[G%]])</f>
        <v/>
      </c>
      <c r="O73" s="55">
        <f>Table58[[#This Row],[Personal Consumption]]+Table58[[#This Row],[Private Investment]]+Table58[[#This Row],[Exports]]+Table58[[#This Row],[Government]]-Table58[[#This Row],[Imports]]</f>
        <v/>
      </c>
    </row>
    <row r="74">
      <c r="A74" s="94" t="n">
        <v>23377</v>
      </c>
      <c r="B74" s="164">
        <f>VLOOKUP(A74,'U.S. GDP'!A:B,2,)</f>
        <v/>
      </c>
      <c r="C74" s="164">
        <f>VLOOKUP(A74,PersonalConsumption!A:B,2,)</f>
        <v/>
      </c>
      <c r="D74" s="164">
        <f>VLOOKUP(A74,PrivateInvestment!A:B,2,)</f>
        <v/>
      </c>
      <c r="E74" s="164">
        <f>VLOOKUP(A74,Exports!A:B,2,)</f>
        <v/>
      </c>
      <c r="F74" s="164">
        <f>VLOOKUP(A74,Imports!A:B,2,)</f>
        <v/>
      </c>
      <c r="G74" s="164">
        <f>VLOOKUP(A74,Government!A:B,2,)</f>
        <v/>
      </c>
      <c r="H74" s="85">
        <f>Table58[[#This Row],[Personal Consumption]]/Table58[[#This Row],[GDP]]</f>
        <v/>
      </c>
      <c r="I74" s="85">
        <f>Table58[[#This Row],[Private Investment]]/Table58[[#This Row],[GDP]]</f>
        <v/>
      </c>
      <c r="J74" s="85">
        <f>Table58[[#This Row],[Exports]]/Table58[[#This Row],[GDP]]</f>
        <v/>
      </c>
      <c r="K74" s="85">
        <f>-Table58[[#This Row],[Imports]]/Table58[[#This Row],[GDP]]</f>
        <v/>
      </c>
      <c r="L74" s="85">
        <f>Table58[[#This Row],[Government]]/Table58[[#This Row],[GDP]]</f>
        <v/>
      </c>
      <c r="N74" s="52">
        <f>SUM(Table58[[#This Row],[PC%]:[G%]])</f>
        <v/>
      </c>
      <c r="O74" s="55">
        <f>Table58[[#This Row],[Personal Consumption]]+Table58[[#This Row],[Private Investment]]+Table58[[#This Row],[Exports]]+Table58[[#This Row],[Government]]-Table58[[#This Row],[Imports]]</f>
        <v/>
      </c>
    </row>
    <row r="75">
      <c r="A75" s="94" t="n">
        <v>23468</v>
      </c>
      <c r="B75" s="164">
        <f>VLOOKUP(A75,'U.S. GDP'!A:B,2,)</f>
        <v/>
      </c>
      <c r="C75" s="164">
        <f>VLOOKUP(A75,PersonalConsumption!A:B,2,)</f>
        <v/>
      </c>
      <c r="D75" s="164">
        <f>VLOOKUP(A75,PrivateInvestment!A:B,2,)</f>
        <v/>
      </c>
      <c r="E75" s="164">
        <f>VLOOKUP(A75,Exports!A:B,2,)</f>
        <v/>
      </c>
      <c r="F75" s="164">
        <f>VLOOKUP(A75,Imports!A:B,2,)</f>
        <v/>
      </c>
      <c r="G75" s="164">
        <f>VLOOKUP(A75,Government!A:B,2,)</f>
        <v/>
      </c>
      <c r="H75" s="85">
        <f>Table58[[#This Row],[Personal Consumption]]/Table58[[#This Row],[GDP]]</f>
        <v/>
      </c>
      <c r="I75" s="85">
        <f>Table58[[#This Row],[Private Investment]]/Table58[[#This Row],[GDP]]</f>
        <v/>
      </c>
      <c r="J75" s="85">
        <f>Table58[[#This Row],[Exports]]/Table58[[#This Row],[GDP]]</f>
        <v/>
      </c>
      <c r="K75" s="85">
        <f>-Table58[[#This Row],[Imports]]/Table58[[#This Row],[GDP]]</f>
        <v/>
      </c>
      <c r="L75" s="85">
        <f>Table58[[#This Row],[Government]]/Table58[[#This Row],[GDP]]</f>
        <v/>
      </c>
      <c r="N75" s="52">
        <f>SUM(Table58[[#This Row],[PC%]:[G%]])</f>
        <v/>
      </c>
      <c r="O75" s="55">
        <f>Table58[[#This Row],[Personal Consumption]]+Table58[[#This Row],[Private Investment]]+Table58[[#This Row],[Exports]]+Table58[[#This Row],[Government]]-Table58[[#This Row],[Imports]]</f>
        <v/>
      </c>
    </row>
    <row r="76">
      <c r="A76" s="94" t="n">
        <v>23559</v>
      </c>
      <c r="B76" s="164">
        <f>VLOOKUP(A76,'U.S. GDP'!A:B,2,)</f>
        <v/>
      </c>
      <c r="C76" s="164">
        <f>VLOOKUP(A76,PersonalConsumption!A:B,2,)</f>
        <v/>
      </c>
      <c r="D76" s="164">
        <f>VLOOKUP(A76,PrivateInvestment!A:B,2,)</f>
        <v/>
      </c>
      <c r="E76" s="164">
        <f>VLOOKUP(A76,Exports!A:B,2,)</f>
        <v/>
      </c>
      <c r="F76" s="164">
        <f>VLOOKUP(A76,Imports!A:B,2,)</f>
        <v/>
      </c>
      <c r="G76" s="164">
        <f>VLOOKUP(A76,Government!A:B,2,)</f>
        <v/>
      </c>
      <c r="H76" s="85">
        <f>Table58[[#This Row],[Personal Consumption]]/Table58[[#This Row],[GDP]]</f>
        <v/>
      </c>
      <c r="I76" s="85">
        <f>Table58[[#This Row],[Private Investment]]/Table58[[#This Row],[GDP]]</f>
        <v/>
      </c>
      <c r="J76" s="85">
        <f>Table58[[#This Row],[Exports]]/Table58[[#This Row],[GDP]]</f>
        <v/>
      </c>
      <c r="K76" s="85">
        <f>-Table58[[#This Row],[Imports]]/Table58[[#This Row],[GDP]]</f>
        <v/>
      </c>
      <c r="L76" s="85">
        <f>Table58[[#This Row],[Government]]/Table58[[#This Row],[GDP]]</f>
        <v/>
      </c>
      <c r="N76" s="52">
        <f>SUM(Table58[[#This Row],[PC%]:[G%]])</f>
        <v/>
      </c>
      <c r="O76" s="55">
        <f>Table58[[#This Row],[Personal Consumption]]+Table58[[#This Row],[Private Investment]]+Table58[[#This Row],[Exports]]+Table58[[#This Row],[Government]]-Table58[[#This Row],[Imports]]</f>
        <v/>
      </c>
    </row>
    <row r="77">
      <c r="A77" s="94" t="n">
        <v>23651</v>
      </c>
      <c r="B77" s="164">
        <f>VLOOKUP(A77,'U.S. GDP'!A:B,2,)</f>
        <v/>
      </c>
      <c r="C77" s="164">
        <f>VLOOKUP(A77,PersonalConsumption!A:B,2,)</f>
        <v/>
      </c>
      <c r="D77" s="164">
        <f>VLOOKUP(A77,PrivateInvestment!A:B,2,)</f>
        <v/>
      </c>
      <c r="E77" s="164">
        <f>VLOOKUP(A77,Exports!A:B,2,)</f>
        <v/>
      </c>
      <c r="F77" s="164">
        <f>VLOOKUP(A77,Imports!A:B,2,)</f>
        <v/>
      </c>
      <c r="G77" s="164">
        <f>VLOOKUP(A77,Government!A:B,2,)</f>
        <v/>
      </c>
      <c r="H77" s="85">
        <f>Table58[[#This Row],[Personal Consumption]]/Table58[[#This Row],[GDP]]</f>
        <v/>
      </c>
      <c r="I77" s="85">
        <f>Table58[[#This Row],[Private Investment]]/Table58[[#This Row],[GDP]]</f>
        <v/>
      </c>
      <c r="J77" s="85">
        <f>Table58[[#This Row],[Exports]]/Table58[[#This Row],[GDP]]</f>
        <v/>
      </c>
      <c r="K77" s="85">
        <f>-Table58[[#This Row],[Imports]]/Table58[[#This Row],[GDP]]</f>
        <v/>
      </c>
      <c r="L77" s="85">
        <f>Table58[[#This Row],[Government]]/Table58[[#This Row],[GDP]]</f>
        <v/>
      </c>
      <c r="N77" s="52">
        <f>SUM(Table58[[#This Row],[PC%]:[G%]])</f>
        <v/>
      </c>
      <c r="O77" s="55">
        <f>Table58[[#This Row],[Personal Consumption]]+Table58[[#This Row],[Private Investment]]+Table58[[#This Row],[Exports]]+Table58[[#This Row],[Government]]-Table58[[#This Row],[Imports]]</f>
        <v/>
      </c>
    </row>
    <row r="78">
      <c r="A78" s="94" t="n">
        <v>23743</v>
      </c>
      <c r="B78" s="164">
        <f>VLOOKUP(A78,'U.S. GDP'!A:B,2,)</f>
        <v/>
      </c>
      <c r="C78" s="164">
        <f>VLOOKUP(A78,PersonalConsumption!A:B,2,)</f>
        <v/>
      </c>
      <c r="D78" s="164">
        <f>VLOOKUP(A78,PrivateInvestment!A:B,2,)</f>
        <v/>
      </c>
      <c r="E78" s="164">
        <f>VLOOKUP(A78,Exports!A:B,2,)</f>
        <v/>
      </c>
      <c r="F78" s="164">
        <f>VLOOKUP(A78,Imports!A:B,2,)</f>
        <v/>
      </c>
      <c r="G78" s="164">
        <f>VLOOKUP(A78,Government!A:B,2,)</f>
        <v/>
      </c>
      <c r="H78" s="85">
        <f>Table58[[#This Row],[Personal Consumption]]/Table58[[#This Row],[GDP]]</f>
        <v/>
      </c>
      <c r="I78" s="85">
        <f>Table58[[#This Row],[Private Investment]]/Table58[[#This Row],[GDP]]</f>
        <v/>
      </c>
      <c r="J78" s="85">
        <f>Table58[[#This Row],[Exports]]/Table58[[#This Row],[GDP]]</f>
        <v/>
      </c>
      <c r="K78" s="85">
        <f>-Table58[[#This Row],[Imports]]/Table58[[#This Row],[GDP]]</f>
        <v/>
      </c>
      <c r="L78" s="85">
        <f>Table58[[#This Row],[Government]]/Table58[[#This Row],[GDP]]</f>
        <v/>
      </c>
      <c r="N78" s="52">
        <f>SUM(Table58[[#This Row],[PC%]:[G%]])</f>
        <v/>
      </c>
      <c r="O78" s="55">
        <f>Table58[[#This Row],[Personal Consumption]]+Table58[[#This Row],[Private Investment]]+Table58[[#This Row],[Exports]]+Table58[[#This Row],[Government]]-Table58[[#This Row],[Imports]]</f>
        <v/>
      </c>
    </row>
    <row r="79">
      <c r="A79" s="94" t="n">
        <v>23833</v>
      </c>
      <c r="B79" s="164">
        <f>VLOOKUP(A79,'U.S. GDP'!A:B,2,)</f>
        <v/>
      </c>
      <c r="C79" s="164">
        <f>VLOOKUP(A79,PersonalConsumption!A:B,2,)</f>
        <v/>
      </c>
      <c r="D79" s="164">
        <f>VLOOKUP(A79,PrivateInvestment!A:B,2,)</f>
        <v/>
      </c>
      <c r="E79" s="164">
        <f>VLOOKUP(A79,Exports!A:B,2,)</f>
        <v/>
      </c>
      <c r="F79" s="164">
        <f>VLOOKUP(A79,Imports!A:B,2,)</f>
        <v/>
      </c>
      <c r="G79" s="164">
        <f>VLOOKUP(A79,Government!A:B,2,)</f>
        <v/>
      </c>
      <c r="H79" s="85">
        <f>Table58[[#This Row],[Personal Consumption]]/Table58[[#This Row],[GDP]]</f>
        <v/>
      </c>
      <c r="I79" s="85">
        <f>Table58[[#This Row],[Private Investment]]/Table58[[#This Row],[GDP]]</f>
        <v/>
      </c>
      <c r="J79" s="85">
        <f>Table58[[#This Row],[Exports]]/Table58[[#This Row],[GDP]]</f>
        <v/>
      </c>
      <c r="K79" s="85">
        <f>-Table58[[#This Row],[Imports]]/Table58[[#This Row],[GDP]]</f>
        <v/>
      </c>
      <c r="L79" s="85">
        <f>Table58[[#This Row],[Government]]/Table58[[#This Row],[GDP]]</f>
        <v/>
      </c>
      <c r="N79" s="52">
        <f>SUM(Table58[[#This Row],[PC%]:[G%]])</f>
        <v/>
      </c>
      <c r="O79" s="55">
        <f>Table58[[#This Row],[Personal Consumption]]+Table58[[#This Row],[Private Investment]]+Table58[[#This Row],[Exports]]+Table58[[#This Row],[Government]]-Table58[[#This Row],[Imports]]</f>
        <v/>
      </c>
    </row>
    <row r="80">
      <c r="A80" s="94" t="n">
        <v>23924</v>
      </c>
      <c r="B80" s="164">
        <f>VLOOKUP(A80,'U.S. GDP'!A:B,2,)</f>
        <v/>
      </c>
      <c r="C80" s="164">
        <f>VLOOKUP(A80,PersonalConsumption!A:B,2,)</f>
        <v/>
      </c>
      <c r="D80" s="164">
        <f>VLOOKUP(A80,PrivateInvestment!A:B,2,)</f>
        <v/>
      </c>
      <c r="E80" s="164">
        <f>VLOOKUP(A80,Exports!A:B,2,)</f>
        <v/>
      </c>
      <c r="F80" s="164">
        <f>VLOOKUP(A80,Imports!A:B,2,)</f>
        <v/>
      </c>
      <c r="G80" s="164">
        <f>VLOOKUP(A80,Government!A:B,2,)</f>
        <v/>
      </c>
      <c r="H80" s="85">
        <f>Table58[[#This Row],[Personal Consumption]]/Table58[[#This Row],[GDP]]</f>
        <v/>
      </c>
      <c r="I80" s="85">
        <f>Table58[[#This Row],[Private Investment]]/Table58[[#This Row],[GDP]]</f>
        <v/>
      </c>
      <c r="J80" s="85">
        <f>Table58[[#This Row],[Exports]]/Table58[[#This Row],[GDP]]</f>
        <v/>
      </c>
      <c r="K80" s="85">
        <f>-Table58[[#This Row],[Imports]]/Table58[[#This Row],[GDP]]</f>
        <v/>
      </c>
      <c r="L80" s="85">
        <f>Table58[[#This Row],[Government]]/Table58[[#This Row],[GDP]]</f>
        <v/>
      </c>
      <c r="N80" s="52">
        <f>SUM(Table58[[#This Row],[PC%]:[G%]])</f>
        <v/>
      </c>
      <c r="O80" s="55">
        <f>Table58[[#This Row],[Personal Consumption]]+Table58[[#This Row],[Private Investment]]+Table58[[#This Row],[Exports]]+Table58[[#This Row],[Government]]-Table58[[#This Row],[Imports]]</f>
        <v/>
      </c>
    </row>
    <row r="81">
      <c r="A81" s="94" t="n">
        <v>24016</v>
      </c>
      <c r="B81" s="164">
        <f>VLOOKUP(A81,'U.S. GDP'!A:B,2,)</f>
        <v/>
      </c>
      <c r="C81" s="164">
        <f>VLOOKUP(A81,PersonalConsumption!A:B,2,)</f>
        <v/>
      </c>
      <c r="D81" s="164">
        <f>VLOOKUP(A81,PrivateInvestment!A:B,2,)</f>
        <v/>
      </c>
      <c r="E81" s="164">
        <f>VLOOKUP(A81,Exports!A:B,2,)</f>
        <v/>
      </c>
      <c r="F81" s="164">
        <f>VLOOKUP(A81,Imports!A:B,2,)</f>
        <v/>
      </c>
      <c r="G81" s="164">
        <f>VLOOKUP(A81,Government!A:B,2,)</f>
        <v/>
      </c>
      <c r="H81" s="85">
        <f>Table58[[#This Row],[Personal Consumption]]/Table58[[#This Row],[GDP]]</f>
        <v/>
      </c>
      <c r="I81" s="85">
        <f>Table58[[#This Row],[Private Investment]]/Table58[[#This Row],[GDP]]</f>
        <v/>
      </c>
      <c r="J81" s="85">
        <f>Table58[[#This Row],[Exports]]/Table58[[#This Row],[GDP]]</f>
        <v/>
      </c>
      <c r="K81" s="85">
        <f>-Table58[[#This Row],[Imports]]/Table58[[#This Row],[GDP]]</f>
        <v/>
      </c>
      <c r="L81" s="85">
        <f>Table58[[#This Row],[Government]]/Table58[[#This Row],[GDP]]</f>
        <v/>
      </c>
      <c r="N81" s="52">
        <f>SUM(Table58[[#This Row],[PC%]:[G%]])</f>
        <v/>
      </c>
      <c r="O81" s="55">
        <f>Table58[[#This Row],[Personal Consumption]]+Table58[[#This Row],[Private Investment]]+Table58[[#This Row],[Exports]]+Table58[[#This Row],[Government]]-Table58[[#This Row],[Imports]]</f>
        <v/>
      </c>
    </row>
    <row r="82">
      <c r="A82" s="94" t="n">
        <v>24108</v>
      </c>
      <c r="B82" s="164">
        <f>VLOOKUP(A82,'U.S. GDP'!A:B,2,)</f>
        <v/>
      </c>
      <c r="C82" s="164">
        <f>VLOOKUP(A82,PersonalConsumption!A:B,2,)</f>
        <v/>
      </c>
      <c r="D82" s="164">
        <f>VLOOKUP(A82,PrivateInvestment!A:B,2,)</f>
        <v/>
      </c>
      <c r="E82" s="164">
        <f>VLOOKUP(A82,Exports!A:B,2,)</f>
        <v/>
      </c>
      <c r="F82" s="164">
        <f>VLOOKUP(A82,Imports!A:B,2,)</f>
        <v/>
      </c>
      <c r="G82" s="164">
        <f>VLOOKUP(A82,Government!A:B,2,)</f>
        <v/>
      </c>
      <c r="H82" s="85">
        <f>Table58[[#This Row],[Personal Consumption]]/Table58[[#This Row],[GDP]]</f>
        <v/>
      </c>
      <c r="I82" s="85">
        <f>Table58[[#This Row],[Private Investment]]/Table58[[#This Row],[GDP]]</f>
        <v/>
      </c>
      <c r="J82" s="85">
        <f>Table58[[#This Row],[Exports]]/Table58[[#This Row],[GDP]]</f>
        <v/>
      </c>
      <c r="K82" s="85">
        <f>-Table58[[#This Row],[Imports]]/Table58[[#This Row],[GDP]]</f>
        <v/>
      </c>
      <c r="L82" s="85">
        <f>Table58[[#This Row],[Government]]/Table58[[#This Row],[GDP]]</f>
        <v/>
      </c>
      <c r="N82" s="52">
        <f>SUM(Table58[[#This Row],[PC%]:[G%]])</f>
        <v/>
      </c>
      <c r="O82" s="55">
        <f>Table58[[#This Row],[Personal Consumption]]+Table58[[#This Row],[Private Investment]]+Table58[[#This Row],[Exports]]+Table58[[#This Row],[Government]]-Table58[[#This Row],[Imports]]</f>
        <v/>
      </c>
    </row>
    <row r="83">
      <c r="A83" s="94" t="n">
        <v>24198</v>
      </c>
      <c r="B83" s="164">
        <f>VLOOKUP(A83,'U.S. GDP'!A:B,2,)</f>
        <v/>
      </c>
      <c r="C83" s="164">
        <f>VLOOKUP(A83,PersonalConsumption!A:B,2,)</f>
        <v/>
      </c>
      <c r="D83" s="164">
        <f>VLOOKUP(A83,PrivateInvestment!A:B,2,)</f>
        <v/>
      </c>
      <c r="E83" s="164">
        <f>VLOOKUP(A83,Exports!A:B,2,)</f>
        <v/>
      </c>
      <c r="F83" s="164">
        <f>VLOOKUP(A83,Imports!A:B,2,)</f>
        <v/>
      </c>
      <c r="G83" s="164">
        <f>VLOOKUP(A83,Government!A:B,2,)</f>
        <v/>
      </c>
      <c r="H83" s="85">
        <f>Table58[[#This Row],[Personal Consumption]]/Table58[[#This Row],[GDP]]</f>
        <v/>
      </c>
      <c r="I83" s="85">
        <f>Table58[[#This Row],[Private Investment]]/Table58[[#This Row],[GDP]]</f>
        <v/>
      </c>
      <c r="J83" s="85">
        <f>Table58[[#This Row],[Exports]]/Table58[[#This Row],[GDP]]</f>
        <v/>
      </c>
      <c r="K83" s="85">
        <f>-Table58[[#This Row],[Imports]]/Table58[[#This Row],[GDP]]</f>
        <v/>
      </c>
      <c r="L83" s="85">
        <f>Table58[[#This Row],[Government]]/Table58[[#This Row],[GDP]]</f>
        <v/>
      </c>
      <c r="N83" s="52">
        <f>SUM(Table58[[#This Row],[PC%]:[G%]])</f>
        <v/>
      </c>
      <c r="O83" s="55">
        <f>Table58[[#This Row],[Personal Consumption]]+Table58[[#This Row],[Private Investment]]+Table58[[#This Row],[Exports]]+Table58[[#This Row],[Government]]-Table58[[#This Row],[Imports]]</f>
        <v/>
      </c>
    </row>
    <row r="84">
      <c r="A84" s="94" t="n">
        <v>24289</v>
      </c>
      <c r="B84" s="164">
        <f>VLOOKUP(A84,'U.S. GDP'!A:B,2,)</f>
        <v/>
      </c>
      <c r="C84" s="164">
        <f>VLOOKUP(A84,PersonalConsumption!A:B,2,)</f>
        <v/>
      </c>
      <c r="D84" s="164">
        <f>VLOOKUP(A84,PrivateInvestment!A:B,2,)</f>
        <v/>
      </c>
      <c r="E84" s="164">
        <f>VLOOKUP(A84,Exports!A:B,2,)</f>
        <v/>
      </c>
      <c r="F84" s="164">
        <f>VLOOKUP(A84,Imports!A:B,2,)</f>
        <v/>
      </c>
      <c r="G84" s="164">
        <f>VLOOKUP(A84,Government!A:B,2,)</f>
        <v/>
      </c>
      <c r="H84" s="85">
        <f>Table58[[#This Row],[Personal Consumption]]/Table58[[#This Row],[GDP]]</f>
        <v/>
      </c>
      <c r="I84" s="85">
        <f>Table58[[#This Row],[Private Investment]]/Table58[[#This Row],[GDP]]</f>
        <v/>
      </c>
      <c r="J84" s="85">
        <f>Table58[[#This Row],[Exports]]/Table58[[#This Row],[GDP]]</f>
        <v/>
      </c>
      <c r="K84" s="85">
        <f>-Table58[[#This Row],[Imports]]/Table58[[#This Row],[GDP]]</f>
        <v/>
      </c>
      <c r="L84" s="85">
        <f>Table58[[#This Row],[Government]]/Table58[[#This Row],[GDP]]</f>
        <v/>
      </c>
      <c r="N84" s="52">
        <f>SUM(Table58[[#This Row],[PC%]:[G%]])</f>
        <v/>
      </c>
      <c r="O84" s="55">
        <f>Table58[[#This Row],[Personal Consumption]]+Table58[[#This Row],[Private Investment]]+Table58[[#This Row],[Exports]]+Table58[[#This Row],[Government]]-Table58[[#This Row],[Imports]]</f>
        <v/>
      </c>
    </row>
    <row r="85">
      <c r="A85" s="94" t="n">
        <v>24381</v>
      </c>
      <c r="B85" s="164">
        <f>VLOOKUP(A85,'U.S. GDP'!A:B,2,)</f>
        <v/>
      </c>
      <c r="C85" s="164">
        <f>VLOOKUP(A85,PersonalConsumption!A:B,2,)</f>
        <v/>
      </c>
      <c r="D85" s="164">
        <f>VLOOKUP(A85,PrivateInvestment!A:B,2,)</f>
        <v/>
      </c>
      <c r="E85" s="164">
        <f>VLOOKUP(A85,Exports!A:B,2,)</f>
        <v/>
      </c>
      <c r="F85" s="164">
        <f>VLOOKUP(A85,Imports!A:B,2,)</f>
        <v/>
      </c>
      <c r="G85" s="164">
        <f>VLOOKUP(A85,Government!A:B,2,)</f>
        <v/>
      </c>
      <c r="H85" s="85">
        <f>Table58[[#This Row],[Personal Consumption]]/Table58[[#This Row],[GDP]]</f>
        <v/>
      </c>
      <c r="I85" s="85">
        <f>Table58[[#This Row],[Private Investment]]/Table58[[#This Row],[GDP]]</f>
        <v/>
      </c>
      <c r="J85" s="85">
        <f>Table58[[#This Row],[Exports]]/Table58[[#This Row],[GDP]]</f>
        <v/>
      </c>
      <c r="K85" s="85">
        <f>-Table58[[#This Row],[Imports]]/Table58[[#This Row],[GDP]]</f>
        <v/>
      </c>
      <c r="L85" s="85">
        <f>Table58[[#This Row],[Government]]/Table58[[#This Row],[GDP]]</f>
        <v/>
      </c>
      <c r="N85" s="52">
        <f>SUM(Table58[[#This Row],[PC%]:[G%]])</f>
        <v/>
      </c>
      <c r="O85" s="55">
        <f>Table58[[#This Row],[Personal Consumption]]+Table58[[#This Row],[Private Investment]]+Table58[[#This Row],[Exports]]+Table58[[#This Row],[Government]]-Table58[[#This Row],[Imports]]</f>
        <v/>
      </c>
    </row>
    <row r="86">
      <c r="A86" s="94" t="n">
        <v>24473</v>
      </c>
      <c r="B86" s="164">
        <f>VLOOKUP(A86,'U.S. GDP'!A:B,2,)</f>
        <v/>
      </c>
      <c r="C86" s="164">
        <f>VLOOKUP(A86,PersonalConsumption!A:B,2,)</f>
        <v/>
      </c>
      <c r="D86" s="164">
        <f>VLOOKUP(A86,PrivateInvestment!A:B,2,)</f>
        <v/>
      </c>
      <c r="E86" s="164">
        <f>VLOOKUP(A86,Exports!A:B,2,)</f>
        <v/>
      </c>
      <c r="F86" s="164">
        <f>VLOOKUP(A86,Imports!A:B,2,)</f>
        <v/>
      </c>
      <c r="G86" s="164">
        <f>VLOOKUP(A86,Government!A:B,2,)</f>
        <v/>
      </c>
      <c r="H86" s="85">
        <f>Table58[[#This Row],[Personal Consumption]]/Table58[[#This Row],[GDP]]</f>
        <v/>
      </c>
      <c r="I86" s="85">
        <f>Table58[[#This Row],[Private Investment]]/Table58[[#This Row],[GDP]]</f>
        <v/>
      </c>
      <c r="J86" s="85">
        <f>Table58[[#This Row],[Exports]]/Table58[[#This Row],[GDP]]</f>
        <v/>
      </c>
      <c r="K86" s="85">
        <f>-Table58[[#This Row],[Imports]]/Table58[[#This Row],[GDP]]</f>
        <v/>
      </c>
      <c r="L86" s="85">
        <f>Table58[[#This Row],[Government]]/Table58[[#This Row],[GDP]]</f>
        <v/>
      </c>
      <c r="N86" s="52">
        <f>SUM(Table58[[#This Row],[PC%]:[G%]])</f>
        <v/>
      </c>
      <c r="O86" s="55">
        <f>Table58[[#This Row],[Personal Consumption]]+Table58[[#This Row],[Private Investment]]+Table58[[#This Row],[Exports]]+Table58[[#This Row],[Government]]-Table58[[#This Row],[Imports]]</f>
        <v/>
      </c>
    </row>
    <row r="87">
      <c r="A87" s="94" t="n">
        <v>24563</v>
      </c>
      <c r="B87" s="164">
        <f>VLOOKUP(A87,'U.S. GDP'!A:B,2,)</f>
        <v/>
      </c>
      <c r="C87" s="164">
        <f>VLOOKUP(A87,PersonalConsumption!A:B,2,)</f>
        <v/>
      </c>
      <c r="D87" s="164">
        <f>VLOOKUP(A87,PrivateInvestment!A:B,2,)</f>
        <v/>
      </c>
      <c r="E87" s="164">
        <f>VLOOKUP(A87,Exports!A:B,2,)</f>
        <v/>
      </c>
      <c r="F87" s="164">
        <f>VLOOKUP(A87,Imports!A:B,2,)</f>
        <v/>
      </c>
      <c r="G87" s="164">
        <f>VLOOKUP(A87,Government!A:B,2,)</f>
        <v/>
      </c>
      <c r="H87" s="85">
        <f>Table58[[#This Row],[Personal Consumption]]/Table58[[#This Row],[GDP]]</f>
        <v/>
      </c>
      <c r="I87" s="85">
        <f>Table58[[#This Row],[Private Investment]]/Table58[[#This Row],[GDP]]</f>
        <v/>
      </c>
      <c r="J87" s="85">
        <f>Table58[[#This Row],[Exports]]/Table58[[#This Row],[GDP]]</f>
        <v/>
      </c>
      <c r="K87" s="85">
        <f>-Table58[[#This Row],[Imports]]/Table58[[#This Row],[GDP]]</f>
        <v/>
      </c>
      <c r="L87" s="85">
        <f>Table58[[#This Row],[Government]]/Table58[[#This Row],[GDP]]</f>
        <v/>
      </c>
      <c r="N87" s="52">
        <f>SUM(Table58[[#This Row],[PC%]:[G%]])</f>
        <v/>
      </c>
      <c r="O87" s="55">
        <f>Table58[[#This Row],[Personal Consumption]]+Table58[[#This Row],[Private Investment]]+Table58[[#This Row],[Exports]]+Table58[[#This Row],[Government]]-Table58[[#This Row],[Imports]]</f>
        <v/>
      </c>
    </row>
    <row r="88">
      <c r="A88" s="94" t="n">
        <v>24654</v>
      </c>
      <c r="B88" s="164">
        <f>VLOOKUP(A88,'U.S. GDP'!A:B,2,)</f>
        <v/>
      </c>
      <c r="C88" s="164">
        <f>VLOOKUP(A88,PersonalConsumption!A:B,2,)</f>
        <v/>
      </c>
      <c r="D88" s="164">
        <f>VLOOKUP(A88,PrivateInvestment!A:B,2,)</f>
        <v/>
      </c>
      <c r="E88" s="164">
        <f>VLOOKUP(A88,Exports!A:B,2,)</f>
        <v/>
      </c>
      <c r="F88" s="164">
        <f>VLOOKUP(A88,Imports!A:B,2,)</f>
        <v/>
      </c>
      <c r="G88" s="164">
        <f>VLOOKUP(A88,Government!A:B,2,)</f>
        <v/>
      </c>
      <c r="H88" s="85">
        <f>Table58[[#This Row],[Personal Consumption]]/Table58[[#This Row],[GDP]]</f>
        <v/>
      </c>
      <c r="I88" s="85">
        <f>Table58[[#This Row],[Private Investment]]/Table58[[#This Row],[GDP]]</f>
        <v/>
      </c>
      <c r="J88" s="85">
        <f>Table58[[#This Row],[Exports]]/Table58[[#This Row],[GDP]]</f>
        <v/>
      </c>
      <c r="K88" s="85">
        <f>-Table58[[#This Row],[Imports]]/Table58[[#This Row],[GDP]]</f>
        <v/>
      </c>
      <c r="L88" s="85">
        <f>Table58[[#This Row],[Government]]/Table58[[#This Row],[GDP]]</f>
        <v/>
      </c>
      <c r="N88" s="52">
        <f>SUM(Table58[[#This Row],[PC%]:[G%]])</f>
        <v/>
      </c>
      <c r="O88" s="55">
        <f>Table58[[#This Row],[Personal Consumption]]+Table58[[#This Row],[Private Investment]]+Table58[[#This Row],[Exports]]+Table58[[#This Row],[Government]]-Table58[[#This Row],[Imports]]</f>
        <v/>
      </c>
    </row>
    <row r="89">
      <c r="A89" s="94" t="n">
        <v>24746</v>
      </c>
      <c r="B89" s="164">
        <f>VLOOKUP(A89,'U.S. GDP'!A:B,2,)</f>
        <v/>
      </c>
      <c r="C89" s="164">
        <f>VLOOKUP(A89,PersonalConsumption!A:B,2,)</f>
        <v/>
      </c>
      <c r="D89" s="164">
        <f>VLOOKUP(A89,PrivateInvestment!A:B,2,)</f>
        <v/>
      </c>
      <c r="E89" s="164">
        <f>VLOOKUP(A89,Exports!A:B,2,)</f>
        <v/>
      </c>
      <c r="F89" s="164">
        <f>VLOOKUP(A89,Imports!A:B,2,)</f>
        <v/>
      </c>
      <c r="G89" s="164">
        <f>VLOOKUP(A89,Government!A:B,2,)</f>
        <v/>
      </c>
      <c r="H89" s="85">
        <f>Table58[[#This Row],[Personal Consumption]]/Table58[[#This Row],[GDP]]</f>
        <v/>
      </c>
      <c r="I89" s="85">
        <f>Table58[[#This Row],[Private Investment]]/Table58[[#This Row],[GDP]]</f>
        <v/>
      </c>
      <c r="J89" s="85">
        <f>Table58[[#This Row],[Exports]]/Table58[[#This Row],[GDP]]</f>
        <v/>
      </c>
      <c r="K89" s="85">
        <f>-Table58[[#This Row],[Imports]]/Table58[[#This Row],[GDP]]</f>
        <v/>
      </c>
      <c r="L89" s="85">
        <f>Table58[[#This Row],[Government]]/Table58[[#This Row],[GDP]]</f>
        <v/>
      </c>
      <c r="N89" s="52">
        <f>SUM(Table58[[#This Row],[PC%]:[G%]])</f>
        <v/>
      </c>
      <c r="O89" s="55">
        <f>Table58[[#This Row],[Personal Consumption]]+Table58[[#This Row],[Private Investment]]+Table58[[#This Row],[Exports]]+Table58[[#This Row],[Government]]-Table58[[#This Row],[Imports]]</f>
        <v/>
      </c>
    </row>
    <row r="90">
      <c r="A90" s="94" t="n">
        <v>24838</v>
      </c>
      <c r="B90" s="164">
        <f>VLOOKUP(A90,'U.S. GDP'!A:B,2,)</f>
        <v/>
      </c>
      <c r="C90" s="164">
        <f>VLOOKUP(A90,PersonalConsumption!A:B,2,)</f>
        <v/>
      </c>
      <c r="D90" s="164">
        <f>VLOOKUP(A90,PrivateInvestment!A:B,2,)</f>
        <v/>
      </c>
      <c r="E90" s="164">
        <f>VLOOKUP(A90,Exports!A:B,2,)</f>
        <v/>
      </c>
      <c r="F90" s="164">
        <f>VLOOKUP(A90,Imports!A:B,2,)</f>
        <v/>
      </c>
      <c r="G90" s="164">
        <f>VLOOKUP(A90,Government!A:B,2,)</f>
        <v/>
      </c>
      <c r="H90" s="85">
        <f>Table58[[#This Row],[Personal Consumption]]/Table58[[#This Row],[GDP]]</f>
        <v/>
      </c>
      <c r="I90" s="85">
        <f>Table58[[#This Row],[Private Investment]]/Table58[[#This Row],[GDP]]</f>
        <v/>
      </c>
      <c r="J90" s="85">
        <f>Table58[[#This Row],[Exports]]/Table58[[#This Row],[GDP]]</f>
        <v/>
      </c>
      <c r="K90" s="85">
        <f>-Table58[[#This Row],[Imports]]/Table58[[#This Row],[GDP]]</f>
        <v/>
      </c>
      <c r="L90" s="85">
        <f>Table58[[#This Row],[Government]]/Table58[[#This Row],[GDP]]</f>
        <v/>
      </c>
      <c r="N90" s="52">
        <f>SUM(Table58[[#This Row],[PC%]:[G%]])</f>
        <v/>
      </c>
      <c r="O90" s="55">
        <f>Table58[[#This Row],[Personal Consumption]]+Table58[[#This Row],[Private Investment]]+Table58[[#This Row],[Exports]]+Table58[[#This Row],[Government]]-Table58[[#This Row],[Imports]]</f>
        <v/>
      </c>
    </row>
    <row r="91">
      <c r="A91" s="94" t="n">
        <v>24929</v>
      </c>
      <c r="B91" s="164">
        <f>VLOOKUP(A91,'U.S. GDP'!A:B,2,)</f>
        <v/>
      </c>
      <c r="C91" s="164">
        <f>VLOOKUP(A91,PersonalConsumption!A:B,2,)</f>
        <v/>
      </c>
      <c r="D91" s="164">
        <f>VLOOKUP(A91,PrivateInvestment!A:B,2,)</f>
        <v/>
      </c>
      <c r="E91" s="164">
        <f>VLOOKUP(A91,Exports!A:B,2,)</f>
        <v/>
      </c>
      <c r="F91" s="164">
        <f>VLOOKUP(A91,Imports!A:B,2,)</f>
        <v/>
      </c>
      <c r="G91" s="164">
        <f>VLOOKUP(A91,Government!A:B,2,)</f>
        <v/>
      </c>
      <c r="H91" s="85">
        <f>Table58[[#This Row],[Personal Consumption]]/Table58[[#This Row],[GDP]]</f>
        <v/>
      </c>
      <c r="I91" s="85">
        <f>Table58[[#This Row],[Private Investment]]/Table58[[#This Row],[GDP]]</f>
        <v/>
      </c>
      <c r="J91" s="85">
        <f>Table58[[#This Row],[Exports]]/Table58[[#This Row],[GDP]]</f>
        <v/>
      </c>
      <c r="K91" s="85">
        <f>-Table58[[#This Row],[Imports]]/Table58[[#This Row],[GDP]]</f>
        <v/>
      </c>
      <c r="L91" s="85">
        <f>Table58[[#This Row],[Government]]/Table58[[#This Row],[GDP]]</f>
        <v/>
      </c>
      <c r="N91" s="52">
        <f>SUM(Table58[[#This Row],[PC%]:[G%]])</f>
        <v/>
      </c>
      <c r="O91" s="55">
        <f>Table58[[#This Row],[Personal Consumption]]+Table58[[#This Row],[Private Investment]]+Table58[[#This Row],[Exports]]+Table58[[#This Row],[Government]]-Table58[[#This Row],[Imports]]</f>
        <v/>
      </c>
    </row>
    <row r="92">
      <c r="A92" s="94" t="n">
        <v>25020</v>
      </c>
      <c r="B92" s="164">
        <f>VLOOKUP(A92,'U.S. GDP'!A:B,2,)</f>
        <v/>
      </c>
      <c r="C92" s="164">
        <f>VLOOKUP(A92,PersonalConsumption!A:B,2,)</f>
        <v/>
      </c>
      <c r="D92" s="164">
        <f>VLOOKUP(A92,PrivateInvestment!A:B,2,)</f>
        <v/>
      </c>
      <c r="E92" s="164">
        <f>VLOOKUP(A92,Exports!A:B,2,)</f>
        <v/>
      </c>
      <c r="F92" s="164">
        <f>VLOOKUP(A92,Imports!A:B,2,)</f>
        <v/>
      </c>
      <c r="G92" s="164">
        <f>VLOOKUP(A92,Government!A:B,2,)</f>
        <v/>
      </c>
      <c r="H92" s="85">
        <f>Table58[[#This Row],[Personal Consumption]]/Table58[[#This Row],[GDP]]</f>
        <v/>
      </c>
      <c r="I92" s="85">
        <f>Table58[[#This Row],[Private Investment]]/Table58[[#This Row],[GDP]]</f>
        <v/>
      </c>
      <c r="J92" s="85">
        <f>Table58[[#This Row],[Exports]]/Table58[[#This Row],[GDP]]</f>
        <v/>
      </c>
      <c r="K92" s="85">
        <f>-Table58[[#This Row],[Imports]]/Table58[[#This Row],[GDP]]</f>
        <v/>
      </c>
      <c r="L92" s="85">
        <f>Table58[[#This Row],[Government]]/Table58[[#This Row],[GDP]]</f>
        <v/>
      </c>
      <c r="N92" s="52">
        <f>SUM(Table58[[#This Row],[PC%]:[G%]])</f>
        <v/>
      </c>
      <c r="O92" s="55">
        <f>Table58[[#This Row],[Personal Consumption]]+Table58[[#This Row],[Private Investment]]+Table58[[#This Row],[Exports]]+Table58[[#This Row],[Government]]-Table58[[#This Row],[Imports]]</f>
        <v/>
      </c>
    </row>
    <row r="93">
      <c r="A93" s="94" t="n">
        <v>25112</v>
      </c>
      <c r="B93" s="164">
        <f>VLOOKUP(A93,'U.S. GDP'!A:B,2,)</f>
        <v/>
      </c>
      <c r="C93" s="164">
        <f>VLOOKUP(A93,PersonalConsumption!A:B,2,)</f>
        <v/>
      </c>
      <c r="D93" s="164">
        <f>VLOOKUP(A93,PrivateInvestment!A:B,2,)</f>
        <v/>
      </c>
      <c r="E93" s="164">
        <f>VLOOKUP(A93,Exports!A:B,2,)</f>
        <v/>
      </c>
      <c r="F93" s="164">
        <f>VLOOKUP(A93,Imports!A:B,2,)</f>
        <v/>
      </c>
      <c r="G93" s="164">
        <f>VLOOKUP(A93,Government!A:B,2,)</f>
        <v/>
      </c>
      <c r="H93" s="85">
        <f>Table58[[#This Row],[Personal Consumption]]/Table58[[#This Row],[GDP]]</f>
        <v/>
      </c>
      <c r="I93" s="85">
        <f>Table58[[#This Row],[Private Investment]]/Table58[[#This Row],[GDP]]</f>
        <v/>
      </c>
      <c r="J93" s="85">
        <f>Table58[[#This Row],[Exports]]/Table58[[#This Row],[GDP]]</f>
        <v/>
      </c>
      <c r="K93" s="85">
        <f>-Table58[[#This Row],[Imports]]/Table58[[#This Row],[GDP]]</f>
        <v/>
      </c>
      <c r="L93" s="85">
        <f>Table58[[#This Row],[Government]]/Table58[[#This Row],[GDP]]</f>
        <v/>
      </c>
      <c r="N93" s="52">
        <f>SUM(Table58[[#This Row],[PC%]:[G%]])</f>
        <v/>
      </c>
      <c r="O93" s="55">
        <f>Table58[[#This Row],[Personal Consumption]]+Table58[[#This Row],[Private Investment]]+Table58[[#This Row],[Exports]]+Table58[[#This Row],[Government]]-Table58[[#This Row],[Imports]]</f>
        <v/>
      </c>
    </row>
    <row r="94">
      <c r="A94" s="94" t="n">
        <v>25204</v>
      </c>
      <c r="B94" s="164">
        <f>VLOOKUP(A94,'U.S. GDP'!A:B,2,)</f>
        <v/>
      </c>
      <c r="C94" s="164">
        <f>VLOOKUP(A94,PersonalConsumption!A:B,2,)</f>
        <v/>
      </c>
      <c r="D94" s="164">
        <f>VLOOKUP(A94,PrivateInvestment!A:B,2,)</f>
        <v/>
      </c>
      <c r="E94" s="164">
        <f>VLOOKUP(A94,Exports!A:B,2,)</f>
        <v/>
      </c>
      <c r="F94" s="164">
        <f>VLOOKUP(A94,Imports!A:B,2,)</f>
        <v/>
      </c>
      <c r="G94" s="164">
        <f>VLOOKUP(A94,Government!A:B,2,)</f>
        <v/>
      </c>
      <c r="H94" s="85">
        <f>Table58[[#This Row],[Personal Consumption]]/Table58[[#This Row],[GDP]]</f>
        <v/>
      </c>
      <c r="I94" s="85">
        <f>Table58[[#This Row],[Private Investment]]/Table58[[#This Row],[GDP]]</f>
        <v/>
      </c>
      <c r="J94" s="85">
        <f>Table58[[#This Row],[Exports]]/Table58[[#This Row],[GDP]]</f>
        <v/>
      </c>
      <c r="K94" s="85">
        <f>-Table58[[#This Row],[Imports]]/Table58[[#This Row],[GDP]]</f>
        <v/>
      </c>
      <c r="L94" s="85">
        <f>Table58[[#This Row],[Government]]/Table58[[#This Row],[GDP]]</f>
        <v/>
      </c>
      <c r="N94" s="52">
        <f>SUM(Table58[[#This Row],[PC%]:[G%]])</f>
        <v/>
      </c>
      <c r="O94" s="55">
        <f>Table58[[#This Row],[Personal Consumption]]+Table58[[#This Row],[Private Investment]]+Table58[[#This Row],[Exports]]+Table58[[#This Row],[Government]]-Table58[[#This Row],[Imports]]</f>
        <v/>
      </c>
    </row>
    <row r="95">
      <c r="A95" s="94" t="n">
        <v>25294</v>
      </c>
      <c r="B95" s="164">
        <f>VLOOKUP(A95,'U.S. GDP'!A:B,2,)</f>
        <v/>
      </c>
      <c r="C95" s="164">
        <f>VLOOKUP(A95,PersonalConsumption!A:B,2,)</f>
        <v/>
      </c>
      <c r="D95" s="164">
        <f>VLOOKUP(A95,PrivateInvestment!A:B,2,)</f>
        <v/>
      </c>
      <c r="E95" s="164">
        <f>VLOOKUP(A95,Exports!A:B,2,)</f>
        <v/>
      </c>
      <c r="F95" s="164">
        <f>VLOOKUP(A95,Imports!A:B,2,)</f>
        <v/>
      </c>
      <c r="G95" s="164">
        <f>VLOOKUP(A95,Government!A:B,2,)</f>
        <v/>
      </c>
      <c r="H95" s="85">
        <f>Table58[[#This Row],[Personal Consumption]]/Table58[[#This Row],[GDP]]</f>
        <v/>
      </c>
      <c r="I95" s="85">
        <f>Table58[[#This Row],[Private Investment]]/Table58[[#This Row],[GDP]]</f>
        <v/>
      </c>
      <c r="J95" s="85">
        <f>Table58[[#This Row],[Exports]]/Table58[[#This Row],[GDP]]</f>
        <v/>
      </c>
      <c r="K95" s="85">
        <f>-Table58[[#This Row],[Imports]]/Table58[[#This Row],[GDP]]</f>
        <v/>
      </c>
      <c r="L95" s="85">
        <f>Table58[[#This Row],[Government]]/Table58[[#This Row],[GDP]]</f>
        <v/>
      </c>
      <c r="N95" s="52">
        <f>SUM(Table58[[#This Row],[PC%]:[G%]])</f>
        <v/>
      </c>
      <c r="O95" s="55">
        <f>Table58[[#This Row],[Personal Consumption]]+Table58[[#This Row],[Private Investment]]+Table58[[#This Row],[Exports]]+Table58[[#This Row],[Government]]-Table58[[#This Row],[Imports]]</f>
        <v/>
      </c>
    </row>
    <row r="96">
      <c r="A96" s="94" t="n">
        <v>25385</v>
      </c>
      <c r="B96" s="164">
        <f>VLOOKUP(A96,'U.S. GDP'!A:B,2,)</f>
        <v/>
      </c>
      <c r="C96" s="164">
        <f>VLOOKUP(A96,PersonalConsumption!A:B,2,)</f>
        <v/>
      </c>
      <c r="D96" s="164">
        <f>VLOOKUP(A96,PrivateInvestment!A:B,2,)</f>
        <v/>
      </c>
      <c r="E96" s="164">
        <f>VLOOKUP(A96,Exports!A:B,2,)</f>
        <v/>
      </c>
      <c r="F96" s="164">
        <f>VLOOKUP(A96,Imports!A:B,2,)</f>
        <v/>
      </c>
      <c r="G96" s="164">
        <f>VLOOKUP(A96,Government!A:B,2,)</f>
        <v/>
      </c>
      <c r="H96" s="85">
        <f>Table58[[#This Row],[Personal Consumption]]/Table58[[#This Row],[GDP]]</f>
        <v/>
      </c>
      <c r="I96" s="85">
        <f>Table58[[#This Row],[Private Investment]]/Table58[[#This Row],[GDP]]</f>
        <v/>
      </c>
      <c r="J96" s="85">
        <f>Table58[[#This Row],[Exports]]/Table58[[#This Row],[GDP]]</f>
        <v/>
      </c>
      <c r="K96" s="85">
        <f>-Table58[[#This Row],[Imports]]/Table58[[#This Row],[GDP]]</f>
        <v/>
      </c>
      <c r="L96" s="85">
        <f>Table58[[#This Row],[Government]]/Table58[[#This Row],[GDP]]</f>
        <v/>
      </c>
      <c r="N96" s="52">
        <f>SUM(Table58[[#This Row],[PC%]:[G%]])</f>
        <v/>
      </c>
      <c r="O96" s="55">
        <f>Table58[[#This Row],[Personal Consumption]]+Table58[[#This Row],[Private Investment]]+Table58[[#This Row],[Exports]]+Table58[[#This Row],[Government]]-Table58[[#This Row],[Imports]]</f>
        <v/>
      </c>
    </row>
    <row r="97">
      <c r="A97" s="94" t="n">
        <v>25477</v>
      </c>
      <c r="B97" s="164">
        <f>VLOOKUP(A97,'U.S. GDP'!A:B,2,)</f>
        <v/>
      </c>
      <c r="C97" s="164">
        <f>VLOOKUP(A97,PersonalConsumption!A:B,2,)</f>
        <v/>
      </c>
      <c r="D97" s="164">
        <f>VLOOKUP(A97,PrivateInvestment!A:B,2,)</f>
        <v/>
      </c>
      <c r="E97" s="164">
        <f>VLOOKUP(A97,Exports!A:B,2,)</f>
        <v/>
      </c>
      <c r="F97" s="164">
        <f>VLOOKUP(A97,Imports!A:B,2,)</f>
        <v/>
      </c>
      <c r="G97" s="164">
        <f>VLOOKUP(A97,Government!A:B,2,)</f>
        <v/>
      </c>
      <c r="H97" s="85">
        <f>Table58[[#This Row],[Personal Consumption]]/Table58[[#This Row],[GDP]]</f>
        <v/>
      </c>
      <c r="I97" s="85">
        <f>Table58[[#This Row],[Private Investment]]/Table58[[#This Row],[GDP]]</f>
        <v/>
      </c>
      <c r="J97" s="85">
        <f>Table58[[#This Row],[Exports]]/Table58[[#This Row],[GDP]]</f>
        <v/>
      </c>
      <c r="K97" s="85">
        <f>-Table58[[#This Row],[Imports]]/Table58[[#This Row],[GDP]]</f>
        <v/>
      </c>
      <c r="L97" s="85">
        <f>Table58[[#This Row],[Government]]/Table58[[#This Row],[GDP]]</f>
        <v/>
      </c>
      <c r="N97" s="52">
        <f>SUM(Table58[[#This Row],[PC%]:[G%]])</f>
        <v/>
      </c>
      <c r="O97" s="55">
        <f>Table58[[#This Row],[Personal Consumption]]+Table58[[#This Row],[Private Investment]]+Table58[[#This Row],[Exports]]+Table58[[#This Row],[Government]]-Table58[[#This Row],[Imports]]</f>
        <v/>
      </c>
    </row>
    <row r="98">
      <c r="A98" s="94" t="n">
        <v>25569</v>
      </c>
      <c r="B98" s="164">
        <f>VLOOKUP(A98,'U.S. GDP'!A:B,2,)</f>
        <v/>
      </c>
      <c r="C98" s="164">
        <f>VLOOKUP(A98,PersonalConsumption!A:B,2,)</f>
        <v/>
      </c>
      <c r="D98" s="164">
        <f>VLOOKUP(A98,PrivateInvestment!A:B,2,)</f>
        <v/>
      </c>
      <c r="E98" s="164">
        <f>VLOOKUP(A98,Exports!A:B,2,)</f>
        <v/>
      </c>
      <c r="F98" s="164">
        <f>VLOOKUP(A98,Imports!A:B,2,)</f>
        <v/>
      </c>
      <c r="G98" s="164">
        <f>VLOOKUP(A98,Government!A:B,2,)</f>
        <v/>
      </c>
      <c r="H98" s="85">
        <f>Table58[[#This Row],[Personal Consumption]]/Table58[[#This Row],[GDP]]</f>
        <v/>
      </c>
      <c r="I98" s="85">
        <f>Table58[[#This Row],[Private Investment]]/Table58[[#This Row],[GDP]]</f>
        <v/>
      </c>
      <c r="J98" s="85">
        <f>Table58[[#This Row],[Exports]]/Table58[[#This Row],[GDP]]</f>
        <v/>
      </c>
      <c r="K98" s="85">
        <f>-Table58[[#This Row],[Imports]]/Table58[[#This Row],[GDP]]</f>
        <v/>
      </c>
      <c r="L98" s="85">
        <f>Table58[[#This Row],[Government]]/Table58[[#This Row],[GDP]]</f>
        <v/>
      </c>
      <c r="N98" s="52">
        <f>SUM(Table58[[#This Row],[PC%]:[G%]])</f>
        <v/>
      </c>
      <c r="O98" s="55">
        <f>Table58[[#This Row],[Personal Consumption]]+Table58[[#This Row],[Private Investment]]+Table58[[#This Row],[Exports]]+Table58[[#This Row],[Government]]-Table58[[#This Row],[Imports]]</f>
        <v/>
      </c>
    </row>
    <row r="99">
      <c r="A99" s="94" t="n">
        <v>25659</v>
      </c>
      <c r="B99" s="164">
        <f>VLOOKUP(A99,'U.S. GDP'!A:B,2,)</f>
        <v/>
      </c>
      <c r="C99" s="164">
        <f>VLOOKUP(A99,PersonalConsumption!A:B,2,)</f>
        <v/>
      </c>
      <c r="D99" s="164">
        <f>VLOOKUP(A99,PrivateInvestment!A:B,2,)</f>
        <v/>
      </c>
      <c r="E99" s="164">
        <f>VLOOKUP(A99,Exports!A:B,2,)</f>
        <v/>
      </c>
      <c r="F99" s="164">
        <f>VLOOKUP(A99,Imports!A:B,2,)</f>
        <v/>
      </c>
      <c r="G99" s="164">
        <f>VLOOKUP(A99,Government!A:B,2,)</f>
        <v/>
      </c>
      <c r="H99" s="85">
        <f>Table58[[#This Row],[Personal Consumption]]/Table58[[#This Row],[GDP]]</f>
        <v/>
      </c>
      <c r="I99" s="85">
        <f>Table58[[#This Row],[Private Investment]]/Table58[[#This Row],[GDP]]</f>
        <v/>
      </c>
      <c r="J99" s="85">
        <f>Table58[[#This Row],[Exports]]/Table58[[#This Row],[GDP]]</f>
        <v/>
      </c>
      <c r="K99" s="85">
        <f>-Table58[[#This Row],[Imports]]/Table58[[#This Row],[GDP]]</f>
        <v/>
      </c>
      <c r="L99" s="85">
        <f>Table58[[#This Row],[Government]]/Table58[[#This Row],[GDP]]</f>
        <v/>
      </c>
      <c r="N99" s="52">
        <f>SUM(Table58[[#This Row],[PC%]:[G%]])</f>
        <v/>
      </c>
      <c r="O99" s="55">
        <f>Table58[[#This Row],[Personal Consumption]]+Table58[[#This Row],[Private Investment]]+Table58[[#This Row],[Exports]]+Table58[[#This Row],[Government]]-Table58[[#This Row],[Imports]]</f>
        <v/>
      </c>
    </row>
    <row r="100">
      <c r="A100" s="94" t="n">
        <v>25750</v>
      </c>
      <c r="B100" s="164">
        <f>VLOOKUP(A100,'U.S. GDP'!A:B,2,)</f>
        <v/>
      </c>
      <c r="C100" s="164">
        <f>VLOOKUP(A100,PersonalConsumption!A:B,2,)</f>
        <v/>
      </c>
      <c r="D100" s="164">
        <f>VLOOKUP(A100,PrivateInvestment!A:B,2,)</f>
        <v/>
      </c>
      <c r="E100" s="164">
        <f>VLOOKUP(A100,Exports!A:B,2,)</f>
        <v/>
      </c>
      <c r="F100" s="164">
        <f>VLOOKUP(A100,Imports!A:B,2,)</f>
        <v/>
      </c>
      <c r="G100" s="164">
        <f>VLOOKUP(A100,Government!A:B,2,)</f>
        <v/>
      </c>
      <c r="H100" s="85">
        <f>Table58[[#This Row],[Personal Consumption]]/Table58[[#This Row],[GDP]]</f>
        <v/>
      </c>
      <c r="I100" s="85">
        <f>Table58[[#This Row],[Private Investment]]/Table58[[#This Row],[GDP]]</f>
        <v/>
      </c>
      <c r="J100" s="85">
        <f>Table58[[#This Row],[Exports]]/Table58[[#This Row],[GDP]]</f>
        <v/>
      </c>
      <c r="K100" s="85">
        <f>-Table58[[#This Row],[Imports]]/Table58[[#This Row],[GDP]]</f>
        <v/>
      </c>
      <c r="L100" s="85">
        <f>Table58[[#This Row],[Government]]/Table58[[#This Row],[GDP]]</f>
        <v/>
      </c>
      <c r="N100" s="52">
        <f>SUM(Table58[[#This Row],[PC%]:[G%]])</f>
        <v/>
      </c>
      <c r="O100" s="55">
        <f>Table58[[#This Row],[Personal Consumption]]+Table58[[#This Row],[Private Investment]]+Table58[[#This Row],[Exports]]+Table58[[#This Row],[Government]]-Table58[[#This Row],[Imports]]</f>
        <v/>
      </c>
    </row>
    <row r="101">
      <c r="A101" s="94" t="n">
        <v>25842</v>
      </c>
      <c r="B101" s="164">
        <f>VLOOKUP(A101,'U.S. GDP'!A:B,2,)</f>
        <v/>
      </c>
      <c r="C101" s="164">
        <f>VLOOKUP(A101,PersonalConsumption!A:B,2,)</f>
        <v/>
      </c>
      <c r="D101" s="164">
        <f>VLOOKUP(A101,PrivateInvestment!A:B,2,)</f>
        <v/>
      </c>
      <c r="E101" s="164">
        <f>VLOOKUP(A101,Exports!A:B,2,)</f>
        <v/>
      </c>
      <c r="F101" s="164">
        <f>VLOOKUP(A101,Imports!A:B,2,)</f>
        <v/>
      </c>
      <c r="G101" s="164">
        <f>VLOOKUP(A101,Government!A:B,2,)</f>
        <v/>
      </c>
      <c r="H101" s="85">
        <f>Table58[[#This Row],[Personal Consumption]]/Table58[[#This Row],[GDP]]</f>
        <v/>
      </c>
      <c r="I101" s="85">
        <f>Table58[[#This Row],[Private Investment]]/Table58[[#This Row],[GDP]]</f>
        <v/>
      </c>
      <c r="J101" s="85">
        <f>Table58[[#This Row],[Exports]]/Table58[[#This Row],[GDP]]</f>
        <v/>
      </c>
      <c r="K101" s="85">
        <f>-Table58[[#This Row],[Imports]]/Table58[[#This Row],[GDP]]</f>
        <v/>
      </c>
      <c r="L101" s="85">
        <f>Table58[[#This Row],[Government]]/Table58[[#This Row],[GDP]]</f>
        <v/>
      </c>
      <c r="N101" s="52">
        <f>SUM(Table58[[#This Row],[PC%]:[G%]])</f>
        <v/>
      </c>
      <c r="O101" s="55">
        <f>Table58[[#This Row],[Personal Consumption]]+Table58[[#This Row],[Private Investment]]+Table58[[#This Row],[Exports]]+Table58[[#This Row],[Government]]-Table58[[#This Row],[Imports]]</f>
        <v/>
      </c>
    </row>
    <row r="102">
      <c r="A102" s="94" t="n">
        <v>25934</v>
      </c>
      <c r="B102" s="164">
        <f>VLOOKUP(A102,'U.S. GDP'!A:B,2,)</f>
        <v/>
      </c>
      <c r="C102" s="164">
        <f>VLOOKUP(A102,PersonalConsumption!A:B,2,)</f>
        <v/>
      </c>
      <c r="D102" s="164">
        <f>VLOOKUP(A102,PrivateInvestment!A:B,2,)</f>
        <v/>
      </c>
      <c r="E102" s="164">
        <f>VLOOKUP(A102,Exports!A:B,2,)</f>
        <v/>
      </c>
      <c r="F102" s="164">
        <f>VLOOKUP(A102,Imports!A:B,2,)</f>
        <v/>
      </c>
      <c r="G102" s="164">
        <f>VLOOKUP(A102,Government!A:B,2,)</f>
        <v/>
      </c>
      <c r="H102" s="85">
        <f>Table58[[#This Row],[Personal Consumption]]/Table58[[#This Row],[GDP]]</f>
        <v/>
      </c>
      <c r="I102" s="85">
        <f>Table58[[#This Row],[Private Investment]]/Table58[[#This Row],[GDP]]</f>
        <v/>
      </c>
      <c r="J102" s="85">
        <f>Table58[[#This Row],[Exports]]/Table58[[#This Row],[GDP]]</f>
        <v/>
      </c>
      <c r="K102" s="85">
        <f>-Table58[[#This Row],[Imports]]/Table58[[#This Row],[GDP]]</f>
        <v/>
      </c>
      <c r="L102" s="85">
        <f>Table58[[#This Row],[Government]]/Table58[[#This Row],[GDP]]</f>
        <v/>
      </c>
      <c r="N102" s="52">
        <f>SUM(Table58[[#This Row],[PC%]:[G%]])</f>
        <v/>
      </c>
      <c r="O102" s="55">
        <f>Table58[[#This Row],[Personal Consumption]]+Table58[[#This Row],[Private Investment]]+Table58[[#This Row],[Exports]]+Table58[[#This Row],[Government]]-Table58[[#This Row],[Imports]]</f>
        <v/>
      </c>
    </row>
    <row r="103">
      <c r="A103" s="94" t="n">
        <v>26024</v>
      </c>
      <c r="B103" s="164">
        <f>VLOOKUP(A103,'U.S. GDP'!A:B,2,)</f>
        <v/>
      </c>
      <c r="C103" s="164">
        <f>VLOOKUP(A103,PersonalConsumption!A:B,2,)</f>
        <v/>
      </c>
      <c r="D103" s="164">
        <f>VLOOKUP(A103,PrivateInvestment!A:B,2,)</f>
        <v/>
      </c>
      <c r="E103" s="164">
        <f>VLOOKUP(A103,Exports!A:B,2,)</f>
        <v/>
      </c>
      <c r="F103" s="164">
        <f>VLOOKUP(A103,Imports!A:B,2,)</f>
        <v/>
      </c>
      <c r="G103" s="164">
        <f>VLOOKUP(A103,Government!A:B,2,)</f>
        <v/>
      </c>
      <c r="H103" s="85">
        <f>Table58[[#This Row],[Personal Consumption]]/Table58[[#This Row],[GDP]]</f>
        <v/>
      </c>
      <c r="I103" s="85">
        <f>Table58[[#This Row],[Private Investment]]/Table58[[#This Row],[GDP]]</f>
        <v/>
      </c>
      <c r="J103" s="85">
        <f>Table58[[#This Row],[Exports]]/Table58[[#This Row],[GDP]]</f>
        <v/>
      </c>
      <c r="K103" s="85">
        <f>-Table58[[#This Row],[Imports]]/Table58[[#This Row],[GDP]]</f>
        <v/>
      </c>
      <c r="L103" s="85">
        <f>Table58[[#This Row],[Government]]/Table58[[#This Row],[GDP]]</f>
        <v/>
      </c>
      <c r="N103" s="52">
        <f>SUM(Table58[[#This Row],[PC%]:[G%]])</f>
        <v/>
      </c>
      <c r="O103" s="55">
        <f>Table58[[#This Row],[Personal Consumption]]+Table58[[#This Row],[Private Investment]]+Table58[[#This Row],[Exports]]+Table58[[#This Row],[Government]]-Table58[[#This Row],[Imports]]</f>
        <v/>
      </c>
    </row>
    <row r="104">
      <c r="A104" s="94" t="n">
        <v>26115</v>
      </c>
      <c r="B104" s="164">
        <f>VLOOKUP(A104,'U.S. GDP'!A:B,2,)</f>
        <v/>
      </c>
      <c r="C104" s="164">
        <f>VLOOKUP(A104,PersonalConsumption!A:B,2,)</f>
        <v/>
      </c>
      <c r="D104" s="164">
        <f>VLOOKUP(A104,PrivateInvestment!A:B,2,)</f>
        <v/>
      </c>
      <c r="E104" s="164">
        <f>VLOOKUP(A104,Exports!A:B,2,)</f>
        <v/>
      </c>
      <c r="F104" s="164">
        <f>VLOOKUP(A104,Imports!A:B,2,)</f>
        <v/>
      </c>
      <c r="G104" s="164">
        <f>VLOOKUP(A104,Government!A:B,2,)</f>
        <v/>
      </c>
      <c r="H104" s="85">
        <f>Table58[[#This Row],[Personal Consumption]]/Table58[[#This Row],[GDP]]</f>
        <v/>
      </c>
      <c r="I104" s="85">
        <f>Table58[[#This Row],[Private Investment]]/Table58[[#This Row],[GDP]]</f>
        <v/>
      </c>
      <c r="J104" s="85">
        <f>Table58[[#This Row],[Exports]]/Table58[[#This Row],[GDP]]</f>
        <v/>
      </c>
      <c r="K104" s="85">
        <f>-Table58[[#This Row],[Imports]]/Table58[[#This Row],[GDP]]</f>
        <v/>
      </c>
      <c r="L104" s="85">
        <f>Table58[[#This Row],[Government]]/Table58[[#This Row],[GDP]]</f>
        <v/>
      </c>
      <c r="N104" s="52">
        <f>SUM(Table58[[#This Row],[PC%]:[G%]])</f>
        <v/>
      </c>
      <c r="O104" s="55">
        <f>Table58[[#This Row],[Personal Consumption]]+Table58[[#This Row],[Private Investment]]+Table58[[#This Row],[Exports]]+Table58[[#This Row],[Government]]-Table58[[#This Row],[Imports]]</f>
        <v/>
      </c>
    </row>
    <row r="105">
      <c r="A105" s="94" t="n">
        <v>26207</v>
      </c>
      <c r="B105" s="164">
        <f>VLOOKUP(A105,'U.S. GDP'!A:B,2,)</f>
        <v/>
      </c>
      <c r="C105" s="164">
        <f>VLOOKUP(A105,PersonalConsumption!A:B,2,)</f>
        <v/>
      </c>
      <c r="D105" s="164">
        <f>VLOOKUP(A105,PrivateInvestment!A:B,2,)</f>
        <v/>
      </c>
      <c r="E105" s="164">
        <f>VLOOKUP(A105,Exports!A:B,2,)</f>
        <v/>
      </c>
      <c r="F105" s="164">
        <f>VLOOKUP(A105,Imports!A:B,2,)</f>
        <v/>
      </c>
      <c r="G105" s="164">
        <f>VLOOKUP(A105,Government!A:B,2,)</f>
        <v/>
      </c>
      <c r="H105" s="85">
        <f>Table58[[#This Row],[Personal Consumption]]/Table58[[#This Row],[GDP]]</f>
        <v/>
      </c>
      <c r="I105" s="85">
        <f>Table58[[#This Row],[Private Investment]]/Table58[[#This Row],[GDP]]</f>
        <v/>
      </c>
      <c r="J105" s="85">
        <f>Table58[[#This Row],[Exports]]/Table58[[#This Row],[GDP]]</f>
        <v/>
      </c>
      <c r="K105" s="85">
        <f>-Table58[[#This Row],[Imports]]/Table58[[#This Row],[GDP]]</f>
        <v/>
      </c>
      <c r="L105" s="85">
        <f>Table58[[#This Row],[Government]]/Table58[[#This Row],[GDP]]</f>
        <v/>
      </c>
      <c r="N105" s="52">
        <f>SUM(Table58[[#This Row],[PC%]:[G%]])</f>
        <v/>
      </c>
      <c r="O105" s="55">
        <f>Table58[[#This Row],[Personal Consumption]]+Table58[[#This Row],[Private Investment]]+Table58[[#This Row],[Exports]]+Table58[[#This Row],[Government]]-Table58[[#This Row],[Imports]]</f>
        <v/>
      </c>
    </row>
    <row r="106">
      <c r="A106" s="94" t="n">
        <v>26299</v>
      </c>
      <c r="B106" s="164">
        <f>VLOOKUP(A106,'U.S. GDP'!A:B,2,)</f>
        <v/>
      </c>
      <c r="C106" s="164">
        <f>VLOOKUP(A106,PersonalConsumption!A:B,2,)</f>
        <v/>
      </c>
      <c r="D106" s="164">
        <f>VLOOKUP(A106,PrivateInvestment!A:B,2,)</f>
        <v/>
      </c>
      <c r="E106" s="164">
        <f>VLOOKUP(A106,Exports!A:B,2,)</f>
        <v/>
      </c>
      <c r="F106" s="164">
        <f>VLOOKUP(A106,Imports!A:B,2,)</f>
        <v/>
      </c>
      <c r="G106" s="164">
        <f>VLOOKUP(A106,Government!A:B,2,)</f>
        <v/>
      </c>
      <c r="H106" s="85">
        <f>Table58[[#This Row],[Personal Consumption]]/Table58[[#This Row],[GDP]]</f>
        <v/>
      </c>
      <c r="I106" s="85">
        <f>Table58[[#This Row],[Private Investment]]/Table58[[#This Row],[GDP]]</f>
        <v/>
      </c>
      <c r="J106" s="85">
        <f>Table58[[#This Row],[Exports]]/Table58[[#This Row],[GDP]]</f>
        <v/>
      </c>
      <c r="K106" s="85">
        <f>-Table58[[#This Row],[Imports]]/Table58[[#This Row],[GDP]]</f>
        <v/>
      </c>
      <c r="L106" s="85">
        <f>Table58[[#This Row],[Government]]/Table58[[#This Row],[GDP]]</f>
        <v/>
      </c>
      <c r="N106" s="52">
        <f>SUM(Table58[[#This Row],[PC%]:[G%]])</f>
        <v/>
      </c>
      <c r="O106" s="55">
        <f>Table58[[#This Row],[Personal Consumption]]+Table58[[#This Row],[Private Investment]]+Table58[[#This Row],[Exports]]+Table58[[#This Row],[Government]]-Table58[[#This Row],[Imports]]</f>
        <v/>
      </c>
    </row>
    <row r="107">
      <c r="A107" s="94" t="n">
        <v>26390</v>
      </c>
      <c r="B107" s="164">
        <f>VLOOKUP(A107,'U.S. GDP'!A:B,2,)</f>
        <v/>
      </c>
      <c r="C107" s="164">
        <f>VLOOKUP(A107,PersonalConsumption!A:B,2,)</f>
        <v/>
      </c>
      <c r="D107" s="164">
        <f>VLOOKUP(A107,PrivateInvestment!A:B,2,)</f>
        <v/>
      </c>
      <c r="E107" s="164">
        <f>VLOOKUP(A107,Exports!A:B,2,)</f>
        <v/>
      </c>
      <c r="F107" s="164">
        <f>VLOOKUP(A107,Imports!A:B,2,)</f>
        <v/>
      </c>
      <c r="G107" s="164">
        <f>VLOOKUP(A107,Government!A:B,2,)</f>
        <v/>
      </c>
      <c r="H107" s="85">
        <f>Table58[[#This Row],[Personal Consumption]]/Table58[[#This Row],[GDP]]</f>
        <v/>
      </c>
      <c r="I107" s="85">
        <f>Table58[[#This Row],[Private Investment]]/Table58[[#This Row],[GDP]]</f>
        <v/>
      </c>
      <c r="J107" s="85">
        <f>Table58[[#This Row],[Exports]]/Table58[[#This Row],[GDP]]</f>
        <v/>
      </c>
      <c r="K107" s="85">
        <f>-Table58[[#This Row],[Imports]]/Table58[[#This Row],[GDP]]</f>
        <v/>
      </c>
      <c r="L107" s="85">
        <f>Table58[[#This Row],[Government]]/Table58[[#This Row],[GDP]]</f>
        <v/>
      </c>
      <c r="N107" s="52">
        <f>SUM(Table58[[#This Row],[PC%]:[G%]])</f>
        <v/>
      </c>
      <c r="O107" s="55">
        <f>Table58[[#This Row],[Personal Consumption]]+Table58[[#This Row],[Private Investment]]+Table58[[#This Row],[Exports]]+Table58[[#This Row],[Government]]-Table58[[#This Row],[Imports]]</f>
        <v/>
      </c>
    </row>
    <row r="108">
      <c r="A108" s="94" t="n">
        <v>26481</v>
      </c>
      <c r="B108" s="164">
        <f>VLOOKUP(A108,'U.S. GDP'!A:B,2,)</f>
        <v/>
      </c>
      <c r="C108" s="164">
        <f>VLOOKUP(A108,PersonalConsumption!A:B,2,)</f>
        <v/>
      </c>
      <c r="D108" s="164">
        <f>VLOOKUP(A108,PrivateInvestment!A:B,2,)</f>
        <v/>
      </c>
      <c r="E108" s="164">
        <f>VLOOKUP(A108,Exports!A:B,2,)</f>
        <v/>
      </c>
      <c r="F108" s="164">
        <f>VLOOKUP(A108,Imports!A:B,2,)</f>
        <v/>
      </c>
      <c r="G108" s="164">
        <f>VLOOKUP(A108,Government!A:B,2,)</f>
        <v/>
      </c>
      <c r="H108" s="85">
        <f>Table58[[#This Row],[Personal Consumption]]/Table58[[#This Row],[GDP]]</f>
        <v/>
      </c>
      <c r="I108" s="85">
        <f>Table58[[#This Row],[Private Investment]]/Table58[[#This Row],[GDP]]</f>
        <v/>
      </c>
      <c r="J108" s="85">
        <f>Table58[[#This Row],[Exports]]/Table58[[#This Row],[GDP]]</f>
        <v/>
      </c>
      <c r="K108" s="85">
        <f>-Table58[[#This Row],[Imports]]/Table58[[#This Row],[GDP]]</f>
        <v/>
      </c>
      <c r="L108" s="85">
        <f>Table58[[#This Row],[Government]]/Table58[[#This Row],[GDP]]</f>
        <v/>
      </c>
      <c r="N108" s="52">
        <f>SUM(Table58[[#This Row],[PC%]:[G%]])</f>
        <v/>
      </c>
      <c r="O108" s="55">
        <f>Table58[[#This Row],[Personal Consumption]]+Table58[[#This Row],[Private Investment]]+Table58[[#This Row],[Exports]]+Table58[[#This Row],[Government]]-Table58[[#This Row],[Imports]]</f>
        <v/>
      </c>
    </row>
    <row r="109">
      <c r="A109" s="94" t="n">
        <v>26573</v>
      </c>
      <c r="B109" s="164">
        <f>VLOOKUP(A109,'U.S. GDP'!A:B,2,)</f>
        <v/>
      </c>
      <c r="C109" s="164">
        <f>VLOOKUP(A109,PersonalConsumption!A:B,2,)</f>
        <v/>
      </c>
      <c r="D109" s="164">
        <f>VLOOKUP(A109,PrivateInvestment!A:B,2,)</f>
        <v/>
      </c>
      <c r="E109" s="164">
        <f>VLOOKUP(A109,Exports!A:B,2,)</f>
        <v/>
      </c>
      <c r="F109" s="164">
        <f>VLOOKUP(A109,Imports!A:B,2,)</f>
        <v/>
      </c>
      <c r="G109" s="164">
        <f>VLOOKUP(A109,Government!A:B,2,)</f>
        <v/>
      </c>
      <c r="H109" s="85">
        <f>Table58[[#This Row],[Personal Consumption]]/Table58[[#This Row],[GDP]]</f>
        <v/>
      </c>
      <c r="I109" s="85">
        <f>Table58[[#This Row],[Private Investment]]/Table58[[#This Row],[GDP]]</f>
        <v/>
      </c>
      <c r="J109" s="85">
        <f>Table58[[#This Row],[Exports]]/Table58[[#This Row],[GDP]]</f>
        <v/>
      </c>
      <c r="K109" s="85">
        <f>-Table58[[#This Row],[Imports]]/Table58[[#This Row],[GDP]]</f>
        <v/>
      </c>
      <c r="L109" s="85">
        <f>Table58[[#This Row],[Government]]/Table58[[#This Row],[GDP]]</f>
        <v/>
      </c>
      <c r="N109" s="52">
        <f>SUM(Table58[[#This Row],[PC%]:[G%]])</f>
        <v/>
      </c>
      <c r="O109" s="55">
        <f>Table58[[#This Row],[Personal Consumption]]+Table58[[#This Row],[Private Investment]]+Table58[[#This Row],[Exports]]+Table58[[#This Row],[Government]]-Table58[[#This Row],[Imports]]</f>
        <v/>
      </c>
    </row>
    <row r="110">
      <c r="A110" s="94" t="n">
        <v>26665</v>
      </c>
      <c r="B110" s="164">
        <f>VLOOKUP(A110,'U.S. GDP'!A:B,2,)</f>
        <v/>
      </c>
      <c r="C110" s="164">
        <f>VLOOKUP(A110,PersonalConsumption!A:B,2,)</f>
        <v/>
      </c>
      <c r="D110" s="164">
        <f>VLOOKUP(A110,PrivateInvestment!A:B,2,)</f>
        <v/>
      </c>
      <c r="E110" s="164">
        <f>VLOOKUP(A110,Exports!A:B,2,)</f>
        <v/>
      </c>
      <c r="F110" s="164">
        <f>VLOOKUP(A110,Imports!A:B,2,)</f>
        <v/>
      </c>
      <c r="G110" s="164">
        <f>VLOOKUP(A110,Government!A:B,2,)</f>
        <v/>
      </c>
      <c r="H110" s="85">
        <f>Table58[[#This Row],[Personal Consumption]]/Table58[[#This Row],[GDP]]</f>
        <v/>
      </c>
      <c r="I110" s="85">
        <f>Table58[[#This Row],[Private Investment]]/Table58[[#This Row],[GDP]]</f>
        <v/>
      </c>
      <c r="J110" s="85">
        <f>Table58[[#This Row],[Exports]]/Table58[[#This Row],[GDP]]</f>
        <v/>
      </c>
      <c r="K110" s="85">
        <f>-Table58[[#This Row],[Imports]]/Table58[[#This Row],[GDP]]</f>
        <v/>
      </c>
      <c r="L110" s="85">
        <f>Table58[[#This Row],[Government]]/Table58[[#This Row],[GDP]]</f>
        <v/>
      </c>
      <c r="N110" s="52">
        <f>SUM(Table58[[#This Row],[PC%]:[G%]])</f>
        <v/>
      </c>
      <c r="O110" s="55">
        <f>Table58[[#This Row],[Personal Consumption]]+Table58[[#This Row],[Private Investment]]+Table58[[#This Row],[Exports]]+Table58[[#This Row],[Government]]-Table58[[#This Row],[Imports]]</f>
        <v/>
      </c>
    </row>
    <row r="111">
      <c r="A111" s="94" t="n">
        <v>26755</v>
      </c>
      <c r="B111" s="164">
        <f>VLOOKUP(A111,'U.S. GDP'!A:B,2,)</f>
        <v/>
      </c>
      <c r="C111" s="164">
        <f>VLOOKUP(A111,PersonalConsumption!A:B,2,)</f>
        <v/>
      </c>
      <c r="D111" s="164">
        <f>VLOOKUP(A111,PrivateInvestment!A:B,2,)</f>
        <v/>
      </c>
      <c r="E111" s="164">
        <f>VLOOKUP(A111,Exports!A:B,2,)</f>
        <v/>
      </c>
      <c r="F111" s="164">
        <f>VLOOKUP(A111,Imports!A:B,2,)</f>
        <v/>
      </c>
      <c r="G111" s="164">
        <f>VLOOKUP(A111,Government!A:B,2,)</f>
        <v/>
      </c>
      <c r="H111" s="85">
        <f>Table58[[#This Row],[Personal Consumption]]/Table58[[#This Row],[GDP]]</f>
        <v/>
      </c>
      <c r="I111" s="85">
        <f>Table58[[#This Row],[Private Investment]]/Table58[[#This Row],[GDP]]</f>
        <v/>
      </c>
      <c r="J111" s="85">
        <f>Table58[[#This Row],[Exports]]/Table58[[#This Row],[GDP]]</f>
        <v/>
      </c>
      <c r="K111" s="85">
        <f>-Table58[[#This Row],[Imports]]/Table58[[#This Row],[GDP]]</f>
        <v/>
      </c>
      <c r="L111" s="85">
        <f>Table58[[#This Row],[Government]]/Table58[[#This Row],[GDP]]</f>
        <v/>
      </c>
      <c r="N111" s="52">
        <f>SUM(Table58[[#This Row],[PC%]:[G%]])</f>
        <v/>
      </c>
      <c r="O111" s="55">
        <f>Table58[[#This Row],[Personal Consumption]]+Table58[[#This Row],[Private Investment]]+Table58[[#This Row],[Exports]]+Table58[[#This Row],[Government]]-Table58[[#This Row],[Imports]]</f>
        <v/>
      </c>
    </row>
    <row r="112">
      <c r="A112" s="94" t="n">
        <v>26846</v>
      </c>
      <c r="B112" s="164">
        <f>VLOOKUP(A112,'U.S. GDP'!A:B,2,)</f>
        <v/>
      </c>
      <c r="C112" s="164">
        <f>VLOOKUP(A112,PersonalConsumption!A:B,2,)</f>
        <v/>
      </c>
      <c r="D112" s="164">
        <f>VLOOKUP(A112,PrivateInvestment!A:B,2,)</f>
        <v/>
      </c>
      <c r="E112" s="164">
        <f>VLOOKUP(A112,Exports!A:B,2,)</f>
        <v/>
      </c>
      <c r="F112" s="164">
        <f>VLOOKUP(A112,Imports!A:B,2,)</f>
        <v/>
      </c>
      <c r="G112" s="164">
        <f>VLOOKUP(A112,Government!A:B,2,)</f>
        <v/>
      </c>
      <c r="H112" s="85">
        <f>Table58[[#This Row],[Personal Consumption]]/Table58[[#This Row],[GDP]]</f>
        <v/>
      </c>
      <c r="I112" s="85">
        <f>Table58[[#This Row],[Private Investment]]/Table58[[#This Row],[GDP]]</f>
        <v/>
      </c>
      <c r="J112" s="85">
        <f>Table58[[#This Row],[Exports]]/Table58[[#This Row],[GDP]]</f>
        <v/>
      </c>
      <c r="K112" s="85">
        <f>-Table58[[#This Row],[Imports]]/Table58[[#This Row],[GDP]]</f>
        <v/>
      </c>
      <c r="L112" s="85">
        <f>Table58[[#This Row],[Government]]/Table58[[#This Row],[GDP]]</f>
        <v/>
      </c>
      <c r="N112" s="52">
        <f>SUM(Table58[[#This Row],[PC%]:[G%]])</f>
        <v/>
      </c>
      <c r="O112" s="55">
        <f>Table58[[#This Row],[Personal Consumption]]+Table58[[#This Row],[Private Investment]]+Table58[[#This Row],[Exports]]+Table58[[#This Row],[Government]]-Table58[[#This Row],[Imports]]</f>
        <v/>
      </c>
    </row>
    <row r="113">
      <c r="A113" s="94" t="n">
        <v>26938</v>
      </c>
      <c r="B113" s="164">
        <f>VLOOKUP(A113,'U.S. GDP'!A:B,2,)</f>
        <v/>
      </c>
      <c r="C113" s="164">
        <f>VLOOKUP(A113,PersonalConsumption!A:B,2,)</f>
        <v/>
      </c>
      <c r="D113" s="164">
        <f>VLOOKUP(A113,PrivateInvestment!A:B,2,)</f>
        <v/>
      </c>
      <c r="E113" s="164">
        <f>VLOOKUP(A113,Exports!A:B,2,)</f>
        <v/>
      </c>
      <c r="F113" s="164">
        <f>VLOOKUP(A113,Imports!A:B,2,)</f>
        <v/>
      </c>
      <c r="G113" s="164">
        <f>VLOOKUP(A113,Government!A:B,2,)</f>
        <v/>
      </c>
      <c r="H113" s="85">
        <f>Table58[[#This Row],[Personal Consumption]]/Table58[[#This Row],[GDP]]</f>
        <v/>
      </c>
      <c r="I113" s="85">
        <f>Table58[[#This Row],[Private Investment]]/Table58[[#This Row],[GDP]]</f>
        <v/>
      </c>
      <c r="J113" s="85">
        <f>Table58[[#This Row],[Exports]]/Table58[[#This Row],[GDP]]</f>
        <v/>
      </c>
      <c r="K113" s="85">
        <f>-Table58[[#This Row],[Imports]]/Table58[[#This Row],[GDP]]</f>
        <v/>
      </c>
      <c r="L113" s="85">
        <f>Table58[[#This Row],[Government]]/Table58[[#This Row],[GDP]]</f>
        <v/>
      </c>
      <c r="N113" s="52">
        <f>SUM(Table58[[#This Row],[PC%]:[G%]])</f>
        <v/>
      </c>
      <c r="O113" s="55">
        <f>Table58[[#This Row],[Personal Consumption]]+Table58[[#This Row],[Private Investment]]+Table58[[#This Row],[Exports]]+Table58[[#This Row],[Government]]-Table58[[#This Row],[Imports]]</f>
        <v/>
      </c>
    </row>
    <row r="114">
      <c r="A114" s="94" t="n">
        <v>27030</v>
      </c>
      <c r="B114" s="164">
        <f>VLOOKUP(A114,'U.S. GDP'!A:B,2,)</f>
        <v/>
      </c>
      <c r="C114" s="164">
        <f>VLOOKUP(A114,PersonalConsumption!A:B,2,)</f>
        <v/>
      </c>
      <c r="D114" s="164">
        <f>VLOOKUP(A114,PrivateInvestment!A:B,2,)</f>
        <v/>
      </c>
      <c r="E114" s="164">
        <f>VLOOKUP(A114,Exports!A:B,2,)</f>
        <v/>
      </c>
      <c r="F114" s="164">
        <f>VLOOKUP(A114,Imports!A:B,2,)</f>
        <v/>
      </c>
      <c r="G114" s="164">
        <f>VLOOKUP(A114,Government!A:B,2,)</f>
        <v/>
      </c>
      <c r="H114" s="85">
        <f>Table58[[#This Row],[Personal Consumption]]/Table58[[#This Row],[GDP]]</f>
        <v/>
      </c>
      <c r="I114" s="85">
        <f>Table58[[#This Row],[Private Investment]]/Table58[[#This Row],[GDP]]</f>
        <v/>
      </c>
      <c r="J114" s="85">
        <f>Table58[[#This Row],[Exports]]/Table58[[#This Row],[GDP]]</f>
        <v/>
      </c>
      <c r="K114" s="85">
        <f>-Table58[[#This Row],[Imports]]/Table58[[#This Row],[GDP]]</f>
        <v/>
      </c>
      <c r="L114" s="85">
        <f>Table58[[#This Row],[Government]]/Table58[[#This Row],[GDP]]</f>
        <v/>
      </c>
      <c r="N114" s="52">
        <f>SUM(Table58[[#This Row],[PC%]:[G%]])</f>
        <v/>
      </c>
      <c r="O114" s="55">
        <f>Table58[[#This Row],[Personal Consumption]]+Table58[[#This Row],[Private Investment]]+Table58[[#This Row],[Exports]]+Table58[[#This Row],[Government]]-Table58[[#This Row],[Imports]]</f>
        <v/>
      </c>
    </row>
    <row r="115">
      <c r="A115" s="94" t="n">
        <v>27120</v>
      </c>
      <c r="B115" s="164">
        <f>VLOOKUP(A115,'U.S. GDP'!A:B,2,)</f>
        <v/>
      </c>
      <c r="C115" s="164">
        <f>VLOOKUP(A115,PersonalConsumption!A:B,2,)</f>
        <v/>
      </c>
      <c r="D115" s="164">
        <f>VLOOKUP(A115,PrivateInvestment!A:B,2,)</f>
        <v/>
      </c>
      <c r="E115" s="164">
        <f>VLOOKUP(A115,Exports!A:B,2,)</f>
        <v/>
      </c>
      <c r="F115" s="164">
        <f>VLOOKUP(A115,Imports!A:B,2,)</f>
        <v/>
      </c>
      <c r="G115" s="164">
        <f>VLOOKUP(A115,Government!A:B,2,)</f>
        <v/>
      </c>
      <c r="H115" s="85">
        <f>Table58[[#This Row],[Personal Consumption]]/Table58[[#This Row],[GDP]]</f>
        <v/>
      </c>
      <c r="I115" s="85">
        <f>Table58[[#This Row],[Private Investment]]/Table58[[#This Row],[GDP]]</f>
        <v/>
      </c>
      <c r="J115" s="85">
        <f>Table58[[#This Row],[Exports]]/Table58[[#This Row],[GDP]]</f>
        <v/>
      </c>
      <c r="K115" s="85">
        <f>-Table58[[#This Row],[Imports]]/Table58[[#This Row],[GDP]]</f>
        <v/>
      </c>
      <c r="L115" s="85">
        <f>Table58[[#This Row],[Government]]/Table58[[#This Row],[GDP]]</f>
        <v/>
      </c>
      <c r="N115" s="52">
        <f>SUM(Table58[[#This Row],[PC%]:[G%]])</f>
        <v/>
      </c>
      <c r="O115" s="55">
        <f>Table58[[#This Row],[Personal Consumption]]+Table58[[#This Row],[Private Investment]]+Table58[[#This Row],[Exports]]+Table58[[#This Row],[Government]]-Table58[[#This Row],[Imports]]</f>
        <v/>
      </c>
    </row>
    <row r="116">
      <c r="A116" s="94" t="n">
        <v>27211</v>
      </c>
      <c r="B116" s="164">
        <f>VLOOKUP(A116,'U.S. GDP'!A:B,2,)</f>
        <v/>
      </c>
      <c r="C116" s="164">
        <f>VLOOKUP(A116,PersonalConsumption!A:B,2,)</f>
        <v/>
      </c>
      <c r="D116" s="164">
        <f>VLOOKUP(A116,PrivateInvestment!A:B,2,)</f>
        <v/>
      </c>
      <c r="E116" s="164">
        <f>VLOOKUP(A116,Exports!A:B,2,)</f>
        <v/>
      </c>
      <c r="F116" s="164">
        <f>VLOOKUP(A116,Imports!A:B,2,)</f>
        <v/>
      </c>
      <c r="G116" s="164">
        <f>VLOOKUP(A116,Government!A:B,2,)</f>
        <v/>
      </c>
      <c r="H116" s="85">
        <f>Table58[[#This Row],[Personal Consumption]]/Table58[[#This Row],[GDP]]</f>
        <v/>
      </c>
      <c r="I116" s="85">
        <f>Table58[[#This Row],[Private Investment]]/Table58[[#This Row],[GDP]]</f>
        <v/>
      </c>
      <c r="J116" s="85">
        <f>Table58[[#This Row],[Exports]]/Table58[[#This Row],[GDP]]</f>
        <v/>
      </c>
      <c r="K116" s="85">
        <f>-Table58[[#This Row],[Imports]]/Table58[[#This Row],[GDP]]</f>
        <v/>
      </c>
      <c r="L116" s="85">
        <f>Table58[[#This Row],[Government]]/Table58[[#This Row],[GDP]]</f>
        <v/>
      </c>
      <c r="N116" s="52">
        <f>SUM(Table58[[#This Row],[PC%]:[G%]])</f>
        <v/>
      </c>
      <c r="O116" s="55">
        <f>Table58[[#This Row],[Personal Consumption]]+Table58[[#This Row],[Private Investment]]+Table58[[#This Row],[Exports]]+Table58[[#This Row],[Government]]-Table58[[#This Row],[Imports]]</f>
        <v/>
      </c>
    </row>
    <row r="117">
      <c r="A117" s="94" t="n">
        <v>27303</v>
      </c>
      <c r="B117" s="164">
        <f>VLOOKUP(A117,'U.S. GDP'!A:B,2,)</f>
        <v/>
      </c>
      <c r="C117" s="164">
        <f>VLOOKUP(A117,PersonalConsumption!A:B,2,)</f>
        <v/>
      </c>
      <c r="D117" s="164">
        <f>VLOOKUP(A117,PrivateInvestment!A:B,2,)</f>
        <v/>
      </c>
      <c r="E117" s="164">
        <f>VLOOKUP(A117,Exports!A:B,2,)</f>
        <v/>
      </c>
      <c r="F117" s="164">
        <f>VLOOKUP(A117,Imports!A:B,2,)</f>
        <v/>
      </c>
      <c r="G117" s="164">
        <f>VLOOKUP(A117,Government!A:B,2,)</f>
        <v/>
      </c>
      <c r="H117" s="85">
        <f>Table58[[#This Row],[Personal Consumption]]/Table58[[#This Row],[GDP]]</f>
        <v/>
      </c>
      <c r="I117" s="85">
        <f>Table58[[#This Row],[Private Investment]]/Table58[[#This Row],[GDP]]</f>
        <v/>
      </c>
      <c r="J117" s="85">
        <f>Table58[[#This Row],[Exports]]/Table58[[#This Row],[GDP]]</f>
        <v/>
      </c>
      <c r="K117" s="85">
        <f>-Table58[[#This Row],[Imports]]/Table58[[#This Row],[GDP]]</f>
        <v/>
      </c>
      <c r="L117" s="85">
        <f>Table58[[#This Row],[Government]]/Table58[[#This Row],[GDP]]</f>
        <v/>
      </c>
      <c r="N117" s="52">
        <f>SUM(Table58[[#This Row],[PC%]:[G%]])</f>
        <v/>
      </c>
      <c r="O117" s="55">
        <f>Table58[[#This Row],[Personal Consumption]]+Table58[[#This Row],[Private Investment]]+Table58[[#This Row],[Exports]]+Table58[[#This Row],[Government]]-Table58[[#This Row],[Imports]]</f>
        <v/>
      </c>
    </row>
    <row r="118">
      <c r="A118" s="94" t="n">
        <v>27395</v>
      </c>
      <c r="B118" s="164">
        <f>VLOOKUP(A118,'U.S. GDP'!A:B,2,)</f>
        <v/>
      </c>
      <c r="C118" s="164">
        <f>VLOOKUP(A118,PersonalConsumption!A:B,2,)</f>
        <v/>
      </c>
      <c r="D118" s="164">
        <f>VLOOKUP(A118,PrivateInvestment!A:B,2,)</f>
        <v/>
      </c>
      <c r="E118" s="164">
        <f>VLOOKUP(A118,Exports!A:B,2,)</f>
        <v/>
      </c>
      <c r="F118" s="164">
        <f>VLOOKUP(A118,Imports!A:B,2,)</f>
        <v/>
      </c>
      <c r="G118" s="164">
        <f>VLOOKUP(A118,Government!A:B,2,)</f>
        <v/>
      </c>
      <c r="H118" s="85">
        <f>Table58[[#This Row],[Personal Consumption]]/Table58[[#This Row],[GDP]]</f>
        <v/>
      </c>
      <c r="I118" s="85">
        <f>Table58[[#This Row],[Private Investment]]/Table58[[#This Row],[GDP]]</f>
        <v/>
      </c>
      <c r="J118" s="85">
        <f>Table58[[#This Row],[Exports]]/Table58[[#This Row],[GDP]]</f>
        <v/>
      </c>
      <c r="K118" s="85">
        <f>-Table58[[#This Row],[Imports]]/Table58[[#This Row],[GDP]]</f>
        <v/>
      </c>
      <c r="L118" s="85">
        <f>Table58[[#This Row],[Government]]/Table58[[#This Row],[GDP]]</f>
        <v/>
      </c>
      <c r="N118" s="52">
        <f>SUM(Table58[[#This Row],[PC%]:[G%]])</f>
        <v/>
      </c>
      <c r="O118" s="55">
        <f>Table58[[#This Row],[Personal Consumption]]+Table58[[#This Row],[Private Investment]]+Table58[[#This Row],[Exports]]+Table58[[#This Row],[Government]]-Table58[[#This Row],[Imports]]</f>
        <v/>
      </c>
    </row>
    <row r="119">
      <c r="A119" s="94" t="n">
        <v>27485</v>
      </c>
      <c r="B119" s="164">
        <f>VLOOKUP(A119,'U.S. GDP'!A:B,2,)</f>
        <v/>
      </c>
      <c r="C119" s="164">
        <f>VLOOKUP(A119,PersonalConsumption!A:B,2,)</f>
        <v/>
      </c>
      <c r="D119" s="164">
        <f>VLOOKUP(A119,PrivateInvestment!A:B,2,)</f>
        <v/>
      </c>
      <c r="E119" s="164">
        <f>VLOOKUP(A119,Exports!A:B,2,)</f>
        <v/>
      </c>
      <c r="F119" s="164">
        <f>VLOOKUP(A119,Imports!A:B,2,)</f>
        <v/>
      </c>
      <c r="G119" s="164">
        <f>VLOOKUP(A119,Government!A:B,2,)</f>
        <v/>
      </c>
      <c r="H119" s="85">
        <f>Table58[[#This Row],[Personal Consumption]]/Table58[[#This Row],[GDP]]</f>
        <v/>
      </c>
      <c r="I119" s="85">
        <f>Table58[[#This Row],[Private Investment]]/Table58[[#This Row],[GDP]]</f>
        <v/>
      </c>
      <c r="J119" s="85">
        <f>Table58[[#This Row],[Exports]]/Table58[[#This Row],[GDP]]</f>
        <v/>
      </c>
      <c r="K119" s="85">
        <f>-Table58[[#This Row],[Imports]]/Table58[[#This Row],[GDP]]</f>
        <v/>
      </c>
      <c r="L119" s="85">
        <f>Table58[[#This Row],[Government]]/Table58[[#This Row],[GDP]]</f>
        <v/>
      </c>
      <c r="N119" s="52">
        <f>SUM(Table58[[#This Row],[PC%]:[G%]])</f>
        <v/>
      </c>
      <c r="O119" s="55">
        <f>Table58[[#This Row],[Personal Consumption]]+Table58[[#This Row],[Private Investment]]+Table58[[#This Row],[Exports]]+Table58[[#This Row],[Government]]-Table58[[#This Row],[Imports]]</f>
        <v/>
      </c>
    </row>
    <row r="120">
      <c r="A120" s="94" t="n">
        <v>27576</v>
      </c>
      <c r="B120" s="164">
        <f>VLOOKUP(A120,'U.S. GDP'!A:B,2,)</f>
        <v/>
      </c>
      <c r="C120" s="164">
        <f>VLOOKUP(A120,PersonalConsumption!A:B,2,)</f>
        <v/>
      </c>
      <c r="D120" s="164">
        <f>VLOOKUP(A120,PrivateInvestment!A:B,2,)</f>
        <v/>
      </c>
      <c r="E120" s="164">
        <f>VLOOKUP(A120,Exports!A:B,2,)</f>
        <v/>
      </c>
      <c r="F120" s="164">
        <f>VLOOKUP(A120,Imports!A:B,2,)</f>
        <v/>
      </c>
      <c r="G120" s="164">
        <f>VLOOKUP(A120,Government!A:B,2,)</f>
        <v/>
      </c>
      <c r="H120" s="85">
        <f>Table58[[#This Row],[Personal Consumption]]/Table58[[#This Row],[GDP]]</f>
        <v/>
      </c>
      <c r="I120" s="85">
        <f>Table58[[#This Row],[Private Investment]]/Table58[[#This Row],[GDP]]</f>
        <v/>
      </c>
      <c r="J120" s="85">
        <f>Table58[[#This Row],[Exports]]/Table58[[#This Row],[GDP]]</f>
        <v/>
      </c>
      <c r="K120" s="85">
        <f>-Table58[[#This Row],[Imports]]/Table58[[#This Row],[GDP]]</f>
        <v/>
      </c>
      <c r="L120" s="85">
        <f>Table58[[#This Row],[Government]]/Table58[[#This Row],[GDP]]</f>
        <v/>
      </c>
      <c r="N120" s="52">
        <f>SUM(Table58[[#This Row],[PC%]:[G%]])</f>
        <v/>
      </c>
      <c r="O120" s="55">
        <f>Table58[[#This Row],[Personal Consumption]]+Table58[[#This Row],[Private Investment]]+Table58[[#This Row],[Exports]]+Table58[[#This Row],[Government]]-Table58[[#This Row],[Imports]]</f>
        <v/>
      </c>
    </row>
    <row r="121">
      <c r="A121" s="94" t="n">
        <v>27668</v>
      </c>
      <c r="B121" s="164">
        <f>VLOOKUP(A121,'U.S. GDP'!A:B,2,)</f>
        <v/>
      </c>
      <c r="C121" s="164">
        <f>VLOOKUP(A121,PersonalConsumption!A:B,2,)</f>
        <v/>
      </c>
      <c r="D121" s="164">
        <f>VLOOKUP(A121,PrivateInvestment!A:B,2,)</f>
        <v/>
      </c>
      <c r="E121" s="164">
        <f>VLOOKUP(A121,Exports!A:B,2,)</f>
        <v/>
      </c>
      <c r="F121" s="164">
        <f>VLOOKUP(A121,Imports!A:B,2,)</f>
        <v/>
      </c>
      <c r="G121" s="164">
        <f>VLOOKUP(A121,Government!A:B,2,)</f>
        <v/>
      </c>
      <c r="H121" s="85">
        <f>Table58[[#This Row],[Personal Consumption]]/Table58[[#This Row],[GDP]]</f>
        <v/>
      </c>
      <c r="I121" s="85">
        <f>Table58[[#This Row],[Private Investment]]/Table58[[#This Row],[GDP]]</f>
        <v/>
      </c>
      <c r="J121" s="85">
        <f>Table58[[#This Row],[Exports]]/Table58[[#This Row],[GDP]]</f>
        <v/>
      </c>
      <c r="K121" s="85">
        <f>-Table58[[#This Row],[Imports]]/Table58[[#This Row],[GDP]]</f>
        <v/>
      </c>
      <c r="L121" s="85">
        <f>Table58[[#This Row],[Government]]/Table58[[#This Row],[GDP]]</f>
        <v/>
      </c>
      <c r="N121" s="52">
        <f>SUM(Table58[[#This Row],[PC%]:[G%]])</f>
        <v/>
      </c>
      <c r="O121" s="55">
        <f>Table58[[#This Row],[Personal Consumption]]+Table58[[#This Row],[Private Investment]]+Table58[[#This Row],[Exports]]+Table58[[#This Row],[Government]]-Table58[[#This Row],[Imports]]</f>
        <v/>
      </c>
    </row>
    <row r="122">
      <c r="A122" s="94" t="n">
        <v>27760</v>
      </c>
      <c r="B122" s="164">
        <f>VLOOKUP(A122,'U.S. GDP'!A:B,2,)</f>
        <v/>
      </c>
      <c r="C122" s="164">
        <f>VLOOKUP(A122,PersonalConsumption!A:B,2,)</f>
        <v/>
      </c>
      <c r="D122" s="164">
        <f>VLOOKUP(A122,PrivateInvestment!A:B,2,)</f>
        <v/>
      </c>
      <c r="E122" s="164">
        <f>VLOOKUP(A122,Exports!A:B,2,)</f>
        <v/>
      </c>
      <c r="F122" s="164">
        <f>VLOOKUP(A122,Imports!A:B,2,)</f>
        <v/>
      </c>
      <c r="G122" s="164">
        <f>VLOOKUP(A122,Government!A:B,2,)</f>
        <v/>
      </c>
      <c r="H122" s="85">
        <f>Table58[[#This Row],[Personal Consumption]]/Table58[[#This Row],[GDP]]</f>
        <v/>
      </c>
      <c r="I122" s="85">
        <f>Table58[[#This Row],[Private Investment]]/Table58[[#This Row],[GDP]]</f>
        <v/>
      </c>
      <c r="J122" s="85">
        <f>Table58[[#This Row],[Exports]]/Table58[[#This Row],[GDP]]</f>
        <v/>
      </c>
      <c r="K122" s="85">
        <f>-Table58[[#This Row],[Imports]]/Table58[[#This Row],[GDP]]</f>
        <v/>
      </c>
      <c r="L122" s="85">
        <f>Table58[[#This Row],[Government]]/Table58[[#This Row],[GDP]]</f>
        <v/>
      </c>
      <c r="N122" s="52">
        <f>SUM(Table58[[#This Row],[PC%]:[G%]])</f>
        <v/>
      </c>
      <c r="O122" s="55">
        <f>Table58[[#This Row],[Personal Consumption]]+Table58[[#This Row],[Private Investment]]+Table58[[#This Row],[Exports]]+Table58[[#This Row],[Government]]-Table58[[#This Row],[Imports]]</f>
        <v/>
      </c>
    </row>
    <row r="123">
      <c r="A123" s="94" t="n">
        <v>27851</v>
      </c>
      <c r="B123" s="164">
        <f>VLOOKUP(A123,'U.S. GDP'!A:B,2,)</f>
        <v/>
      </c>
      <c r="C123" s="164">
        <f>VLOOKUP(A123,PersonalConsumption!A:B,2,)</f>
        <v/>
      </c>
      <c r="D123" s="164">
        <f>VLOOKUP(A123,PrivateInvestment!A:B,2,)</f>
        <v/>
      </c>
      <c r="E123" s="164">
        <f>VLOOKUP(A123,Exports!A:B,2,)</f>
        <v/>
      </c>
      <c r="F123" s="164">
        <f>VLOOKUP(A123,Imports!A:B,2,)</f>
        <v/>
      </c>
      <c r="G123" s="164">
        <f>VLOOKUP(A123,Government!A:B,2,)</f>
        <v/>
      </c>
      <c r="H123" s="85">
        <f>Table58[[#This Row],[Personal Consumption]]/Table58[[#This Row],[GDP]]</f>
        <v/>
      </c>
      <c r="I123" s="85">
        <f>Table58[[#This Row],[Private Investment]]/Table58[[#This Row],[GDP]]</f>
        <v/>
      </c>
      <c r="J123" s="85">
        <f>Table58[[#This Row],[Exports]]/Table58[[#This Row],[GDP]]</f>
        <v/>
      </c>
      <c r="K123" s="85">
        <f>-Table58[[#This Row],[Imports]]/Table58[[#This Row],[GDP]]</f>
        <v/>
      </c>
      <c r="L123" s="85">
        <f>Table58[[#This Row],[Government]]/Table58[[#This Row],[GDP]]</f>
        <v/>
      </c>
      <c r="N123" s="52">
        <f>SUM(Table58[[#This Row],[PC%]:[G%]])</f>
        <v/>
      </c>
      <c r="O123" s="55">
        <f>Table58[[#This Row],[Personal Consumption]]+Table58[[#This Row],[Private Investment]]+Table58[[#This Row],[Exports]]+Table58[[#This Row],[Government]]-Table58[[#This Row],[Imports]]</f>
        <v/>
      </c>
    </row>
    <row r="124">
      <c r="A124" s="94" t="n">
        <v>27942</v>
      </c>
      <c r="B124" s="164">
        <f>VLOOKUP(A124,'U.S. GDP'!A:B,2,)</f>
        <v/>
      </c>
      <c r="C124" s="164">
        <f>VLOOKUP(A124,PersonalConsumption!A:B,2,)</f>
        <v/>
      </c>
      <c r="D124" s="164">
        <f>VLOOKUP(A124,PrivateInvestment!A:B,2,)</f>
        <v/>
      </c>
      <c r="E124" s="164">
        <f>VLOOKUP(A124,Exports!A:B,2,)</f>
        <v/>
      </c>
      <c r="F124" s="164">
        <f>VLOOKUP(A124,Imports!A:B,2,)</f>
        <v/>
      </c>
      <c r="G124" s="164">
        <f>VLOOKUP(A124,Government!A:B,2,)</f>
        <v/>
      </c>
      <c r="H124" s="85">
        <f>Table58[[#This Row],[Personal Consumption]]/Table58[[#This Row],[GDP]]</f>
        <v/>
      </c>
      <c r="I124" s="85">
        <f>Table58[[#This Row],[Private Investment]]/Table58[[#This Row],[GDP]]</f>
        <v/>
      </c>
      <c r="J124" s="85">
        <f>Table58[[#This Row],[Exports]]/Table58[[#This Row],[GDP]]</f>
        <v/>
      </c>
      <c r="K124" s="85">
        <f>-Table58[[#This Row],[Imports]]/Table58[[#This Row],[GDP]]</f>
        <v/>
      </c>
      <c r="L124" s="85">
        <f>Table58[[#This Row],[Government]]/Table58[[#This Row],[GDP]]</f>
        <v/>
      </c>
      <c r="N124" s="52">
        <f>SUM(Table58[[#This Row],[PC%]:[G%]])</f>
        <v/>
      </c>
      <c r="O124" s="55">
        <f>Table58[[#This Row],[Personal Consumption]]+Table58[[#This Row],[Private Investment]]+Table58[[#This Row],[Exports]]+Table58[[#This Row],[Government]]-Table58[[#This Row],[Imports]]</f>
        <v/>
      </c>
    </row>
    <row r="125">
      <c r="A125" s="94" t="n">
        <v>28034</v>
      </c>
      <c r="B125" s="164">
        <f>VLOOKUP(A125,'U.S. GDP'!A:B,2,)</f>
        <v/>
      </c>
      <c r="C125" s="164">
        <f>VLOOKUP(A125,PersonalConsumption!A:B,2,)</f>
        <v/>
      </c>
      <c r="D125" s="164">
        <f>VLOOKUP(A125,PrivateInvestment!A:B,2,)</f>
        <v/>
      </c>
      <c r="E125" s="164">
        <f>VLOOKUP(A125,Exports!A:B,2,)</f>
        <v/>
      </c>
      <c r="F125" s="164">
        <f>VLOOKUP(A125,Imports!A:B,2,)</f>
        <v/>
      </c>
      <c r="G125" s="164">
        <f>VLOOKUP(A125,Government!A:B,2,)</f>
        <v/>
      </c>
      <c r="H125" s="85">
        <f>Table58[[#This Row],[Personal Consumption]]/Table58[[#This Row],[GDP]]</f>
        <v/>
      </c>
      <c r="I125" s="85">
        <f>Table58[[#This Row],[Private Investment]]/Table58[[#This Row],[GDP]]</f>
        <v/>
      </c>
      <c r="J125" s="85">
        <f>Table58[[#This Row],[Exports]]/Table58[[#This Row],[GDP]]</f>
        <v/>
      </c>
      <c r="K125" s="85">
        <f>-Table58[[#This Row],[Imports]]/Table58[[#This Row],[GDP]]</f>
        <v/>
      </c>
      <c r="L125" s="85">
        <f>Table58[[#This Row],[Government]]/Table58[[#This Row],[GDP]]</f>
        <v/>
      </c>
      <c r="N125" s="52">
        <f>SUM(Table58[[#This Row],[PC%]:[G%]])</f>
        <v/>
      </c>
      <c r="O125" s="55">
        <f>Table58[[#This Row],[Personal Consumption]]+Table58[[#This Row],[Private Investment]]+Table58[[#This Row],[Exports]]+Table58[[#This Row],[Government]]-Table58[[#This Row],[Imports]]</f>
        <v/>
      </c>
    </row>
    <row r="126">
      <c r="A126" s="94" t="n">
        <v>28126</v>
      </c>
      <c r="B126" s="164">
        <f>VLOOKUP(A126,'U.S. GDP'!A:B,2,)</f>
        <v/>
      </c>
      <c r="C126" s="164">
        <f>VLOOKUP(A126,PersonalConsumption!A:B,2,)</f>
        <v/>
      </c>
      <c r="D126" s="164">
        <f>VLOOKUP(A126,PrivateInvestment!A:B,2,)</f>
        <v/>
      </c>
      <c r="E126" s="164">
        <f>VLOOKUP(A126,Exports!A:B,2,)</f>
        <v/>
      </c>
      <c r="F126" s="164">
        <f>VLOOKUP(A126,Imports!A:B,2,)</f>
        <v/>
      </c>
      <c r="G126" s="164">
        <f>VLOOKUP(A126,Government!A:B,2,)</f>
        <v/>
      </c>
      <c r="H126" s="85">
        <f>Table58[[#This Row],[Personal Consumption]]/Table58[[#This Row],[GDP]]</f>
        <v/>
      </c>
      <c r="I126" s="85">
        <f>Table58[[#This Row],[Private Investment]]/Table58[[#This Row],[GDP]]</f>
        <v/>
      </c>
      <c r="J126" s="85">
        <f>Table58[[#This Row],[Exports]]/Table58[[#This Row],[GDP]]</f>
        <v/>
      </c>
      <c r="K126" s="85">
        <f>-Table58[[#This Row],[Imports]]/Table58[[#This Row],[GDP]]</f>
        <v/>
      </c>
      <c r="L126" s="85">
        <f>Table58[[#This Row],[Government]]/Table58[[#This Row],[GDP]]</f>
        <v/>
      </c>
      <c r="N126" s="52">
        <f>SUM(Table58[[#This Row],[PC%]:[G%]])</f>
        <v/>
      </c>
      <c r="O126" s="55">
        <f>Table58[[#This Row],[Personal Consumption]]+Table58[[#This Row],[Private Investment]]+Table58[[#This Row],[Exports]]+Table58[[#This Row],[Government]]-Table58[[#This Row],[Imports]]</f>
        <v/>
      </c>
    </row>
    <row r="127">
      <c r="A127" s="94" t="n">
        <v>28216</v>
      </c>
      <c r="B127" s="164">
        <f>VLOOKUP(A127,'U.S. GDP'!A:B,2,)</f>
        <v/>
      </c>
      <c r="C127" s="164">
        <f>VLOOKUP(A127,PersonalConsumption!A:B,2,)</f>
        <v/>
      </c>
      <c r="D127" s="164">
        <f>VLOOKUP(A127,PrivateInvestment!A:B,2,)</f>
        <v/>
      </c>
      <c r="E127" s="164">
        <f>VLOOKUP(A127,Exports!A:B,2,)</f>
        <v/>
      </c>
      <c r="F127" s="164">
        <f>VLOOKUP(A127,Imports!A:B,2,)</f>
        <v/>
      </c>
      <c r="G127" s="164">
        <f>VLOOKUP(A127,Government!A:B,2,)</f>
        <v/>
      </c>
      <c r="H127" s="85">
        <f>Table58[[#This Row],[Personal Consumption]]/Table58[[#This Row],[GDP]]</f>
        <v/>
      </c>
      <c r="I127" s="85">
        <f>Table58[[#This Row],[Private Investment]]/Table58[[#This Row],[GDP]]</f>
        <v/>
      </c>
      <c r="J127" s="85">
        <f>Table58[[#This Row],[Exports]]/Table58[[#This Row],[GDP]]</f>
        <v/>
      </c>
      <c r="K127" s="85">
        <f>-Table58[[#This Row],[Imports]]/Table58[[#This Row],[GDP]]</f>
        <v/>
      </c>
      <c r="L127" s="85">
        <f>Table58[[#This Row],[Government]]/Table58[[#This Row],[GDP]]</f>
        <v/>
      </c>
      <c r="N127" s="52">
        <f>SUM(Table58[[#This Row],[PC%]:[G%]])</f>
        <v/>
      </c>
      <c r="O127" s="55">
        <f>Table58[[#This Row],[Personal Consumption]]+Table58[[#This Row],[Private Investment]]+Table58[[#This Row],[Exports]]+Table58[[#This Row],[Government]]-Table58[[#This Row],[Imports]]</f>
        <v/>
      </c>
    </row>
    <row r="128">
      <c r="A128" s="94" t="n">
        <v>28307</v>
      </c>
      <c r="B128" s="164">
        <f>VLOOKUP(A128,'U.S. GDP'!A:B,2,)</f>
        <v/>
      </c>
      <c r="C128" s="164">
        <f>VLOOKUP(A128,PersonalConsumption!A:B,2,)</f>
        <v/>
      </c>
      <c r="D128" s="164">
        <f>VLOOKUP(A128,PrivateInvestment!A:B,2,)</f>
        <v/>
      </c>
      <c r="E128" s="164">
        <f>VLOOKUP(A128,Exports!A:B,2,)</f>
        <v/>
      </c>
      <c r="F128" s="164">
        <f>VLOOKUP(A128,Imports!A:B,2,)</f>
        <v/>
      </c>
      <c r="G128" s="164">
        <f>VLOOKUP(A128,Government!A:B,2,)</f>
        <v/>
      </c>
      <c r="H128" s="85">
        <f>Table58[[#This Row],[Personal Consumption]]/Table58[[#This Row],[GDP]]</f>
        <v/>
      </c>
      <c r="I128" s="85">
        <f>Table58[[#This Row],[Private Investment]]/Table58[[#This Row],[GDP]]</f>
        <v/>
      </c>
      <c r="J128" s="85">
        <f>Table58[[#This Row],[Exports]]/Table58[[#This Row],[GDP]]</f>
        <v/>
      </c>
      <c r="K128" s="85">
        <f>-Table58[[#This Row],[Imports]]/Table58[[#This Row],[GDP]]</f>
        <v/>
      </c>
      <c r="L128" s="85">
        <f>Table58[[#This Row],[Government]]/Table58[[#This Row],[GDP]]</f>
        <v/>
      </c>
      <c r="N128" s="52">
        <f>SUM(Table58[[#This Row],[PC%]:[G%]])</f>
        <v/>
      </c>
      <c r="O128" s="55">
        <f>Table58[[#This Row],[Personal Consumption]]+Table58[[#This Row],[Private Investment]]+Table58[[#This Row],[Exports]]+Table58[[#This Row],[Government]]-Table58[[#This Row],[Imports]]</f>
        <v/>
      </c>
    </row>
    <row r="129">
      <c r="A129" s="94" t="n">
        <v>28399</v>
      </c>
      <c r="B129" s="164">
        <f>VLOOKUP(A129,'U.S. GDP'!A:B,2,)</f>
        <v/>
      </c>
      <c r="C129" s="164">
        <f>VLOOKUP(A129,PersonalConsumption!A:B,2,)</f>
        <v/>
      </c>
      <c r="D129" s="164">
        <f>VLOOKUP(A129,PrivateInvestment!A:B,2,)</f>
        <v/>
      </c>
      <c r="E129" s="164">
        <f>VLOOKUP(A129,Exports!A:B,2,)</f>
        <v/>
      </c>
      <c r="F129" s="164">
        <f>VLOOKUP(A129,Imports!A:B,2,)</f>
        <v/>
      </c>
      <c r="G129" s="164">
        <f>VLOOKUP(A129,Government!A:B,2,)</f>
        <v/>
      </c>
      <c r="H129" s="85">
        <f>Table58[[#This Row],[Personal Consumption]]/Table58[[#This Row],[GDP]]</f>
        <v/>
      </c>
      <c r="I129" s="85">
        <f>Table58[[#This Row],[Private Investment]]/Table58[[#This Row],[GDP]]</f>
        <v/>
      </c>
      <c r="J129" s="85">
        <f>Table58[[#This Row],[Exports]]/Table58[[#This Row],[GDP]]</f>
        <v/>
      </c>
      <c r="K129" s="85">
        <f>-Table58[[#This Row],[Imports]]/Table58[[#This Row],[GDP]]</f>
        <v/>
      </c>
      <c r="L129" s="85">
        <f>Table58[[#This Row],[Government]]/Table58[[#This Row],[GDP]]</f>
        <v/>
      </c>
      <c r="N129" s="52">
        <f>SUM(Table58[[#This Row],[PC%]:[G%]])</f>
        <v/>
      </c>
      <c r="O129" s="55">
        <f>Table58[[#This Row],[Personal Consumption]]+Table58[[#This Row],[Private Investment]]+Table58[[#This Row],[Exports]]+Table58[[#This Row],[Government]]-Table58[[#This Row],[Imports]]</f>
        <v/>
      </c>
    </row>
    <row r="130">
      <c r="A130" s="94" t="n">
        <v>28491</v>
      </c>
      <c r="B130" s="164">
        <f>VLOOKUP(A130,'U.S. GDP'!A:B,2,)</f>
        <v/>
      </c>
      <c r="C130" s="164">
        <f>VLOOKUP(A130,PersonalConsumption!A:B,2,)</f>
        <v/>
      </c>
      <c r="D130" s="164">
        <f>VLOOKUP(A130,PrivateInvestment!A:B,2,)</f>
        <v/>
      </c>
      <c r="E130" s="164">
        <f>VLOOKUP(A130,Exports!A:B,2,)</f>
        <v/>
      </c>
      <c r="F130" s="164">
        <f>VLOOKUP(A130,Imports!A:B,2,)</f>
        <v/>
      </c>
      <c r="G130" s="164">
        <f>VLOOKUP(A130,Government!A:B,2,)</f>
        <v/>
      </c>
      <c r="H130" s="85">
        <f>Table58[[#This Row],[Personal Consumption]]/Table58[[#This Row],[GDP]]</f>
        <v/>
      </c>
      <c r="I130" s="85">
        <f>Table58[[#This Row],[Private Investment]]/Table58[[#This Row],[GDP]]</f>
        <v/>
      </c>
      <c r="J130" s="85">
        <f>Table58[[#This Row],[Exports]]/Table58[[#This Row],[GDP]]</f>
        <v/>
      </c>
      <c r="K130" s="85">
        <f>-Table58[[#This Row],[Imports]]/Table58[[#This Row],[GDP]]</f>
        <v/>
      </c>
      <c r="L130" s="85">
        <f>Table58[[#This Row],[Government]]/Table58[[#This Row],[GDP]]</f>
        <v/>
      </c>
      <c r="N130" s="52">
        <f>SUM(Table58[[#This Row],[PC%]:[G%]])</f>
        <v/>
      </c>
      <c r="O130" s="55">
        <f>Table58[[#This Row],[Personal Consumption]]+Table58[[#This Row],[Private Investment]]+Table58[[#This Row],[Exports]]+Table58[[#This Row],[Government]]-Table58[[#This Row],[Imports]]</f>
        <v/>
      </c>
    </row>
    <row r="131">
      <c r="A131" s="94" t="n">
        <v>28581</v>
      </c>
      <c r="B131" s="164">
        <f>VLOOKUP(A131,'U.S. GDP'!A:B,2,)</f>
        <v/>
      </c>
      <c r="C131" s="164">
        <f>VLOOKUP(A131,PersonalConsumption!A:B,2,)</f>
        <v/>
      </c>
      <c r="D131" s="164">
        <f>VLOOKUP(A131,PrivateInvestment!A:B,2,)</f>
        <v/>
      </c>
      <c r="E131" s="164">
        <f>VLOOKUP(A131,Exports!A:B,2,)</f>
        <v/>
      </c>
      <c r="F131" s="164">
        <f>VLOOKUP(A131,Imports!A:B,2,)</f>
        <v/>
      </c>
      <c r="G131" s="164">
        <f>VLOOKUP(A131,Government!A:B,2,)</f>
        <v/>
      </c>
      <c r="H131" s="85">
        <f>Table58[[#This Row],[Personal Consumption]]/Table58[[#This Row],[GDP]]</f>
        <v/>
      </c>
      <c r="I131" s="85">
        <f>Table58[[#This Row],[Private Investment]]/Table58[[#This Row],[GDP]]</f>
        <v/>
      </c>
      <c r="J131" s="85">
        <f>Table58[[#This Row],[Exports]]/Table58[[#This Row],[GDP]]</f>
        <v/>
      </c>
      <c r="K131" s="85">
        <f>-Table58[[#This Row],[Imports]]/Table58[[#This Row],[GDP]]</f>
        <v/>
      </c>
      <c r="L131" s="85">
        <f>Table58[[#This Row],[Government]]/Table58[[#This Row],[GDP]]</f>
        <v/>
      </c>
      <c r="N131" s="52">
        <f>SUM(Table58[[#This Row],[PC%]:[G%]])</f>
        <v/>
      </c>
      <c r="O131" s="55">
        <f>Table58[[#This Row],[Personal Consumption]]+Table58[[#This Row],[Private Investment]]+Table58[[#This Row],[Exports]]+Table58[[#This Row],[Government]]-Table58[[#This Row],[Imports]]</f>
        <v/>
      </c>
    </row>
    <row r="132">
      <c r="A132" s="94" t="n">
        <v>28672</v>
      </c>
      <c r="B132" s="164">
        <f>VLOOKUP(A132,'U.S. GDP'!A:B,2,)</f>
        <v/>
      </c>
      <c r="C132" s="164">
        <f>VLOOKUP(A132,PersonalConsumption!A:B,2,)</f>
        <v/>
      </c>
      <c r="D132" s="164">
        <f>VLOOKUP(A132,PrivateInvestment!A:B,2,)</f>
        <v/>
      </c>
      <c r="E132" s="164">
        <f>VLOOKUP(A132,Exports!A:B,2,)</f>
        <v/>
      </c>
      <c r="F132" s="164">
        <f>VLOOKUP(A132,Imports!A:B,2,)</f>
        <v/>
      </c>
      <c r="G132" s="164">
        <f>VLOOKUP(A132,Government!A:B,2,)</f>
        <v/>
      </c>
      <c r="H132" s="85">
        <f>Table58[[#This Row],[Personal Consumption]]/Table58[[#This Row],[GDP]]</f>
        <v/>
      </c>
      <c r="I132" s="85">
        <f>Table58[[#This Row],[Private Investment]]/Table58[[#This Row],[GDP]]</f>
        <v/>
      </c>
      <c r="J132" s="85">
        <f>Table58[[#This Row],[Exports]]/Table58[[#This Row],[GDP]]</f>
        <v/>
      </c>
      <c r="K132" s="85">
        <f>-Table58[[#This Row],[Imports]]/Table58[[#This Row],[GDP]]</f>
        <v/>
      </c>
      <c r="L132" s="85">
        <f>Table58[[#This Row],[Government]]/Table58[[#This Row],[GDP]]</f>
        <v/>
      </c>
      <c r="N132" s="52">
        <f>SUM(Table58[[#This Row],[PC%]:[G%]])</f>
        <v/>
      </c>
      <c r="O132" s="55">
        <f>Table58[[#This Row],[Personal Consumption]]+Table58[[#This Row],[Private Investment]]+Table58[[#This Row],[Exports]]+Table58[[#This Row],[Government]]-Table58[[#This Row],[Imports]]</f>
        <v/>
      </c>
    </row>
    <row r="133">
      <c r="A133" s="94" t="n">
        <v>28764</v>
      </c>
      <c r="B133" s="164">
        <f>VLOOKUP(A133,'U.S. GDP'!A:B,2,)</f>
        <v/>
      </c>
      <c r="C133" s="164">
        <f>VLOOKUP(A133,PersonalConsumption!A:B,2,)</f>
        <v/>
      </c>
      <c r="D133" s="164">
        <f>VLOOKUP(A133,PrivateInvestment!A:B,2,)</f>
        <v/>
      </c>
      <c r="E133" s="164">
        <f>VLOOKUP(A133,Exports!A:B,2,)</f>
        <v/>
      </c>
      <c r="F133" s="164">
        <f>VLOOKUP(A133,Imports!A:B,2,)</f>
        <v/>
      </c>
      <c r="G133" s="164">
        <f>VLOOKUP(A133,Government!A:B,2,)</f>
        <v/>
      </c>
      <c r="H133" s="85">
        <f>Table58[[#This Row],[Personal Consumption]]/Table58[[#This Row],[GDP]]</f>
        <v/>
      </c>
      <c r="I133" s="85">
        <f>Table58[[#This Row],[Private Investment]]/Table58[[#This Row],[GDP]]</f>
        <v/>
      </c>
      <c r="J133" s="85">
        <f>Table58[[#This Row],[Exports]]/Table58[[#This Row],[GDP]]</f>
        <v/>
      </c>
      <c r="K133" s="85">
        <f>-Table58[[#This Row],[Imports]]/Table58[[#This Row],[GDP]]</f>
        <v/>
      </c>
      <c r="L133" s="85">
        <f>Table58[[#This Row],[Government]]/Table58[[#This Row],[GDP]]</f>
        <v/>
      </c>
      <c r="N133" s="52">
        <f>SUM(Table58[[#This Row],[PC%]:[G%]])</f>
        <v/>
      </c>
      <c r="O133" s="55">
        <f>Table58[[#This Row],[Personal Consumption]]+Table58[[#This Row],[Private Investment]]+Table58[[#This Row],[Exports]]+Table58[[#This Row],[Government]]-Table58[[#This Row],[Imports]]</f>
        <v/>
      </c>
    </row>
    <row r="134">
      <c r="A134" s="94" t="n">
        <v>28856</v>
      </c>
      <c r="B134" s="164">
        <f>VLOOKUP(A134,'U.S. GDP'!A:B,2,)</f>
        <v/>
      </c>
      <c r="C134" s="164">
        <f>VLOOKUP(A134,PersonalConsumption!A:B,2,)</f>
        <v/>
      </c>
      <c r="D134" s="164">
        <f>VLOOKUP(A134,PrivateInvestment!A:B,2,)</f>
        <v/>
      </c>
      <c r="E134" s="164">
        <f>VLOOKUP(A134,Exports!A:B,2,)</f>
        <v/>
      </c>
      <c r="F134" s="164">
        <f>VLOOKUP(A134,Imports!A:B,2,)</f>
        <v/>
      </c>
      <c r="G134" s="164">
        <f>VLOOKUP(A134,Government!A:B,2,)</f>
        <v/>
      </c>
      <c r="H134" s="85">
        <f>Table58[[#This Row],[Personal Consumption]]/Table58[[#This Row],[GDP]]</f>
        <v/>
      </c>
      <c r="I134" s="85">
        <f>Table58[[#This Row],[Private Investment]]/Table58[[#This Row],[GDP]]</f>
        <v/>
      </c>
      <c r="J134" s="85">
        <f>Table58[[#This Row],[Exports]]/Table58[[#This Row],[GDP]]</f>
        <v/>
      </c>
      <c r="K134" s="85">
        <f>-Table58[[#This Row],[Imports]]/Table58[[#This Row],[GDP]]</f>
        <v/>
      </c>
      <c r="L134" s="85">
        <f>Table58[[#This Row],[Government]]/Table58[[#This Row],[GDP]]</f>
        <v/>
      </c>
      <c r="N134" s="52">
        <f>SUM(Table58[[#This Row],[PC%]:[G%]])</f>
        <v/>
      </c>
      <c r="O134" s="55">
        <f>Table58[[#This Row],[Personal Consumption]]+Table58[[#This Row],[Private Investment]]+Table58[[#This Row],[Exports]]+Table58[[#This Row],[Government]]-Table58[[#This Row],[Imports]]</f>
        <v/>
      </c>
    </row>
    <row r="135">
      <c r="A135" s="94" t="n">
        <v>28946</v>
      </c>
      <c r="B135" s="164">
        <f>VLOOKUP(A135,'U.S. GDP'!A:B,2,)</f>
        <v/>
      </c>
      <c r="C135" s="164">
        <f>VLOOKUP(A135,PersonalConsumption!A:B,2,)</f>
        <v/>
      </c>
      <c r="D135" s="164">
        <f>VLOOKUP(A135,PrivateInvestment!A:B,2,)</f>
        <v/>
      </c>
      <c r="E135" s="164">
        <f>VLOOKUP(A135,Exports!A:B,2,)</f>
        <v/>
      </c>
      <c r="F135" s="164">
        <f>VLOOKUP(A135,Imports!A:B,2,)</f>
        <v/>
      </c>
      <c r="G135" s="164">
        <f>VLOOKUP(A135,Government!A:B,2,)</f>
        <v/>
      </c>
      <c r="H135" s="85">
        <f>Table58[[#This Row],[Personal Consumption]]/Table58[[#This Row],[GDP]]</f>
        <v/>
      </c>
      <c r="I135" s="85">
        <f>Table58[[#This Row],[Private Investment]]/Table58[[#This Row],[GDP]]</f>
        <v/>
      </c>
      <c r="J135" s="85">
        <f>Table58[[#This Row],[Exports]]/Table58[[#This Row],[GDP]]</f>
        <v/>
      </c>
      <c r="K135" s="85">
        <f>-Table58[[#This Row],[Imports]]/Table58[[#This Row],[GDP]]</f>
        <v/>
      </c>
      <c r="L135" s="85">
        <f>Table58[[#This Row],[Government]]/Table58[[#This Row],[GDP]]</f>
        <v/>
      </c>
      <c r="N135" s="52">
        <f>SUM(Table58[[#This Row],[PC%]:[G%]])</f>
        <v/>
      </c>
      <c r="O135" s="55">
        <f>Table58[[#This Row],[Personal Consumption]]+Table58[[#This Row],[Private Investment]]+Table58[[#This Row],[Exports]]+Table58[[#This Row],[Government]]-Table58[[#This Row],[Imports]]</f>
        <v/>
      </c>
    </row>
    <row r="136">
      <c r="A136" s="94" t="n">
        <v>29037</v>
      </c>
      <c r="B136" s="164">
        <f>VLOOKUP(A136,'U.S. GDP'!A:B,2,)</f>
        <v/>
      </c>
      <c r="C136" s="164">
        <f>VLOOKUP(A136,PersonalConsumption!A:B,2,)</f>
        <v/>
      </c>
      <c r="D136" s="164">
        <f>VLOOKUP(A136,PrivateInvestment!A:B,2,)</f>
        <v/>
      </c>
      <c r="E136" s="164">
        <f>VLOOKUP(A136,Exports!A:B,2,)</f>
        <v/>
      </c>
      <c r="F136" s="164">
        <f>VLOOKUP(A136,Imports!A:B,2,)</f>
        <v/>
      </c>
      <c r="G136" s="164">
        <f>VLOOKUP(A136,Government!A:B,2,)</f>
        <v/>
      </c>
      <c r="H136" s="85">
        <f>Table58[[#This Row],[Personal Consumption]]/Table58[[#This Row],[GDP]]</f>
        <v/>
      </c>
      <c r="I136" s="85">
        <f>Table58[[#This Row],[Private Investment]]/Table58[[#This Row],[GDP]]</f>
        <v/>
      </c>
      <c r="J136" s="85">
        <f>Table58[[#This Row],[Exports]]/Table58[[#This Row],[GDP]]</f>
        <v/>
      </c>
      <c r="K136" s="85">
        <f>-Table58[[#This Row],[Imports]]/Table58[[#This Row],[GDP]]</f>
        <v/>
      </c>
      <c r="L136" s="85">
        <f>Table58[[#This Row],[Government]]/Table58[[#This Row],[GDP]]</f>
        <v/>
      </c>
      <c r="N136" s="52">
        <f>SUM(Table58[[#This Row],[PC%]:[G%]])</f>
        <v/>
      </c>
      <c r="O136" s="55">
        <f>Table58[[#This Row],[Personal Consumption]]+Table58[[#This Row],[Private Investment]]+Table58[[#This Row],[Exports]]+Table58[[#This Row],[Government]]-Table58[[#This Row],[Imports]]</f>
        <v/>
      </c>
    </row>
    <row r="137">
      <c r="A137" s="94" t="n">
        <v>29129</v>
      </c>
      <c r="B137" s="164">
        <f>VLOOKUP(A137,'U.S. GDP'!A:B,2,)</f>
        <v/>
      </c>
      <c r="C137" s="164">
        <f>VLOOKUP(A137,PersonalConsumption!A:B,2,)</f>
        <v/>
      </c>
      <c r="D137" s="164">
        <f>VLOOKUP(A137,PrivateInvestment!A:B,2,)</f>
        <v/>
      </c>
      <c r="E137" s="164">
        <f>VLOOKUP(A137,Exports!A:B,2,)</f>
        <v/>
      </c>
      <c r="F137" s="164">
        <f>VLOOKUP(A137,Imports!A:B,2,)</f>
        <v/>
      </c>
      <c r="G137" s="164">
        <f>VLOOKUP(A137,Government!A:B,2,)</f>
        <v/>
      </c>
      <c r="H137" s="85">
        <f>Table58[[#This Row],[Personal Consumption]]/Table58[[#This Row],[GDP]]</f>
        <v/>
      </c>
      <c r="I137" s="85">
        <f>Table58[[#This Row],[Private Investment]]/Table58[[#This Row],[GDP]]</f>
        <v/>
      </c>
      <c r="J137" s="85">
        <f>Table58[[#This Row],[Exports]]/Table58[[#This Row],[GDP]]</f>
        <v/>
      </c>
      <c r="K137" s="85">
        <f>-Table58[[#This Row],[Imports]]/Table58[[#This Row],[GDP]]</f>
        <v/>
      </c>
      <c r="L137" s="85">
        <f>Table58[[#This Row],[Government]]/Table58[[#This Row],[GDP]]</f>
        <v/>
      </c>
      <c r="N137" s="52">
        <f>SUM(Table58[[#This Row],[PC%]:[G%]])</f>
        <v/>
      </c>
      <c r="O137" s="55">
        <f>Table58[[#This Row],[Personal Consumption]]+Table58[[#This Row],[Private Investment]]+Table58[[#This Row],[Exports]]+Table58[[#This Row],[Government]]-Table58[[#This Row],[Imports]]</f>
        <v/>
      </c>
    </row>
    <row r="138">
      <c r="A138" s="94" t="n">
        <v>29221</v>
      </c>
      <c r="B138" s="164">
        <f>VLOOKUP(A138,'U.S. GDP'!A:B,2,)</f>
        <v/>
      </c>
      <c r="C138" s="164">
        <f>VLOOKUP(A138,PersonalConsumption!A:B,2,)</f>
        <v/>
      </c>
      <c r="D138" s="164">
        <f>VLOOKUP(A138,PrivateInvestment!A:B,2,)</f>
        <v/>
      </c>
      <c r="E138" s="164">
        <f>VLOOKUP(A138,Exports!A:B,2,)</f>
        <v/>
      </c>
      <c r="F138" s="164">
        <f>VLOOKUP(A138,Imports!A:B,2,)</f>
        <v/>
      </c>
      <c r="G138" s="164">
        <f>VLOOKUP(A138,Government!A:B,2,)</f>
        <v/>
      </c>
      <c r="H138" s="85">
        <f>Table58[[#This Row],[Personal Consumption]]/Table58[[#This Row],[GDP]]</f>
        <v/>
      </c>
      <c r="I138" s="85">
        <f>Table58[[#This Row],[Private Investment]]/Table58[[#This Row],[GDP]]</f>
        <v/>
      </c>
      <c r="J138" s="85">
        <f>Table58[[#This Row],[Exports]]/Table58[[#This Row],[GDP]]</f>
        <v/>
      </c>
      <c r="K138" s="85">
        <f>-Table58[[#This Row],[Imports]]/Table58[[#This Row],[GDP]]</f>
        <v/>
      </c>
      <c r="L138" s="85">
        <f>Table58[[#This Row],[Government]]/Table58[[#This Row],[GDP]]</f>
        <v/>
      </c>
      <c r="N138" s="52">
        <f>SUM(Table58[[#This Row],[PC%]:[G%]])</f>
        <v/>
      </c>
      <c r="O138" s="55">
        <f>Table58[[#This Row],[Personal Consumption]]+Table58[[#This Row],[Private Investment]]+Table58[[#This Row],[Exports]]+Table58[[#This Row],[Government]]-Table58[[#This Row],[Imports]]</f>
        <v/>
      </c>
    </row>
    <row r="139">
      <c r="A139" s="94" t="n">
        <v>29312</v>
      </c>
      <c r="B139" s="164">
        <f>VLOOKUP(A139,'U.S. GDP'!A:B,2,)</f>
        <v/>
      </c>
      <c r="C139" s="164">
        <f>VLOOKUP(A139,PersonalConsumption!A:B,2,)</f>
        <v/>
      </c>
      <c r="D139" s="164">
        <f>VLOOKUP(A139,PrivateInvestment!A:B,2,)</f>
        <v/>
      </c>
      <c r="E139" s="164">
        <f>VLOOKUP(A139,Exports!A:B,2,)</f>
        <v/>
      </c>
      <c r="F139" s="164">
        <f>VLOOKUP(A139,Imports!A:B,2,)</f>
        <v/>
      </c>
      <c r="G139" s="164">
        <f>VLOOKUP(A139,Government!A:B,2,)</f>
        <v/>
      </c>
      <c r="H139" s="85">
        <f>Table58[[#This Row],[Personal Consumption]]/Table58[[#This Row],[GDP]]</f>
        <v/>
      </c>
      <c r="I139" s="85">
        <f>Table58[[#This Row],[Private Investment]]/Table58[[#This Row],[GDP]]</f>
        <v/>
      </c>
      <c r="J139" s="85">
        <f>Table58[[#This Row],[Exports]]/Table58[[#This Row],[GDP]]</f>
        <v/>
      </c>
      <c r="K139" s="85">
        <f>-Table58[[#This Row],[Imports]]/Table58[[#This Row],[GDP]]</f>
        <v/>
      </c>
      <c r="L139" s="85">
        <f>Table58[[#This Row],[Government]]/Table58[[#This Row],[GDP]]</f>
        <v/>
      </c>
      <c r="N139" s="52">
        <f>SUM(Table58[[#This Row],[PC%]:[G%]])</f>
        <v/>
      </c>
      <c r="O139" s="55">
        <f>Table58[[#This Row],[Personal Consumption]]+Table58[[#This Row],[Private Investment]]+Table58[[#This Row],[Exports]]+Table58[[#This Row],[Government]]-Table58[[#This Row],[Imports]]</f>
        <v/>
      </c>
    </row>
    <row r="140">
      <c r="A140" s="94" t="n">
        <v>29403</v>
      </c>
      <c r="B140" s="164">
        <f>VLOOKUP(A140,'U.S. GDP'!A:B,2,)</f>
        <v/>
      </c>
      <c r="C140" s="164">
        <f>VLOOKUP(A140,PersonalConsumption!A:B,2,)</f>
        <v/>
      </c>
      <c r="D140" s="164">
        <f>VLOOKUP(A140,PrivateInvestment!A:B,2,)</f>
        <v/>
      </c>
      <c r="E140" s="164">
        <f>VLOOKUP(A140,Exports!A:B,2,)</f>
        <v/>
      </c>
      <c r="F140" s="164">
        <f>VLOOKUP(A140,Imports!A:B,2,)</f>
        <v/>
      </c>
      <c r="G140" s="164">
        <f>VLOOKUP(A140,Government!A:B,2,)</f>
        <v/>
      </c>
      <c r="H140" s="85">
        <f>Table58[[#This Row],[Personal Consumption]]/Table58[[#This Row],[GDP]]</f>
        <v/>
      </c>
      <c r="I140" s="85">
        <f>Table58[[#This Row],[Private Investment]]/Table58[[#This Row],[GDP]]</f>
        <v/>
      </c>
      <c r="J140" s="85">
        <f>Table58[[#This Row],[Exports]]/Table58[[#This Row],[GDP]]</f>
        <v/>
      </c>
      <c r="K140" s="85">
        <f>-Table58[[#This Row],[Imports]]/Table58[[#This Row],[GDP]]</f>
        <v/>
      </c>
      <c r="L140" s="85">
        <f>Table58[[#This Row],[Government]]/Table58[[#This Row],[GDP]]</f>
        <v/>
      </c>
      <c r="N140" s="52">
        <f>SUM(Table58[[#This Row],[PC%]:[G%]])</f>
        <v/>
      </c>
      <c r="O140" s="55">
        <f>Table58[[#This Row],[Personal Consumption]]+Table58[[#This Row],[Private Investment]]+Table58[[#This Row],[Exports]]+Table58[[#This Row],[Government]]-Table58[[#This Row],[Imports]]</f>
        <v/>
      </c>
    </row>
    <row r="141">
      <c r="A141" s="94" t="n">
        <v>29495</v>
      </c>
      <c r="B141" s="164">
        <f>VLOOKUP(A141,'U.S. GDP'!A:B,2,)</f>
        <v/>
      </c>
      <c r="C141" s="164">
        <f>VLOOKUP(A141,PersonalConsumption!A:B,2,)</f>
        <v/>
      </c>
      <c r="D141" s="164">
        <f>VLOOKUP(A141,PrivateInvestment!A:B,2,)</f>
        <v/>
      </c>
      <c r="E141" s="164">
        <f>VLOOKUP(A141,Exports!A:B,2,)</f>
        <v/>
      </c>
      <c r="F141" s="164">
        <f>VLOOKUP(A141,Imports!A:B,2,)</f>
        <v/>
      </c>
      <c r="G141" s="164">
        <f>VLOOKUP(A141,Government!A:B,2,)</f>
        <v/>
      </c>
      <c r="H141" s="85">
        <f>Table58[[#This Row],[Personal Consumption]]/Table58[[#This Row],[GDP]]</f>
        <v/>
      </c>
      <c r="I141" s="85">
        <f>Table58[[#This Row],[Private Investment]]/Table58[[#This Row],[GDP]]</f>
        <v/>
      </c>
      <c r="J141" s="85">
        <f>Table58[[#This Row],[Exports]]/Table58[[#This Row],[GDP]]</f>
        <v/>
      </c>
      <c r="K141" s="85">
        <f>-Table58[[#This Row],[Imports]]/Table58[[#This Row],[GDP]]</f>
        <v/>
      </c>
      <c r="L141" s="85">
        <f>Table58[[#This Row],[Government]]/Table58[[#This Row],[GDP]]</f>
        <v/>
      </c>
      <c r="N141" s="52">
        <f>SUM(Table58[[#This Row],[PC%]:[G%]])</f>
        <v/>
      </c>
      <c r="O141" s="55">
        <f>Table58[[#This Row],[Personal Consumption]]+Table58[[#This Row],[Private Investment]]+Table58[[#This Row],[Exports]]+Table58[[#This Row],[Government]]-Table58[[#This Row],[Imports]]</f>
        <v/>
      </c>
    </row>
    <row r="142">
      <c r="A142" s="94" t="n">
        <v>29587</v>
      </c>
      <c r="B142" s="164">
        <f>VLOOKUP(A142,'U.S. GDP'!A:B,2,)</f>
        <v/>
      </c>
      <c r="C142" s="164">
        <f>VLOOKUP(A142,PersonalConsumption!A:B,2,)</f>
        <v/>
      </c>
      <c r="D142" s="164">
        <f>VLOOKUP(A142,PrivateInvestment!A:B,2,)</f>
        <v/>
      </c>
      <c r="E142" s="164">
        <f>VLOOKUP(A142,Exports!A:B,2,)</f>
        <v/>
      </c>
      <c r="F142" s="164">
        <f>VLOOKUP(A142,Imports!A:B,2,)</f>
        <v/>
      </c>
      <c r="G142" s="164">
        <f>VLOOKUP(A142,Government!A:B,2,)</f>
        <v/>
      </c>
      <c r="H142" s="85">
        <f>Table58[[#This Row],[Personal Consumption]]/Table58[[#This Row],[GDP]]</f>
        <v/>
      </c>
      <c r="I142" s="85">
        <f>Table58[[#This Row],[Private Investment]]/Table58[[#This Row],[GDP]]</f>
        <v/>
      </c>
      <c r="J142" s="85">
        <f>Table58[[#This Row],[Exports]]/Table58[[#This Row],[GDP]]</f>
        <v/>
      </c>
      <c r="K142" s="85">
        <f>-Table58[[#This Row],[Imports]]/Table58[[#This Row],[GDP]]</f>
        <v/>
      </c>
      <c r="L142" s="85">
        <f>Table58[[#This Row],[Government]]/Table58[[#This Row],[GDP]]</f>
        <v/>
      </c>
      <c r="N142" s="52">
        <f>SUM(Table58[[#This Row],[PC%]:[G%]])</f>
        <v/>
      </c>
      <c r="O142" s="55">
        <f>Table58[[#This Row],[Personal Consumption]]+Table58[[#This Row],[Private Investment]]+Table58[[#This Row],[Exports]]+Table58[[#This Row],[Government]]-Table58[[#This Row],[Imports]]</f>
        <v/>
      </c>
    </row>
    <row r="143">
      <c r="A143" s="94" t="n">
        <v>29677</v>
      </c>
      <c r="B143" s="164">
        <f>VLOOKUP(A143,'U.S. GDP'!A:B,2,)</f>
        <v/>
      </c>
      <c r="C143" s="164">
        <f>VLOOKUP(A143,PersonalConsumption!A:B,2,)</f>
        <v/>
      </c>
      <c r="D143" s="164">
        <f>VLOOKUP(A143,PrivateInvestment!A:B,2,)</f>
        <v/>
      </c>
      <c r="E143" s="164">
        <f>VLOOKUP(A143,Exports!A:B,2,)</f>
        <v/>
      </c>
      <c r="F143" s="164">
        <f>VLOOKUP(A143,Imports!A:B,2,)</f>
        <v/>
      </c>
      <c r="G143" s="164">
        <f>VLOOKUP(A143,Government!A:B,2,)</f>
        <v/>
      </c>
      <c r="H143" s="85">
        <f>Table58[[#This Row],[Personal Consumption]]/Table58[[#This Row],[GDP]]</f>
        <v/>
      </c>
      <c r="I143" s="85">
        <f>Table58[[#This Row],[Private Investment]]/Table58[[#This Row],[GDP]]</f>
        <v/>
      </c>
      <c r="J143" s="85">
        <f>Table58[[#This Row],[Exports]]/Table58[[#This Row],[GDP]]</f>
        <v/>
      </c>
      <c r="K143" s="85">
        <f>-Table58[[#This Row],[Imports]]/Table58[[#This Row],[GDP]]</f>
        <v/>
      </c>
      <c r="L143" s="85">
        <f>Table58[[#This Row],[Government]]/Table58[[#This Row],[GDP]]</f>
        <v/>
      </c>
      <c r="N143" s="52">
        <f>SUM(Table58[[#This Row],[PC%]:[G%]])</f>
        <v/>
      </c>
      <c r="O143" s="55">
        <f>Table58[[#This Row],[Personal Consumption]]+Table58[[#This Row],[Private Investment]]+Table58[[#This Row],[Exports]]+Table58[[#This Row],[Government]]-Table58[[#This Row],[Imports]]</f>
        <v/>
      </c>
    </row>
    <row r="144">
      <c r="A144" s="94" t="n">
        <v>29768</v>
      </c>
      <c r="B144" s="164">
        <f>VLOOKUP(A144,'U.S. GDP'!A:B,2,)</f>
        <v/>
      </c>
      <c r="C144" s="164">
        <f>VLOOKUP(A144,PersonalConsumption!A:B,2,)</f>
        <v/>
      </c>
      <c r="D144" s="164">
        <f>VLOOKUP(A144,PrivateInvestment!A:B,2,)</f>
        <v/>
      </c>
      <c r="E144" s="164">
        <f>VLOOKUP(A144,Exports!A:B,2,)</f>
        <v/>
      </c>
      <c r="F144" s="164">
        <f>VLOOKUP(A144,Imports!A:B,2,)</f>
        <v/>
      </c>
      <c r="G144" s="164">
        <f>VLOOKUP(A144,Government!A:B,2,)</f>
        <v/>
      </c>
      <c r="H144" s="85">
        <f>Table58[[#This Row],[Personal Consumption]]/Table58[[#This Row],[GDP]]</f>
        <v/>
      </c>
      <c r="I144" s="85">
        <f>Table58[[#This Row],[Private Investment]]/Table58[[#This Row],[GDP]]</f>
        <v/>
      </c>
      <c r="J144" s="85">
        <f>Table58[[#This Row],[Exports]]/Table58[[#This Row],[GDP]]</f>
        <v/>
      </c>
      <c r="K144" s="85">
        <f>-Table58[[#This Row],[Imports]]/Table58[[#This Row],[GDP]]</f>
        <v/>
      </c>
      <c r="L144" s="85">
        <f>Table58[[#This Row],[Government]]/Table58[[#This Row],[GDP]]</f>
        <v/>
      </c>
      <c r="N144" s="52">
        <f>SUM(Table58[[#This Row],[PC%]:[G%]])</f>
        <v/>
      </c>
      <c r="O144" s="55">
        <f>Table58[[#This Row],[Personal Consumption]]+Table58[[#This Row],[Private Investment]]+Table58[[#This Row],[Exports]]+Table58[[#This Row],[Government]]-Table58[[#This Row],[Imports]]</f>
        <v/>
      </c>
    </row>
    <row r="145">
      <c r="A145" s="94" t="n">
        <v>29860</v>
      </c>
      <c r="B145" s="164">
        <f>VLOOKUP(A145,'U.S. GDP'!A:B,2,)</f>
        <v/>
      </c>
      <c r="C145" s="164">
        <f>VLOOKUP(A145,PersonalConsumption!A:B,2,)</f>
        <v/>
      </c>
      <c r="D145" s="164">
        <f>VLOOKUP(A145,PrivateInvestment!A:B,2,)</f>
        <v/>
      </c>
      <c r="E145" s="164">
        <f>VLOOKUP(A145,Exports!A:B,2,)</f>
        <v/>
      </c>
      <c r="F145" s="164">
        <f>VLOOKUP(A145,Imports!A:B,2,)</f>
        <v/>
      </c>
      <c r="G145" s="164">
        <f>VLOOKUP(A145,Government!A:B,2,)</f>
        <v/>
      </c>
      <c r="H145" s="85">
        <f>Table58[[#This Row],[Personal Consumption]]/Table58[[#This Row],[GDP]]</f>
        <v/>
      </c>
      <c r="I145" s="85">
        <f>Table58[[#This Row],[Private Investment]]/Table58[[#This Row],[GDP]]</f>
        <v/>
      </c>
      <c r="J145" s="85">
        <f>Table58[[#This Row],[Exports]]/Table58[[#This Row],[GDP]]</f>
        <v/>
      </c>
      <c r="K145" s="85">
        <f>-Table58[[#This Row],[Imports]]/Table58[[#This Row],[GDP]]</f>
        <v/>
      </c>
      <c r="L145" s="85">
        <f>Table58[[#This Row],[Government]]/Table58[[#This Row],[GDP]]</f>
        <v/>
      </c>
      <c r="N145" s="52">
        <f>SUM(Table58[[#This Row],[PC%]:[G%]])</f>
        <v/>
      </c>
      <c r="O145" s="55">
        <f>Table58[[#This Row],[Personal Consumption]]+Table58[[#This Row],[Private Investment]]+Table58[[#This Row],[Exports]]+Table58[[#This Row],[Government]]-Table58[[#This Row],[Imports]]</f>
        <v/>
      </c>
    </row>
    <row r="146">
      <c r="A146" s="94" t="n">
        <v>29952</v>
      </c>
      <c r="B146" s="164">
        <f>VLOOKUP(A146,'U.S. GDP'!A:B,2,)</f>
        <v/>
      </c>
      <c r="C146" s="164">
        <f>VLOOKUP(A146,PersonalConsumption!A:B,2,)</f>
        <v/>
      </c>
      <c r="D146" s="164">
        <f>VLOOKUP(A146,PrivateInvestment!A:B,2,)</f>
        <v/>
      </c>
      <c r="E146" s="164">
        <f>VLOOKUP(A146,Exports!A:B,2,)</f>
        <v/>
      </c>
      <c r="F146" s="164">
        <f>VLOOKUP(A146,Imports!A:B,2,)</f>
        <v/>
      </c>
      <c r="G146" s="164">
        <f>VLOOKUP(A146,Government!A:B,2,)</f>
        <v/>
      </c>
      <c r="H146" s="85">
        <f>Table58[[#This Row],[Personal Consumption]]/Table58[[#This Row],[GDP]]</f>
        <v/>
      </c>
      <c r="I146" s="85">
        <f>Table58[[#This Row],[Private Investment]]/Table58[[#This Row],[GDP]]</f>
        <v/>
      </c>
      <c r="J146" s="85">
        <f>Table58[[#This Row],[Exports]]/Table58[[#This Row],[GDP]]</f>
        <v/>
      </c>
      <c r="K146" s="85">
        <f>-Table58[[#This Row],[Imports]]/Table58[[#This Row],[GDP]]</f>
        <v/>
      </c>
      <c r="L146" s="85">
        <f>Table58[[#This Row],[Government]]/Table58[[#This Row],[GDP]]</f>
        <v/>
      </c>
      <c r="N146" s="52">
        <f>SUM(Table58[[#This Row],[PC%]:[G%]])</f>
        <v/>
      </c>
      <c r="O146" s="55">
        <f>Table58[[#This Row],[Personal Consumption]]+Table58[[#This Row],[Private Investment]]+Table58[[#This Row],[Exports]]+Table58[[#This Row],[Government]]-Table58[[#This Row],[Imports]]</f>
        <v/>
      </c>
    </row>
    <row r="147">
      <c r="A147" s="94" t="n">
        <v>30042</v>
      </c>
      <c r="B147" s="164">
        <f>VLOOKUP(A147,'U.S. GDP'!A:B,2,)</f>
        <v/>
      </c>
      <c r="C147" s="164">
        <f>VLOOKUP(A147,PersonalConsumption!A:B,2,)</f>
        <v/>
      </c>
      <c r="D147" s="164">
        <f>VLOOKUP(A147,PrivateInvestment!A:B,2,)</f>
        <v/>
      </c>
      <c r="E147" s="164">
        <f>VLOOKUP(A147,Exports!A:B,2,)</f>
        <v/>
      </c>
      <c r="F147" s="164">
        <f>VLOOKUP(A147,Imports!A:B,2,)</f>
        <v/>
      </c>
      <c r="G147" s="164">
        <f>VLOOKUP(A147,Government!A:B,2,)</f>
        <v/>
      </c>
      <c r="H147" s="85">
        <f>Table58[[#This Row],[Personal Consumption]]/Table58[[#This Row],[GDP]]</f>
        <v/>
      </c>
      <c r="I147" s="85">
        <f>Table58[[#This Row],[Private Investment]]/Table58[[#This Row],[GDP]]</f>
        <v/>
      </c>
      <c r="J147" s="85">
        <f>Table58[[#This Row],[Exports]]/Table58[[#This Row],[GDP]]</f>
        <v/>
      </c>
      <c r="K147" s="85">
        <f>-Table58[[#This Row],[Imports]]/Table58[[#This Row],[GDP]]</f>
        <v/>
      </c>
      <c r="L147" s="85">
        <f>Table58[[#This Row],[Government]]/Table58[[#This Row],[GDP]]</f>
        <v/>
      </c>
      <c r="N147" s="52">
        <f>SUM(Table58[[#This Row],[PC%]:[G%]])</f>
        <v/>
      </c>
      <c r="O147" s="55">
        <f>Table58[[#This Row],[Personal Consumption]]+Table58[[#This Row],[Private Investment]]+Table58[[#This Row],[Exports]]+Table58[[#This Row],[Government]]-Table58[[#This Row],[Imports]]</f>
        <v/>
      </c>
    </row>
    <row r="148">
      <c r="A148" s="94" t="n">
        <v>30133</v>
      </c>
      <c r="B148" s="164">
        <f>VLOOKUP(A148,'U.S. GDP'!A:B,2,)</f>
        <v/>
      </c>
      <c r="C148" s="164">
        <f>VLOOKUP(A148,PersonalConsumption!A:B,2,)</f>
        <v/>
      </c>
      <c r="D148" s="164">
        <f>VLOOKUP(A148,PrivateInvestment!A:B,2,)</f>
        <v/>
      </c>
      <c r="E148" s="164">
        <f>VLOOKUP(A148,Exports!A:B,2,)</f>
        <v/>
      </c>
      <c r="F148" s="164">
        <f>VLOOKUP(A148,Imports!A:B,2,)</f>
        <v/>
      </c>
      <c r="G148" s="164">
        <f>VLOOKUP(A148,Government!A:B,2,)</f>
        <v/>
      </c>
      <c r="H148" s="85">
        <f>Table58[[#This Row],[Personal Consumption]]/Table58[[#This Row],[GDP]]</f>
        <v/>
      </c>
      <c r="I148" s="85">
        <f>Table58[[#This Row],[Private Investment]]/Table58[[#This Row],[GDP]]</f>
        <v/>
      </c>
      <c r="J148" s="85">
        <f>Table58[[#This Row],[Exports]]/Table58[[#This Row],[GDP]]</f>
        <v/>
      </c>
      <c r="K148" s="85">
        <f>-Table58[[#This Row],[Imports]]/Table58[[#This Row],[GDP]]</f>
        <v/>
      </c>
      <c r="L148" s="85">
        <f>Table58[[#This Row],[Government]]/Table58[[#This Row],[GDP]]</f>
        <v/>
      </c>
      <c r="N148" s="52">
        <f>SUM(Table58[[#This Row],[PC%]:[G%]])</f>
        <v/>
      </c>
      <c r="O148" s="55">
        <f>Table58[[#This Row],[Personal Consumption]]+Table58[[#This Row],[Private Investment]]+Table58[[#This Row],[Exports]]+Table58[[#This Row],[Government]]-Table58[[#This Row],[Imports]]</f>
        <v/>
      </c>
    </row>
    <row r="149">
      <c r="A149" s="94" t="n">
        <v>30225</v>
      </c>
      <c r="B149" s="164">
        <f>VLOOKUP(A149,'U.S. GDP'!A:B,2,)</f>
        <v/>
      </c>
      <c r="C149" s="164">
        <f>VLOOKUP(A149,PersonalConsumption!A:B,2,)</f>
        <v/>
      </c>
      <c r="D149" s="164">
        <f>VLOOKUP(A149,PrivateInvestment!A:B,2,)</f>
        <v/>
      </c>
      <c r="E149" s="164">
        <f>VLOOKUP(A149,Exports!A:B,2,)</f>
        <v/>
      </c>
      <c r="F149" s="164">
        <f>VLOOKUP(A149,Imports!A:B,2,)</f>
        <v/>
      </c>
      <c r="G149" s="164">
        <f>VLOOKUP(A149,Government!A:B,2,)</f>
        <v/>
      </c>
      <c r="H149" s="85">
        <f>Table58[[#This Row],[Personal Consumption]]/Table58[[#This Row],[GDP]]</f>
        <v/>
      </c>
      <c r="I149" s="85">
        <f>Table58[[#This Row],[Private Investment]]/Table58[[#This Row],[GDP]]</f>
        <v/>
      </c>
      <c r="J149" s="85">
        <f>Table58[[#This Row],[Exports]]/Table58[[#This Row],[GDP]]</f>
        <v/>
      </c>
      <c r="K149" s="85">
        <f>-Table58[[#This Row],[Imports]]/Table58[[#This Row],[GDP]]</f>
        <v/>
      </c>
      <c r="L149" s="85">
        <f>Table58[[#This Row],[Government]]/Table58[[#This Row],[GDP]]</f>
        <v/>
      </c>
      <c r="N149" s="52">
        <f>SUM(Table58[[#This Row],[PC%]:[G%]])</f>
        <v/>
      </c>
      <c r="O149" s="55">
        <f>Table58[[#This Row],[Personal Consumption]]+Table58[[#This Row],[Private Investment]]+Table58[[#This Row],[Exports]]+Table58[[#This Row],[Government]]-Table58[[#This Row],[Imports]]</f>
        <v/>
      </c>
    </row>
    <row r="150">
      <c r="A150" s="94" t="n">
        <v>30317</v>
      </c>
      <c r="B150" s="164">
        <f>VLOOKUP(A150,'U.S. GDP'!A:B,2,)</f>
        <v/>
      </c>
      <c r="C150" s="164">
        <f>VLOOKUP(A150,PersonalConsumption!A:B,2,)</f>
        <v/>
      </c>
      <c r="D150" s="164">
        <f>VLOOKUP(A150,PrivateInvestment!A:B,2,)</f>
        <v/>
      </c>
      <c r="E150" s="164">
        <f>VLOOKUP(A150,Exports!A:B,2,)</f>
        <v/>
      </c>
      <c r="F150" s="164">
        <f>VLOOKUP(A150,Imports!A:B,2,)</f>
        <v/>
      </c>
      <c r="G150" s="164">
        <f>VLOOKUP(A150,Government!A:B,2,)</f>
        <v/>
      </c>
      <c r="H150" s="85">
        <f>Table58[[#This Row],[Personal Consumption]]/Table58[[#This Row],[GDP]]</f>
        <v/>
      </c>
      <c r="I150" s="85">
        <f>Table58[[#This Row],[Private Investment]]/Table58[[#This Row],[GDP]]</f>
        <v/>
      </c>
      <c r="J150" s="85">
        <f>Table58[[#This Row],[Exports]]/Table58[[#This Row],[GDP]]</f>
        <v/>
      </c>
      <c r="K150" s="85">
        <f>-Table58[[#This Row],[Imports]]/Table58[[#This Row],[GDP]]</f>
        <v/>
      </c>
      <c r="L150" s="85">
        <f>Table58[[#This Row],[Government]]/Table58[[#This Row],[GDP]]</f>
        <v/>
      </c>
      <c r="N150" s="52">
        <f>SUM(Table58[[#This Row],[PC%]:[G%]])</f>
        <v/>
      </c>
      <c r="O150" s="55">
        <f>Table58[[#This Row],[Personal Consumption]]+Table58[[#This Row],[Private Investment]]+Table58[[#This Row],[Exports]]+Table58[[#This Row],[Government]]-Table58[[#This Row],[Imports]]</f>
        <v/>
      </c>
    </row>
    <row r="151">
      <c r="A151" s="94" t="n">
        <v>30407</v>
      </c>
      <c r="B151" s="164">
        <f>VLOOKUP(A151,'U.S. GDP'!A:B,2,)</f>
        <v/>
      </c>
      <c r="C151" s="164">
        <f>VLOOKUP(A151,PersonalConsumption!A:B,2,)</f>
        <v/>
      </c>
      <c r="D151" s="164">
        <f>VLOOKUP(A151,PrivateInvestment!A:B,2,)</f>
        <v/>
      </c>
      <c r="E151" s="164">
        <f>VLOOKUP(A151,Exports!A:B,2,)</f>
        <v/>
      </c>
      <c r="F151" s="164">
        <f>VLOOKUP(A151,Imports!A:B,2,)</f>
        <v/>
      </c>
      <c r="G151" s="164">
        <f>VLOOKUP(A151,Government!A:B,2,)</f>
        <v/>
      </c>
      <c r="H151" s="85">
        <f>Table58[[#This Row],[Personal Consumption]]/Table58[[#This Row],[GDP]]</f>
        <v/>
      </c>
      <c r="I151" s="85">
        <f>Table58[[#This Row],[Private Investment]]/Table58[[#This Row],[GDP]]</f>
        <v/>
      </c>
      <c r="J151" s="85">
        <f>Table58[[#This Row],[Exports]]/Table58[[#This Row],[GDP]]</f>
        <v/>
      </c>
      <c r="K151" s="85">
        <f>-Table58[[#This Row],[Imports]]/Table58[[#This Row],[GDP]]</f>
        <v/>
      </c>
      <c r="L151" s="85">
        <f>Table58[[#This Row],[Government]]/Table58[[#This Row],[GDP]]</f>
        <v/>
      </c>
      <c r="N151" s="52">
        <f>SUM(Table58[[#This Row],[PC%]:[G%]])</f>
        <v/>
      </c>
      <c r="O151" s="55">
        <f>Table58[[#This Row],[Personal Consumption]]+Table58[[#This Row],[Private Investment]]+Table58[[#This Row],[Exports]]+Table58[[#This Row],[Government]]-Table58[[#This Row],[Imports]]</f>
        <v/>
      </c>
    </row>
    <row r="152">
      <c r="A152" s="94" t="n">
        <v>30498</v>
      </c>
      <c r="B152" s="164">
        <f>VLOOKUP(A152,'U.S. GDP'!A:B,2,)</f>
        <v/>
      </c>
      <c r="C152" s="164">
        <f>VLOOKUP(A152,PersonalConsumption!A:B,2,)</f>
        <v/>
      </c>
      <c r="D152" s="164">
        <f>VLOOKUP(A152,PrivateInvestment!A:B,2,)</f>
        <v/>
      </c>
      <c r="E152" s="164">
        <f>VLOOKUP(A152,Exports!A:B,2,)</f>
        <v/>
      </c>
      <c r="F152" s="164">
        <f>VLOOKUP(A152,Imports!A:B,2,)</f>
        <v/>
      </c>
      <c r="G152" s="164">
        <f>VLOOKUP(A152,Government!A:B,2,)</f>
        <v/>
      </c>
      <c r="H152" s="85">
        <f>Table58[[#This Row],[Personal Consumption]]/Table58[[#This Row],[GDP]]</f>
        <v/>
      </c>
      <c r="I152" s="85">
        <f>Table58[[#This Row],[Private Investment]]/Table58[[#This Row],[GDP]]</f>
        <v/>
      </c>
      <c r="J152" s="85">
        <f>Table58[[#This Row],[Exports]]/Table58[[#This Row],[GDP]]</f>
        <v/>
      </c>
      <c r="K152" s="85">
        <f>-Table58[[#This Row],[Imports]]/Table58[[#This Row],[GDP]]</f>
        <v/>
      </c>
      <c r="L152" s="85">
        <f>Table58[[#This Row],[Government]]/Table58[[#This Row],[GDP]]</f>
        <v/>
      </c>
      <c r="N152" s="52">
        <f>SUM(Table58[[#This Row],[PC%]:[G%]])</f>
        <v/>
      </c>
      <c r="O152" s="55">
        <f>Table58[[#This Row],[Personal Consumption]]+Table58[[#This Row],[Private Investment]]+Table58[[#This Row],[Exports]]+Table58[[#This Row],[Government]]-Table58[[#This Row],[Imports]]</f>
        <v/>
      </c>
    </row>
    <row r="153">
      <c r="A153" s="94" t="n">
        <v>30590</v>
      </c>
      <c r="B153" s="164">
        <f>VLOOKUP(A153,'U.S. GDP'!A:B,2,)</f>
        <v/>
      </c>
      <c r="C153" s="164">
        <f>VLOOKUP(A153,PersonalConsumption!A:B,2,)</f>
        <v/>
      </c>
      <c r="D153" s="164">
        <f>VLOOKUP(A153,PrivateInvestment!A:B,2,)</f>
        <v/>
      </c>
      <c r="E153" s="164">
        <f>VLOOKUP(A153,Exports!A:B,2,)</f>
        <v/>
      </c>
      <c r="F153" s="164">
        <f>VLOOKUP(A153,Imports!A:B,2,)</f>
        <v/>
      </c>
      <c r="G153" s="164">
        <f>VLOOKUP(A153,Government!A:B,2,)</f>
        <v/>
      </c>
      <c r="H153" s="85">
        <f>Table58[[#This Row],[Personal Consumption]]/Table58[[#This Row],[GDP]]</f>
        <v/>
      </c>
      <c r="I153" s="85">
        <f>Table58[[#This Row],[Private Investment]]/Table58[[#This Row],[GDP]]</f>
        <v/>
      </c>
      <c r="J153" s="85">
        <f>Table58[[#This Row],[Exports]]/Table58[[#This Row],[GDP]]</f>
        <v/>
      </c>
      <c r="K153" s="85">
        <f>-Table58[[#This Row],[Imports]]/Table58[[#This Row],[GDP]]</f>
        <v/>
      </c>
      <c r="L153" s="85">
        <f>Table58[[#This Row],[Government]]/Table58[[#This Row],[GDP]]</f>
        <v/>
      </c>
      <c r="N153" s="52">
        <f>SUM(Table58[[#This Row],[PC%]:[G%]])</f>
        <v/>
      </c>
      <c r="O153" s="55">
        <f>Table58[[#This Row],[Personal Consumption]]+Table58[[#This Row],[Private Investment]]+Table58[[#This Row],[Exports]]+Table58[[#This Row],[Government]]-Table58[[#This Row],[Imports]]</f>
        <v/>
      </c>
    </row>
    <row r="154">
      <c r="A154" s="94" t="n">
        <v>30682</v>
      </c>
      <c r="B154" s="164">
        <f>VLOOKUP(A154,'U.S. GDP'!A:B,2,)</f>
        <v/>
      </c>
      <c r="C154" s="164">
        <f>VLOOKUP(A154,PersonalConsumption!A:B,2,)</f>
        <v/>
      </c>
      <c r="D154" s="164">
        <f>VLOOKUP(A154,PrivateInvestment!A:B,2,)</f>
        <v/>
      </c>
      <c r="E154" s="164">
        <f>VLOOKUP(A154,Exports!A:B,2,)</f>
        <v/>
      </c>
      <c r="F154" s="164">
        <f>VLOOKUP(A154,Imports!A:B,2,)</f>
        <v/>
      </c>
      <c r="G154" s="164">
        <f>VLOOKUP(A154,Government!A:B,2,)</f>
        <v/>
      </c>
      <c r="H154" s="85">
        <f>Table58[[#This Row],[Personal Consumption]]/Table58[[#This Row],[GDP]]</f>
        <v/>
      </c>
      <c r="I154" s="85">
        <f>Table58[[#This Row],[Private Investment]]/Table58[[#This Row],[GDP]]</f>
        <v/>
      </c>
      <c r="J154" s="85">
        <f>Table58[[#This Row],[Exports]]/Table58[[#This Row],[GDP]]</f>
        <v/>
      </c>
      <c r="K154" s="85">
        <f>-Table58[[#This Row],[Imports]]/Table58[[#This Row],[GDP]]</f>
        <v/>
      </c>
      <c r="L154" s="85">
        <f>Table58[[#This Row],[Government]]/Table58[[#This Row],[GDP]]</f>
        <v/>
      </c>
      <c r="N154" s="52">
        <f>SUM(Table58[[#This Row],[PC%]:[G%]])</f>
        <v/>
      </c>
      <c r="O154" s="55">
        <f>Table58[[#This Row],[Personal Consumption]]+Table58[[#This Row],[Private Investment]]+Table58[[#This Row],[Exports]]+Table58[[#This Row],[Government]]-Table58[[#This Row],[Imports]]</f>
        <v/>
      </c>
    </row>
    <row r="155">
      <c r="A155" s="94" t="n">
        <v>30773</v>
      </c>
      <c r="B155" s="164">
        <f>VLOOKUP(A155,'U.S. GDP'!A:B,2,)</f>
        <v/>
      </c>
      <c r="C155" s="164">
        <f>VLOOKUP(A155,PersonalConsumption!A:B,2,)</f>
        <v/>
      </c>
      <c r="D155" s="164">
        <f>VLOOKUP(A155,PrivateInvestment!A:B,2,)</f>
        <v/>
      </c>
      <c r="E155" s="164">
        <f>VLOOKUP(A155,Exports!A:B,2,)</f>
        <v/>
      </c>
      <c r="F155" s="164">
        <f>VLOOKUP(A155,Imports!A:B,2,)</f>
        <v/>
      </c>
      <c r="G155" s="164">
        <f>VLOOKUP(A155,Government!A:B,2,)</f>
        <v/>
      </c>
      <c r="H155" s="85">
        <f>Table58[[#This Row],[Personal Consumption]]/Table58[[#This Row],[GDP]]</f>
        <v/>
      </c>
      <c r="I155" s="85">
        <f>Table58[[#This Row],[Private Investment]]/Table58[[#This Row],[GDP]]</f>
        <v/>
      </c>
      <c r="J155" s="85">
        <f>Table58[[#This Row],[Exports]]/Table58[[#This Row],[GDP]]</f>
        <v/>
      </c>
      <c r="K155" s="85">
        <f>-Table58[[#This Row],[Imports]]/Table58[[#This Row],[GDP]]</f>
        <v/>
      </c>
      <c r="L155" s="85">
        <f>Table58[[#This Row],[Government]]/Table58[[#This Row],[GDP]]</f>
        <v/>
      </c>
      <c r="N155" s="52">
        <f>SUM(Table58[[#This Row],[PC%]:[G%]])</f>
        <v/>
      </c>
      <c r="O155" s="55">
        <f>Table58[[#This Row],[Personal Consumption]]+Table58[[#This Row],[Private Investment]]+Table58[[#This Row],[Exports]]+Table58[[#This Row],[Government]]-Table58[[#This Row],[Imports]]</f>
        <v/>
      </c>
    </row>
    <row r="156">
      <c r="A156" s="94" t="n">
        <v>30864</v>
      </c>
      <c r="B156" s="164">
        <f>VLOOKUP(A156,'U.S. GDP'!A:B,2,)</f>
        <v/>
      </c>
      <c r="C156" s="164">
        <f>VLOOKUP(A156,PersonalConsumption!A:B,2,)</f>
        <v/>
      </c>
      <c r="D156" s="164">
        <f>VLOOKUP(A156,PrivateInvestment!A:B,2,)</f>
        <v/>
      </c>
      <c r="E156" s="164">
        <f>VLOOKUP(A156,Exports!A:B,2,)</f>
        <v/>
      </c>
      <c r="F156" s="164">
        <f>VLOOKUP(A156,Imports!A:B,2,)</f>
        <v/>
      </c>
      <c r="G156" s="164">
        <f>VLOOKUP(A156,Government!A:B,2,)</f>
        <v/>
      </c>
      <c r="H156" s="85">
        <f>Table58[[#This Row],[Personal Consumption]]/Table58[[#This Row],[GDP]]</f>
        <v/>
      </c>
      <c r="I156" s="85">
        <f>Table58[[#This Row],[Private Investment]]/Table58[[#This Row],[GDP]]</f>
        <v/>
      </c>
      <c r="J156" s="85">
        <f>Table58[[#This Row],[Exports]]/Table58[[#This Row],[GDP]]</f>
        <v/>
      </c>
      <c r="K156" s="85">
        <f>-Table58[[#This Row],[Imports]]/Table58[[#This Row],[GDP]]</f>
        <v/>
      </c>
      <c r="L156" s="85">
        <f>Table58[[#This Row],[Government]]/Table58[[#This Row],[GDP]]</f>
        <v/>
      </c>
      <c r="N156" s="52">
        <f>SUM(Table58[[#This Row],[PC%]:[G%]])</f>
        <v/>
      </c>
      <c r="O156" s="55">
        <f>Table58[[#This Row],[Personal Consumption]]+Table58[[#This Row],[Private Investment]]+Table58[[#This Row],[Exports]]+Table58[[#This Row],[Government]]-Table58[[#This Row],[Imports]]</f>
        <v/>
      </c>
    </row>
    <row r="157">
      <c r="A157" s="94" t="n">
        <v>30956</v>
      </c>
      <c r="B157" s="164">
        <f>VLOOKUP(A157,'U.S. GDP'!A:B,2,)</f>
        <v/>
      </c>
      <c r="C157" s="164">
        <f>VLOOKUP(A157,PersonalConsumption!A:B,2,)</f>
        <v/>
      </c>
      <c r="D157" s="164">
        <f>VLOOKUP(A157,PrivateInvestment!A:B,2,)</f>
        <v/>
      </c>
      <c r="E157" s="164">
        <f>VLOOKUP(A157,Exports!A:B,2,)</f>
        <v/>
      </c>
      <c r="F157" s="164">
        <f>VLOOKUP(A157,Imports!A:B,2,)</f>
        <v/>
      </c>
      <c r="G157" s="164">
        <f>VLOOKUP(A157,Government!A:B,2,)</f>
        <v/>
      </c>
      <c r="H157" s="85">
        <f>Table58[[#This Row],[Personal Consumption]]/Table58[[#This Row],[GDP]]</f>
        <v/>
      </c>
      <c r="I157" s="85">
        <f>Table58[[#This Row],[Private Investment]]/Table58[[#This Row],[GDP]]</f>
        <v/>
      </c>
      <c r="J157" s="85">
        <f>Table58[[#This Row],[Exports]]/Table58[[#This Row],[GDP]]</f>
        <v/>
      </c>
      <c r="K157" s="85">
        <f>-Table58[[#This Row],[Imports]]/Table58[[#This Row],[GDP]]</f>
        <v/>
      </c>
      <c r="L157" s="85">
        <f>Table58[[#This Row],[Government]]/Table58[[#This Row],[GDP]]</f>
        <v/>
      </c>
      <c r="N157" s="52">
        <f>SUM(Table58[[#This Row],[PC%]:[G%]])</f>
        <v/>
      </c>
      <c r="O157" s="55">
        <f>Table58[[#This Row],[Personal Consumption]]+Table58[[#This Row],[Private Investment]]+Table58[[#This Row],[Exports]]+Table58[[#This Row],[Government]]-Table58[[#This Row],[Imports]]</f>
        <v/>
      </c>
    </row>
    <row r="158">
      <c r="A158" s="94" t="n">
        <v>31048</v>
      </c>
      <c r="B158" s="164">
        <f>VLOOKUP(A158,'U.S. GDP'!A:B,2,)</f>
        <v/>
      </c>
      <c r="C158" s="164">
        <f>VLOOKUP(A158,PersonalConsumption!A:B,2,)</f>
        <v/>
      </c>
      <c r="D158" s="164">
        <f>VLOOKUP(A158,PrivateInvestment!A:B,2,)</f>
        <v/>
      </c>
      <c r="E158" s="164">
        <f>VLOOKUP(A158,Exports!A:B,2,)</f>
        <v/>
      </c>
      <c r="F158" s="164">
        <f>VLOOKUP(A158,Imports!A:B,2,)</f>
        <v/>
      </c>
      <c r="G158" s="164">
        <f>VLOOKUP(A158,Government!A:B,2,)</f>
        <v/>
      </c>
      <c r="H158" s="85">
        <f>Table58[[#This Row],[Personal Consumption]]/Table58[[#This Row],[GDP]]</f>
        <v/>
      </c>
      <c r="I158" s="85">
        <f>Table58[[#This Row],[Private Investment]]/Table58[[#This Row],[GDP]]</f>
        <v/>
      </c>
      <c r="J158" s="85">
        <f>Table58[[#This Row],[Exports]]/Table58[[#This Row],[GDP]]</f>
        <v/>
      </c>
      <c r="K158" s="85">
        <f>-Table58[[#This Row],[Imports]]/Table58[[#This Row],[GDP]]</f>
        <v/>
      </c>
      <c r="L158" s="85">
        <f>Table58[[#This Row],[Government]]/Table58[[#This Row],[GDP]]</f>
        <v/>
      </c>
      <c r="N158" s="52">
        <f>SUM(Table58[[#This Row],[PC%]:[G%]])</f>
        <v/>
      </c>
      <c r="O158" s="55">
        <f>Table58[[#This Row],[Personal Consumption]]+Table58[[#This Row],[Private Investment]]+Table58[[#This Row],[Exports]]+Table58[[#This Row],[Government]]-Table58[[#This Row],[Imports]]</f>
        <v/>
      </c>
    </row>
    <row r="159">
      <c r="A159" s="94" t="n">
        <v>31138</v>
      </c>
      <c r="B159" s="164">
        <f>VLOOKUP(A159,'U.S. GDP'!A:B,2,)</f>
        <v/>
      </c>
      <c r="C159" s="164">
        <f>VLOOKUP(A159,PersonalConsumption!A:B,2,)</f>
        <v/>
      </c>
      <c r="D159" s="164">
        <f>VLOOKUP(A159,PrivateInvestment!A:B,2,)</f>
        <v/>
      </c>
      <c r="E159" s="164">
        <f>VLOOKUP(A159,Exports!A:B,2,)</f>
        <v/>
      </c>
      <c r="F159" s="164">
        <f>VLOOKUP(A159,Imports!A:B,2,)</f>
        <v/>
      </c>
      <c r="G159" s="164">
        <f>VLOOKUP(A159,Government!A:B,2,)</f>
        <v/>
      </c>
      <c r="H159" s="85">
        <f>Table58[[#This Row],[Personal Consumption]]/Table58[[#This Row],[GDP]]</f>
        <v/>
      </c>
      <c r="I159" s="85">
        <f>Table58[[#This Row],[Private Investment]]/Table58[[#This Row],[GDP]]</f>
        <v/>
      </c>
      <c r="J159" s="85">
        <f>Table58[[#This Row],[Exports]]/Table58[[#This Row],[GDP]]</f>
        <v/>
      </c>
      <c r="K159" s="85">
        <f>-Table58[[#This Row],[Imports]]/Table58[[#This Row],[GDP]]</f>
        <v/>
      </c>
      <c r="L159" s="85">
        <f>Table58[[#This Row],[Government]]/Table58[[#This Row],[GDP]]</f>
        <v/>
      </c>
      <c r="N159" s="52">
        <f>SUM(Table58[[#This Row],[PC%]:[G%]])</f>
        <v/>
      </c>
      <c r="O159" s="55">
        <f>Table58[[#This Row],[Personal Consumption]]+Table58[[#This Row],[Private Investment]]+Table58[[#This Row],[Exports]]+Table58[[#This Row],[Government]]-Table58[[#This Row],[Imports]]</f>
        <v/>
      </c>
    </row>
    <row r="160">
      <c r="A160" s="94" t="n">
        <v>31229</v>
      </c>
      <c r="B160" s="164">
        <f>VLOOKUP(A160,'U.S. GDP'!A:B,2,)</f>
        <v/>
      </c>
      <c r="C160" s="164">
        <f>VLOOKUP(A160,PersonalConsumption!A:B,2,)</f>
        <v/>
      </c>
      <c r="D160" s="164">
        <f>VLOOKUP(A160,PrivateInvestment!A:B,2,)</f>
        <v/>
      </c>
      <c r="E160" s="164">
        <f>VLOOKUP(A160,Exports!A:B,2,)</f>
        <v/>
      </c>
      <c r="F160" s="164">
        <f>VLOOKUP(A160,Imports!A:B,2,)</f>
        <v/>
      </c>
      <c r="G160" s="164">
        <f>VLOOKUP(A160,Government!A:B,2,)</f>
        <v/>
      </c>
      <c r="H160" s="85">
        <f>Table58[[#This Row],[Personal Consumption]]/Table58[[#This Row],[GDP]]</f>
        <v/>
      </c>
      <c r="I160" s="85">
        <f>Table58[[#This Row],[Private Investment]]/Table58[[#This Row],[GDP]]</f>
        <v/>
      </c>
      <c r="J160" s="85">
        <f>Table58[[#This Row],[Exports]]/Table58[[#This Row],[GDP]]</f>
        <v/>
      </c>
      <c r="K160" s="85">
        <f>-Table58[[#This Row],[Imports]]/Table58[[#This Row],[GDP]]</f>
        <v/>
      </c>
      <c r="L160" s="85">
        <f>Table58[[#This Row],[Government]]/Table58[[#This Row],[GDP]]</f>
        <v/>
      </c>
      <c r="N160" s="52">
        <f>SUM(Table58[[#This Row],[PC%]:[G%]])</f>
        <v/>
      </c>
      <c r="O160" s="55">
        <f>Table58[[#This Row],[Personal Consumption]]+Table58[[#This Row],[Private Investment]]+Table58[[#This Row],[Exports]]+Table58[[#This Row],[Government]]-Table58[[#This Row],[Imports]]</f>
        <v/>
      </c>
    </row>
    <row r="161">
      <c r="A161" s="94" t="n">
        <v>31321</v>
      </c>
      <c r="B161" s="164">
        <f>VLOOKUP(A161,'U.S. GDP'!A:B,2,)</f>
        <v/>
      </c>
      <c r="C161" s="164">
        <f>VLOOKUP(A161,PersonalConsumption!A:B,2,)</f>
        <v/>
      </c>
      <c r="D161" s="164">
        <f>VLOOKUP(A161,PrivateInvestment!A:B,2,)</f>
        <v/>
      </c>
      <c r="E161" s="164">
        <f>VLOOKUP(A161,Exports!A:B,2,)</f>
        <v/>
      </c>
      <c r="F161" s="164">
        <f>VLOOKUP(A161,Imports!A:B,2,)</f>
        <v/>
      </c>
      <c r="G161" s="164">
        <f>VLOOKUP(A161,Government!A:B,2,)</f>
        <v/>
      </c>
      <c r="H161" s="85">
        <f>Table58[[#This Row],[Personal Consumption]]/Table58[[#This Row],[GDP]]</f>
        <v/>
      </c>
      <c r="I161" s="85">
        <f>Table58[[#This Row],[Private Investment]]/Table58[[#This Row],[GDP]]</f>
        <v/>
      </c>
      <c r="J161" s="85">
        <f>Table58[[#This Row],[Exports]]/Table58[[#This Row],[GDP]]</f>
        <v/>
      </c>
      <c r="K161" s="85">
        <f>-Table58[[#This Row],[Imports]]/Table58[[#This Row],[GDP]]</f>
        <v/>
      </c>
      <c r="L161" s="85">
        <f>Table58[[#This Row],[Government]]/Table58[[#This Row],[GDP]]</f>
        <v/>
      </c>
      <c r="N161" s="52">
        <f>SUM(Table58[[#This Row],[PC%]:[G%]])</f>
        <v/>
      </c>
      <c r="O161" s="55">
        <f>Table58[[#This Row],[Personal Consumption]]+Table58[[#This Row],[Private Investment]]+Table58[[#This Row],[Exports]]+Table58[[#This Row],[Government]]-Table58[[#This Row],[Imports]]</f>
        <v/>
      </c>
    </row>
    <row r="162">
      <c r="A162" s="94" t="n">
        <v>31413</v>
      </c>
      <c r="B162" s="164">
        <f>VLOOKUP(A162,'U.S. GDP'!A:B,2,)</f>
        <v/>
      </c>
      <c r="C162" s="164">
        <f>VLOOKUP(A162,PersonalConsumption!A:B,2,)</f>
        <v/>
      </c>
      <c r="D162" s="164">
        <f>VLOOKUP(A162,PrivateInvestment!A:B,2,)</f>
        <v/>
      </c>
      <c r="E162" s="164">
        <f>VLOOKUP(A162,Exports!A:B,2,)</f>
        <v/>
      </c>
      <c r="F162" s="164">
        <f>VLOOKUP(A162,Imports!A:B,2,)</f>
        <v/>
      </c>
      <c r="G162" s="164">
        <f>VLOOKUP(A162,Government!A:B,2,)</f>
        <v/>
      </c>
      <c r="H162" s="85">
        <f>Table58[[#This Row],[Personal Consumption]]/Table58[[#This Row],[GDP]]</f>
        <v/>
      </c>
      <c r="I162" s="85">
        <f>Table58[[#This Row],[Private Investment]]/Table58[[#This Row],[GDP]]</f>
        <v/>
      </c>
      <c r="J162" s="85">
        <f>Table58[[#This Row],[Exports]]/Table58[[#This Row],[GDP]]</f>
        <v/>
      </c>
      <c r="K162" s="85">
        <f>-Table58[[#This Row],[Imports]]/Table58[[#This Row],[GDP]]</f>
        <v/>
      </c>
      <c r="L162" s="85">
        <f>Table58[[#This Row],[Government]]/Table58[[#This Row],[GDP]]</f>
        <v/>
      </c>
      <c r="N162" s="52">
        <f>SUM(Table58[[#This Row],[PC%]:[G%]])</f>
        <v/>
      </c>
      <c r="O162" s="55">
        <f>Table58[[#This Row],[Personal Consumption]]+Table58[[#This Row],[Private Investment]]+Table58[[#This Row],[Exports]]+Table58[[#This Row],[Government]]-Table58[[#This Row],[Imports]]</f>
        <v/>
      </c>
    </row>
    <row r="163">
      <c r="A163" s="94" t="n">
        <v>31503</v>
      </c>
      <c r="B163" s="164">
        <f>VLOOKUP(A163,'U.S. GDP'!A:B,2,)</f>
        <v/>
      </c>
      <c r="C163" s="164">
        <f>VLOOKUP(A163,PersonalConsumption!A:B,2,)</f>
        <v/>
      </c>
      <c r="D163" s="164">
        <f>VLOOKUP(A163,PrivateInvestment!A:B,2,)</f>
        <v/>
      </c>
      <c r="E163" s="164">
        <f>VLOOKUP(A163,Exports!A:B,2,)</f>
        <v/>
      </c>
      <c r="F163" s="164">
        <f>VLOOKUP(A163,Imports!A:B,2,)</f>
        <v/>
      </c>
      <c r="G163" s="164">
        <f>VLOOKUP(A163,Government!A:B,2,)</f>
        <v/>
      </c>
      <c r="H163" s="85">
        <f>Table58[[#This Row],[Personal Consumption]]/Table58[[#This Row],[GDP]]</f>
        <v/>
      </c>
      <c r="I163" s="85">
        <f>Table58[[#This Row],[Private Investment]]/Table58[[#This Row],[GDP]]</f>
        <v/>
      </c>
      <c r="J163" s="85">
        <f>Table58[[#This Row],[Exports]]/Table58[[#This Row],[GDP]]</f>
        <v/>
      </c>
      <c r="K163" s="85">
        <f>-Table58[[#This Row],[Imports]]/Table58[[#This Row],[GDP]]</f>
        <v/>
      </c>
      <c r="L163" s="85">
        <f>Table58[[#This Row],[Government]]/Table58[[#This Row],[GDP]]</f>
        <v/>
      </c>
      <c r="N163" s="52">
        <f>SUM(Table58[[#This Row],[PC%]:[G%]])</f>
        <v/>
      </c>
      <c r="O163" s="55">
        <f>Table58[[#This Row],[Personal Consumption]]+Table58[[#This Row],[Private Investment]]+Table58[[#This Row],[Exports]]+Table58[[#This Row],[Government]]-Table58[[#This Row],[Imports]]</f>
        <v/>
      </c>
    </row>
    <row r="164">
      <c r="A164" s="94" t="n">
        <v>31594</v>
      </c>
      <c r="B164" s="164">
        <f>VLOOKUP(A164,'U.S. GDP'!A:B,2,)</f>
        <v/>
      </c>
      <c r="C164" s="164">
        <f>VLOOKUP(A164,PersonalConsumption!A:B,2,)</f>
        <v/>
      </c>
      <c r="D164" s="164">
        <f>VLOOKUP(A164,PrivateInvestment!A:B,2,)</f>
        <v/>
      </c>
      <c r="E164" s="164">
        <f>VLOOKUP(A164,Exports!A:B,2,)</f>
        <v/>
      </c>
      <c r="F164" s="164">
        <f>VLOOKUP(A164,Imports!A:B,2,)</f>
        <v/>
      </c>
      <c r="G164" s="164">
        <f>VLOOKUP(A164,Government!A:B,2,)</f>
        <v/>
      </c>
      <c r="H164" s="85">
        <f>Table58[[#This Row],[Personal Consumption]]/Table58[[#This Row],[GDP]]</f>
        <v/>
      </c>
      <c r="I164" s="85">
        <f>Table58[[#This Row],[Private Investment]]/Table58[[#This Row],[GDP]]</f>
        <v/>
      </c>
      <c r="J164" s="85">
        <f>Table58[[#This Row],[Exports]]/Table58[[#This Row],[GDP]]</f>
        <v/>
      </c>
      <c r="K164" s="85">
        <f>-Table58[[#This Row],[Imports]]/Table58[[#This Row],[GDP]]</f>
        <v/>
      </c>
      <c r="L164" s="85">
        <f>Table58[[#This Row],[Government]]/Table58[[#This Row],[GDP]]</f>
        <v/>
      </c>
      <c r="N164" s="52">
        <f>SUM(Table58[[#This Row],[PC%]:[G%]])</f>
        <v/>
      </c>
      <c r="O164" s="55">
        <f>Table58[[#This Row],[Personal Consumption]]+Table58[[#This Row],[Private Investment]]+Table58[[#This Row],[Exports]]+Table58[[#This Row],[Government]]-Table58[[#This Row],[Imports]]</f>
        <v/>
      </c>
    </row>
    <row r="165">
      <c r="A165" s="94" t="n">
        <v>31686</v>
      </c>
      <c r="B165" s="164">
        <f>VLOOKUP(A165,'U.S. GDP'!A:B,2,)</f>
        <v/>
      </c>
      <c r="C165" s="164">
        <f>VLOOKUP(A165,PersonalConsumption!A:B,2,)</f>
        <v/>
      </c>
      <c r="D165" s="164">
        <f>VLOOKUP(A165,PrivateInvestment!A:B,2,)</f>
        <v/>
      </c>
      <c r="E165" s="164">
        <f>VLOOKUP(A165,Exports!A:B,2,)</f>
        <v/>
      </c>
      <c r="F165" s="164">
        <f>VLOOKUP(A165,Imports!A:B,2,)</f>
        <v/>
      </c>
      <c r="G165" s="164">
        <f>VLOOKUP(A165,Government!A:B,2,)</f>
        <v/>
      </c>
      <c r="H165" s="85">
        <f>Table58[[#This Row],[Personal Consumption]]/Table58[[#This Row],[GDP]]</f>
        <v/>
      </c>
      <c r="I165" s="85">
        <f>Table58[[#This Row],[Private Investment]]/Table58[[#This Row],[GDP]]</f>
        <v/>
      </c>
      <c r="J165" s="85">
        <f>Table58[[#This Row],[Exports]]/Table58[[#This Row],[GDP]]</f>
        <v/>
      </c>
      <c r="K165" s="85">
        <f>-Table58[[#This Row],[Imports]]/Table58[[#This Row],[GDP]]</f>
        <v/>
      </c>
      <c r="L165" s="85">
        <f>Table58[[#This Row],[Government]]/Table58[[#This Row],[GDP]]</f>
        <v/>
      </c>
      <c r="N165" s="52">
        <f>SUM(Table58[[#This Row],[PC%]:[G%]])</f>
        <v/>
      </c>
      <c r="O165" s="55">
        <f>Table58[[#This Row],[Personal Consumption]]+Table58[[#This Row],[Private Investment]]+Table58[[#This Row],[Exports]]+Table58[[#This Row],[Government]]-Table58[[#This Row],[Imports]]</f>
        <v/>
      </c>
    </row>
    <row r="166">
      <c r="A166" s="94" t="n">
        <v>31778</v>
      </c>
      <c r="B166" s="164">
        <f>VLOOKUP(A166,'U.S. GDP'!A:B,2,)</f>
        <v/>
      </c>
      <c r="C166" s="164">
        <f>VLOOKUP(A166,PersonalConsumption!A:B,2,)</f>
        <v/>
      </c>
      <c r="D166" s="164">
        <f>VLOOKUP(A166,PrivateInvestment!A:B,2,)</f>
        <v/>
      </c>
      <c r="E166" s="164">
        <f>VLOOKUP(A166,Exports!A:B,2,)</f>
        <v/>
      </c>
      <c r="F166" s="164">
        <f>VLOOKUP(A166,Imports!A:B,2,)</f>
        <v/>
      </c>
      <c r="G166" s="164">
        <f>VLOOKUP(A166,Government!A:B,2,)</f>
        <v/>
      </c>
      <c r="H166" s="85">
        <f>Table58[[#This Row],[Personal Consumption]]/Table58[[#This Row],[GDP]]</f>
        <v/>
      </c>
      <c r="I166" s="85">
        <f>Table58[[#This Row],[Private Investment]]/Table58[[#This Row],[GDP]]</f>
        <v/>
      </c>
      <c r="J166" s="85">
        <f>Table58[[#This Row],[Exports]]/Table58[[#This Row],[GDP]]</f>
        <v/>
      </c>
      <c r="K166" s="85">
        <f>-Table58[[#This Row],[Imports]]/Table58[[#This Row],[GDP]]</f>
        <v/>
      </c>
      <c r="L166" s="85">
        <f>Table58[[#This Row],[Government]]/Table58[[#This Row],[GDP]]</f>
        <v/>
      </c>
      <c r="N166" s="52">
        <f>SUM(Table58[[#This Row],[PC%]:[G%]])</f>
        <v/>
      </c>
      <c r="O166" s="55">
        <f>Table58[[#This Row],[Personal Consumption]]+Table58[[#This Row],[Private Investment]]+Table58[[#This Row],[Exports]]+Table58[[#This Row],[Government]]-Table58[[#This Row],[Imports]]</f>
        <v/>
      </c>
    </row>
    <row r="167">
      <c r="A167" s="94" t="n">
        <v>31868</v>
      </c>
      <c r="B167" s="164">
        <f>VLOOKUP(A167,'U.S. GDP'!A:B,2,)</f>
        <v/>
      </c>
      <c r="C167" s="164">
        <f>VLOOKUP(A167,PersonalConsumption!A:B,2,)</f>
        <v/>
      </c>
      <c r="D167" s="164">
        <f>VLOOKUP(A167,PrivateInvestment!A:B,2,)</f>
        <v/>
      </c>
      <c r="E167" s="164">
        <f>VLOOKUP(A167,Exports!A:B,2,)</f>
        <v/>
      </c>
      <c r="F167" s="164">
        <f>VLOOKUP(A167,Imports!A:B,2,)</f>
        <v/>
      </c>
      <c r="G167" s="164">
        <f>VLOOKUP(A167,Government!A:B,2,)</f>
        <v/>
      </c>
      <c r="H167" s="85">
        <f>Table58[[#This Row],[Personal Consumption]]/Table58[[#This Row],[GDP]]</f>
        <v/>
      </c>
      <c r="I167" s="85">
        <f>Table58[[#This Row],[Private Investment]]/Table58[[#This Row],[GDP]]</f>
        <v/>
      </c>
      <c r="J167" s="85">
        <f>Table58[[#This Row],[Exports]]/Table58[[#This Row],[GDP]]</f>
        <v/>
      </c>
      <c r="K167" s="85">
        <f>-Table58[[#This Row],[Imports]]/Table58[[#This Row],[GDP]]</f>
        <v/>
      </c>
      <c r="L167" s="85">
        <f>Table58[[#This Row],[Government]]/Table58[[#This Row],[GDP]]</f>
        <v/>
      </c>
      <c r="N167" s="52">
        <f>SUM(Table58[[#This Row],[PC%]:[G%]])</f>
        <v/>
      </c>
      <c r="O167" s="55">
        <f>Table58[[#This Row],[Personal Consumption]]+Table58[[#This Row],[Private Investment]]+Table58[[#This Row],[Exports]]+Table58[[#This Row],[Government]]-Table58[[#This Row],[Imports]]</f>
        <v/>
      </c>
    </row>
    <row r="168">
      <c r="A168" s="94" t="n">
        <v>31959</v>
      </c>
      <c r="B168" s="164">
        <f>VLOOKUP(A168,'U.S. GDP'!A:B,2,)</f>
        <v/>
      </c>
      <c r="C168" s="164">
        <f>VLOOKUP(A168,PersonalConsumption!A:B,2,)</f>
        <v/>
      </c>
      <c r="D168" s="164">
        <f>VLOOKUP(A168,PrivateInvestment!A:B,2,)</f>
        <v/>
      </c>
      <c r="E168" s="164">
        <f>VLOOKUP(A168,Exports!A:B,2,)</f>
        <v/>
      </c>
      <c r="F168" s="164">
        <f>VLOOKUP(A168,Imports!A:B,2,)</f>
        <v/>
      </c>
      <c r="G168" s="164">
        <f>VLOOKUP(A168,Government!A:B,2,)</f>
        <v/>
      </c>
      <c r="H168" s="85">
        <f>Table58[[#This Row],[Personal Consumption]]/Table58[[#This Row],[GDP]]</f>
        <v/>
      </c>
      <c r="I168" s="85">
        <f>Table58[[#This Row],[Private Investment]]/Table58[[#This Row],[GDP]]</f>
        <v/>
      </c>
      <c r="J168" s="85">
        <f>Table58[[#This Row],[Exports]]/Table58[[#This Row],[GDP]]</f>
        <v/>
      </c>
      <c r="K168" s="85">
        <f>-Table58[[#This Row],[Imports]]/Table58[[#This Row],[GDP]]</f>
        <v/>
      </c>
      <c r="L168" s="85">
        <f>Table58[[#This Row],[Government]]/Table58[[#This Row],[GDP]]</f>
        <v/>
      </c>
      <c r="N168" s="52">
        <f>SUM(Table58[[#This Row],[PC%]:[G%]])</f>
        <v/>
      </c>
      <c r="O168" s="55">
        <f>Table58[[#This Row],[Personal Consumption]]+Table58[[#This Row],[Private Investment]]+Table58[[#This Row],[Exports]]+Table58[[#This Row],[Government]]-Table58[[#This Row],[Imports]]</f>
        <v/>
      </c>
    </row>
    <row r="169">
      <c r="A169" s="94" t="n">
        <v>32051</v>
      </c>
      <c r="B169" s="164">
        <f>VLOOKUP(A169,'U.S. GDP'!A:B,2,)</f>
        <v/>
      </c>
      <c r="C169" s="164">
        <f>VLOOKUP(A169,PersonalConsumption!A:B,2,)</f>
        <v/>
      </c>
      <c r="D169" s="164">
        <f>VLOOKUP(A169,PrivateInvestment!A:B,2,)</f>
        <v/>
      </c>
      <c r="E169" s="164">
        <f>VLOOKUP(A169,Exports!A:B,2,)</f>
        <v/>
      </c>
      <c r="F169" s="164">
        <f>VLOOKUP(A169,Imports!A:B,2,)</f>
        <v/>
      </c>
      <c r="G169" s="164">
        <f>VLOOKUP(A169,Government!A:B,2,)</f>
        <v/>
      </c>
      <c r="H169" s="85">
        <f>Table58[[#This Row],[Personal Consumption]]/Table58[[#This Row],[GDP]]</f>
        <v/>
      </c>
      <c r="I169" s="85">
        <f>Table58[[#This Row],[Private Investment]]/Table58[[#This Row],[GDP]]</f>
        <v/>
      </c>
      <c r="J169" s="85">
        <f>Table58[[#This Row],[Exports]]/Table58[[#This Row],[GDP]]</f>
        <v/>
      </c>
      <c r="K169" s="85">
        <f>-Table58[[#This Row],[Imports]]/Table58[[#This Row],[GDP]]</f>
        <v/>
      </c>
      <c r="L169" s="85">
        <f>Table58[[#This Row],[Government]]/Table58[[#This Row],[GDP]]</f>
        <v/>
      </c>
      <c r="N169" s="52">
        <f>SUM(Table58[[#This Row],[PC%]:[G%]])</f>
        <v/>
      </c>
      <c r="O169" s="55">
        <f>Table58[[#This Row],[Personal Consumption]]+Table58[[#This Row],[Private Investment]]+Table58[[#This Row],[Exports]]+Table58[[#This Row],[Government]]-Table58[[#This Row],[Imports]]</f>
        <v/>
      </c>
    </row>
    <row r="170">
      <c r="A170" s="94" t="n">
        <v>32143</v>
      </c>
      <c r="B170" s="164">
        <f>VLOOKUP(A170,'U.S. GDP'!A:B,2,)</f>
        <v/>
      </c>
      <c r="C170" s="164">
        <f>VLOOKUP(A170,PersonalConsumption!A:B,2,)</f>
        <v/>
      </c>
      <c r="D170" s="164">
        <f>VLOOKUP(A170,PrivateInvestment!A:B,2,)</f>
        <v/>
      </c>
      <c r="E170" s="164">
        <f>VLOOKUP(A170,Exports!A:B,2,)</f>
        <v/>
      </c>
      <c r="F170" s="164">
        <f>VLOOKUP(A170,Imports!A:B,2,)</f>
        <v/>
      </c>
      <c r="G170" s="164">
        <f>VLOOKUP(A170,Government!A:B,2,)</f>
        <v/>
      </c>
      <c r="H170" s="85">
        <f>Table58[[#This Row],[Personal Consumption]]/Table58[[#This Row],[GDP]]</f>
        <v/>
      </c>
      <c r="I170" s="85">
        <f>Table58[[#This Row],[Private Investment]]/Table58[[#This Row],[GDP]]</f>
        <v/>
      </c>
      <c r="J170" s="85">
        <f>Table58[[#This Row],[Exports]]/Table58[[#This Row],[GDP]]</f>
        <v/>
      </c>
      <c r="K170" s="85">
        <f>-Table58[[#This Row],[Imports]]/Table58[[#This Row],[GDP]]</f>
        <v/>
      </c>
      <c r="L170" s="85">
        <f>Table58[[#This Row],[Government]]/Table58[[#This Row],[GDP]]</f>
        <v/>
      </c>
      <c r="N170" s="52">
        <f>SUM(Table58[[#This Row],[PC%]:[G%]])</f>
        <v/>
      </c>
      <c r="O170" s="55">
        <f>Table58[[#This Row],[Personal Consumption]]+Table58[[#This Row],[Private Investment]]+Table58[[#This Row],[Exports]]+Table58[[#This Row],[Government]]-Table58[[#This Row],[Imports]]</f>
        <v/>
      </c>
    </row>
    <row r="171">
      <c r="A171" s="94" t="n">
        <v>32234</v>
      </c>
      <c r="B171" s="164">
        <f>VLOOKUP(A171,'U.S. GDP'!A:B,2,)</f>
        <v/>
      </c>
      <c r="C171" s="164">
        <f>VLOOKUP(A171,PersonalConsumption!A:B,2,)</f>
        <v/>
      </c>
      <c r="D171" s="164">
        <f>VLOOKUP(A171,PrivateInvestment!A:B,2,)</f>
        <v/>
      </c>
      <c r="E171" s="164">
        <f>VLOOKUP(A171,Exports!A:B,2,)</f>
        <v/>
      </c>
      <c r="F171" s="164">
        <f>VLOOKUP(A171,Imports!A:B,2,)</f>
        <v/>
      </c>
      <c r="G171" s="164">
        <f>VLOOKUP(A171,Government!A:B,2,)</f>
        <v/>
      </c>
      <c r="H171" s="85">
        <f>Table58[[#This Row],[Personal Consumption]]/Table58[[#This Row],[GDP]]</f>
        <v/>
      </c>
      <c r="I171" s="85">
        <f>Table58[[#This Row],[Private Investment]]/Table58[[#This Row],[GDP]]</f>
        <v/>
      </c>
      <c r="J171" s="85">
        <f>Table58[[#This Row],[Exports]]/Table58[[#This Row],[GDP]]</f>
        <v/>
      </c>
      <c r="K171" s="85">
        <f>-Table58[[#This Row],[Imports]]/Table58[[#This Row],[GDP]]</f>
        <v/>
      </c>
      <c r="L171" s="85">
        <f>Table58[[#This Row],[Government]]/Table58[[#This Row],[GDP]]</f>
        <v/>
      </c>
      <c r="N171" s="52">
        <f>SUM(Table58[[#This Row],[PC%]:[G%]])</f>
        <v/>
      </c>
      <c r="O171" s="55">
        <f>Table58[[#This Row],[Personal Consumption]]+Table58[[#This Row],[Private Investment]]+Table58[[#This Row],[Exports]]+Table58[[#This Row],[Government]]-Table58[[#This Row],[Imports]]</f>
        <v/>
      </c>
    </row>
    <row r="172">
      <c r="A172" s="94" t="n">
        <v>32325</v>
      </c>
      <c r="B172" s="164">
        <f>VLOOKUP(A172,'U.S. GDP'!A:B,2,)</f>
        <v/>
      </c>
      <c r="C172" s="164">
        <f>VLOOKUP(A172,PersonalConsumption!A:B,2,)</f>
        <v/>
      </c>
      <c r="D172" s="164">
        <f>VLOOKUP(A172,PrivateInvestment!A:B,2,)</f>
        <v/>
      </c>
      <c r="E172" s="164">
        <f>VLOOKUP(A172,Exports!A:B,2,)</f>
        <v/>
      </c>
      <c r="F172" s="164">
        <f>VLOOKUP(A172,Imports!A:B,2,)</f>
        <v/>
      </c>
      <c r="G172" s="164">
        <f>VLOOKUP(A172,Government!A:B,2,)</f>
        <v/>
      </c>
      <c r="H172" s="85">
        <f>Table58[[#This Row],[Personal Consumption]]/Table58[[#This Row],[GDP]]</f>
        <v/>
      </c>
      <c r="I172" s="85">
        <f>Table58[[#This Row],[Private Investment]]/Table58[[#This Row],[GDP]]</f>
        <v/>
      </c>
      <c r="J172" s="85">
        <f>Table58[[#This Row],[Exports]]/Table58[[#This Row],[GDP]]</f>
        <v/>
      </c>
      <c r="K172" s="85">
        <f>-Table58[[#This Row],[Imports]]/Table58[[#This Row],[GDP]]</f>
        <v/>
      </c>
      <c r="L172" s="85">
        <f>Table58[[#This Row],[Government]]/Table58[[#This Row],[GDP]]</f>
        <v/>
      </c>
      <c r="N172" s="52">
        <f>SUM(Table58[[#This Row],[PC%]:[G%]])</f>
        <v/>
      </c>
      <c r="O172" s="55">
        <f>Table58[[#This Row],[Personal Consumption]]+Table58[[#This Row],[Private Investment]]+Table58[[#This Row],[Exports]]+Table58[[#This Row],[Government]]-Table58[[#This Row],[Imports]]</f>
        <v/>
      </c>
    </row>
    <row r="173">
      <c r="A173" s="94" t="n">
        <v>32417</v>
      </c>
      <c r="B173" s="164">
        <f>VLOOKUP(A173,'U.S. GDP'!A:B,2,)</f>
        <v/>
      </c>
      <c r="C173" s="164">
        <f>VLOOKUP(A173,PersonalConsumption!A:B,2,)</f>
        <v/>
      </c>
      <c r="D173" s="164">
        <f>VLOOKUP(A173,PrivateInvestment!A:B,2,)</f>
        <v/>
      </c>
      <c r="E173" s="164">
        <f>VLOOKUP(A173,Exports!A:B,2,)</f>
        <v/>
      </c>
      <c r="F173" s="164">
        <f>VLOOKUP(A173,Imports!A:B,2,)</f>
        <v/>
      </c>
      <c r="G173" s="164">
        <f>VLOOKUP(A173,Government!A:B,2,)</f>
        <v/>
      </c>
      <c r="H173" s="85">
        <f>Table58[[#This Row],[Personal Consumption]]/Table58[[#This Row],[GDP]]</f>
        <v/>
      </c>
      <c r="I173" s="85">
        <f>Table58[[#This Row],[Private Investment]]/Table58[[#This Row],[GDP]]</f>
        <v/>
      </c>
      <c r="J173" s="85">
        <f>Table58[[#This Row],[Exports]]/Table58[[#This Row],[GDP]]</f>
        <v/>
      </c>
      <c r="K173" s="85">
        <f>-Table58[[#This Row],[Imports]]/Table58[[#This Row],[GDP]]</f>
        <v/>
      </c>
      <c r="L173" s="85">
        <f>Table58[[#This Row],[Government]]/Table58[[#This Row],[GDP]]</f>
        <v/>
      </c>
      <c r="N173" s="52">
        <f>SUM(Table58[[#This Row],[PC%]:[G%]])</f>
        <v/>
      </c>
      <c r="O173" s="55">
        <f>Table58[[#This Row],[Personal Consumption]]+Table58[[#This Row],[Private Investment]]+Table58[[#This Row],[Exports]]+Table58[[#This Row],[Government]]-Table58[[#This Row],[Imports]]</f>
        <v/>
      </c>
    </row>
    <row r="174">
      <c r="A174" s="94" t="n">
        <v>32509</v>
      </c>
      <c r="B174" s="164">
        <f>VLOOKUP(A174,'U.S. GDP'!A:B,2,)</f>
        <v/>
      </c>
      <c r="C174" s="164">
        <f>VLOOKUP(A174,PersonalConsumption!A:B,2,)</f>
        <v/>
      </c>
      <c r="D174" s="164">
        <f>VLOOKUP(A174,PrivateInvestment!A:B,2,)</f>
        <v/>
      </c>
      <c r="E174" s="164">
        <f>VLOOKUP(A174,Exports!A:B,2,)</f>
        <v/>
      </c>
      <c r="F174" s="164">
        <f>VLOOKUP(A174,Imports!A:B,2,)</f>
        <v/>
      </c>
      <c r="G174" s="164">
        <f>VLOOKUP(A174,Government!A:B,2,)</f>
        <v/>
      </c>
      <c r="H174" s="85">
        <f>Table58[[#This Row],[Personal Consumption]]/Table58[[#This Row],[GDP]]</f>
        <v/>
      </c>
      <c r="I174" s="85">
        <f>Table58[[#This Row],[Private Investment]]/Table58[[#This Row],[GDP]]</f>
        <v/>
      </c>
      <c r="J174" s="85">
        <f>Table58[[#This Row],[Exports]]/Table58[[#This Row],[GDP]]</f>
        <v/>
      </c>
      <c r="K174" s="85">
        <f>-Table58[[#This Row],[Imports]]/Table58[[#This Row],[GDP]]</f>
        <v/>
      </c>
      <c r="L174" s="85">
        <f>Table58[[#This Row],[Government]]/Table58[[#This Row],[GDP]]</f>
        <v/>
      </c>
      <c r="N174" s="52">
        <f>SUM(Table58[[#This Row],[PC%]:[G%]])</f>
        <v/>
      </c>
      <c r="O174" s="55">
        <f>Table58[[#This Row],[Personal Consumption]]+Table58[[#This Row],[Private Investment]]+Table58[[#This Row],[Exports]]+Table58[[#This Row],[Government]]-Table58[[#This Row],[Imports]]</f>
        <v/>
      </c>
    </row>
    <row r="175">
      <c r="A175" s="94" t="n">
        <v>32599</v>
      </c>
      <c r="B175" s="164">
        <f>VLOOKUP(A175,'U.S. GDP'!A:B,2,)</f>
        <v/>
      </c>
      <c r="C175" s="164">
        <f>VLOOKUP(A175,PersonalConsumption!A:B,2,)</f>
        <v/>
      </c>
      <c r="D175" s="164">
        <f>VLOOKUP(A175,PrivateInvestment!A:B,2,)</f>
        <v/>
      </c>
      <c r="E175" s="164">
        <f>VLOOKUP(A175,Exports!A:B,2,)</f>
        <v/>
      </c>
      <c r="F175" s="164">
        <f>VLOOKUP(A175,Imports!A:B,2,)</f>
        <v/>
      </c>
      <c r="G175" s="164">
        <f>VLOOKUP(A175,Government!A:B,2,)</f>
        <v/>
      </c>
      <c r="H175" s="85">
        <f>Table58[[#This Row],[Personal Consumption]]/Table58[[#This Row],[GDP]]</f>
        <v/>
      </c>
      <c r="I175" s="85">
        <f>Table58[[#This Row],[Private Investment]]/Table58[[#This Row],[GDP]]</f>
        <v/>
      </c>
      <c r="J175" s="85">
        <f>Table58[[#This Row],[Exports]]/Table58[[#This Row],[GDP]]</f>
        <v/>
      </c>
      <c r="K175" s="85">
        <f>-Table58[[#This Row],[Imports]]/Table58[[#This Row],[GDP]]</f>
        <v/>
      </c>
      <c r="L175" s="85">
        <f>Table58[[#This Row],[Government]]/Table58[[#This Row],[GDP]]</f>
        <v/>
      </c>
      <c r="N175" s="52">
        <f>SUM(Table58[[#This Row],[PC%]:[G%]])</f>
        <v/>
      </c>
      <c r="O175" s="55">
        <f>Table58[[#This Row],[Personal Consumption]]+Table58[[#This Row],[Private Investment]]+Table58[[#This Row],[Exports]]+Table58[[#This Row],[Government]]-Table58[[#This Row],[Imports]]</f>
        <v/>
      </c>
    </row>
    <row r="176">
      <c r="A176" s="94" t="n">
        <v>32690</v>
      </c>
      <c r="B176" s="164">
        <f>VLOOKUP(A176,'U.S. GDP'!A:B,2,)</f>
        <v/>
      </c>
      <c r="C176" s="164">
        <f>VLOOKUP(A176,PersonalConsumption!A:B,2,)</f>
        <v/>
      </c>
      <c r="D176" s="164">
        <f>VLOOKUP(A176,PrivateInvestment!A:B,2,)</f>
        <v/>
      </c>
      <c r="E176" s="164">
        <f>VLOOKUP(A176,Exports!A:B,2,)</f>
        <v/>
      </c>
      <c r="F176" s="164">
        <f>VLOOKUP(A176,Imports!A:B,2,)</f>
        <v/>
      </c>
      <c r="G176" s="164">
        <f>VLOOKUP(A176,Government!A:B,2,)</f>
        <v/>
      </c>
      <c r="H176" s="85">
        <f>Table58[[#This Row],[Personal Consumption]]/Table58[[#This Row],[GDP]]</f>
        <v/>
      </c>
      <c r="I176" s="85">
        <f>Table58[[#This Row],[Private Investment]]/Table58[[#This Row],[GDP]]</f>
        <v/>
      </c>
      <c r="J176" s="85">
        <f>Table58[[#This Row],[Exports]]/Table58[[#This Row],[GDP]]</f>
        <v/>
      </c>
      <c r="K176" s="85">
        <f>-Table58[[#This Row],[Imports]]/Table58[[#This Row],[GDP]]</f>
        <v/>
      </c>
      <c r="L176" s="85">
        <f>Table58[[#This Row],[Government]]/Table58[[#This Row],[GDP]]</f>
        <v/>
      </c>
      <c r="N176" s="52">
        <f>SUM(Table58[[#This Row],[PC%]:[G%]])</f>
        <v/>
      </c>
      <c r="O176" s="55">
        <f>Table58[[#This Row],[Personal Consumption]]+Table58[[#This Row],[Private Investment]]+Table58[[#This Row],[Exports]]+Table58[[#This Row],[Government]]-Table58[[#This Row],[Imports]]</f>
        <v/>
      </c>
    </row>
    <row r="177">
      <c r="A177" s="94" t="n">
        <v>32782</v>
      </c>
      <c r="B177" s="164">
        <f>VLOOKUP(A177,'U.S. GDP'!A:B,2,)</f>
        <v/>
      </c>
      <c r="C177" s="164">
        <f>VLOOKUP(A177,PersonalConsumption!A:B,2,)</f>
        <v/>
      </c>
      <c r="D177" s="164">
        <f>VLOOKUP(A177,PrivateInvestment!A:B,2,)</f>
        <v/>
      </c>
      <c r="E177" s="164">
        <f>VLOOKUP(A177,Exports!A:B,2,)</f>
        <v/>
      </c>
      <c r="F177" s="164">
        <f>VLOOKUP(A177,Imports!A:B,2,)</f>
        <v/>
      </c>
      <c r="G177" s="164">
        <f>VLOOKUP(A177,Government!A:B,2,)</f>
        <v/>
      </c>
      <c r="H177" s="85">
        <f>Table58[[#This Row],[Personal Consumption]]/Table58[[#This Row],[GDP]]</f>
        <v/>
      </c>
      <c r="I177" s="85">
        <f>Table58[[#This Row],[Private Investment]]/Table58[[#This Row],[GDP]]</f>
        <v/>
      </c>
      <c r="J177" s="85">
        <f>Table58[[#This Row],[Exports]]/Table58[[#This Row],[GDP]]</f>
        <v/>
      </c>
      <c r="K177" s="85">
        <f>-Table58[[#This Row],[Imports]]/Table58[[#This Row],[GDP]]</f>
        <v/>
      </c>
      <c r="L177" s="85">
        <f>Table58[[#This Row],[Government]]/Table58[[#This Row],[GDP]]</f>
        <v/>
      </c>
      <c r="N177" s="52">
        <f>SUM(Table58[[#This Row],[PC%]:[G%]])</f>
        <v/>
      </c>
      <c r="O177" s="55">
        <f>Table58[[#This Row],[Personal Consumption]]+Table58[[#This Row],[Private Investment]]+Table58[[#This Row],[Exports]]+Table58[[#This Row],[Government]]-Table58[[#This Row],[Imports]]</f>
        <v/>
      </c>
    </row>
    <row r="178">
      <c r="A178" s="94" t="n">
        <v>32874</v>
      </c>
      <c r="B178" s="164">
        <f>VLOOKUP(A178,'U.S. GDP'!A:B,2,)</f>
        <v/>
      </c>
      <c r="C178" s="164">
        <f>VLOOKUP(A178,PersonalConsumption!A:B,2,)</f>
        <v/>
      </c>
      <c r="D178" s="164">
        <f>VLOOKUP(A178,PrivateInvestment!A:B,2,)</f>
        <v/>
      </c>
      <c r="E178" s="164">
        <f>VLOOKUP(A178,Exports!A:B,2,)</f>
        <v/>
      </c>
      <c r="F178" s="164">
        <f>VLOOKUP(A178,Imports!A:B,2,)</f>
        <v/>
      </c>
      <c r="G178" s="164">
        <f>VLOOKUP(A178,Government!A:B,2,)</f>
        <v/>
      </c>
      <c r="H178" s="85">
        <f>Table58[[#This Row],[Personal Consumption]]/Table58[[#This Row],[GDP]]</f>
        <v/>
      </c>
      <c r="I178" s="85">
        <f>Table58[[#This Row],[Private Investment]]/Table58[[#This Row],[GDP]]</f>
        <v/>
      </c>
      <c r="J178" s="85">
        <f>Table58[[#This Row],[Exports]]/Table58[[#This Row],[GDP]]</f>
        <v/>
      </c>
      <c r="K178" s="85">
        <f>-Table58[[#This Row],[Imports]]/Table58[[#This Row],[GDP]]</f>
        <v/>
      </c>
      <c r="L178" s="85">
        <f>Table58[[#This Row],[Government]]/Table58[[#This Row],[GDP]]</f>
        <v/>
      </c>
      <c r="N178" s="52">
        <f>SUM(Table58[[#This Row],[PC%]:[G%]])</f>
        <v/>
      </c>
      <c r="O178" s="55">
        <f>Table58[[#This Row],[Personal Consumption]]+Table58[[#This Row],[Private Investment]]+Table58[[#This Row],[Exports]]+Table58[[#This Row],[Government]]-Table58[[#This Row],[Imports]]</f>
        <v/>
      </c>
    </row>
    <row r="179">
      <c r="A179" s="94" t="n">
        <v>32964</v>
      </c>
      <c r="B179" s="164">
        <f>VLOOKUP(A179,'U.S. GDP'!A:B,2,)</f>
        <v/>
      </c>
      <c r="C179" s="164">
        <f>VLOOKUP(A179,PersonalConsumption!A:B,2,)</f>
        <v/>
      </c>
      <c r="D179" s="164">
        <f>VLOOKUP(A179,PrivateInvestment!A:B,2,)</f>
        <v/>
      </c>
      <c r="E179" s="164">
        <f>VLOOKUP(A179,Exports!A:B,2,)</f>
        <v/>
      </c>
      <c r="F179" s="164">
        <f>VLOOKUP(A179,Imports!A:B,2,)</f>
        <v/>
      </c>
      <c r="G179" s="164">
        <f>VLOOKUP(A179,Government!A:B,2,)</f>
        <v/>
      </c>
      <c r="H179" s="85">
        <f>Table58[[#This Row],[Personal Consumption]]/Table58[[#This Row],[GDP]]</f>
        <v/>
      </c>
      <c r="I179" s="85">
        <f>Table58[[#This Row],[Private Investment]]/Table58[[#This Row],[GDP]]</f>
        <v/>
      </c>
      <c r="J179" s="85">
        <f>Table58[[#This Row],[Exports]]/Table58[[#This Row],[GDP]]</f>
        <v/>
      </c>
      <c r="K179" s="85">
        <f>-Table58[[#This Row],[Imports]]/Table58[[#This Row],[GDP]]</f>
        <v/>
      </c>
      <c r="L179" s="85">
        <f>Table58[[#This Row],[Government]]/Table58[[#This Row],[GDP]]</f>
        <v/>
      </c>
      <c r="N179" s="52">
        <f>SUM(Table58[[#This Row],[PC%]:[G%]])</f>
        <v/>
      </c>
      <c r="O179" s="55">
        <f>Table58[[#This Row],[Personal Consumption]]+Table58[[#This Row],[Private Investment]]+Table58[[#This Row],[Exports]]+Table58[[#This Row],[Government]]-Table58[[#This Row],[Imports]]</f>
        <v/>
      </c>
    </row>
    <row r="180">
      <c r="A180" s="94" t="n">
        <v>33055</v>
      </c>
      <c r="B180" s="164">
        <f>VLOOKUP(A180,'U.S. GDP'!A:B,2,)</f>
        <v/>
      </c>
      <c r="C180" s="164">
        <f>VLOOKUP(A180,PersonalConsumption!A:B,2,)</f>
        <v/>
      </c>
      <c r="D180" s="164">
        <f>VLOOKUP(A180,PrivateInvestment!A:B,2,)</f>
        <v/>
      </c>
      <c r="E180" s="164">
        <f>VLOOKUP(A180,Exports!A:B,2,)</f>
        <v/>
      </c>
      <c r="F180" s="164">
        <f>VLOOKUP(A180,Imports!A:B,2,)</f>
        <v/>
      </c>
      <c r="G180" s="164">
        <f>VLOOKUP(A180,Government!A:B,2,)</f>
        <v/>
      </c>
      <c r="H180" s="85">
        <f>Table58[[#This Row],[Personal Consumption]]/Table58[[#This Row],[GDP]]</f>
        <v/>
      </c>
      <c r="I180" s="85">
        <f>Table58[[#This Row],[Private Investment]]/Table58[[#This Row],[GDP]]</f>
        <v/>
      </c>
      <c r="J180" s="85">
        <f>Table58[[#This Row],[Exports]]/Table58[[#This Row],[GDP]]</f>
        <v/>
      </c>
      <c r="K180" s="85">
        <f>-Table58[[#This Row],[Imports]]/Table58[[#This Row],[GDP]]</f>
        <v/>
      </c>
      <c r="L180" s="85">
        <f>Table58[[#This Row],[Government]]/Table58[[#This Row],[GDP]]</f>
        <v/>
      </c>
      <c r="N180" s="52">
        <f>SUM(Table58[[#This Row],[PC%]:[G%]])</f>
        <v/>
      </c>
      <c r="O180" s="55">
        <f>Table58[[#This Row],[Personal Consumption]]+Table58[[#This Row],[Private Investment]]+Table58[[#This Row],[Exports]]+Table58[[#This Row],[Government]]-Table58[[#This Row],[Imports]]</f>
        <v/>
      </c>
    </row>
    <row r="181">
      <c r="A181" s="94" t="n">
        <v>33147</v>
      </c>
      <c r="B181" s="164">
        <f>VLOOKUP(A181,'U.S. GDP'!A:B,2,)</f>
        <v/>
      </c>
      <c r="C181" s="164">
        <f>VLOOKUP(A181,PersonalConsumption!A:B,2,)</f>
        <v/>
      </c>
      <c r="D181" s="164">
        <f>VLOOKUP(A181,PrivateInvestment!A:B,2,)</f>
        <v/>
      </c>
      <c r="E181" s="164">
        <f>VLOOKUP(A181,Exports!A:B,2,)</f>
        <v/>
      </c>
      <c r="F181" s="164">
        <f>VLOOKUP(A181,Imports!A:B,2,)</f>
        <v/>
      </c>
      <c r="G181" s="164">
        <f>VLOOKUP(A181,Government!A:B,2,)</f>
        <v/>
      </c>
      <c r="H181" s="85">
        <f>Table58[[#This Row],[Personal Consumption]]/Table58[[#This Row],[GDP]]</f>
        <v/>
      </c>
      <c r="I181" s="85">
        <f>Table58[[#This Row],[Private Investment]]/Table58[[#This Row],[GDP]]</f>
        <v/>
      </c>
      <c r="J181" s="85">
        <f>Table58[[#This Row],[Exports]]/Table58[[#This Row],[GDP]]</f>
        <v/>
      </c>
      <c r="K181" s="85">
        <f>-Table58[[#This Row],[Imports]]/Table58[[#This Row],[GDP]]</f>
        <v/>
      </c>
      <c r="L181" s="85">
        <f>Table58[[#This Row],[Government]]/Table58[[#This Row],[GDP]]</f>
        <v/>
      </c>
      <c r="N181" s="52">
        <f>SUM(Table58[[#This Row],[PC%]:[G%]])</f>
        <v/>
      </c>
      <c r="O181" s="55">
        <f>Table58[[#This Row],[Personal Consumption]]+Table58[[#This Row],[Private Investment]]+Table58[[#This Row],[Exports]]+Table58[[#This Row],[Government]]-Table58[[#This Row],[Imports]]</f>
        <v/>
      </c>
    </row>
    <row r="182">
      <c r="A182" s="94" t="n">
        <v>33239</v>
      </c>
      <c r="B182" s="164">
        <f>VLOOKUP(A182,'U.S. GDP'!A:B,2,)</f>
        <v/>
      </c>
      <c r="C182" s="164">
        <f>VLOOKUP(A182,PersonalConsumption!A:B,2,)</f>
        <v/>
      </c>
      <c r="D182" s="164">
        <f>VLOOKUP(A182,PrivateInvestment!A:B,2,)</f>
        <v/>
      </c>
      <c r="E182" s="164">
        <f>VLOOKUP(A182,Exports!A:B,2,)</f>
        <v/>
      </c>
      <c r="F182" s="164">
        <f>VLOOKUP(A182,Imports!A:B,2,)</f>
        <v/>
      </c>
      <c r="G182" s="164">
        <f>VLOOKUP(A182,Government!A:B,2,)</f>
        <v/>
      </c>
      <c r="H182" s="85">
        <f>Table58[[#This Row],[Personal Consumption]]/Table58[[#This Row],[GDP]]</f>
        <v/>
      </c>
      <c r="I182" s="85">
        <f>Table58[[#This Row],[Private Investment]]/Table58[[#This Row],[GDP]]</f>
        <v/>
      </c>
      <c r="J182" s="85">
        <f>Table58[[#This Row],[Exports]]/Table58[[#This Row],[GDP]]</f>
        <v/>
      </c>
      <c r="K182" s="85">
        <f>-Table58[[#This Row],[Imports]]/Table58[[#This Row],[GDP]]</f>
        <v/>
      </c>
      <c r="L182" s="85">
        <f>Table58[[#This Row],[Government]]/Table58[[#This Row],[GDP]]</f>
        <v/>
      </c>
      <c r="N182" s="52">
        <f>SUM(Table58[[#This Row],[PC%]:[G%]])</f>
        <v/>
      </c>
      <c r="O182" s="55">
        <f>Table58[[#This Row],[Personal Consumption]]+Table58[[#This Row],[Private Investment]]+Table58[[#This Row],[Exports]]+Table58[[#This Row],[Government]]-Table58[[#This Row],[Imports]]</f>
        <v/>
      </c>
    </row>
    <row r="183">
      <c r="A183" s="94" t="n">
        <v>33329</v>
      </c>
      <c r="B183" s="164">
        <f>VLOOKUP(A183,'U.S. GDP'!A:B,2,)</f>
        <v/>
      </c>
      <c r="C183" s="164">
        <f>VLOOKUP(A183,PersonalConsumption!A:B,2,)</f>
        <v/>
      </c>
      <c r="D183" s="164">
        <f>VLOOKUP(A183,PrivateInvestment!A:B,2,)</f>
        <v/>
      </c>
      <c r="E183" s="164">
        <f>VLOOKUP(A183,Exports!A:B,2,)</f>
        <v/>
      </c>
      <c r="F183" s="164">
        <f>VLOOKUP(A183,Imports!A:B,2,)</f>
        <v/>
      </c>
      <c r="G183" s="164">
        <f>VLOOKUP(A183,Government!A:B,2,)</f>
        <v/>
      </c>
      <c r="H183" s="85">
        <f>Table58[[#This Row],[Personal Consumption]]/Table58[[#This Row],[GDP]]</f>
        <v/>
      </c>
      <c r="I183" s="85">
        <f>Table58[[#This Row],[Private Investment]]/Table58[[#This Row],[GDP]]</f>
        <v/>
      </c>
      <c r="J183" s="85">
        <f>Table58[[#This Row],[Exports]]/Table58[[#This Row],[GDP]]</f>
        <v/>
      </c>
      <c r="K183" s="85">
        <f>-Table58[[#This Row],[Imports]]/Table58[[#This Row],[GDP]]</f>
        <v/>
      </c>
      <c r="L183" s="85">
        <f>Table58[[#This Row],[Government]]/Table58[[#This Row],[GDP]]</f>
        <v/>
      </c>
      <c r="N183" s="52">
        <f>SUM(Table58[[#This Row],[PC%]:[G%]])</f>
        <v/>
      </c>
      <c r="O183" s="55">
        <f>Table58[[#This Row],[Personal Consumption]]+Table58[[#This Row],[Private Investment]]+Table58[[#This Row],[Exports]]+Table58[[#This Row],[Government]]-Table58[[#This Row],[Imports]]</f>
        <v/>
      </c>
    </row>
    <row r="184">
      <c r="A184" s="94" t="n">
        <v>33420</v>
      </c>
      <c r="B184" s="164">
        <f>VLOOKUP(A184,'U.S. GDP'!A:B,2,)</f>
        <v/>
      </c>
      <c r="C184" s="164">
        <f>VLOOKUP(A184,PersonalConsumption!A:B,2,)</f>
        <v/>
      </c>
      <c r="D184" s="164">
        <f>VLOOKUP(A184,PrivateInvestment!A:B,2,)</f>
        <v/>
      </c>
      <c r="E184" s="164">
        <f>VLOOKUP(A184,Exports!A:B,2,)</f>
        <v/>
      </c>
      <c r="F184" s="164">
        <f>VLOOKUP(A184,Imports!A:B,2,)</f>
        <v/>
      </c>
      <c r="G184" s="164">
        <f>VLOOKUP(A184,Government!A:B,2,)</f>
        <v/>
      </c>
      <c r="H184" s="85">
        <f>Table58[[#This Row],[Personal Consumption]]/Table58[[#This Row],[GDP]]</f>
        <v/>
      </c>
      <c r="I184" s="85">
        <f>Table58[[#This Row],[Private Investment]]/Table58[[#This Row],[GDP]]</f>
        <v/>
      </c>
      <c r="J184" s="85">
        <f>Table58[[#This Row],[Exports]]/Table58[[#This Row],[GDP]]</f>
        <v/>
      </c>
      <c r="K184" s="85">
        <f>-Table58[[#This Row],[Imports]]/Table58[[#This Row],[GDP]]</f>
        <v/>
      </c>
      <c r="L184" s="85">
        <f>Table58[[#This Row],[Government]]/Table58[[#This Row],[GDP]]</f>
        <v/>
      </c>
      <c r="N184" s="52">
        <f>SUM(Table58[[#This Row],[PC%]:[G%]])</f>
        <v/>
      </c>
      <c r="O184" s="55">
        <f>Table58[[#This Row],[Personal Consumption]]+Table58[[#This Row],[Private Investment]]+Table58[[#This Row],[Exports]]+Table58[[#This Row],[Government]]-Table58[[#This Row],[Imports]]</f>
        <v/>
      </c>
    </row>
    <row r="185">
      <c r="A185" s="94" t="n">
        <v>33512</v>
      </c>
      <c r="B185" s="164">
        <f>VLOOKUP(A185,'U.S. GDP'!A:B,2,)</f>
        <v/>
      </c>
      <c r="C185" s="164">
        <f>VLOOKUP(A185,PersonalConsumption!A:B,2,)</f>
        <v/>
      </c>
      <c r="D185" s="164">
        <f>VLOOKUP(A185,PrivateInvestment!A:B,2,)</f>
        <v/>
      </c>
      <c r="E185" s="164">
        <f>VLOOKUP(A185,Exports!A:B,2,)</f>
        <v/>
      </c>
      <c r="F185" s="164">
        <f>VLOOKUP(A185,Imports!A:B,2,)</f>
        <v/>
      </c>
      <c r="G185" s="164">
        <f>VLOOKUP(A185,Government!A:B,2,)</f>
        <v/>
      </c>
      <c r="H185" s="85">
        <f>Table58[[#This Row],[Personal Consumption]]/Table58[[#This Row],[GDP]]</f>
        <v/>
      </c>
      <c r="I185" s="85">
        <f>Table58[[#This Row],[Private Investment]]/Table58[[#This Row],[GDP]]</f>
        <v/>
      </c>
      <c r="J185" s="85">
        <f>Table58[[#This Row],[Exports]]/Table58[[#This Row],[GDP]]</f>
        <v/>
      </c>
      <c r="K185" s="85">
        <f>-Table58[[#This Row],[Imports]]/Table58[[#This Row],[GDP]]</f>
        <v/>
      </c>
      <c r="L185" s="85">
        <f>Table58[[#This Row],[Government]]/Table58[[#This Row],[GDP]]</f>
        <v/>
      </c>
      <c r="N185" s="52">
        <f>SUM(Table58[[#This Row],[PC%]:[G%]])</f>
        <v/>
      </c>
      <c r="O185" s="55">
        <f>Table58[[#This Row],[Personal Consumption]]+Table58[[#This Row],[Private Investment]]+Table58[[#This Row],[Exports]]+Table58[[#This Row],[Government]]-Table58[[#This Row],[Imports]]</f>
        <v/>
      </c>
    </row>
    <row r="186">
      <c r="A186" s="94" t="n">
        <v>33604</v>
      </c>
      <c r="B186" s="164">
        <f>VLOOKUP(A186,'U.S. GDP'!A:B,2,)</f>
        <v/>
      </c>
      <c r="C186" s="164">
        <f>VLOOKUP(A186,PersonalConsumption!A:B,2,)</f>
        <v/>
      </c>
      <c r="D186" s="164">
        <f>VLOOKUP(A186,PrivateInvestment!A:B,2,)</f>
        <v/>
      </c>
      <c r="E186" s="164">
        <f>VLOOKUP(A186,Exports!A:B,2,)</f>
        <v/>
      </c>
      <c r="F186" s="164">
        <f>VLOOKUP(A186,Imports!A:B,2,)</f>
        <v/>
      </c>
      <c r="G186" s="164">
        <f>VLOOKUP(A186,Government!A:B,2,)</f>
        <v/>
      </c>
      <c r="H186" s="85">
        <f>Table58[[#This Row],[Personal Consumption]]/Table58[[#This Row],[GDP]]</f>
        <v/>
      </c>
      <c r="I186" s="85">
        <f>Table58[[#This Row],[Private Investment]]/Table58[[#This Row],[GDP]]</f>
        <v/>
      </c>
      <c r="J186" s="85">
        <f>Table58[[#This Row],[Exports]]/Table58[[#This Row],[GDP]]</f>
        <v/>
      </c>
      <c r="K186" s="85">
        <f>-Table58[[#This Row],[Imports]]/Table58[[#This Row],[GDP]]</f>
        <v/>
      </c>
      <c r="L186" s="85">
        <f>Table58[[#This Row],[Government]]/Table58[[#This Row],[GDP]]</f>
        <v/>
      </c>
      <c r="N186" s="52">
        <f>SUM(Table58[[#This Row],[PC%]:[G%]])</f>
        <v/>
      </c>
      <c r="O186" s="55">
        <f>Table58[[#This Row],[Personal Consumption]]+Table58[[#This Row],[Private Investment]]+Table58[[#This Row],[Exports]]+Table58[[#This Row],[Government]]-Table58[[#This Row],[Imports]]</f>
        <v/>
      </c>
    </row>
    <row r="187">
      <c r="A187" s="94" t="n">
        <v>33695</v>
      </c>
      <c r="B187" s="164">
        <f>VLOOKUP(A187,'U.S. GDP'!A:B,2,)</f>
        <v/>
      </c>
      <c r="C187" s="164">
        <f>VLOOKUP(A187,PersonalConsumption!A:B,2,)</f>
        <v/>
      </c>
      <c r="D187" s="164">
        <f>VLOOKUP(A187,PrivateInvestment!A:B,2,)</f>
        <v/>
      </c>
      <c r="E187" s="164">
        <f>VLOOKUP(A187,Exports!A:B,2,)</f>
        <v/>
      </c>
      <c r="F187" s="164">
        <f>VLOOKUP(A187,Imports!A:B,2,)</f>
        <v/>
      </c>
      <c r="G187" s="164">
        <f>VLOOKUP(A187,Government!A:B,2,)</f>
        <v/>
      </c>
      <c r="H187" s="85">
        <f>Table58[[#This Row],[Personal Consumption]]/Table58[[#This Row],[GDP]]</f>
        <v/>
      </c>
      <c r="I187" s="85">
        <f>Table58[[#This Row],[Private Investment]]/Table58[[#This Row],[GDP]]</f>
        <v/>
      </c>
      <c r="J187" s="85">
        <f>Table58[[#This Row],[Exports]]/Table58[[#This Row],[GDP]]</f>
        <v/>
      </c>
      <c r="K187" s="85">
        <f>-Table58[[#This Row],[Imports]]/Table58[[#This Row],[GDP]]</f>
        <v/>
      </c>
      <c r="L187" s="85">
        <f>Table58[[#This Row],[Government]]/Table58[[#This Row],[GDP]]</f>
        <v/>
      </c>
      <c r="N187" s="52">
        <f>SUM(Table58[[#This Row],[PC%]:[G%]])</f>
        <v/>
      </c>
      <c r="O187" s="55">
        <f>Table58[[#This Row],[Personal Consumption]]+Table58[[#This Row],[Private Investment]]+Table58[[#This Row],[Exports]]+Table58[[#This Row],[Government]]-Table58[[#This Row],[Imports]]</f>
        <v/>
      </c>
    </row>
    <row r="188">
      <c r="A188" s="94" t="n">
        <v>33786</v>
      </c>
      <c r="B188" s="164">
        <f>VLOOKUP(A188,'U.S. GDP'!A:B,2,)</f>
        <v/>
      </c>
      <c r="C188" s="164">
        <f>VLOOKUP(A188,PersonalConsumption!A:B,2,)</f>
        <v/>
      </c>
      <c r="D188" s="164">
        <f>VLOOKUP(A188,PrivateInvestment!A:B,2,)</f>
        <v/>
      </c>
      <c r="E188" s="164">
        <f>VLOOKUP(A188,Exports!A:B,2,)</f>
        <v/>
      </c>
      <c r="F188" s="164">
        <f>VLOOKUP(A188,Imports!A:B,2,)</f>
        <v/>
      </c>
      <c r="G188" s="164">
        <f>VLOOKUP(A188,Government!A:B,2,)</f>
        <v/>
      </c>
      <c r="H188" s="85">
        <f>Table58[[#This Row],[Personal Consumption]]/Table58[[#This Row],[GDP]]</f>
        <v/>
      </c>
      <c r="I188" s="85">
        <f>Table58[[#This Row],[Private Investment]]/Table58[[#This Row],[GDP]]</f>
        <v/>
      </c>
      <c r="J188" s="85">
        <f>Table58[[#This Row],[Exports]]/Table58[[#This Row],[GDP]]</f>
        <v/>
      </c>
      <c r="K188" s="85">
        <f>-Table58[[#This Row],[Imports]]/Table58[[#This Row],[GDP]]</f>
        <v/>
      </c>
      <c r="L188" s="85">
        <f>Table58[[#This Row],[Government]]/Table58[[#This Row],[GDP]]</f>
        <v/>
      </c>
      <c r="N188" s="52">
        <f>SUM(Table58[[#This Row],[PC%]:[G%]])</f>
        <v/>
      </c>
      <c r="O188" s="55">
        <f>Table58[[#This Row],[Personal Consumption]]+Table58[[#This Row],[Private Investment]]+Table58[[#This Row],[Exports]]+Table58[[#This Row],[Government]]-Table58[[#This Row],[Imports]]</f>
        <v/>
      </c>
    </row>
    <row r="189">
      <c r="A189" s="94" t="n">
        <v>33878</v>
      </c>
      <c r="B189" s="164">
        <f>VLOOKUP(A189,'U.S. GDP'!A:B,2,)</f>
        <v/>
      </c>
      <c r="C189" s="164">
        <f>VLOOKUP(A189,PersonalConsumption!A:B,2,)</f>
        <v/>
      </c>
      <c r="D189" s="164">
        <f>VLOOKUP(A189,PrivateInvestment!A:B,2,)</f>
        <v/>
      </c>
      <c r="E189" s="164">
        <f>VLOOKUP(A189,Exports!A:B,2,)</f>
        <v/>
      </c>
      <c r="F189" s="164">
        <f>VLOOKUP(A189,Imports!A:B,2,)</f>
        <v/>
      </c>
      <c r="G189" s="164">
        <f>VLOOKUP(A189,Government!A:B,2,)</f>
        <v/>
      </c>
      <c r="H189" s="85">
        <f>Table58[[#This Row],[Personal Consumption]]/Table58[[#This Row],[GDP]]</f>
        <v/>
      </c>
      <c r="I189" s="85">
        <f>Table58[[#This Row],[Private Investment]]/Table58[[#This Row],[GDP]]</f>
        <v/>
      </c>
      <c r="J189" s="85">
        <f>Table58[[#This Row],[Exports]]/Table58[[#This Row],[GDP]]</f>
        <v/>
      </c>
      <c r="K189" s="85">
        <f>-Table58[[#This Row],[Imports]]/Table58[[#This Row],[GDP]]</f>
        <v/>
      </c>
      <c r="L189" s="85">
        <f>Table58[[#This Row],[Government]]/Table58[[#This Row],[GDP]]</f>
        <v/>
      </c>
      <c r="N189" s="52">
        <f>SUM(Table58[[#This Row],[PC%]:[G%]])</f>
        <v/>
      </c>
      <c r="O189" s="55">
        <f>Table58[[#This Row],[Personal Consumption]]+Table58[[#This Row],[Private Investment]]+Table58[[#This Row],[Exports]]+Table58[[#This Row],[Government]]-Table58[[#This Row],[Imports]]</f>
        <v/>
      </c>
    </row>
    <row r="190">
      <c r="A190" s="94" t="n">
        <v>33970</v>
      </c>
      <c r="B190" s="164">
        <f>VLOOKUP(A190,'U.S. GDP'!A:B,2,)</f>
        <v/>
      </c>
      <c r="C190" s="164">
        <f>VLOOKUP(A190,PersonalConsumption!A:B,2,)</f>
        <v/>
      </c>
      <c r="D190" s="164">
        <f>VLOOKUP(A190,PrivateInvestment!A:B,2,)</f>
        <v/>
      </c>
      <c r="E190" s="164">
        <f>VLOOKUP(A190,Exports!A:B,2,)</f>
        <v/>
      </c>
      <c r="F190" s="164">
        <f>VLOOKUP(A190,Imports!A:B,2,)</f>
        <v/>
      </c>
      <c r="G190" s="164">
        <f>VLOOKUP(A190,Government!A:B,2,)</f>
        <v/>
      </c>
      <c r="H190" s="85">
        <f>Table58[[#This Row],[Personal Consumption]]/Table58[[#This Row],[GDP]]</f>
        <v/>
      </c>
      <c r="I190" s="85">
        <f>Table58[[#This Row],[Private Investment]]/Table58[[#This Row],[GDP]]</f>
        <v/>
      </c>
      <c r="J190" s="85">
        <f>Table58[[#This Row],[Exports]]/Table58[[#This Row],[GDP]]</f>
        <v/>
      </c>
      <c r="K190" s="85">
        <f>-Table58[[#This Row],[Imports]]/Table58[[#This Row],[GDP]]</f>
        <v/>
      </c>
      <c r="L190" s="85">
        <f>Table58[[#This Row],[Government]]/Table58[[#This Row],[GDP]]</f>
        <v/>
      </c>
      <c r="N190" s="52">
        <f>SUM(Table58[[#This Row],[PC%]:[G%]])</f>
        <v/>
      </c>
      <c r="O190" s="55">
        <f>Table58[[#This Row],[Personal Consumption]]+Table58[[#This Row],[Private Investment]]+Table58[[#This Row],[Exports]]+Table58[[#This Row],[Government]]-Table58[[#This Row],[Imports]]</f>
        <v/>
      </c>
    </row>
    <row r="191">
      <c r="A191" s="94" t="n">
        <v>34060</v>
      </c>
      <c r="B191" s="164">
        <f>VLOOKUP(A191,'U.S. GDP'!A:B,2,)</f>
        <v/>
      </c>
      <c r="C191" s="164">
        <f>VLOOKUP(A191,PersonalConsumption!A:B,2,)</f>
        <v/>
      </c>
      <c r="D191" s="164">
        <f>VLOOKUP(A191,PrivateInvestment!A:B,2,)</f>
        <v/>
      </c>
      <c r="E191" s="164">
        <f>VLOOKUP(A191,Exports!A:B,2,)</f>
        <v/>
      </c>
      <c r="F191" s="164">
        <f>VLOOKUP(A191,Imports!A:B,2,)</f>
        <v/>
      </c>
      <c r="G191" s="164">
        <f>VLOOKUP(A191,Government!A:B,2,)</f>
        <v/>
      </c>
      <c r="H191" s="85">
        <f>Table58[[#This Row],[Personal Consumption]]/Table58[[#This Row],[GDP]]</f>
        <v/>
      </c>
      <c r="I191" s="85">
        <f>Table58[[#This Row],[Private Investment]]/Table58[[#This Row],[GDP]]</f>
        <v/>
      </c>
      <c r="J191" s="85">
        <f>Table58[[#This Row],[Exports]]/Table58[[#This Row],[GDP]]</f>
        <v/>
      </c>
      <c r="K191" s="85">
        <f>-Table58[[#This Row],[Imports]]/Table58[[#This Row],[GDP]]</f>
        <v/>
      </c>
      <c r="L191" s="85">
        <f>Table58[[#This Row],[Government]]/Table58[[#This Row],[GDP]]</f>
        <v/>
      </c>
      <c r="N191" s="52">
        <f>SUM(Table58[[#This Row],[PC%]:[G%]])</f>
        <v/>
      </c>
      <c r="O191" s="55">
        <f>Table58[[#This Row],[Personal Consumption]]+Table58[[#This Row],[Private Investment]]+Table58[[#This Row],[Exports]]+Table58[[#This Row],[Government]]-Table58[[#This Row],[Imports]]</f>
        <v/>
      </c>
    </row>
    <row r="192">
      <c r="A192" s="94" t="n">
        <v>34151</v>
      </c>
      <c r="B192" s="164">
        <f>VLOOKUP(A192,'U.S. GDP'!A:B,2,)</f>
        <v/>
      </c>
      <c r="C192" s="164">
        <f>VLOOKUP(A192,PersonalConsumption!A:B,2,)</f>
        <v/>
      </c>
      <c r="D192" s="164">
        <f>VLOOKUP(A192,PrivateInvestment!A:B,2,)</f>
        <v/>
      </c>
      <c r="E192" s="164">
        <f>VLOOKUP(A192,Exports!A:B,2,)</f>
        <v/>
      </c>
      <c r="F192" s="164">
        <f>VLOOKUP(A192,Imports!A:B,2,)</f>
        <v/>
      </c>
      <c r="G192" s="164">
        <f>VLOOKUP(A192,Government!A:B,2,)</f>
        <v/>
      </c>
      <c r="H192" s="85">
        <f>Table58[[#This Row],[Personal Consumption]]/Table58[[#This Row],[GDP]]</f>
        <v/>
      </c>
      <c r="I192" s="85">
        <f>Table58[[#This Row],[Private Investment]]/Table58[[#This Row],[GDP]]</f>
        <v/>
      </c>
      <c r="J192" s="85">
        <f>Table58[[#This Row],[Exports]]/Table58[[#This Row],[GDP]]</f>
        <v/>
      </c>
      <c r="K192" s="85">
        <f>-Table58[[#This Row],[Imports]]/Table58[[#This Row],[GDP]]</f>
        <v/>
      </c>
      <c r="L192" s="85">
        <f>Table58[[#This Row],[Government]]/Table58[[#This Row],[GDP]]</f>
        <v/>
      </c>
      <c r="N192" s="52">
        <f>SUM(Table58[[#This Row],[PC%]:[G%]])</f>
        <v/>
      </c>
      <c r="O192" s="55">
        <f>Table58[[#This Row],[Personal Consumption]]+Table58[[#This Row],[Private Investment]]+Table58[[#This Row],[Exports]]+Table58[[#This Row],[Government]]-Table58[[#This Row],[Imports]]</f>
        <v/>
      </c>
    </row>
    <row r="193">
      <c r="A193" s="94" t="n">
        <v>34243</v>
      </c>
      <c r="B193" s="164">
        <f>VLOOKUP(A193,'U.S. GDP'!A:B,2,)</f>
        <v/>
      </c>
      <c r="C193" s="164">
        <f>VLOOKUP(A193,PersonalConsumption!A:B,2,)</f>
        <v/>
      </c>
      <c r="D193" s="164">
        <f>VLOOKUP(A193,PrivateInvestment!A:B,2,)</f>
        <v/>
      </c>
      <c r="E193" s="164">
        <f>VLOOKUP(A193,Exports!A:B,2,)</f>
        <v/>
      </c>
      <c r="F193" s="164">
        <f>VLOOKUP(A193,Imports!A:B,2,)</f>
        <v/>
      </c>
      <c r="G193" s="164">
        <f>VLOOKUP(A193,Government!A:B,2,)</f>
        <v/>
      </c>
      <c r="H193" s="85">
        <f>Table58[[#This Row],[Personal Consumption]]/Table58[[#This Row],[GDP]]</f>
        <v/>
      </c>
      <c r="I193" s="85">
        <f>Table58[[#This Row],[Private Investment]]/Table58[[#This Row],[GDP]]</f>
        <v/>
      </c>
      <c r="J193" s="85">
        <f>Table58[[#This Row],[Exports]]/Table58[[#This Row],[GDP]]</f>
        <v/>
      </c>
      <c r="K193" s="85">
        <f>-Table58[[#This Row],[Imports]]/Table58[[#This Row],[GDP]]</f>
        <v/>
      </c>
      <c r="L193" s="85">
        <f>Table58[[#This Row],[Government]]/Table58[[#This Row],[GDP]]</f>
        <v/>
      </c>
      <c r="N193" s="52">
        <f>SUM(Table58[[#This Row],[PC%]:[G%]])</f>
        <v/>
      </c>
      <c r="O193" s="55">
        <f>Table58[[#This Row],[Personal Consumption]]+Table58[[#This Row],[Private Investment]]+Table58[[#This Row],[Exports]]+Table58[[#This Row],[Government]]-Table58[[#This Row],[Imports]]</f>
        <v/>
      </c>
    </row>
    <row r="194">
      <c r="A194" s="94" t="n">
        <v>34335</v>
      </c>
      <c r="B194" s="164">
        <f>VLOOKUP(A194,'U.S. GDP'!A:B,2,)</f>
        <v/>
      </c>
      <c r="C194" s="164">
        <f>VLOOKUP(A194,PersonalConsumption!A:B,2,)</f>
        <v/>
      </c>
      <c r="D194" s="164">
        <f>VLOOKUP(A194,PrivateInvestment!A:B,2,)</f>
        <v/>
      </c>
      <c r="E194" s="164">
        <f>VLOOKUP(A194,Exports!A:B,2,)</f>
        <v/>
      </c>
      <c r="F194" s="164">
        <f>VLOOKUP(A194,Imports!A:B,2,)</f>
        <v/>
      </c>
      <c r="G194" s="164">
        <f>VLOOKUP(A194,Government!A:B,2,)</f>
        <v/>
      </c>
      <c r="H194" s="85">
        <f>Table58[[#This Row],[Personal Consumption]]/Table58[[#This Row],[GDP]]</f>
        <v/>
      </c>
      <c r="I194" s="85">
        <f>Table58[[#This Row],[Private Investment]]/Table58[[#This Row],[GDP]]</f>
        <v/>
      </c>
      <c r="J194" s="85">
        <f>Table58[[#This Row],[Exports]]/Table58[[#This Row],[GDP]]</f>
        <v/>
      </c>
      <c r="K194" s="85">
        <f>-Table58[[#This Row],[Imports]]/Table58[[#This Row],[GDP]]</f>
        <v/>
      </c>
      <c r="L194" s="85">
        <f>Table58[[#This Row],[Government]]/Table58[[#This Row],[GDP]]</f>
        <v/>
      </c>
      <c r="N194" s="52">
        <f>SUM(Table58[[#This Row],[PC%]:[G%]])</f>
        <v/>
      </c>
      <c r="O194" s="55">
        <f>Table58[[#This Row],[Personal Consumption]]+Table58[[#This Row],[Private Investment]]+Table58[[#This Row],[Exports]]+Table58[[#This Row],[Government]]-Table58[[#This Row],[Imports]]</f>
        <v/>
      </c>
    </row>
    <row r="195">
      <c r="A195" s="94" t="n">
        <v>34425</v>
      </c>
      <c r="B195" s="164">
        <f>VLOOKUP(A195,'U.S. GDP'!A:B,2,)</f>
        <v/>
      </c>
      <c r="C195" s="164">
        <f>VLOOKUP(A195,PersonalConsumption!A:B,2,)</f>
        <v/>
      </c>
      <c r="D195" s="164">
        <f>VLOOKUP(A195,PrivateInvestment!A:B,2,)</f>
        <v/>
      </c>
      <c r="E195" s="164">
        <f>VLOOKUP(A195,Exports!A:B,2,)</f>
        <v/>
      </c>
      <c r="F195" s="164">
        <f>VLOOKUP(A195,Imports!A:B,2,)</f>
        <v/>
      </c>
      <c r="G195" s="164">
        <f>VLOOKUP(A195,Government!A:B,2,)</f>
        <v/>
      </c>
      <c r="H195" s="85">
        <f>Table58[[#This Row],[Personal Consumption]]/Table58[[#This Row],[GDP]]</f>
        <v/>
      </c>
      <c r="I195" s="85">
        <f>Table58[[#This Row],[Private Investment]]/Table58[[#This Row],[GDP]]</f>
        <v/>
      </c>
      <c r="J195" s="85">
        <f>Table58[[#This Row],[Exports]]/Table58[[#This Row],[GDP]]</f>
        <v/>
      </c>
      <c r="K195" s="85">
        <f>-Table58[[#This Row],[Imports]]/Table58[[#This Row],[GDP]]</f>
        <v/>
      </c>
      <c r="L195" s="85">
        <f>Table58[[#This Row],[Government]]/Table58[[#This Row],[GDP]]</f>
        <v/>
      </c>
      <c r="N195" s="52">
        <f>SUM(Table58[[#This Row],[PC%]:[G%]])</f>
        <v/>
      </c>
      <c r="O195" s="55">
        <f>Table58[[#This Row],[Personal Consumption]]+Table58[[#This Row],[Private Investment]]+Table58[[#This Row],[Exports]]+Table58[[#This Row],[Government]]-Table58[[#This Row],[Imports]]</f>
        <v/>
      </c>
    </row>
    <row r="196">
      <c r="A196" s="94" t="n">
        <v>34516</v>
      </c>
      <c r="B196" s="164">
        <f>VLOOKUP(A196,'U.S. GDP'!A:B,2,)</f>
        <v/>
      </c>
      <c r="C196" s="164">
        <f>VLOOKUP(A196,PersonalConsumption!A:B,2,)</f>
        <v/>
      </c>
      <c r="D196" s="164">
        <f>VLOOKUP(A196,PrivateInvestment!A:B,2,)</f>
        <v/>
      </c>
      <c r="E196" s="164">
        <f>VLOOKUP(A196,Exports!A:B,2,)</f>
        <v/>
      </c>
      <c r="F196" s="164">
        <f>VLOOKUP(A196,Imports!A:B,2,)</f>
        <v/>
      </c>
      <c r="G196" s="164">
        <f>VLOOKUP(A196,Government!A:B,2,)</f>
        <v/>
      </c>
      <c r="H196" s="85">
        <f>Table58[[#This Row],[Personal Consumption]]/Table58[[#This Row],[GDP]]</f>
        <v/>
      </c>
      <c r="I196" s="85">
        <f>Table58[[#This Row],[Private Investment]]/Table58[[#This Row],[GDP]]</f>
        <v/>
      </c>
      <c r="J196" s="85">
        <f>Table58[[#This Row],[Exports]]/Table58[[#This Row],[GDP]]</f>
        <v/>
      </c>
      <c r="K196" s="85">
        <f>-Table58[[#This Row],[Imports]]/Table58[[#This Row],[GDP]]</f>
        <v/>
      </c>
      <c r="L196" s="85">
        <f>Table58[[#This Row],[Government]]/Table58[[#This Row],[GDP]]</f>
        <v/>
      </c>
      <c r="N196" s="52">
        <f>SUM(Table58[[#This Row],[PC%]:[G%]])</f>
        <v/>
      </c>
      <c r="O196" s="55">
        <f>Table58[[#This Row],[Personal Consumption]]+Table58[[#This Row],[Private Investment]]+Table58[[#This Row],[Exports]]+Table58[[#This Row],[Government]]-Table58[[#This Row],[Imports]]</f>
        <v/>
      </c>
    </row>
    <row r="197">
      <c r="A197" s="94" t="n">
        <v>34608</v>
      </c>
      <c r="B197" s="164">
        <f>VLOOKUP(A197,'U.S. GDP'!A:B,2,)</f>
        <v/>
      </c>
      <c r="C197" s="164">
        <f>VLOOKUP(A197,PersonalConsumption!A:B,2,)</f>
        <v/>
      </c>
      <c r="D197" s="164">
        <f>VLOOKUP(A197,PrivateInvestment!A:B,2,)</f>
        <v/>
      </c>
      <c r="E197" s="164">
        <f>VLOOKUP(A197,Exports!A:B,2,)</f>
        <v/>
      </c>
      <c r="F197" s="164">
        <f>VLOOKUP(A197,Imports!A:B,2,)</f>
        <v/>
      </c>
      <c r="G197" s="164">
        <f>VLOOKUP(A197,Government!A:B,2,)</f>
        <v/>
      </c>
      <c r="H197" s="85">
        <f>Table58[[#This Row],[Personal Consumption]]/Table58[[#This Row],[GDP]]</f>
        <v/>
      </c>
      <c r="I197" s="85">
        <f>Table58[[#This Row],[Private Investment]]/Table58[[#This Row],[GDP]]</f>
        <v/>
      </c>
      <c r="J197" s="85">
        <f>Table58[[#This Row],[Exports]]/Table58[[#This Row],[GDP]]</f>
        <v/>
      </c>
      <c r="K197" s="85">
        <f>-Table58[[#This Row],[Imports]]/Table58[[#This Row],[GDP]]</f>
        <v/>
      </c>
      <c r="L197" s="85">
        <f>Table58[[#This Row],[Government]]/Table58[[#This Row],[GDP]]</f>
        <v/>
      </c>
      <c r="N197" s="52">
        <f>SUM(Table58[[#This Row],[PC%]:[G%]])</f>
        <v/>
      </c>
      <c r="O197" s="55">
        <f>Table58[[#This Row],[Personal Consumption]]+Table58[[#This Row],[Private Investment]]+Table58[[#This Row],[Exports]]+Table58[[#This Row],[Government]]-Table58[[#This Row],[Imports]]</f>
        <v/>
      </c>
    </row>
    <row r="198">
      <c r="A198" s="94" t="n">
        <v>34700</v>
      </c>
      <c r="B198" s="164">
        <f>VLOOKUP(A198,'U.S. GDP'!A:B,2,)</f>
        <v/>
      </c>
      <c r="C198" s="164">
        <f>VLOOKUP(A198,PersonalConsumption!A:B,2,)</f>
        <v/>
      </c>
      <c r="D198" s="164">
        <f>VLOOKUP(A198,PrivateInvestment!A:B,2,)</f>
        <v/>
      </c>
      <c r="E198" s="164">
        <f>VLOOKUP(A198,Exports!A:B,2,)</f>
        <v/>
      </c>
      <c r="F198" s="164">
        <f>VLOOKUP(A198,Imports!A:B,2,)</f>
        <v/>
      </c>
      <c r="G198" s="164">
        <f>VLOOKUP(A198,Government!A:B,2,)</f>
        <v/>
      </c>
      <c r="H198" s="85">
        <f>Table58[[#This Row],[Personal Consumption]]/Table58[[#This Row],[GDP]]</f>
        <v/>
      </c>
      <c r="I198" s="85">
        <f>Table58[[#This Row],[Private Investment]]/Table58[[#This Row],[GDP]]</f>
        <v/>
      </c>
      <c r="J198" s="85">
        <f>Table58[[#This Row],[Exports]]/Table58[[#This Row],[GDP]]</f>
        <v/>
      </c>
      <c r="K198" s="85">
        <f>-Table58[[#This Row],[Imports]]/Table58[[#This Row],[GDP]]</f>
        <v/>
      </c>
      <c r="L198" s="85">
        <f>Table58[[#This Row],[Government]]/Table58[[#This Row],[GDP]]</f>
        <v/>
      </c>
      <c r="N198" s="52">
        <f>SUM(Table58[[#This Row],[PC%]:[G%]])</f>
        <v/>
      </c>
      <c r="O198" s="55">
        <f>Table58[[#This Row],[Personal Consumption]]+Table58[[#This Row],[Private Investment]]+Table58[[#This Row],[Exports]]+Table58[[#This Row],[Government]]-Table58[[#This Row],[Imports]]</f>
        <v/>
      </c>
    </row>
    <row r="199">
      <c r="A199" s="94" t="n">
        <v>34790</v>
      </c>
      <c r="B199" s="164">
        <f>VLOOKUP(A199,'U.S. GDP'!A:B,2,)</f>
        <v/>
      </c>
      <c r="C199" s="164">
        <f>VLOOKUP(A199,PersonalConsumption!A:B,2,)</f>
        <v/>
      </c>
      <c r="D199" s="164">
        <f>VLOOKUP(A199,PrivateInvestment!A:B,2,)</f>
        <v/>
      </c>
      <c r="E199" s="164">
        <f>VLOOKUP(A199,Exports!A:B,2,)</f>
        <v/>
      </c>
      <c r="F199" s="164">
        <f>VLOOKUP(A199,Imports!A:B,2,)</f>
        <v/>
      </c>
      <c r="G199" s="164">
        <f>VLOOKUP(A199,Government!A:B,2,)</f>
        <v/>
      </c>
      <c r="H199" s="85">
        <f>Table58[[#This Row],[Personal Consumption]]/Table58[[#This Row],[GDP]]</f>
        <v/>
      </c>
      <c r="I199" s="85">
        <f>Table58[[#This Row],[Private Investment]]/Table58[[#This Row],[GDP]]</f>
        <v/>
      </c>
      <c r="J199" s="85">
        <f>Table58[[#This Row],[Exports]]/Table58[[#This Row],[GDP]]</f>
        <v/>
      </c>
      <c r="K199" s="85">
        <f>-Table58[[#This Row],[Imports]]/Table58[[#This Row],[GDP]]</f>
        <v/>
      </c>
      <c r="L199" s="85">
        <f>Table58[[#This Row],[Government]]/Table58[[#This Row],[GDP]]</f>
        <v/>
      </c>
      <c r="N199" s="52">
        <f>SUM(Table58[[#This Row],[PC%]:[G%]])</f>
        <v/>
      </c>
      <c r="O199" s="55">
        <f>Table58[[#This Row],[Personal Consumption]]+Table58[[#This Row],[Private Investment]]+Table58[[#This Row],[Exports]]+Table58[[#This Row],[Government]]-Table58[[#This Row],[Imports]]</f>
        <v/>
      </c>
    </row>
    <row r="200">
      <c r="A200" s="94" t="n">
        <v>34881</v>
      </c>
      <c r="B200" s="164">
        <f>VLOOKUP(A200,'U.S. GDP'!A:B,2,)</f>
        <v/>
      </c>
      <c r="C200" s="164">
        <f>VLOOKUP(A200,PersonalConsumption!A:B,2,)</f>
        <v/>
      </c>
      <c r="D200" s="164">
        <f>VLOOKUP(A200,PrivateInvestment!A:B,2,)</f>
        <v/>
      </c>
      <c r="E200" s="164">
        <f>VLOOKUP(A200,Exports!A:B,2,)</f>
        <v/>
      </c>
      <c r="F200" s="164">
        <f>VLOOKUP(A200,Imports!A:B,2,)</f>
        <v/>
      </c>
      <c r="G200" s="164">
        <f>VLOOKUP(A200,Government!A:B,2,)</f>
        <v/>
      </c>
      <c r="H200" s="85">
        <f>Table58[[#This Row],[Personal Consumption]]/Table58[[#This Row],[GDP]]</f>
        <v/>
      </c>
      <c r="I200" s="85">
        <f>Table58[[#This Row],[Private Investment]]/Table58[[#This Row],[GDP]]</f>
        <v/>
      </c>
      <c r="J200" s="85">
        <f>Table58[[#This Row],[Exports]]/Table58[[#This Row],[GDP]]</f>
        <v/>
      </c>
      <c r="K200" s="85">
        <f>-Table58[[#This Row],[Imports]]/Table58[[#This Row],[GDP]]</f>
        <v/>
      </c>
      <c r="L200" s="85">
        <f>Table58[[#This Row],[Government]]/Table58[[#This Row],[GDP]]</f>
        <v/>
      </c>
      <c r="N200" s="52">
        <f>SUM(Table58[[#This Row],[PC%]:[G%]])</f>
        <v/>
      </c>
      <c r="O200" s="55">
        <f>Table58[[#This Row],[Personal Consumption]]+Table58[[#This Row],[Private Investment]]+Table58[[#This Row],[Exports]]+Table58[[#This Row],[Government]]-Table58[[#This Row],[Imports]]</f>
        <v/>
      </c>
    </row>
    <row r="201">
      <c r="A201" s="94" t="n">
        <v>34973</v>
      </c>
      <c r="B201" s="164">
        <f>VLOOKUP(A201,'U.S. GDP'!A:B,2,)</f>
        <v/>
      </c>
      <c r="C201" s="164">
        <f>VLOOKUP(A201,PersonalConsumption!A:B,2,)</f>
        <v/>
      </c>
      <c r="D201" s="164">
        <f>VLOOKUP(A201,PrivateInvestment!A:B,2,)</f>
        <v/>
      </c>
      <c r="E201" s="164">
        <f>VLOOKUP(A201,Exports!A:B,2,)</f>
        <v/>
      </c>
      <c r="F201" s="164">
        <f>VLOOKUP(A201,Imports!A:B,2,)</f>
        <v/>
      </c>
      <c r="G201" s="164">
        <f>VLOOKUP(A201,Government!A:B,2,)</f>
        <v/>
      </c>
      <c r="H201" s="85">
        <f>Table58[[#This Row],[Personal Consumption]]/Table58[[#This Row],[GDP]]</f>
        <v/>
      </c>
      <c r="I201" s="85">
        <f>Table58[[#This Row],[Private Investment]]/Table58[[#This Row],[GDP]]</f>
        <v/>
      </c>
      <c r="J201" s="85">
        <f>Table58[[#This Row],[Exports]]/Table58[[#This Row],[GDP]]</f>
        <v/>
      </c>
      <c r="K201" s="85">
        <f>-Table58[[#This Row],[Imports]]/Table58[[#This Row],[GDP]]</f>
        <v/>
      </c>
      <c r="L201" s="85">
        <f>Table58[[#This Row],[Government]]/Table58[[#This Row],[GDP]]</f>
        <v/>
      </c>
      <c r="N201" s="52">
        <f>SUM(Table58[[#This Row],[PC%]:[G%]])</f>
        <v/>
      </c>
      <c r="O201" s="55">
        <f>Table58[[#This Row],[Personal Consumption]]+Table58[[#This Row],[Private Investment]]+Table58[[#This Row],[Exports]]+Table58[[#This Row],[Government]]-Table58[[#This Row],[Imports]]</f>
        <v/>
      </c>
    </row>
    <row r="202">
      <c r="A202" s="94" t="n">
        <v>35065</v>
      </c>
      <c r="B202" s="164">
        <f>VLOOKUP(A202,'U.S. GDP'!A:B,2,)</f>
        <v/>
      </c>
      <c r="C202" s="164">
        <f>VLOOKUP(A202,PersonalConsumption!A:B,2,)</f>
        <v/>
      </c>
      <c r="D202" s="164">
        <f>VLOOKUP(A202,PrivateInvestment!A:B,2,)</f>
        <v/>
      </c>
      <c r="E202" s="164">
        <f>VLOOKUP(A202,Exports!A:B,2,)</f>
        <v/>
      </c>
      <c r="F202" s="164">
        <f>VLOOKUP(A202,Imports!A:B,2,)</f>
        <v/>
      </c>
      <c r="G202" s="164">
        <f>VLOOKUP(A202,Government!A:B,2,)</f>
        <v/>
      </c>
      <c r="H202" s="85">
        <f>Table58[[#This Row],[Personal Consumption]]/Table58[[#This Row],[GDP]]</f>
        <v/>
      </c>
      <c r="I202" s="85">
        <f>Table58[[#This Row],[Private Investment]]/Table58[[#This Row],[GDP]]</f>
        <v/>
      </c>
      <c r="J202" s="85">
        <f>Table58[[#This Row],[Exports]]/Table58[[#This Row],[GDP]]</f>
        <v/>
      </c>
      <c r="K202" s="85">
        <f>-Table58[[#This Row],[Imports]]/Table58[[#This Row],[GDP]]</f>
        <v/>
      </c>
      <c r="L202" s="85">
        <f>Table58[[#This Row],[Government]]/Table58[[#This Row],[GDP]]</f>
        <v/>
      </c>
      <c r="N202" s="52">
        <f>SUM(Table58[[#This Row],[PC%]:[G%]])</f>
        <v/>
      </c>
      <c r="O202" s="55">
        <f>Table58[[#This Row],[Personal Consumption]]+Table58[[#This Row],[Private Investment]]+Table58[[#This Row],[Exports]]+Table58[[#This Row],[Government]]-Table58[[#This Row],[Imports]]</f>
        <v/>
      </c>
    </row>
    <row r="203">
      <c r="A203" s="94" t="n">
        <v>35156</v>
      </c>
      <c r="B203" s="164">
        <f>VLOOKUP(A203,'U.S. GDP'!A:B,2,)</f>
        <v/>
      </c>
      <c r="C203" s="164">
        <f>VLOOKUP(A203,PersonalConsumption!A:B,2,)</f>
        <v/>
      </c>
      <c r="D203" s="164">
        <f>VLOOKUP(A203,PrivateInvestment!A:B,2,)</f>
        <v/>
      </c>
      <c r="E203" s="164">
        <f>VLOOKUP(A203,Exports!A:B,2,)</f>
        <v/>
      </c>
      <c r="F203" s="164">
        <f>VLOOKUP(A203,Imports!A:B,2,)</f>
        <v/>
      </c>
      <c r="G203" s="164">
        <f>VLOOKUP(A203,Government!A:B,2,)</f>
        <v/>
      </c>
      <c r="H203" s="85">
        <f>Table58[[#This Row],[Personal Consumption]]/Table58[[#This Row],[GDP]]</f>
        <v/>
      </c>
      <c r="I203" s="85">
        <f>Table58[[#This Row],[Private Investment]]/Table58[[#This Row],[GDP]]</f>
        <v/>
      </c>
      <c r="J203" s="85">
        <f>Table58[[#This Row],[Exports]]/Table58[[#This Row],[GDP]]</f>
        <v/>
      </c>
      <c r="K203" s="85">
        <f>-Table58[[#This Row],[Imports]]/Table58[[#This Row],[GDP]]</f>
        <v/>
      </c>
      <c r="L203" s="85">
        <f>Table58[[#This Row],[Government]]/Table58[[#This Row],[GDP]]</f>
        <v/>
      </c>
      <c r="N203" s="52">
        <f>SUM(Table58[[#This Row],[PC%]:[G%]])</f>
        <v/>
      </c>
      <c r="O203" s="55">
        <f>Table58[[#This Row],[Personal Consumption]]+Table58[[#This Row],[Private Investment]]+Table58[[#This Row],[Exports]]+Table58[[#This Row],[Government]]-Table58[[#This Row],[Imports]]</f>
        <v/>
      </c>
    </row>
    <row r="204">
      <c r="A204" s="94" t="n">
        <v>35247</v>
      </c>
      <c r="B204" s="164">
        <f>VLOOKUP(A204,'U.S. GDP'!A:B,2,)</f>
        <v/>
      </c>
      <c r="C204" s="164">
        <f>VLOOKUP(A204,PersonalConsumption!A:B,2,)</f>
        <v/>
      </c>
      <c r="D204" s="164">
        <f>VLOOKUP(A204,PrivateInvestment!A:B,2,)</f>
        <v/>
      </c>
      <c r="E204" s="164">
        <f>VLOOKUP(A204,Exports!A:B,2,)</f>
        <v/>
      </c>
      <c r="F204" s="164">
        <f>VLOOKUP(A204,Imports!A:B,2,)</f>
        <v/>
      </c>
      <c r="G204" s="164">
        <f>VLOOKUP(A204,Government!A:B,2,)</f>
        <v/>
      </c>
      <c r="H204" s="85">
        <f>Table58[[#This Row],[Personal Consumption]]/Table58[[#This Row],[GDP]]</f>
        <v/>
      </c>
      <c r="I204" s="85">
        <f>Table58[[#This Row],[Private Investment]]/Table58[[#This Row],[GDP]]</f>
        <v/>
      </c>
      <c r="J204" s="85">
        <f>Table58[[#This Row],[Exports]]/Table58[[#This Row],[GDP]]</f>
        <v/>
      </c>
      <c r="K204" s="85">
        <f>-Table58[[#This Row],[Imports]]/Table58[[#This Row],[GDP]]</f>
        <v/>
      </c>
      <c r="L204" s="85">
        <f>Table58[[#This Row],[Government]]/Table58[[#This Row],[GDP]]</f>
        <v/>
      </c>
      <c r="N204" s="52">
        <f>SUM(Table58[[#This Row],[PC%]:[G%]])</f>
        <v/>
      </c>
      <c r="O204" s="55">
        <f>Table58[[#This Row],[Personal Consumption]]+Table58[[#This Row],[Private Investment]]+Table58[[#This Row],[Exports]]+Table58[[#This Row],[Government]]-Table58[[#This Row],[Imports]]</f>
        <v/>
      </c>
    </row>
    <row r="205">
      <c r="A205" s="94" t="n">
        <v>35339</v>
      </c>
      <c r="B205" s="164">
        <f>VLOOKUP(A205,'U.S. GDP'!A:B,2,)</f>
        <v/>
      </c>
      <c r="C205" s="164">
        <f>VLOOKUP(A205,PersonalConsumption!A:B,2,)</f>
        <v/>
      </c>
      <c r="D205" s="164">
        <f>VLOOKUP(A205,PrivateInvestment!A:B,2,)</f>
        <v/>
      </c>
      <c r="E205" s="164">
        <f>VLOOKUP(A205,Exports!A:B,2,)</f>
        <v/>
      </c>
      <c r="F205" s="164">
        <f>VLOOKUP(A205,Imports!A:B,2,)</f>
        <v/>
      </c>
      <c r="G205" s="164">
        <f>VLOOKUP(A205,Government!A:B,2,)</f>
        <v/>
      </c>
      <c r="H205" s="85">
        <f>Table58[[#This Row],[Personal Consumption]]/Table58[[#This Row],[GDP]]</f>
        <v/>
      </c>
      <c r="I205" s="85">
        <f>Table58[[#This Row],[Private Investment]]/Table58[[#This Row],[GDP]]</f>
        <v/>
      </c>
      <c r="J205" s="85">
        <f>Table58[[#This Row],[Exports]]/Table58[[#This Row],[GDP]]</f>
        <v/>
      </c>
      <c r="K205" s="85">
        <f>-Table58[[#This Row],[Imports]]/Table58[[#This Row],[GDP]]</f>
        <v/>
      </c>
      <c r="L205" s="85">
        <f>Table58[[#This Row],[Government]]/Table58[[#This Row],[GDP]]</f>
        <v/>
      </c>
      <c r="N205" s="52">
        <f>SUM(Table58[[#This Row],[PC%]:[G%]])</f>
        <v/>
      </c>
      <c r="O205" s="55">
        <f>Table58[[#This Row],[Personal Consumption]]+Table58[[#This Row],[Private Investment]]+Table58[[#This Row],[Exports]]+Table58[[#This Row],[Government]]-Table58[[#This Row],[Imports]]</f>
        <v/>
      </c>
    </row>
    <row r="206">
      <c r="A206" s="94" t="n">
        <v>35431</v>
      </c>
      <c r="B206" s="164">
        <f>VLOOKUP(A206,'U.S. GDP'!A:B,2,)</f>
        <v/>
      </c>
      <c r="C206" s="164">
        <f>VLOOKUP(A206,PersonalConsumption!A:B,2,)</f>
        <v/>
      </c>
      <c r="D206" s="164">
        <f>VLOOKUP(A206,PrivateInvestment!A:B,2,)</f>
        <v/>
      </c>
      <c r="E206" s="164">
        <f>VLOOKUP(A206,Exports!A:B,2,)</f>
        <v/>
      </c>
      <c r="F206" s="164">
        <f>VLOOKUP(A206,Imports!A:B,2,)</f>
        <v/>
      </c>
      <c r="G206" s="164">
        <f>VLOOKUP(A206,Government!A:B,2,)</f>
        <v/>
      </c>
      <c r="H206" s="85">
        <f>Table58[[#This Row],[Personal Consumption]]/Table58[[#This Row],[GDP]]</f>
        <v/>
      </c>
      <c r="I206" s="85">
        <f>Table58[[#This Row],[Private Investment]]/Table58[[#This Row],[GDP]]</f>
        <v/>
      </c>
      <c r="J206" s="85">
        <f>Table58[[#This Row],[Exports]]/Table58[[#This Row],[GDP]]</f>
        <v/>
      </c>
      <c r="K206" s="85">
        <f>-Table58[[#This Row],[Imports]]/Table58[[#This Row],[GDP]]</f>
        <v/>
      </c>
      <c r="L206" s="85">
        <f>Table58[[#This Row],[Government]]/Table58[[#This Row],[GDP]]</f>
        <v/>
      </c>
      <c r="N206" s="52">
        <f>SUM(Table58[[#This Row],[PC%]:[G%]])</f>
        <v/>
      </c>
      <c r="O206" s="55">
        <f>Table58[[#This Row],[Personal Consumption]]+Table58[[#This Row],[Private Investment]]+Table58[[#This Row],[Exports]]+Table58[[#This Row],[Government]]-Table58[[#This Row],[Imports]]</f>
        <v/>
      </c>
    </row>
    <row r="207">
      <c r="A207" s="94" t="n">
        <v>35521</v>
      </c>
      <c r="B207" s="164">
        <f>VLOOKUP(A207,'U.S. GDP'!A:B,2,)</f>
        <v/>
      </c>
      <c r="C207" s="164">
        <f>VLOOKUP(A207,PersonalConsumption!A:B,2,)</f>
        <v/>
      </c>
      <c r="D207" s="164">
        <f>VLOOKUP(A207,PrivateInvestment!A:B,2,)</f>
        <v/>
      </c>
      <c r="E207" s="164">
        <f>VLOOKUP(A207,Exports!A:B,2,)</f>
        <v/>
      </c>
      <c r="F207" s="164">
        <f>VLOOKUP(A207,Imports!A:B,2,)</f>
        <v/>
      </c>
      <c r="G207" s="164">
        <f>VLOOKUP(A207,Government!A:B,2,)</f>
        <v/>
      </c>
      <c r="H207" s="85">
        <f>Table58[[#This Row],[Personal Consumption]]/Table58[[#This Row],[GDP]]</f>
        <v/>
      </c>
      <c r="I207" s="85">
        <f>Table58[[#This Row],[Private Investment]]/Table58[[#This Row],[GDP]]</f>
        <v/>
      </c>
      <c r="J207" s="85">
        <f>Table58[[#This Row],[Exports]]/Table58[[#This Row],[GDP]]</f>
        <v/>
      </c>
      <c r="K207" s="85">
        <f>-Table58[[#This Row],[Imports]]/Table58[[#This Row],[GDP]]</f>
        <v/>
      </c>
      <c r="L207" s="85">
        <f>Table58[[#This Row],[Government]]/Table58[[#This Row],[GDP]]</f>
        <v/>
      </c>
      <c r="N207" s="52">
        <f>SUM(Table58[[#This Row],[PC%]:[G%]])</f>
        <v/>
      </c>
      <c r="O207" s="55">
        <f>Table58[[#This Row],[Personal Consumption]]+Table58[[#This Row],[Private Investment]]+Table58[[#This Row],[Exports]]+Table58[[#This Row],[Government]]-Table58[[#This Row],[Imports]]</f>
        <v/>
      </c>
    </row>
    <row r="208">
      <c r="A208" s="94" t="n">
        <v>35612</v>
      </c>
      <c r="B208" s="164">
        <f>VLOOKUP(A208,'U.S. GDP'!A:B,2,)</f>
        <v/>
      </c>
      <c r="C208" s="164">
        <f>VLOOKUP(A208,PersonalConsumption!A:B,2,)</f>
        <v/>
      </c>
      <c r="D208" s="164">
        <f>VLOOKUP(A208,PrivateInvestment!A:B,2,)</f>
        <v/>
      </c>
      <c r="E208" s="164">
        <f>VLOOKUP(A208,Exports!A:B,2,)</f>
        <v/>
      </c>
      <c r="F208" s="164">
        <f>VLOOKUP(A208,Imports!A:B,2,)</f>
        <v/>
      </c>
      <c r="G208" s="164">
        <f>VLOOKUP(A208,Government!A:B,2,)</f>
        <v/>
      </c>
      <c r="H208" s="85">
        <f>Table58[[#This Row],[Personal Consumption]]/Table58[[#This Row],[GDP]]</f>
        <v/>
      </c>
      <c r="I208" s="85">
        <f>Table58[[#This Row],[Private Investment]]/Table58[[#This Row],[GDP]]</f>
        <v/>
      </c>
      <c r="J208" s="85">
        <f>Table58[[#This Row],[Exports]]/Table58[[#This Row],[GDP]]</f>
        <v/>
      </c>
      <c r="K208" s="85">
        <f>-Table58[[#This Row],[Imports]]/Table58[[#This Row],[GDP]]</f>
        <v/>
      </c>
      <c r="L208" s="85">
        <f>Table58[[#This Row],[Government]]/Table58[[#This Row],[GDP]]</f>
        <v/>
      </c>
      <c r="N208" s="52">
        <f>SUM(Table58[[#This Row],[PC%]:[G%]])</f>
        <v/>
      </c>
      <c r="O208" s="55">
        <f>Table58[[#This Row],[Personal Consumption]]+Table58[[#This Row],[Private Investment]]+Table58[[#This Row],[Exports]]+Table58[[#This Row],[Government]]-Table58[[#This Row],[Imports]]</f>
        <v/>
      </c>
    </row>
    <row r="209">
      <c r="A209" s="94" t="n">
        <v>35704</v>
      </c>
      <c r="B209" s="164">
        <f>VLOOKUP(A209,'U.S. GDP'!A:B,2,)</f>
        <v/>
      </c>
      <c r="C209" s="164">
        <f>VLOOKUP(A209,PersonalConsumption!A:B,2,)</f>
        <v/>
      </c>
      <c r="D209" s="164">
        <f>VLOOKUP(A209,PrivateInvestment!A:B,2,)</f>
        <v/>
      </c>
      <c r="E209" s="164">
        <f>VLOOKUP(A209,Exports!A:B,2,)</f>
        <v/>
      </c>
      <c r="F209" s="164">
        <f>VLOOKUP(A209,Imports!A:B,2,)</f>
        <v/>
      </c>
      <c r="G209" s="164">
        <f>VLOOKUP(A209,Government!A:B,2,)</f>
        <v/>
      </c>
      <c r="H209" s="85">
        <f>Table58[[#This Row],[Personal Consumption]]/Table58[[#This Row],[GDP]]</f>
        <v/>
      </c>
      <c r="I209" s="85">
        <f>Table58[[#This Row],[Private Investment]]/Table58[[#This Row],[GDP]]</f>
        <v/>
      </c>
      <c r="J209" s="85">
        <f>Table58[[#This Row],[Exports]]/Table58[[#This Row],[GDP]]</f>
        <v/>
      </c>
      <c r="K209" s="85">
        <f>-Table58[[#This Row],[Imports]]/Table58[[#This Row],[GDP]]</f>
        <v/>
      </c>
      <c r="L209" s="85">
        <f>Table58[[#This Row],[Government]]/Table58[[#This Row],[GDP]]</f>
        <v/>
      </c>
      <c r="N209" s="52">
        <f>SUM(Table58[[#This Row],[PC%]:[G%]])</f>
        <v/>
      </c>
      <c r="O209" s="55">
        <f>Table58[[#This Row],[Personal Consumption]]+Table58[[#This Row],[Private Investment]]+Table58[[#This Row],[Exports]]+Table58[[#This Row],[Government]]-Table58[[#This Row],[Imports]]</f>
        <v/>
      </c>
    </row>
    <row r="210">
      <c r="A210" s="94" t="n">
        <v>35796</v>
      </c>
      <c r="B210" s="164">
        <f>VLOOKUP(A210,'U.S. GDP'!A:B,2,)</f>
        <v/>
      </c>
      <c r="C210" s="164">
        <f>VLOOKUP(A210,PersonalConsumption!A:B,2,)</f>
        <v/>
      </c>
      <c r="D210" s="164">
        <f>VLOOKUP(A210,PrivateInvestment!A:B,2,)</f>
        <v/>
      </c>
      <c r="E210" s="164">
        <f>VLOOKUP(A210,Exports!A:B,2,)</f>
        <v/>
      </c>
      <c r="F210" s="164">
        <f>VLOOKUP(A210,Imports!A:B,2,)</f>
        <v/>
      </c>
      <c r="G210" s="164">
        <f>VLOOKUP(A210,Government!A:B,2,)</f>
        <v/>
      </c>
      <c r="H210" s="85">
        <f>Table58[[#This Row],[Personal Consumption]]/Table58[[#This Row],[GDP]]</f>
        <v/>
      </c>
      <c r="I210" s="85">
        <f>Table58[[#This Row],[Private Investment]]/Table58[[#This Row],[GDP]]</f>
        <v/>
      </c>
      <c r="J210" s="85">
        <f>Table58[[#This Row],[Exports]]/Table58[[#This Row],[GDP]]</f>
        <v/>
      </c>
      <c r="K210" s="85">
        <f>-Table58[[#This Row],[Imports]]/Table58[[#This Row],[GDP]]</f>
        <v/>
      </c>
      <c r="L210" s="85">
        <f>Table58[[#This Row],[Government]]/Table58[[#This Row],[GDP]]</f>
        <v/>
      </c>
      <c r="N210" s="52">
        <f>SUM(Table58[[#This Row],[PC%]:[G%]])</f>
        <v/>
      </c>
      <c r="O210" s="55">
        <f>Table58[[#This Row],[Personal Consumption]]+Table58[[#This Row],[Private Investment]]+Table58[[#This Row],[Exports]]+Table58[[#This Row],[Government]]-Table58[[#This Row],[Imports]]</f>
        <v/>
      </c>
    </row>
    <row r="211">
      <c r="A211" s="94" t="n">
        <v>35886</v>
      </c>
      <c r="B211" s="164">
        <f>VLOOKUP(A211,'U.S. GDP'!A:B,2,)</f>
        <v/>
      </c>
      <c r="C211" s="164">
        <f>VLOOKUP(A211,PersonalConsumption!A:B,2,)</f>
        <v/>
      </c>
      <c r="D211" s="164">
        <f>VLOOKUP(A211,PrivateInvestment!A:B,2,)</f>
        <v/>
      </c>
      <c r="E211" s="164">
        <f>VLOOKUP(A211,Exports!A:B,2,)</f>
        <v/>
      </c>
      <c r="F211" s="164">
        <f>VLOOKUP(A211,Imports!A:B,2,)</f>
        <v/>
      </c>
      <c r="G211" s="164">
        <f>VLOOKUP(A211,Government!A:B,2,)</f>
        <v/>
      </c>
      <c r="H211" s="85">
        <f>Table58[[#This Row],[Personal Consumption]]/Table58[[#This Row],[GDP]]</f>
        <v/>
      </c>
      <c r="I211" s="85">
        <f>Table58[[#This Row],[Private Investment]]/Table58[[#This Row],[GDP]]</f>
        <v/>
      </c>
      <c r="J211" s="85">
        <f>Table58[[#This Row],[Exports]]/Table58[[#This Row],[GDP]]</f>
        <v/>
      </c>
      <c r="K211" s="85">
        <f>-Table58[[#This Row],[Imports]]/Table58[[#This Row],[GDP]]</f>
        <v/>
      </c>
      <c r="L211" s="85">
        <f>Table58[[#This Row],[Government]]/Table58[[#This Row],[GDP]]</f>
        <v/>
      </c>
      <c r="N211" s="52">
        <f>SUM(Table58[[#This Row],[PC%]:[G%]])</f>
        <v/>
      </c>
      <c r="O211" s="55">
        <f>Table58[[#This Row],[Personal Consumption]]+Table58[[#This Row],[Private Investment]]+Table58[[#This Row],[Exports]]+Table58[[#This Row],[Government]]-Table58[[#This Row],[Imports]]</f>
        <v/>
      </c>
    </row>
    <row r="212">
      <c r="A212" s="94" t="n">
        <v>35977</v>
      </c>
      <c r="B212" s="164">
        <f>VLOOKUP(A212,'U.S. GDP'!A:B,2,)</f>
        <v/>
      </c>
      <c r="C212" s="164">
        <f>VLOOKUP(A212,PersonalConsumption!A:B,2,)</f>
        <v/>
      </c>
      <c r="D212" s="164">
        <f>VLOOKUP(A212,PrivateInvestment!A:B,2,)</f>
        <v/>
      </c>
      <c r="E212" s="164">
        <f>VLOOKUP(A212,Exports!A:B,2,)</f>
        <v/>
      </c>
      <c r="F212" s="164">
        <f>VLOOKUP(A212,Imports!A:B,2,)</f>
        <v/>
      </c>
      <c r="G212" s="164">
        <f>VLOOKUP(A212,Government!A:B,2,)</f>
        <v/>
      </c>
      <c r="H212" s="85">
        <f>Table58[[#This Row],[Personal Consumption]]/Table58[[#This Row],[GDP]]</f>
        <v/>
      </c>
      <c r="I212" s="85">
        <f>Table58[[#This Row],[Private Investment]]/Table58[[#This Row],[GDP]]</f>
        <v/>
      </c>
      <c r="J212" s="85">
        <f>Table58[[#This Row],[Exports]]/Table58[[#This Row],[GDP]]</f>
        <v/>
      </c>
      <c r="K212" s="85">
        <f>-Table58[[#This Row],[Imports]]/Table58[[#This Row],[GDP]]</f>
        <v/>
      </c>
      <c r="L212" s="85">
        <f>Table58[[#This Row],[Government]]/Table58[[#This Row],[GDP]]</f>
        <v/>
      </c>
      <c r="N212" s="52">
        <f>SUM(Table58[[#This Row],[PC%]:[G%]])</f>
        <v/>
      </c>
      <c r="O212" s="55">
        <f>Table58[[#This Row],[Personal Consumption]]+Table58[[#This Row],[Private Investment]]+Table58[[#This Row],[Exports]]+Table58[[#This Row],[Government]]-Table58[[#This Row],[Imports]]</f>
        <v/>
      </c>
    </row>
    <row r="213">
      <c r="A213" s="94" t="n">
        <v>36069</v>
      </c>
      <c r="B213" s="164">
        <f>VLOOKUP(A213,'U.S. GDP'!A:B,2,)</f>
        <v/>
      </c>
      <c r="C213" s="164">
        <f>VLOOKUP(A213,PersonalConsumption!A:B,2,)</f>
        <v/>
      </c>
      <c r="D213" s="164">
        <f>VLOOKUP(A213,PrivateInvestment!A:B,2,)</f>
        <v/>
      </c>
      <c r="E213" s="164">
        <f>VLOOKUP(A213,Exports!A:B,2,)</f>
        <v/>
      </c>
      <c r="F213" s="164">
        <f>VLOOKUP(A213,Imports!A:B,2,)</f>
        <v/>
      </c>
      <c r="G213" s="164">
        <f>VLOOKUP(A213,Government!A:B,2,)</f>
        <v/>
      </c>
      <c r="H213" s="85">
        <f>Table58[[#This Row],[Personal Consumption]]/Table58[[#This Row],[GDP]]</f>
        <v/>
      </c>
      <c r="I213" s="85">
        <f>Table58[[#This Row],[Private Investment]]/Table58[[#This Row],[GDP]]</f>
        <v/>
      </c>
      <c r="J213" s="85">
        <f>Table58[[#This Row],[Exports]]/Table58[[#This Row],[GDP]]</f>
        <v/>
      </c>
      <c r="K213" s="85">
        <f>-Table58[[#This Row],[Imports]]/Table58[[#This Row],[GDP]]</f>
        <v/>
      </c>
      <c r="L213" s="85">
        <f>Table58[[#This Row],[Government]]/Table58[[#This Row],[GDP]]</f>
        <v/>
      </c>
      <c r="N213" s="52">
        <f>SUM(Table58[[#This Row],[PC%]:[G%]])</f>
        <v/>
      </c>
      <c r="O213" s="55">
        <f>Table58[[#This Row],[Personal Consumption]]+Table58[[#This Row],[Private Investment]]+Table58[[#This Row],[Exports]]+Table58[[#This Row],[Government]]-Table58[[#This Row],[Imports]]</f>
        <v/>
      </c>
    </row>
    <row r="214">
      <c r="A214" s="94" t="n">
        <v>36161</v>
      </c>
      <c r="B214" s="164">
        <f>VLOOKUP(A214,'U.S. GDP'!A:B,2,)</f>
        <v/>
      </c>
      <c r="C214" s="164">
        <f>VLOOKUP(A214,PersonalConsumption!A:B,2,)</f>
        <v/>
      </c>
      <c r="D214" s="164">
        <f>VLOOKUP(A214,PrivateInvestment!A:B,2,)</f>
        <v/>
      </c>
      <c r="E214" s="164">
        <f>VLOOKUP(A214,Exports!A:B,2,)</f>
        <v/>
      </c>
      <c r="F214" s="164">
        <f>VLOOKUP(A214,Imports!A:B,2,)</f>
        <v/>
      </c>
      <c r="G214" s="164">
        <f>VLOOKUP(A214,Government!A:B,2,)</f>
        <v/>
      </c>
      <c r="H214" s="85">
        <f>Table58[[#This Row],[Personal Consumption]]/Table58[[#This Row],[GDP]]</f>
        <v/>
      </c>
      <c r="I214" s="85">
        <f>Table58[[#This Row],[Private Investment]]/Table58[[#This Row],[GDP]]</f>
        <v/>
      </c>
      <c r="J214" s="85">
        <f>Table58[[#This Row],[Exports]]/Table58[[#This Row],[GDP]]</f>
        <v/>
      </c>
      <c r="K214" s="85">
        <f>-Table58[[#This Row],[Imports]]/Table58[[#This Row],[GDP]]</f>
        <v/>
      </c>
      <c r="L214" s="85">
        <f>Table58[[#This Row],[Government]]/Table58[[#This Row],[GDP]]</f>
        <v/>
      </c>
      <c r="N214" s="52">
        <f>SUM(Table58[[#This Row],[PC%]:[G%]])</f>
        <v/>
      </c>
      <c r="O214" s="55">
        <f>Table58[[#This Row],[Personal Consumption]]+Table58[[#This Row],[Private Investment]]+Table58[[#This Row],[Exports]]+Table58[[#This Row],[Government]]-Table58[[#This Row],[Imports]]</f>
        <v/>
      </c>
    </row>
    <row r="215">
      <c r="A215" s="94" t="n">
        <v>36251</v>
      </c>
      <c r="B215" s="164">
        <f>VLOOKUP(A215,'U.S. GDP'!A:B,2,)</f>
        <v/>
      </c>
      <c r="C215" s="164">
        <f>VLOOKUP(A215,PersonalConsumption!A:B,2,)</f>
        <v/>
      </c>
      <c r="D215" s="164">
        <f>VLOOKUP(A215,PrivateInvestment!A:B,2,)</f>
        <v/>
      </c>
      <c r="E215" s="164">
        <f>VLOOKUP(A215,Exports!A:B,2,)</f>
        <v/>
      </c>
      <c r="F215" s="164">
        <f>VLOOKUP(A215,Imports!A:B,2,)</f>
        <v/>
      </c>
      <c r="G215" s="164">
        <f>VLOOKUP(A215,Government!A:B,2,)</f>
        <v/>
      </c>
      <c r="H215" s="85">
        <f>Table58[[#This Row],[Personal Consumption]]/Table58[[#This Row],[GDP]]</f>
        <v/>
      </c>
      <c r="I215" s="85">
        <f>Table58[[#This Row],[Private Investment]]/Table58[[#This Row],[GDP]]</f>
        <v/>
      </c>
      <c r="J215" s="85">
        <f>Table58[[#This Row],[Exports]]/Table58[[#This Row],[GDP]]</f>
        <v/>
      </c>
      <c r="K215" s="85">
        <f>-Table58[[#This Row],[Imports]]/Table58[[#This Row],[GDP]]</f>
        <v/>
      </c>
      <c r="L215" s="85">
        <f>Table58[[#This Row],[Government]]/Table58[[#This Row],[GDP]]</f>
        <v/>
      </c>
      <c r="N215" s="52">
        <f>SUM(Table58[[#This Row],[PC%]:[G%]])</f>
        <v/>
      </c>
      <c r="O215" s="55">
        <f>Table58[[#This Row],[Personal Consumption]]+Table58[[#This Row],[Private Investment]]+Table58[[#This Row],[Exports]]+Table58[[#This Row],[Government]]-Table58[[#This Row],[Imports]]</f>
        <v/>
      </c>
    </row>
    <row r="216">
      <c r="A216" s="94" t="n">
        <v>36342</v>
      </c>
      <c r="B216" s="164">
        <f>VLOOKUP(A216,'U.S. GDP'!A:B,2,)</f>
        <v/>
      </c>
      <c r="C216" s="164">
        <f>VLOOKUP(A216,PersonalConsumption!A:B,2,)</f>
        <v/>
      </c>
      <c r="D216" s="164">
        <f>VLOOKUP(A216,PrivateInvestment!A:B,2,)</f>
        <v/>
      </c>
      <c r="E216" s="164">
        <f>VLOOKUP(A216,Exports!A:B,2,)</f>
        <v/>
      </c>
      <c r="F216" s="164">
        <f>VLOOKUP(A216,Imports!A:B,2,)</f>
        <v/>
      </c>
      <c r="G216" s="164">
        <f>VLOOKUP(A216,Government!A:B,2,)</f>
        <v/>
      </c>
      <c r="H216" s="85">
        <f>Table58[[#This Row],[Personal Consumption]]/Table58[[#This Row],[GDP]]</f>
        <v/>
      </c>
      <c r="I216" s="85">
        <f>Table58[[#This Row],[Private Investment]]/Table58[[#This Row],[GDP]]</f>
        <v/>
      </c>
      <c r="J216" s="85">
        <f>Table58[[#This Row],[Exports]]/Table58[[#This Row],[GDP]]</f>
        <v/>
      </c>
      <c r="K216" s="85">
        <f>-Table58[[#This Row],[Imports]]/Table58[[#This Row],[GDP]]</f>
        <v/>
      </c>
      <c r="L216" s="85">
        <f>Table58[[#This Row],[Government]]/Table58[[#This Row],[GDP]]</f>
        <v/>
      </c>
      <c r="N216" s="52">
        <f>SUM(Table58[[#This Row],[PC%]:[G%]])</f>
        <v/>
      </c>
      <c r="O216" s="55">
        <f>Table58[[#This Row],[Personal Consumption]]+Table58[[#This Row],[Private Investment]]+Table58[[#This Row],[Exports]]+Table58[[#This Row],[Government]]-Table58[[#This Row],[Imports]]</f>
        <v/>
      </c>
    </row>
    <row r="217">
      <c r="A217" s="94" t="n">
        <v>36434</v>
      </c>
      <c r="B217" s="164">
        <f>VLOOKUP(A217,'U.S. GDP'!A:B,2,)</f>
        <v/>
      </c>
      <c r="C217" s="164">
        <f>VLOOKUP(A217,PersonalConsumption!A:B,2,)</f>
        <v/>
      </c>
      <c r="D217" s="164">
        <f>VLOOKUP(A217,PrivateInvestment!A:B,2,)</f>
        <v/>
      </c>
      <c r="E217" s="164">
        <f>VLOOKUP(A217,Exports!A:B,2,)</f>
        <v/>
      </c>
      <c r="F217" s="164">
        <f>VLOOKUP(A217,Imports!A:B,2,)</f>
        <v/>
      </c>
      <c r="G217" s="164">
        <f>VLOOKUP(A217,Government!A:B,2,)</f>
        <v/>
      </c>
      <c r="H217" s="85">
        <f>Table58[[#This Row],[Personal Consumption]]/Table58[[#This Row],[GDP]]</f>
        <v/>
      </c>
      <c r="I217" s="85">
        <f>Table58[[#This Row],[Private Investment]]/Table58[[#This Row],[GDP]]</f>
        <v/>
      </c>
      <c r="J217" s="85">
        <f>Table58[[#This Row],[Exports]]/Table58[[#This Row],[GDP]]</f>
        <v/>
      </c>
      <c r="K217" s="85">
        <f>-Table58[[#This Row],[Imports]]/Table58[[#This Row],[GDP]]</f>
        <v/>
      </c>
      <c r="L217" s="85">
        <f>Table58[[#This Row],[Government]]/Table58[[#This Row],[GDP]]</f>
        <v/>
      </c>
      <c r="N217" s="52">
        <f>SUM(Table58[[#This Row],[PC%]:[G%]])</f>
        <v/>
      </c>
      <c r="O217" s="55">
        <f>Table58[[#This Row],[Personal Consumption]]+Table58[[#This Row],[Private Investment]]+Table58[[#This Row],[Exports]]+Table58[[#This Row],[Government]]-Table58[[#This Row],[Imports]]</f>
        <v/>
      </c>
    </row>
    <row r="218">
      <c r="A218" s="94" t="n">
        <v>36526</v>
      </c>
      <c r="B218" s="164">
        <f>VLOOKUP(A218,'U.S. GDP'!A:B,2,)</f>
        <v/>
      </c>
      <c r="C218" s="164">
        <f>VLOOKUP(A218,PersonalConsumption!A:B,2,)</f>
        <v/>
      </c>
      <c r="D218" s="164">
        <f>VLOOKUP(A218,PrivateInvestment!A:B,2,)</f>
        <v/>
      </c>
      <c r="E218" s="164">
        <f>VLOOKUP(A218,Exports!A:B,2,)</f>
        <v/>
      </c>
      <c r="F218" s="164">
        <f>VLOOKUP(A218,Imports!A:B,2,)</f>
        <v/>
      </c>
      <c r="G218" s="164">
        <f>VLOOKUP(A218,Government!A:B,2,)</f>
        <v/>
      </c>
      <c r="H218" s="85">
        <f>Table58[[#This Row],[Personal Consumption]]/Table58[[#This Row],[GDP]]</f>
        <v/>
      </c>
      <c r="I218" s="85">
        <f>Table58[[#This Row],[Private Investment]]/Table58[[#This Row],[GDP]]</f>
        <v/>
      </c>
      <c r="J218" s="85">
        <f>Table58[[#This Row],[Exports]]/Table58[[#This Row],[GDP]]</f>
        <v/>
      </c>
      <c r="K218" s="85">
        <f>-Table58[[#This Row],[Imports]]/Table58[[#This Row],[GDP]]</f>
        <v/>
      </c>
      <c r="L218" s="85">
        <f>Table58[[#This Row],[Government]]/Table58[[#This Row],[GDP]]</f>
        <v/>
      </c>
      <c r="N218" s="52">
        <f>SUM(Table58[[#This Row],[PC%]:[G%]])</f>
        <v/>
      </c>
      <c r="O218" s="55">
        <f>Table58[[#This Row],[Personal Consumption]]+Table58[[#This Row],[Private Investment]]+Table58[[#This Row],[Exports]]+Table58[[#This Row],[Government]]-Table58[[#This Row],[Imports]]</f>
        <v/>
      </c>
    </row>
    <row r="219">
      <c r="A219" s="94" t="n">
        <v>36617</v>
      </c>
      <c r="B219" s="164">
        <f>VLOOKUP(A219,'U.S. GDP'!A:B,2,)</f>
        <v/>
      </c>
      <c r="C219" s="164">
        <f>VLOOKUP(A219,PersonalConsumption!A:B,2,)</f>
        <v/>
      </c>
      <c r="D219" s="164">
        <f>VLOOKUP(A219,PrivateInvestment!A:B,2,)</f>
        <v/>
      </c>
      <c r="E219" s="164">
        <f>VLOOKUP(A219,Exports!A:B,2,)</f>
        <v/>
      </c>
      <c r="F219" s="164">
        <f>VLOOKUP(A219,Imports!A:B,2,)</f>
        <v/>
      </c>
      <c r="G219" s="164">
        <f>VLOOKUP(A219,Government!A:B,2,)</f>
        <v/>
      </c>
      <c r="H219" s="85">
        <f>Table58[[#This Row],[Personal Consumption]]/Table58[[#This Row],[GDP]]</f>
        <v/>
      </c>
      <c r="I219" s="85">
        <f>Table58[[#This Row],[Private Investment]]/Table58[[#This Row],[GDP]]</f>
        <v/>
      </c>
      <c r="J219" s="85">
        <f>Table58[[#This Row],[Exports]]/Table58[[#This Row],[GDP]]</f>
        <v/>
      </c>
      <c r="K219" s="85">
        <f>-Table58[[#This Row],[Imports]]/Table58[[#This Row],[GDP]]</f>
        <v/>
      </c>
      <c r="L219" s="85">
        <f>Table58[[#This Row],[Government]]/Table58[[#This Row],[GDP]]</f>
        <v/>
      </c>
      <c r="N219" s="52">
        <f>SUM(Table58[[#This Row],[PC%]:[G%]])</f>
        <v/>
      </c>
      <c r="O219" s="55">
        <f>Table58[[#This Row],[Personal Consumption]]+Table58[[#This Row],[Private Investment]]+Table58[[#This Row],[Exports]]+Table58[[#This Row],[Government]]-Table58[[#This Row],[Imports]]</f>
        <v/>
      </c>
    </row>
    <row r="220">
      <c r="A220" s="94" t="n">
        <v>36708</v>
      </c>
      <c r="B220" s="164">
        <f>VLOOKUP(A220,'U.S. GDP'!A:B,2,)</f>
        <v/>
      </c>
      <c r="C220" s="164">
        <f>VLOOKUP(A220,PersonalConsumption!A:B,2,)</f>
        <v/>
      </c>
      <c r="D220" s="164">
        <f>VLOOKUP(A220,PrivateInvestment!A:B,2,)</f>
        <v/>
      </c>
      <c r="E220" s="164">
        <f>VLOOKUP(A220,Exports!A:B,2,)</f>
        <v/>
      </c>
      <c r="F220" s="164">
        <f>VLOOKUP(A220,Imports!A:B,2,)</f>
        <v/>
      </c>
      <c r="G220" s="164">
        <f>VLOOKUP(A220,Government!A:B,2,)</f>
        <v/>
      </c>
      <c r="H220" s="85">
        <f>Table58[[#This Row],[Personal Consumption]]/Table58[[#This Row],[GDP]]</f>
        <v/>
      </c>
      <c r="I220" s="85">
        <f>Table58[[#This Row],[Private Investment]]/Table58[[#This Row],[GDP]]</f>
        <v/>
      </c>
      <c r="J220" s="85">
        <f>Table58[[#This Row],[Exports]]/Table58[[#This Row],[GDP]]</f>
        <v/>
      </c>
      <c r="K220" s="85">
        <f>-Table58[[#This Row],[Imports]]/Table58[[#This Row],[GDP]]</f>
        <v/>
      </c>
      <c r="L220" s="85">
        <f>Table58[[#This Row],[Government]]/Table58[[#This Row],[GDP]]</f>
        <v/>
      </c>
      <c r="N220" s="52">
        <f>SUM(Table58[[#This Row],[PC%]:[G%]])</f>
        <v/>
      </c>
      <c r="O220" s="55">
        <f>Table58[[#This Row],[Personal Consumption]]+Table58[[#This Row],[Private Investment]]+Table58[[#This Row],[Exports]]+Table58[[#This Row],[Government]]-Table58[[#This Row],[Imports]]</f>
        <v/>
      </c>
    </row>
    <row r="221">
      <c r="A221" s="94" t="n">
        <v>36800</v>
      </c>
      <c r="B221" s="164">
        <f>VLOOKUP(A221,'U.S. GDP'!A:B,2,)</f>
        <v/>
      </c>
      <c r="C221" s="164">
        <f>VLOOKUP(A221,PersonalConsumption!A:B,2,)</f>
        <v/>
      </c>
      <c r="D221" s="164">
        <f>VLOOKUP(A221,PrivateInvestment!A:B,2,)</f>
        <v/>
      </c>
      <c r="E221" s="164">
        <f>VLOOKUP(A221,Exports!A:B,2,)</f>
        <v/>
      </c>
      <c r="F221" s="164">
        <f>VLOOKUP(A221,Imports!A:B,2,)</f>
        <v/>
      </c>
      <c r="G221" s="164">
        <f>VLOOKUP(A221,Government!A:B,2,)</f>
        <v/>
      </c>
      <c r="H221" s="85">
        <f>Table58[[#This Row],[Personal Consumption]]/Table58[[#This Row],[GDP]]</f>
        <v/>
      </c>
      <c r="I221" s="85">
        <f>Table58[[#This Row],[Private Investment]]/Table58[[#This Row],[GDP]]</f>
        <v/>
      </c>
      <c r="J221" s="85">
        <f>Table58[[#This Row],[Exports]]/Table58[[#This Row],[GDP]]</f>
        <v/>
      </c>
      <c r="K221" s="85">
        <f>-Table58[[#This Row],[Imports]]/Table58[[#This Row],[GDP]]</f>
        <v/>
      </c>
      <c r="L221" s="85">
        <f>Table58[[#This Row],[Government]]/Table58[[#This Row],[GDP]]</f>
        <v/>
      </c>
      <c r="N221" s="52">
        <f>SUM(Table58[[#This Row],[PC%]:[G%]])</f>
        <v/>
      </c>
      <c r="O221" s="55">
        <f>Table58[[#This Row],[Personal Consumption]]+Table58[[#This Row],[Private Investment]]+Table58[[#This Row],[Exports]]+Table58[[#This Row],[Government]]-Table58[[#This Row],[Imports]]</f>
        <v/>
      </c>
    </row>
    <row r="222">
      <c r="A222" s="94" t="n">
        <v>36892</v>
      </c>
      <c r="B222" s="164">
        <f>VLOOKUP(A222,'U.S. GDP'!A:B,2,)</f>
        <v/>
      </c>
      <c r="C222" s="164">
        <f>VLOOKUP(A222,PersonalConsumption!A:B,2,)</f>
        <v/>
      </c>
      <c r="D222" s="164">
        <f>VLOOKUP(A222,PrivateInvestment!A:B,2,)</f>
        <v/>
      </c>
      <c r="E222" s="164">
        <f>VLOOKUP(A222,Exports!A:B,2,)</f>
        <v/>
      </c>
      <c r="F222" s="164">
        <f>VLOOKUP(A222,Imports!A:B,2,)</f>
        <v/>
      </c>
      <c r="G222" s="164">
        <f>VLOOKUP(A222,Government!A:B,2,)</f>
        <v/>
      </c>
      <c r="H222" s="85">
        <f>Table58[[#This Row],[Personal Consumption]]/Table58[[#This Row],[GDP]]</f>
        <v/>
      </c>
      <c r="I222" s="85">
        <f>Table58[[#This Row],[Private Investment]]/Table58[[#This Row],[GDP]]</f>
        <v/>
      </c>
      <c r="J222" s="85">
        <f>Table58[[#This Row],[Exports]]/Table58[[#This Row],[GDP]]</f>
        <v/>
      </c>
      <c r="K222" s="85">
        <f>-Table58[[#This Row],[Imports]]/Table58[[#This Row],[GDP]]</f>
        <v/>
      </c>
      <c r="L222" s="85">
        <f>Table58[[#This Row],[Government]]/Table58[[#This Row],[GDP]]</f>
        <v/>
      </c>
      <c r="N222" s="52">
        <f>SUM(Table58[[#This Row],[PC%]:[G%]])</f>
        <v/>
      </c>
      <c r="O222" s="55">
        <f>Table58[[#This Row],[Personal Consumption]]+Table58[[#This Row],[Private Investment]]+Table58[[#This Row],[Exports]]+Table58[[#This Row],[Government]]-Table58[[#This Row],[Imports]]</f>
        <v/>
      </c>
    </row>
    <row r="223">
      <c r="A223" s="94" t="n">
        <v>36982</v>
      </c>
      <c r="B223" s="164">
        <f>VLOOKUP(A223,'U.S. GDP'!A:B,2,)</f>
        <v/>
      </c>
      <c r="C223" s="164">
        <f>VLOOKUP(A223,PersonalConsumption!A:B,2,)</f>
        <v/>
      </c>
      <c r="D223" s="164">
        <f>VLOOKUP(A223,PrivateInvestment!A:B,2,)</f>
        <v/>
      </c>
      <c r="E223" s="164">
        <f>VLOOKUP(A223,Exports!A:B,2,)</f>
        <v/>
      </c>
      <c r="F223" s="164">
        <f>VLOOKUP(A223,Imports!A:B,2,)</f>
        <v/>
      </c>
      <c r="G223" s="164">
        <f>VLOOKUP(A223,Government!A:B,2,)</f>
        <v/>
      </c>
      <c r="H223" s="85">
        <f>Table58[[#This Row],[Personal Consumption]]/Table58[[#This Row],[GDP]]</f>
        <v/>
      </c>
      <c r="I223" s="85">
        <f>Table58[[#This Row],[Private Investment]]/Table58[[#This Row],[GDP]]</f>
        <v/>
      </c>
      <c r="J223" s="85">
        <f>Table58[[#This Row],[Exports]]/Table58[[#This Row],[GDP]]</f>
        <v/>
      </c>
      <c r="K223" s="85">
        <f>-Table58[[#This Row],[Imports]]/Table58[[#This Row],[GDP]]</f>
        <v/>
      </c>
      <c r="L223" s="85">
        <f>Table58[[#This Row],[Government]]/Table58[[#This Row],[GDP]]</f>
        <v/>
      </c>
      <c r="N223" s="52">
        <f>SUM(Table58[[#This Row],[PC%]:[G%]])</f>
        <v/>
      </c>
      <c r="O223" s="55">
        <f>Table58[[#This Row],[Personal Consumption]]+Table58[[#This Row],[Private Investment]]+Table58[[#This Row],[Exports]]+Table58[[#This Row],[Government]]-Table58[[#This Row],[Imports]]</f>
        <v/>
      </c>
    </row>
    <row r="224">
      <c r="A224" s="94" t="n">
        <v>37073</v>
      </c>
      <c r="B224" s="164">
        <f>VLOOKUP(A224,'U.S. GDP'!A:B,2,)</f>
        <v/>
      </c>
      <c r="C224" s="164">
        <f>VLOOKUP(A224,PersonalConsumption!A:B,2,)</f>
        <v/>
      </c>
      <c r="D224" s="164">
        <f>VLOOKUP(A224,PrivateInvestment!A:B,2,)</f>
        <v/>
      </c>
      <c r="E224" s="164">
        <f>VLOOKUP(A224,Exports!A:B,2,)</f>
        <v/>
      </c>
      <c r="F224" s="164">
        <f>VLOOKUP(A224,Imports!A:B,2,)</f>
        <v/>
      </c>
      <c r="G224" s="164">
        <f>VLOOKUP(A224,Government!A:B,2,)</f>
        <v/>
      </c>
      <c r="H224" s="85">
        <f>Table58[[#This Row],[Personal Consumption]]/Table58[[#This Row],[GDP]]</f>
        <v/>
      </c>
      <c r="I224" s="85">
        <f>Table58[[#This Row],[Private Investment]]/Table58[[#This Row],[GDP]]</f>
        <v/>
      </c>
      <c r="J224" s="85">
        <f>Table58[[#This Row],[Exports]]/Table58[[#This Row],[GDP]]</f>
        <v/>
      </c>
      <c r="K224" s="85">
        <f>-Table58[[#This Row],[Imports]]/Table58[[#This Row],[GDP]]</f>
        <v/>
      </c>
      <c r="L224" s="85">
        <f>Table58[[#This Row],[Government]]/Table58[[#This Row],[GDP]]</f>
        <v/>
      </c>
      <c r="N224" s="52">
        <f>SUM(Table58[[#This Row],[PC%]:[G%]])</f>
        <v/>
      </c>
      <c r="O224" s="55">
        <f>Table58[[#This Row],[Personal Consumption]]+Table58[[#This Row],[Private Investment]]+Table58[[#This Row],[Exports]]+Table58[[#This Row],[Government]]-Table58[[#This Row],[Imports]]</f>
        <v/>
      </c>
    </row>
    <row r="225">
      <c r="A225" s="94" t="n">
        <v>37165</v>
      </c>
      <c r="B225" s="164">
        <f>VLOOKUP(A225,'U.S. GDP'!A:B,2,)</f>
        <v/>
      </c>
      <c r="C225" s="164">
        <f>VLOOKUP(A225,PersonalConsumption!A:B,2,)</f>
        <v/>
      </c>
      <c r="D225" s="164">
        <f>VLOOKUP(A225,PrivateInvestment!A:B,2,)</f>
        <v/>
      </c>
      <c r="E225" s="164">
        <f>VLOOKUP(A225,Exports!A:B,2,)</f>
        <v/>
      </c>
      <c r="F225" s="164">
        <f>VLOOKUP(A225,Imports!A:B,2,)</f>
        <v/>
      </c>
      <c r="G225" s="164">
        <f>VLOOKUP(A225,Government!A:B,2,)</f>
        <v/>
      </c>
      <c r="H225" s="85">
        <f>Table58[[#This Row],[Personal Consumption]]/Table58[[#This Row],[GDP]]</f>
        <v/>
      </c>
      <c r="I225" s="85">
        <f>Table58[[#This Row],[Private Investment]]/Table58[[#This Row],[GDP]]</f>
        <v/>
      </c>
      <c r="J225" s="85">
        <f>Table58[[#This Row],[Exports]]/Table58[[#This Row],[GDP]]</f>
        <v/>
      </c>
      <c r="K225" s="85">
        <f>-Table58[[#This Row],[Imports]]/Table58[[#This Row],[GDP]]</f>
        <v/>
      </c>
      <c r="L225" s="85">
        <f>Table58[[#This Row],[Government]]/Table58[[#This Row],[GDP]]</f>
        <v/>
      </c>
      <c r="N225" s="52">
        <f>SUM(Table58[[#This Row],[PC%]:[G%]])</f>
        <v/>
      </c>
      <c r="O225" s="55">
        <f>Table58[[#This Row],[Personal Consumption]]+Table58[[#This Row],[Private Investment]]+Table58[[#This Row],[Exports]]+Table58[[#This Row],[Government]]-Table58[[#This Row],[Imports]]</f>
        <v/>
      </c>
    </row>
    <row r="226">
      <c r="A226" s="94" t="n">
        <v>37257</v>
      </c>
      <c r="B226" s="164">
        <f>VLOOKUP(A226,'U.S. GDP'!A:B,2,)</f>
        <v/>
      </c>
      <c r="C226" s="164">
        <f>VLOOKUP(A226,PersonalConsumption!A:B,2,)</f>
        <v/>
      </c>
      <c r="D226" s="164">
        <f>VLOOKUP(A226,PrivateInvestment!A:B,2,)</f>
        <v/>
      </c>
      <c r="E226" s="164">
        <f>VLOOKUP(A226,Exports!A:B,2,)</f>
        <v/>
      </c>
      <c r="F226" s="164">
        <f>VLOOKUP(A226,Imports!A:B,2,)</f>
        <v/>
      </c>
      <c r="G226" s="164">
        <f>VLOOKUP(A226,Government!A:B,2,)</f>
        <v/>
      </c>
      <c r="H226" s="85">
        <f>Table58[[#This Row],[Personal Consumption]]/Table58[[#This Row],[GDP]]</f>
        <v/>
      </c>
      <c r="I226" s="85">
        <f>Table58[[#This Row],[Private Investment]]/Table58[[#This Row],[GDP]]</f>
        <v/>
      </c>
      <c r="J226" s="85">
        <f>Table58[[#This Row],[Exports]]/Table58[[#This Row],[GDP]]</f>
        <v/>
      </c>
      <c r="K226" s="85">
        <f>-Table58[[#This Row],[Imports]]/Table58[[#This Row],[GDP]]</f>
        <v/>
      </c>
      <c r="L226" s="85">
        <f>Table58[[#This Row],[Government]]/Table58[[#This Row],[GDP]]</f>
        <v/>
      </c>
      <c r="N226" s="52">
        <f>SUM(Table58[[#This Row],[PC%]:[G%]])</f>
        <v/>
      </c>
      <c r="O226" s="55">
        <f>Table58[[#This Row],[Personal Consumption]]+Table58[[#This Row],[Private Investment]]+Table58[[#This Row],[Exports]]+Table58[[#This Row],[Government]]-Table58[[#This Row],[Imports]]</f>
        <v/>
      </c>
    </row>
    <row r="227">
      <c r="A227" s="94" t="n">
        <v>37347</v>
      </c>
      <c r="B227" s="164">
        <f>VLOOKUP(A227,'U.S. GDP'!A:B,2,)</f>
        <v/>
      </c>
      <c r="C227" s="164">
        <f>VLOOKUP(A227,PersonalConsumption!A:B,2,)</f>
        <v/>
      </c>
      <c r="D227" s="164">
        <f>VLOOKUP(A227,PrivateInvestment!A:B,2,)</f>
        <v/>
      </c>
      <c r="E227" s="164">
        <f>VLOOKUP(A227,Exports!A:B,2,)</f>
        <v/>
      </c>
      <c r="F227" s="164">
        <f>VLOOKUP(A227,Imports!A:B,2,)</f>
        <v/>
      </c>
      <c r="G227" s="164">
        <f>VLOOKUP(A227,Government!A:B,2,)</f>
        <v/>
      </c>
      <c r="H227" s="85">
        <f>Table58[[#This Row],[Personal Consumption]]/Table58[[#This Row],[GDP]]</f>
        <v/>
      </c>
      <c r="I227" s="85">
        <f>Table58[[#This Row],[Private Investment]]/Table58[[#This Row],[GDP]]</f>
        <v/>
      </c>
      <c r="J227" s="85">
        <f>Table58[[#This Row],[Exports]]/Table58[[#This Row],[GDP]]</f>
        <v/>
      </c>
      <c r="K227" s="85">
        <f>-Table58[[#This Row],[Imports]]/Table58[[#This Row],[GDP]]</f>
        <v/>
      </c>
      <c r="L227" s="85">
        <f>Table58[[#This Row],[Government]]/Table58[[#This Row],[GDP]]</f>
        <v/>
      </c>
      <c r="N227" s="52">
        <f>SUM(Table58[[#This Row],[PC%]:[G%]])</f>
        <v/>
      </c>
      <c r="O227" s="55">
        <f>Table58[[#This Row],[Personal Consumption]]+Table58[[#This Row],[Private Investment]]+Table58[[#This Row],[Exports]]+Table58[[#This Row],[Government]]-Table58[[#This Row],[Imports]]</f>
        <v/>
      </c>
    </row>
    <row r="228">
      <c r="A228" s="94" t="n">
        <v>37438</v>
      </c>
      <c r="B228" s="164">
        <f>VLOOKUP(A228,'U.S. GDP'!A:B,2,)</f>
        <v/>
      </c>
      <c r="C228" s="164">
        <f>VLOOKUP(A228,PersonalConsumption!A:B,2,)</f>
        <v/>
      </c>
      <c r="D228" s="164">
        <f>VLOOKUP(A228,PrivateInvestment!A:B,2,)</f>
        <v/>
      </c>
      <c r="E228" s="164">
        <f>VLOOKUP(A228,Exports!A:B,2,)</f>
        <v/>
      </c>
      <c r="F228" s="164">
        <f>VLOOKUP(A228,Imports!A:B,2,)</f>
        <v/>
      </c>
      <c r="G228" s="164">
        <f>VLOOKUP(A228,Government!A:B,2,)</f>
        <v/>
      </c>
      <c r="H228" s="85">
        <f>Table58[[#This Row],[Personal Consumption]]/Table58[[#This Row],[GDP]]</f>
        <v/>
      </c>
      <c r="I228" s="85">
        <f>Table58[[#This Row],[Private Investment]]/Table58[[#This Row],[GDP]]</f>
        <v/>
      </c>
      <c r="J228" s="85">
        <f>Table58[[#This Row],[Exports]]/Table58[[#This Row],[GDP]]</f>
        <v/>
      </c>
      <c r="K228" s="85">
        <f>-Table58[[#This Row],[Imports]]/Table58[[#This Row],[GDP]]</f>
        <v/>
      </c>
      <c r="L228" s="85">
        <f>Table58[[#This Row],[Government]]/Table58[[#This Row],[GDP]]</f>
        <v/>
      </c>
      <c r="N228" s="52">
        <f>SUM(Table58[[#This Row],[PC%]:[G%]])</f>
        <v/>
      </c>
      <c r="O228" s="55">
        <f>Table58[[#This Row],[Personal Consumption]]+Table58[[#This Row],[Private Investment]]+Table58[[#This Row],[Exports]]+Table58[[#This Row],[Government]]-Table58[[#This Row],[Imports]]</f>
        <v/>
      </c>
    </row>
    <row r="229">
      <c r="A229" s="94" t="n">
        <v>37530</v>
      </c>
      <c r="B229" s="164">
        <f>VLOOKUP(A229,'U.S. GDP'!A:B,2,)</f>
        <v/>
      </c>
      <c r="C229" s="164">
        <f>VLOOKUP(A229,PersonalConsumption!A:B,2,)</f>
        <v/>
      </c>
      <c r="D229" s="164">
        <f>VLOOKUP(A229,PrivateInvestment!A:B,2,)</f>
        <v/>
      </c>
      <c r="E229" s="164">
        <f>VLOOKUP(A229,Exports!A:B,2,)</f>
        <v/>
      </c>
      <c r="F229" s="164">
        <f>VLOOKUP(A229,Imports!A:B,2,)</f>
        <v/>
      </c>
      <c r="G229" s="164">
        <f>VLOOKUP(A229,Government!A:B,2,)</f>
        <v/>
      </c>
      <c r="H229" s="85">
        <f>Table58[[#This Row],[Personal Consumption]]/Table58[[#This Row],[GDP]]</f>
        <v/>
      </c>
      <c r="I229" s="85">
        <f>Table58[[#This Row],[Private Investment]]/Table58[[#This Row],[GDP]]</f>
        <v/>
      </c>
      <c r="J229" s="85">
        <f>Table58[[#This Row],[Exports]]/Table58[[#This Row],[GDP]]</f>
        <v/>
      </c>
      <c r="K229" s="85">
        <f>-Table58[[#This Row],[Imports]]/Table58[[#This Row],[GDP]]</f>
        <v/>
      </c>
      <c r="L229" s="85">
        <f>Table58[[#This Row],[Government]]/Table58[[#This Row],[GDP]]</f>
        <v/>
      </c>
      <c r="N229" s="52">
        <f>SUM(Table58[[#This Row],[PC%]:[G%]])</f>
        <v/>
      </c>
      <c r="O229" s="55">
        <f>Table58[[#This Row],[Personal Consumption]]+Table58[[#This Row],[Private Investment]]+Table58[[#This Row],[Exports]]+Table58[[#This Row],[Government]]-Table58[[#This Row],[Imports]]</f>
        <v/>
      </c>
    </row>
    <row r="230">
      <c r="A230" s="94" t="n">
        <v>37622</v>
      </c>
      <c r="B230" s="164">
        <f>VLOOKUP(A230,'U.S. GDP'!A:B,2,)</f>
        <v/>
      </c>
      <c r="C230" s="164">
        <f>VLOOKUP(A230,PersonalConsumption!A:B,2,)</f>
        <v/>
      </c>
      <c r="D230" s="164">
        <f>VLOOKUP(A230,PrivateInvestment!A:B,2,)</f>
        <v/>
      </c>
      <c r="E230" s="164">
        <f>VLOOKUP(A230,Exports!A:B,2,)</f>
        <v/>
      </c>
      <c r="F230" s="164">
        <f>VLOOKUP(A230,Imports!A:B,2,)</f>
        <v/>
      </c>
      <c r="G230" s="164">
        <f>VLOOKUP(A230,Government!A:B,2,)</f>
        <v/>
      </c>
      <c r="H230" s="85">
        <f>Table58[[#This Row],[Personal Consumption]]/Table58[[#This Row],[GDP]]</f>
        <v/>
      </c>
      <c r="I230" s="85">
        <f>Table58[[#This Row],[Private Investment]]/Table58[[#This Row],[GDP]]</f>
        <v/>
      </c>
      <c r="J230" s="85">
        <f>Table58[[#This Row],[Exports]]/Table58[[#This Row],[GDP]]</f>
        <v/>
      </c>
      <c r="K230" s="85">
        <f>-Table58[[#This Row],[Imports]]/Table58[[#This Row],[GDP]]</f>
        <v/>
      </c>
      <c r="L230" s="85">
        <f>Table58[[#This Row],[Government]]/Table58[[#This Row],[GDP]]</f>
        <v/>
      </c>
      <c r="N230" s="52">
        <f>SUM(Table58[[#This Row],[PC%]:[G%]])</f>
        <v/>
      </c>
      <c r="O230" s="55">
        <f>Table58[[#This Row],[Personal Consumption]]+Table58[[#This Row],[Private Investment]]+Table58[[#This Row],[Exports]]+Table58[[#This Row],[Government]]-Table58[[#This Row],[Imports]]</f>
        <v/>
      </c>
    </row>
    <row r="231">
      <c r="A231" s="94" t="n">
        <v>37712</v>
      </c>
      <c r="B231" s="164">
        <f>VLOOKUP(A231,'U.S. GDP'!A:B,2,)</f>
        <v/>
      </c>
      <c r="C231" s="164">
        <f>VLOOKUP(A231,PersonalConsumption!A:B,2,)</f>
        <v/>
      </c>
      <c r="D231" s="164">
        <f>VLOOKUP(A231,PrivateInvestment!A:B,2,)</f>
        <v/>
      </c>
      <c r="E231" s="164">
        <f>VLOOKUP(A231,Exports!A:B,2,)</f>
        <v/>
      </c>
      <c r="F231" s="164">
        <f>VLOOKUP(A231,Imports!A:B,2,)</f>
        <v/>
      </c>
      <c r="G231" s="164">
        <f>VLOOKUP(A231,Government!A:B,2,)</f>
        <v/>
      </c>
      <c r="H231" s="85">
        <f>Table58[[#This Row],[Personal Consumption]]/Table58[[#This Row],[GDP]]</f>
        <v/>
      </c>
      <c r="I231" s="85">
        <f>Table58[[#This Row],[Private Investment]]/Table58[[#This Row],[GDP]]</f>
        <v/>
      </c>
      <c r="J231" s="85">
        <f>Table58[[#This Row],[Exports]]/Table58[[#This Row],[GDP]]</f>
        <v/>
      </c>
      <c r="K231" s="85">
        <f>-Table58[[#This Row],[Imports]]/Table58[[#This Row],[GDP]]</f>
        <v/>
      </c>
      <c r="L231" s="85">
        <f>Table58[[#This Row],[Government]]/Table58[[#This Row],[GDP]]</f>
        <v/>
      </c>
      <c r="N231" s="52">
        <f>SUM(Table58[[#This Row],[PC%]:[G%]])</f>
        <v/>
      </c>
      <c r="O231" s="55">
        <f>Table58[[#This Row],[Personal Consumption]]+Table58[[#This Row],[Private Investment]]+Table58[[#This Row],[Exports]]+Table58[[#This Row],[Government]]-Table58[[#This Row],[Imports]]</f>
        <v/>
      </c>
    </row>
    <row r="232">
      <c r="A232" s="94" t="n">
        <v>37803</v>
      </c>
      <c r="B232" s="164">
        <f>VLOOKUP(A232,'U.S. GDP'!A:B,2,)</f>
        <v/>
      </c>
      <c r="C232" s="164">
        <f>VLOOKUP(A232,PersonalConsumption!A:B,2,)</f>
        <v/>
      </c>
      <c r="D232" s="164">
        <f>VLOOKUP(A232,PrivateInvestment!A:B,2,)</f>
        <v/>
      </c>
      <c r="E232" s="164">
        <f>VLOOKUP(A232,Exports!A:B,2,)</f>
        <v/>
      </c>
      <c r="F232" s="164">
        <f>VLOOKUP(A232,Imports!A:B,2,)</f>
        <v/>
      </c>
      <c r="G232" s="164">
        <f>VLOOKUP(A232,Government!A:B,2,)</f>
        <v/>
      </c>
      <c r="H232" s="85">
        <f>Table58[[#This Row],[Personal Consumption]]/Table58[[#This Row],[GDP]]</f>
        <v/>
      </c>
      <c r="I232" s="85">
        <f>Table58[[#This Row],[Private Investment]]/Table58[[#This Row],[GDP]]</f>
        <v/>
      </c>
      <c r="J232" s="85">
        <f>Table58[[#This Row],[Exports]]/Table58[[#This Row],[GDP]]</f>
        <v/>
      </c>
      <c r="K232" s="85">
        <f>-Table58[[#This Row],[Imports]]/Table58[[#This Row],[GDP]]</f>
        <v/>
      </c>
      <c r="L232" s="85">
        <f>Table58[[#This Row],[Government]]/Table58[[#This Row],[GDP]]</f>
        <v/>
      </c>
      <c r="N232" s="52">
        <f>SUM(Table58[[#This Row],[PC%]:[G%]])</f>
        <v/>
      </c>
      <c r="O232" s="55">
        <f>Table58[[#This Row],[Personal Consumption]]+Table58[[#This Row],[Private Investment]]+Table58[[#This Row],[Exports]]+Table58[[#This Row],[Government]]-Table58[[#This Row],[Imports]]</f>
        <v/>
      </c>
    </row>
    <row r="233">
      <c r="A233" s="94" t="n">
        <v>37895</v>
      </c>
      <c r="B233" s="164">
        <f>VLOOKUP(A233,'U.S. GDP'!A:B,2,)</f>
        <v/>
      </c>
      <c r="C233" s="164">
        <f>VLOOKUP(A233,PersonalConsumption!A:B,2,)</f>
        <v/>
      </c>
      <c r="D233" s="164">
        <f>VLOOKUP(A233,PrivateInvestment!A:B,2,)</f>
        <v/>
      </c>
      <c r="E233" s="164">
        <f>VLOOKUP(A233,Exports!A:B,2,)</f>
        <v/>
      </c>
      <c r="F233" s="164">
        <f>VLOOKUP(A233,Imports!A:B,2,)</f>
        <v/>
      </c>
      <c r="G233" s="164">
        <f>VLOOKUP(A233,Government!A:B,2,)</f>
        <v/>
      </c>
      <c r="H233" s="85">
        <f>Table58[[#This Row],[Personal Consumption]]/Table58[[#This Row],[GDP]]</f>
        <v/>
      </c>
      <c r="I233" s="85">
        <f>Table58[[#This Row],[Private Investment]]/Table58[[#This Row],[GDP]]</f>
        <v/>
      </c>
      <c r="J233" s="85">
        <f>Table58[[#This Row],[Exports]]/Table58[[#This Row],[GDP]]</f>
        <v/>
      </c>
      <c r="K233" s="85">
        <f>-Table58[[#This Row],[Imports]]/Table58[[#This Row],[GDP]]</f>
        <v/>
      </c>
      <c r="L233" s="85">
        <f>Table58[[#This Row],[Government]]/Table58[[#This Row],[GDP]]</f>
        <v/>
      </c>
      <c r="N233" s="52">
        <f>SUM(Table58[[#This Row],[PC%]:[G%]])</f>
        <v/>
      </c>
      <c r="O233" s="55">
        <f>Table58[[#This Row],[Personal Consumption]]+Table58[[#This Row],[Private Investment]]+Table58[[#This Row],[Exports]]+Table58[[#This Row],[Government]]-Table58[[#This Row],[Imports]]</f>
        <v/>
      </c>
    </row>
    <row r="234">
      <c r="A234" s="94" t="n">
        <v>37987</v>
      </c>
      <c r="B234" s="164">
        <f>VLOOKUP(A234,'U.S. GDP'!A:B,2,)</f>
        <v/>
      </c>
      <c r="C234" s="164">
        <f>VLOOKUP(A234,PersonalConsumption!A:B,2,)</f>
        <v/>
      </c>
      <c r="D234" s="164">
        <f>VLOOKUP(A234,PrivateInvestment!A:B,2,)</f>
        <v/>
      </c>
      <c r="E234" s="164">
        <f>VLOOKUP(A234,Exports!A:B,2,)</f>
        <v/>
      </c>
      <c r="F234" s="164">
        <f>VLOOKUP(A234,Imports!A:B,2,)</f>
        <v/>
      </c>
      <c r="G234" s="164">
        <f>VLOOKUP(A234,Government!A:B,2,)</f>
        <v/>
      </c>
      <c r="H234" s="85">
        <f>Table58[[#This Row],[Personal Consumption]]/Table58[[#This Row],[GDP]]</f>
        <v/>
      </c>
      <c r="I234" s="85">
        <f>Table58[[#This Row],[Private Investment]]/Table58[[#This Row],[GDP]]</f>
        <v/>
      </c>
      <c r="J234" s="85">
        <f>Table58[[#This Row],[Exports]]/Table58[[#This Row],[GDP]]</f>
        <v/>
      </c>
      <c r="K234" s="85">
        <f>-Table58[[#This Row],[Imports]]/Table58[[#This Row],[GDP]]</f>
        <v/>
      </c>
      <c r="L234" s="85">
        <f>Table58[[#This Row],[Government]]/Table58[[#This Row],[GDP]]</f>
        <v/>
      </c>
      <c r="N234" s="52">
        <f>SUM(Table58[[#This Row],[PC%]:[G%]])</f>
        <v/>
      </c>
      <c r="O234" s="55">
        <f>Table58[[#This Row],[Personal Consumption]]+Table58[[#This Row],[Private Investment]]+Table58[[#This Row],[Exports]]+Table58[[#This Row],[Government]]-Table58[[#This Row],[Imports]]</f>
        <v/>
      </c>
    </row>
    <row r="235">
      <c r="A235" s="94" t="n">
        <v>38078</v>
      </c>
      <c r="B235" s="164">
        <f>VLOOKUP(A235,'U.S. GDP'!A:B,2,)</f>
        <v/>
      </c>
      <c r="C235" s="164">
        <f>VLOOKUP(A235,PersonalConsumption!A:B,2,)</f>
        <v/>
      </c>
      <c r="D235" s="164">
        <f>VLOOKUP(A235,PrivateInvestment!A:B,2,)</f>
        <v/>
      </c>
      <c r="E235" s="164">
        <f>VLOOKUP(A235,Exports!A:B,2,)</f>
        <v/>
      </c>
      <c r="F235" s="164">
        <f>VLOOKUP(A235,Imports!A:B,2,)</f>
        <v/>
      </c>
      <c r="G235" s="164">
        <f>VLOOKUP(A235,Government!A:B,2,)</f>
        <v/>
      </c>
      <c r="H235" s="85">
        <f>Table58[[#This Row],[Personal Consumption]]/Table58[[#This Row],[GDP]]</f>
        <v/>
      </c>
      <c r="I235" s="85">
        <f>Table58[[#This Row],[Private Investment]]/Table58[[#This Row],[GDP]]</f>
        <v/>
      </c>
      <c r="J235" s="85">
        <f>Table58[[#This Row],[Exports]]/Table58[[#This Row],[GDP]]</f>
        <v/>
      </c>
      <c r="K235" s="85">
        <f>-Table58[[#This Row],[Imports]]/Table58[[#This Row],[GDP]]</f>
        <v/>
      </c>
      <c r="L235" s="85">
        <f>Table58[[#This Row],[Government]]/Table58[[#This Row],[GDP]]</f>
        <v/>
      </c>
      <c r="N235" s="52">
        <f>SUM(Table58[[#This Row],[PC%]:[G%]])</f>
        <v/>
      </c>
      <c r="O235" s="55">
        <f>Table58[[#This Row],[Personal Consumption]]+Table58[[#This Row],[Private Investment]]+Table58[[#This Row],[Exports]]+Table58[[#This Row],[Government]]-Table58[[#This Row],[Imports]]</f>
        <v/>
      </c>
    </row>
    <row r="236">
      <c r="A236" s="94" t="n">
        <v>38169</v>
      </c>
      <c r="B236" s="164">
        <f>VLOOKUP(A236,'U.S. GDP'!A:B,2,)</f>
        <v/>
      </c>
      <c r="C236" s="164">
        <f>VLOOKUP(A236,PersonalConsumption!A:B,2,)</f>
        <v/>
      </c>
      <c r="D236" s="164">
        <f>VLOOKUP(A236,PrivateInvestment!A:B,2,)</f>
        <v/>
      </c>
      <c r="E236" s="164">
        <f>VLOOKUP(A236,Exports!A:B,2,)</f>
        <v/>
      </c>
      <c r="F236" s="164">
        <f>VLOOKUP(A236,Imports!A:B,2,)</f>
        <v/>
      </c>
      <c r="G236" s="164">
        <f>VLOOKUP(A236,Government!A:B,2,)</f>
        <v/>
      </c>
      <c r="H236" s="85">
        <f>Table58[[#This Row],[Personal Consumption]]/Table58[[#This Row],[GDP]]</f>
        <v/>
      </c>
      <c r="I236" s="85">
        <f>Table58[[#This Row],[Private Investment]]/Table58[[#This Row],[GDP]]</f>
        <v/>
      </c>
      <c r="J236" s="85">
        <f>Table58[[#This Row],[Exports]]/Table58[[#This Row],[GDP]]</f>
        <v/>
      </c>
      <c r="K236" s="85">
        <f>-Table58[[#This Row],[Imports]]/Table58[[#This Row],[GDP]]</f>
        <v/>
      </c>
      <c r="L236" s="85">
        <f>Table58[[#This Row],[Government]]/Table58[[#This Row],[GDP]]</f>
        <v/>
      </c>
      <c r="N236" s="52">
        <f>SUM(Table58[[#This Row],[PC%]:[G%]])</f>
        <v/>
      </c>
      <c r="O236" s="55">
        <f>Table58[[#This Row],[Personal Consumption]]+Table58[[#This Row],[Private Investment]]+Table58[[#This Row],[Exports]]+Table58[[#This Row],[Government]]-Table58[[#This Row],[Imports]]</f>
        <v/>
      </c>
    </row>
    <row r="237">
      <c r="A237" s="94" t="n">
        <v>38261</v>
      </c>
      <c r="B237" s="164">
        <f>VLOOKUP(A237,'U.S. GDP'!A:B,2,)</f>
        <v/>
      </c>
      <c r="C237" s="164">
        <f>VLOOKUP(A237,PersonalConsumption!A:B,2,)</f>
        <v/>
      </c>
      <c r="D237" s="164">
        <f>VLOOKUP(A237,PrivateInvestment!A:B,2,)</f>
        <v/>
      </c>
      <c r="E237" s="164">
        <f>VLOOKUP(A237,Exports!A:B,2,)</f>
        <v/>
      </c>
      <c r="F237" s="164">
        <f>VLOOKUP(A237,Imports!A:B,2,)</f>
        <v/>
      </c>
      <c r="G237" s="164">
        <f>VLOOKUP(A237,Government!A:B,2,)</f>
        <v/>
      </c>
      <c r="H237" s="85">
        <f>Table58[[#This Row],[Personal Consumption]]/Table58[[#This Row],[GDP]]</f>
        <v/>
      </c>
      <c r="I237" s="85">
        <f>Table58[[#This Row],[Private Investment]]/Table58[[#This Row],[GDP]]</f>
        <v/>
      </c>
      <c r="J237" s="85">
        <f>Table58[[#This Row],[Exports]]/Table58[[#This Row],[GDP]]</f>
        <v/>
      </c>
      <c r="K237" s="85">
        <f>-Table58[[#This Row],[Imports]]/Table58[[#This Row],[GDP]]</f>
        <v/>
      </c>
      <c r="L237" s="85">
        <f>Table58[[#This Row],[Government]]/Table58[[#This Row],[GDP]]</f>
        <v/>
      </c>
      <c r="N237" s="52">
        <f>SUM(Table58[[#This Row],[PC%]:[G%]])</f>
        <v/>
      </c>
      <c r="O237" s="55">
        <f>Table58[[#This Row],[Personal Consumption]]+Table58[[#This Row],[Private Investment]]+Table58[[#This Row],[Exports]]+Table58[[#This Row],[Government]]-Table58[[#This Row],[Imports]]</f>
        <v/>
      </c>
    </row>
    <row r="238">
      <c r="A238" s="94" t="n">
        <v>38353</v>
      </c>
      <c r="B238" s="164">
        <f>VLOOKUP(A238,'U.S. GDP'!A:B,2,)</f>
        <v/>
      </c>
      <c r="C238" s="164">
        <f>VLOOKUP(A238,PersonalConsumption!A:B,2,)</f>
        <v/>
      </c>
      <c r="D238" s="164">
        <f>VLOOKUP(A238,PrivateInvestment!A:B,2,)</f>
        <v/>
      </c>
      <c r="E238" s="164">
        <f>VLOOKUP(A238,Exports!A:B,2,)</f>
        <v/>
      </c>
      <c r="F238" s="164">
        <f>VLOOKUP(A238,Imports!A:B,2,)</f>
        <v/>
      </c>
      <c r="G238" s="164">
        <f>VLOOKUP(A238,Government!A:B,2,)</f>
        <v/>
      </c>
      <c r="H238" s="85">
        <f>Table58[[#This Row],[Personal Consumption]]/Table58[[#This Row],[GDP]]</f>
        <v/>
      </c>
      <c r="I238" s="85">
        <f>Table58[[#This Row],[Private Investment]]/Table58[[#This Row],[GDP]]</f>
        <v/>
      </c>
      <c r="J238" s="85">
        <f>Table58[[#This Row],[Exports]]/Table58[[#This Row],[GDP]]</f>
        <v/>
      </c>
      <c r="K238" s="85">
        <f>-Table58[[#This Row],[Imports]]/Table58[[#This Row],[GDP]]</f>
        <v/>
      </c>
      <c r="L238" s="85">
        <f>Table58[[#This Row],[Government]]/Table58[[#This Row],[GDP]]</f>
        <v/>
      </c>
      <c r="N238" s="52">
        <f>SUM(Table58[[#This Row],[PC%]:[G%]])</f>
        <v/>
      </c>
      <c r="O238" s="55">
        <f>Table58[[#This Row],[Personal Consumption]]+Table58[[#This Row],[Private Investment]]+Table58[[#This Row],[Exports]]+Table58[[#This Row],[Government]]-Table58[[#This Row],[Imports]]</f>
        <v/>
      </c>
    </row>
    <row r="239">
      <c r="A239" s="94" t="n">
        <v>38443</v>
      </c>
      <c r="B239" s="164">
        <f>VLOOKUP(A239,'U.S. GDP'!A:B,2,)</f>
        <v/>
      </c>
      <c r="C239" s="164">
        <f>VLOOKUP(A239,PersonalConsumption!A:B,2,)</f>
        <v/>
      </c>
      <c r="D239" s="164">
        <f>VLOOKUP(A239,PrivateInvestment!A:B,2,)</f>
        <v/>
      </c>
      <c r="E239" s="164">
        <f>VLOOKUP(A239,Exports!A:B,2,)</f>
        <v/>
      </c>
      <c r="F239" s="164">
        <f>VLOOKUP(A239,Imports!A:B,2,)</f>
        <v/>
      </c>
      <c r="G239" s="164">
        <f>VLOOKUP(A239,Government!A:B,2,)</f>
        <v/>
      </c>
      <c r="H239" s="85">
        <f>Table58[[#This Row],[Personal Consumption]]/Table58[[#This Row],[GDP]]</f>
        <v/>
      </c>
      <c r="I239" s="85">
        <f>Table58[[#This Row],[Private Investment]]/Table58[[#This Row],[GDP]]</f>
        <v/>
      </c>
      <c r="J239" s="85">
        <f>Table58[[#This Row],[Exports]]/Table58[[#This Row],[GDP]]</f>
        <v/>
      </c>
      <c r="K239" s="85">
        <f>-Table58[[#This Row],[Imports]]/Table58[[#This Row],[GDP]]</f>
        <v/>
      </c>
      <c r="L239" s="85">
        <f>Table58[[#This Row],[Government]]/Table58[[#This Row],[GDP]]</f>
        <v/>
      </c>
      <c r="N239" s="52">
        <f>SUM(Table58[[#This Row],[PC%]:[G%]])</f>
        <v/>
      </c>
      <c r="O239" s="55">
        <f>Table58[[#This Row],[Personal Consumption]]+Table58[[#This Row],[Private Investment]]+Table58[[#This Row],[Exports]]+Table58[[#This Row],[Government]]-Table58[[#This Row],[Imports]]</f>
        <v/>
      </c>
    </row>
    <row r="240">
      <c r="A240" s="94" t="n">
        <v>38534</v>
      </c>
      <c r="B240" s="164">
        <f>VLOOKUP(A240,'U.S. GDP'!A:B,2,)</f>
        <v/>
      </c>
      <c r="C240" s="164">
        <f>VLOOKUP(A240,PersonalConsumption!A:B,2,)</f>
        <v/>
      </c>
      <c r="D240" s="164">
        <f>VLOOKUP(A240,PrivateInvestment!A:B,2,)</f>
        <v/>
      </c>
      <c r="E240" s="164">
        <f>VLOOKUP(A240,Exports!A:B,2,)</f>
        <v/>
      </c>
      <c r="F240" s="164">
        <f>VLOOKUP(A240,Imports!A:B,2,)</f>
        <v/>
      </c>
      <c r="G240" s="164">
        <f>VLOOKUP(A240,Government!A:B,2,)</f>
        <v/>
      </c>
      <c r="H240" s="85">
        <f>Table58[[#This Row],[Personal Consumption]]/Table58[[#This Row],[GDP]]</f>
        <v/>
      </c>
      <c r="I240" s="85">
        <f>Table58[[#This Row],[Private Investment]]/Table58[[#This Row],[GDP]]</f>
        <v/>
      </c>
      <c r="J240" s="85">
        <f>Table58[[#This Row],[Exports]]/Table58[[#This Row],[GDP]]</f>
        <v/>
      </c>
      <c r="K240" s="85">
        <f>-Table58[[#This Row],[Imports]]/Table58[[#This Row],[GDP]]</f>
        <v/>
      </c>
      <c r="L240" s="85">
        <f>Table58[[#This Row],[Government]]/Table58[[#This Row],[GDP]]</f>
        <v/>
      </c>
      <c r="N240" s="52">
        <f>SUM(Table58[[#This Row],[PC%]:[G%]])</f>
        <v/>
      </c>
      <c r="O240" s="55">
        <f>Table58[[#This Row],[Personal Consumption]]+Table58[[#This Row],[Private Investment]]+Table58[[#This Row],[Exports]]+Table58[[#This Row],[Government]]-Table58[[#This Row],[Imports]]</f>
        <v/>
      </c>
    </row>
    <row r="241">
      <c r="A241" s="94" t="n">
        <v>38626</v>
      </c>
      <c r="B241" s="164">
        <f>VLOOKUP(A241,'U.S. GDP'!A:B,2,)</f>
        <v/>
      </c>
      <c r="C241" s="164">
        <f>VLOOKUP(A241,PersonalConsumption!A:B,2,)</f>
        <v/>
      </c>
      <c r="D241" s="164">
        <f>VLOOKUP(A241,PrivateInvestment!A:B,2,)</f>
        <v/>
      </c>
      <c r="E241" s="164">
        <f>VLOOKUP(A241,Exports!A:B,2,)</f>
        <v/>
      </c>
      <c r="F241" s="164">
        <f>VLOOKUP(A241,Imports!A:B,2,)</f>
        <v/>
      </c>
      <c r="G241" s="164">
        <f>VLOOKUP(A241,Government!A:B,2,)</f>
        <v/>
      </c>
      <c r="H241" s="85">
        <f>Table58[[#This Row],[Personal Consumption]]/Table58[[#This Row],[GDP]]</f>
        <v/>
      </c>
      <c r="I241" s="85">
        <f>Table58[[#This Row],[Private Investment]]/Table58[[#This Row],[GDP]]</f>
        <v/>
      </c>
      <c r="J241" s="85">
        <f>Table58[[#This Row],[Exports]]/Table58[[#This Row],[GDP]]</f>
        <v/>
      </c>
      <c r="K241" s="85">
        <f>-Table58[[#This Row],[Imports]]/Table58[[#This Row],[GDP]]</f>
        <v/>
      </c>
      <c r="L241" s="85">
        <f>Table58[[#This Row],[Government]]/Table58[[#This Row],[GDP]]</f>
        <v/>
      </c>
      <c r="N241" s="52">
        <f>SUM(Table58[[#This Row],[PC%]:[G%]])</f>
        <v/>
      </c>
      <c r="O241" s="55">
        <f>Table58[[#This Row],[Personal Consumption]]+Table58[[#This Row],[Private Investment]]+Table58[[#This Row],[Exports]]+Table58[[#This Row],[Government]]-Table58[[#This Row],[Imports]]</f>
        <v/>
      </c>
    </row>
    <row r="242">
      <c r="A242" s="94" t="n">
        <v>38718</v>
      </c>
      <c r="B242" s="164">
        <f>VLOOKUP(A242,'U.S. GDP'!A:B,2,)</f>
        <v/>
      </c>
      <c r="C242" s="164">
        <f>VLOOKUP(A242,PersonalConsumption!A:B,2,)</f>
        <v/>
      </c>
      <c r="D242" s="164">
        <f>VLOOKUP(A242,PrivateInvestment!A:B,2,)</f>
        <v/>
      </c>
      <c r="E242" s="164">
        <f>VLOOKUP(A242,Exports!A:B,2,)</f>
        <v/>
      </c>
      <c r="F242" s="164">
        <f>VLOOKUP(A242,Imports!A:B,2,)</f>
        <v/>
      </c>
      <c r="G242" s="164">
        <f>VLOOKUP(A242,Government!A:B,2,)</f>
        <v/>
      </c>
      <c r="H242" s="85">
        <f>Table58[[#This Row],[Personal Consumption]]/Table58[[#This Row],[GDP]]</f>
        <v/>
      </c>
      <c r="I242" s="85">
        <f>Table58[[#This Row],[Private Investment]]/Table58[[#This Row],[GDP]]</f>
        <v/>
      </c>
      <c r="J242" s="85">
        <f>Table58[[#This Row],[Exports]]/Table58[[#This Row],[GDP]]</f>
        <v/>
      </c>
      <c r="K242" s="85">
        <f>-Table58[[#This Row],[Imports]]/Table58[[#This Row],[GDP]]</f>
        <v/>
      </c>
      <c r="L242" s="85">
        <f>Table58[[#This Row],[Government]]/Table58[[#This Row],[GDP]]</f>
        <v/>
      </c>
      <c r="N242" s="52">
        <f>SUM(Table58[[#This Row],[PC%]:[G%]])</f>
        <v/>
      </c>
      <c r="O242" s="55">
        <f>Table58[[#This Row],[Personal Consumption]]+Table58[[#This Row],[Private Investment]]+Table58[[#This Row],[Exports]]+Table58[[#This Row],[Government]]-Table58[[#This Row],[Imports]]</f>
        <v/>
      </c>
    </row>
    <row r="243">
      <c r="A243" s="94" t="n">
        <v>38808</v>
      </c>
      <c r="B243" s="164">
        <f>VLOOKUP(A243,'U.S. GDP'!A:B,2,)</f>
        <v/>
      </c>
      <c r="C243" s="164">
        <f>VLOOKUP(A243,PersonalConsumption!A:B,2,)</f>
        <v/>
      </c>
      <c r="D243" s="164">
        <f>VLOOKUP(A243,PrivateInvestment!A:B,2,)</f>
        <v/>
      </c>
      <c r="E243" s="164">
        <f>VLOOKUP(A243,Exports!A:B,2,)</f>
        <v/>
      </c>
      <c r="F243" s="164">
        <f>VLOOKUP(A243,Imports!A:B,2,)</f>
        <v/>
      </c>
      <c r="G243" s="164">
        <f>VLOOKUP(A243,Government!A:B,2,)</f>
        <v/>
      </c>
      <c r="H243" s="85">
        <f>Table58[[#This Row],[Personal Consumption]]/Table58[[#This Row],[GDP]]</f>
        <v/>
      </c>
      <c r="I243" s="85">
        <f>Table58[[#This Row],[Private Investment]]/Table58[[#This Row],[GDP]]</f>
        <v/>
      </c>
      <c r="J243" s="85">
        <f>Table58[[#This Row],[Exports]]/Table58[[#This Row],[GDP]]</f>
        <v/>
      </c>
      <c r="K243" s="85">
        <f>-Table58[[#This Row],[Imports]]/Table58[[#This Row],[GDP]]</f>
        <v/>
      </c>
      <c r="L243" s="85">
        <f>Table58[[#This Row],[Government]]/Table58[[#This Row],[GDP]]</f>
        <v/>
      </c>
      <c r="N243" s="52">
        <f>SUM(Table58[[#This Row],[PC%]:[G%]])</f>
        <v/>
      </c>
      <c r="O243" s="55">
        <f>Table58[[#This Row],[Personal Consumption]]+Table58[[#This Row],[Private Investment]]+Table58[[#This Row],[Exports]]+Table58[[#This Row],[Government]]-Table58[[#This Row],[Imports]]</f>
        <v/>
      </c>
    </row>
    <row r="244">
      <c r="A244" s="94" t="n">
        <v>38899</v>
      </c>
      <c r="B244" s="164">
        <f>VLOOKUP(A244,'U.S. GDP'!A:B,2,)</f>
        <v/>
      </c>
      <c r="C244" s="164">
        <f>VLOOKUP(A244,PersonalConsumption!A:B,2,)</f>
        <v/>
      </c>
      <c r="D244" s="164">
        <f>VLOOKUP(A244,PrivateInvestment!A:B,2,)</f>
        <v/>
      </c>
      <c r="E244" s="164">
        <f>VLOOKUP(A244,Exports!A:B,2,)</f>
        <v/>
      </c>
      <c r="F244" s="164">
        <f>VLOOKUP(A244,Imports!A:B,2,)</f>
        <v/>
      </c>
      <c r="G244" s="164">
        <f>VLOOKUP(A244,Government!A:B,2,)</f>
        <v/>
      </c>
      <c r="H244" s="85">
        <f>Table58[[#This Row],[Personal Consumption]]/Table58[[#This Row],[GDP]]</f>
        <v/>
      </c>
      <c r="I244" s="85">
        <f>Table58[[#This Row],[Private Investment]]/Table58[[#This Row],[GDP]]</f>
        <v/>
      </c>
      <c r="J244" s="85">
        <f>Table58[[#This Row],[Exports]]/Table58[[#This Row],[GDP]]</f>
        <v/>
      </c>
      <c r="K244" s="85">
        <f>-Table58[[#This Row],[Imports]]/Table58[[#This Row],[GDP]]</f>
        <v/>
      </c>
      <c r="L244" s="85">
        <f>Table58[[#This Row],[Government]]/Table58[[#This Row],[GDP]]</f>
        <v/>
      </c>
      <c r="N244" s="52">
        <f>SUM(Table58[[#This Row],[PC%]:[G%]])</f>
        <v/>
      </c>
      <c r="O244" s="55">
        <f>Table58[[#This Row],[Personal Consumption]]+Table58[[#This Row],[Private Investment]]+Table58[[#This Row],[Exports]]+Table58[[#This Row],[Government]]-Table58[[#This Row],[Imports]]</f>
        <v/>
      </c>
    </row>
    <row r="245">
      <c r="A245" s="94" t="n">
        <v>38991</v>
      </c>
      <c r="B245" s="164">
        <f>VLOOKUP(A245,'U.S. GDP'!A:B,2,)</f>
        <v/>
      </c>
      <c r="C245" s="164">
        <f>VLOOKUP(A245,PersonalConsumption!A:B,2,)</f>
        <v/>
      </c>
      <c r="D245" s="164">
        <f>VLOOKUP(A245,PrivateInvestment!A:B,2,)</f>
        <v/>
      </c>
      <c r="E245" s="164">
        <f>VLOOKUP(A245,Exports!A:B,2,)</f>
        <v/>
      </c>
      <c r="F245" s="164">
        <f>VLOOKUP(A245,Imports!A:B,2,)</f>
        <v/>
      </c>
      <c r="G245" s="164">
        <f>VLOOKUP(A245,Government!A:B,2,)</f>
        <v/>
      </c>
      <c r="H245" s="85">
        <f>Table58[[#This Row],[Personal Consumption]]/Table58[[#This Row],[GDP]]</f>
        <v/>
      </c>
      <c r="I245" s="85">
        <f>Table58[[#This Row],[Private Investment]]/Table58[[#This Row],[GDP]]</f>
        <v/>
      </c>
      <c r="J245" s="85">
        <f>Table58[[#This Row],[Exports]]/Table58[[#This Row],[GDP]]</f>
        <v/>
      </c>
      <c r="K245" s="85">
        <f>-Table58[[#This Row],[Imports]]/Table58[[#This Row],[GDP]]</f>
        <v/>
      </c>
      <c r="L245" s="85">
        <f>Table58[[#This Row],[Government]]/Table58[[#This Row],[GDP]]</f>
        <v/>
      </c>
      <c r="N245" s="52">
        <f>SUM(Table58[[#This Row],[PC%]:[G%]])</f>
        <v/>
      </c>
      <c r="O245" s="55">
        <f>Table58[[#This Row],[Personal Consumption]]+Table58[[#This Row],[Private Investment]]+Table58[[#This Row],[Exports]]+Table58[[#This Row],[Government]]-Table58[[#This Row],[Imports]]</f>
        <v/>
      </c>
    </row>
    <row r="246">
      <c r="A246" s="94" t="n">
        <v>39083</v>
      </c>
      <c r="B246" s="164">
        <f>VLOOKUP(A246,'U.S. GDP'!A:B,2,)</f>
        <v/>
      </c>
      <c r="C246" s="164">
        <f>VLOOKUP(A246,PersonalConsumption!A:B,2,)</f>
        <v/>
      </c>
      <c r="D246" s="164">
        <f>VLOOKUP(A246,PrivateInvestment!A:B,2,)</f>
        <v/>
      </c>
      <c r="E246" s="164">
        <f>VLOOKUP(A246,Exports!A:B,2,)</f>
        <v/>
      </c>
      <c r="F246" s="164">
        <f>VLOOKUP(A246,Imports!A:B,2,)</f>
        <v/>
      </c>
      <c r="G246" s="164">
        <f>VLOOKUP(A246,Government!A:B,2,)</f>
        <v/>
      </c>
      <c r="H246" s="85">
        <f>Table58[[#This Row],[Personal Consumption]]/Table58[[#This Row],[GDP]]</f>
        <v/>
      </c>
      <c r="I246" s="85">
        <f>Table58[[#This Row],[Private Investment]]/Table58[[#This Row],[GDP]]</f>
        <v/>
      </c>
      <c r="J246" s="85">
        <f>Table58[[#This Row],[Exports]]/Table58[[#This Row],[GDP]]</f>
        <v/>
      </c>
      <c r="K246" s="85">
        <f>-Table58[[#This Row],[Imports]]/Table58[[#This Row],[GDP]]</f>
        <v/>
      </c>
      <c r="L246" s="85">
        <f>Table58[[#This Row],[Government]]/Table58[[#This Row],[GDP]]</f>
        <v/>
      </c>
      <c r="N246" s="52">
        <f>SUM(Table58[[#This Row],[PC%]:[G%]])</f>
        <v/>
      </c>
      <c r="O246" s="55">
        <f>Table58[[#This Row],[Personal Consumption]]+Table58[[#This Row],[Private Investment]]+Table58[[#This Row],[Exports]]+Table58[[#This Row],[Government]]-Table58[[#This Row],[Imports]]</f>
        <v/>
      </c>
    </row>
    <row r="247">
      <c r="A247" s="94" t="n">
        <v>39173</v>
      </c>
      <c r="B247" s="164">
        <f>VLOOKUP(A247,'U.S. GDP'!A:B,2,)</f>
        <v/>
      </c>
      <c r="C247" s="164">
        <f>VLOOKUP(A247,PersonalConsumption!A:B,2,)</f>
        <v/>
      </c>
      <c r="D247" s="164">
        <f>VLOOKUP(A247,PrivateInvestment!A:B,2,)</f>
        <v/>
      </c>
      <c r="E247" s="164">
        <f>VLOOKUP(A247,Exports!A:B,2,)</f>
        <v/>
      </c>
      <c r="F247" s="164">
        <f>VLOOKUP(A247,Imports!A:B,2,)</f>
        <v/>
      </c>
      <c r="G247" s="164">
        <f>VLOOKUP(A247,Government!A:B,2,)</f>
        <v/>
      </c>
      <c r="H247" s="85">
        <f>Table58[[#This Row],[Personal Consumption]]/Table58[[#This Row],[GDP]]</f>
        <v/>
      </c>
      <c r="I247" s="85">
        <f>Table58[[#This Row],[Private Investment]]/Table58[[#This Row],[GDP]]</f>
        <v/>
      </c>
      <c r="J247" s="85">
        <f>Table58[[#This Row],[Exports]]/Table58[[#This Row],[GDP]]</f>
        <v/>
      </c>
      <c r="K247" s="85">
        <f>-Table58[[#This Row],[Imports]]/Table58[[#This Row],[GDP]]</f>
        <v/>
      </c>
      <c r="L247" s="85">
        <f>Table58[[#This Row],[Government]]/Table58[[#This Row],[GDP]]</f>
        <v/>
      </c>
      <c r="N247" s="52">
        <f>SUM(Table58[[#This Row],[PC%]:[G%]])</f>
        <v/>
      </c>
      <c r="O247" s="55">
        <f>Table58[[#This Row],[Personal Consumption]]+Table58[[#This Row],[Private Investment]]+Table58[[#This Row],[Exports]]+Table58[[#This Row],[Government]]-Table58[[#This Row],[Imports]]</f>
        <v/>
      </c>
    </row>
    <row r="248">
      <c r="A248" s="94" t="n">
        <v>39264</v>
      </c>
      <c r="B248" s="164">
        <f>VLOOKUP(A248,'U.S. GDP'!A:B,2,)</f>
        <v/>
      </c>
      <c r="C248" s="164">
        <f>VLOOKUP(A248,PersonalConsumption!A:B,2,)</f>
        <v/>
      </c>
      <c r="D248" s="164">
        <f>VLOOKUP(A248,PrivateInvestment!A:B,2,)</f>
        <v/>
      </c>
      <c r="E248" s="164">
        <f>VLOOKUP(A248,Exports!A:B,2,)</f>
        <v/>
      </c>
      <c r="F248" s="164">
        <f>VLOOKUP(A248,Imports!A:B,2,)</f>
        <v/>
      </c>
      <c r="G248" s="164">
        <f>VLOOKUP(A248,Government!A:B,2,)</f>
        <v/>
      </c>
      <c r="H248" s="85">
        <f>Table58[[#This Row],[Personal Consumption]]/Table58[[#This Row],[GDP]]</f>
        <v/>
      </c>
      <c r="I248" s="85">
        <f>Table58[[#This Row],[Private Investment]]/Table58[[#This Row],[GDP]]</f>
        <v/>
      </c>
      <c r="J248" s="85">
        <f>Table58[[#This Row],[Exports]]/Table58[[#This Row],[GDP]]</f>
        <v/>
      </c>
      <c r="K248" s="85">
        <f>-Table58[[#This Row],[Imports]]/Table58[[#This Row],[GDP]]</f>
        <v/>
      </c>
      <c r="L248" s="85">
        <f>Table58[[#This Row],[Government]]/Table58[[#This Row],[GDP]]</f>
        <v/>
      </c>
      <c r="N248" s="52">
        <f>SUM(Table58[[#This Row],[PC%]:[G%]])</f>
        <v/>
      </c>
      <c r="O248" s="55">
        <f>Table58[[#This Row],[Personal Consumption]]+Table58[[#This Row],[Private Investment]]+Table58[[#This Row],[Exports]]+Table58[[#This Row],[Government]]-Table58[[#This Row],[Imports]]</f>
        <v/>
      </c>
    </row>
    <row r="249">
      <c r="A249" s="94" t="n">
        <v>39356</v>
      </c>
      <c r="B249" s="164">
        <f>VLOOKUP(A249,'U.S. GDP'!A:B,2,)</f>
        <v/>
      </c>
      <c r="C249" s="164">
        <f>VLOOKUP(A249,PersonalConsumption!A:B,2,)</f>
        <v/>
      </c>
      <c r="D249" s="164">
        <f>VLOOKUP(A249,PrivateInvestment!A:B,2,)</f>
        <v/>
      </c>
      <c r="E249" s="164">
        <f>VLOOKUP(A249,Exports!A:B,2,)</f>
        <v/>
      </c>
      <c r="F249" s="164">
        <f>VLOOKUP(A249,Imports!A:B,2,)</f>
        <v/>
      </c>
      <c r="G249" s="164">
        <f>VLOOKUP(A249,Government!A:B,2,)</f>
        <v/>
      </c>
      <c r="H249" s="85">
        <f>Table58[[#This Row],[Personal Consumption]]/Table58[[#This Row],[GDP]]</f>
        <v/>
      </c>
      <c r="I249" s="85">
        <f>Table58[[#This Row],[Private Investment]]/Table58[[#This Row],[GDP]]</f>
        <v/>
      </c>
      <c r="J249" s="85">
        <f>Table58[[#This Row],[Exports]]/Table58[[#This Row],[GDP]]</f>
        <v/>
      </c>
      <c r="K249" s="85">
        <f>-Table58[[#This Row],[Imports]]/Table58[[#This Row],[GDP]]</f>
        <v/>
      </c>
      <c r="L249" s="85">
        <f>Table58[[#This Row],[Government]]/Table58[[#This Row],[GDP]]</f>
        <v/>
      </c>
      <c r="N249" s="52">
        <f>SUM(Table58[[#This Row],[PC%]:[G%]])</f>
        <v/>
      </c>
      <c r="O249" s="55">
        <f>Table58[[#This Row],[Personal Consumption]]+Table58[[#This Row],[Private Investment]]+Table58[[#This Row],[Exports]]+Table58[[#This Row],[Government]]-Table58[[#This Row],[Imports]]</f>
        <v/>
      </c>
    </row>
    <row r="250">
      <c r="A250" s="94" t="n">
        <v>39448</v>
      </c>
      <c r="B250" s="164">
        <f>VLOOKUP(A250,'U.S. GDP'!A:B,2,)</f>
        <v/>
      </c>
      <c r="C250" s="164">
        <f>VLOOKUP(A250,PersonalConsumption!A:B,2,)</f>
        <v/>
      </c>
      <c r="D250" s="164">
        <f>VLOOKUP(A250,PrivateInvestment!A:B,2,)</f>
        <v/>
      </c>
      <c r="E250" s="164">
        <f>VLOOKUP(A250,Exports!A:B,2,)</f>
        <v/>
      </c>
      <c r="F250" s="164">
        <f>VLOOKUP(A250,Imports!A:B,2,)</f>
        <v/>
      </c>
      <c r="G250" s="164">
        <f>VLOOKUP(A250,Government!A:B,2,)</f>
        <v/>
      </c>
      <c r="H250" s="85">
        <f>Table58[[#This Row],[Personal Consumption]]/Table58[[#This Row],[GDP]]</f>
        <v/>
      </c>
      <c r="I250" s="85">
        <f>Table58[[#This Row],[Private Investment]]/Table58[[#This Row],[GDP]]</f>
        <v/>
      </c>
      <c r="J250" s="85">
        <f>Table58[[#This Row],[Exports]]/Table58[[#This Row],[GDP]]</f>
        <v/>
      </c>
      <c r="K250" s="85">
        <f>-Table58[[#This Row],[Imports]]/Table58[[#This Row],[GDP]]</f>
        <v/>
      </c>
      <c r="L250" s="85">
        <f>Table58[[#This Row],[Government]]/Table58[[#This Row],[GDP]]</f>
        <v/>
      </c>
      <c r="N250" s="52">
        <f>SUM(Table58[[#This Row],[PC%]:[G%]])</f>
        <v/>
      </c>
      <c r="O250" s="55">
        <f>Table58[[#This Row],[Personal Consumption]]+Table58[[#This Row],[Private Investment]]+Table58[[#This Row],[Exports]]+Table58[[#This Row],[Government]]-Table58[[#This Row],[Imports]]</f>
        <v/>
      </c>
    </row>
    <row r="251">
      <c r="A251" s="94" t="n">
        <v>39539</v>
      </c>
      <c r="B251" s="164">
        <f>VLOOKUP(A251,'U.S. GDP'!A:B,2,)</f>
        <v/>
      </c>
      <c r="C251" s="164">
        <f>VLOOKUP(A251,PersonalConsumption!A:B,2,)</f>
        <v/>
      </c>
      <c r="D251" s="164">
        <f>VLOOKUP(A251,PrivateInvestment!A:B,2,)</f>
        <v/>
      </c>
      <c r="E251" s="164">
        <f>VLOOKUP(A251,Exports!A:B,2,)</f>
        <v/>
      </c>
      <c r="F251" s="164">
        <f>VLOOKUP(A251,Imports!A:B,2,)</f>
        <v/>
      </c>
      <c r="G251" s="164">
        <f>VLOOKUP(A251,Government!A:B,2,)</f>
        <v/>
      </c>
      <c r="H251" s="85">
        <f>Table58[[#This Row],[Personal Consumption]]/Table58[[#This Row],[GDP]]</f>
        <v/>
      </c>
      <c r="I251" s="85">
        <f>Table58[[#This Row],[Private Investment]]/Table58[[#This Row],[GDP]]</f>
        <v/>
      </c>
      <c r="J251" s="85">
        <f>Table58[[#This Row],[Exports]]/Table58[[#This Row],[GDP]]</f>
        <v/>
      </c>
      <c r="K251" s="85">
        <f>-Table58[[#This Row],[Imports]]/Table58[[#This Row],[GDP]]</f>
        <v/>
      </c>
      <c r="L251" s="85">
        <f>Table58[[#This Row],[Government]]/Table58[[#This Row],[GDP]]</f>
        <v/>
      </c>
      <c r="N251" s="52">
        <f>SUM(Table58[[#This Row],[PC%]:[G%]])</f>
        <v/>
      </c>
      <c r="O251" s="55">
        <f>Table58[[#This Row],[Personal Consumption]]+Table58[[#This Row],[Private Investment]]+Table58[[#This Row],[Exports]]+Table58[[#This Row],[Government]]-Table58[[#This Row],[Imports]]</f>
        <v/>
      </c>
    </row>
    <row r="252">
      <c r="A252" s="94" t="n">
        <v>39630</v>
      </c>
      <c r="B252" s="164">
        <f>VLOOKUP(A252,'U.S. GDP'!A:B,2,)</f>
        <v/>
      </c>
      <c r="C252" s="164">
        <f>VLOOKUP(A252,PersonalConsumption!A:B,2,)</f>
        <v/>
      </c>
      <c r="D252" s="164">
        <f>VLOOKUP(A252,PrivateInvestment!A:B,2,)</f>
        <v/>
      </c>
      <c r="E252" s="164">
        <f>VLOOKUP(A252,Exports!A:B,2,)</f>
        <v/>
      </c>
      <c r="F252" s="164">
        <f>VLOOKUP(A252,Imports!A:B,2,)</f>
        <v/>
      </c>
      <c r="G252" s="164">
        <f>VLOOKUP(A252,Government!A:B,2,)</f>
        <v/>
      </c>
      <c r="H252" s="85">
        <f>Table58[[#This Row],[Personal Consumption]]/Table58[[#This Row],[GDP]]</f>
        <v/>
      </c>
      <c r="I252" s="85">
        <f>Table58[[#This Row],[Private Investment]]/Table58[[#This Row],[GDP]]</f>
        <v/>
      </c>
      <c r="J252" s="85">
        <f>Table58[[#This Row],[Exports]]/Table58[[#This Row],[GDP]]</f>
        <v/>
      </c>
      <c r="K252" s="85">
        <f>-Table58[[#This Row],[Imports]]/Table58[[#This Row],[GDP]]</f>
        <v/>
      </c>
      <c r="L252" s="85">
        <f>Table58[[#This Row],[Government]]/Table58[[#This Row],[GDP]]</f>
        <v/>
      </c>
      <c r="N252" s="52">
        <f>SUM(Table58[[#This Row],[PC%]:[G%]])</f>
        <v/>
      </c>
      <c r="O252" s="55">
        <f>Table58[[#This Row],[Personal Consumption]]+Table58[[#This Row],[Private Investment]]+Table58[[#This Row],[Exports]]+Table58[[#This Row],[Government]]-Table58[[#This Row],[Imports]]</f>
        <v/>
      </c>
    </row>
    <row r="253">
      <c r="A253" s="94" t="n">
        <v>39722</v>
      </c>
      <c r="B253" s="164">
        <f>VLOOKUP(A253,'U.S. GDP'!A:B,2,)</f>
        <v/>
      </c>
      <c r="C253" s="164">
        <f>VLOOKUP(A253,PersonalConsumption!A:B,2,)</f>
        <v/>
      </c>
      <c r="D253" s="164">
        <f>VLOOKUP(A253,PrivateInvestment!A:B,2,)</f>
        <v/>
      </c>
      <c r="E253" s="164">
        <f>VLOOKUP(A253,Exports!A:B,2,)</f>
        <v/>
      </c>
      <c r="F253" s="164">
        <f>VLOOKUP(A253,Imports!A:B,2,)</f>
        <v/>
      </c>
      <c r="G253" s="164">
        <f>VLOOKUP(A253,Government!A:B,2,)</f>
        <v/>
      </c>
      <c r="H253" s="85">
        <f>Table58[[#This Row],[Personal Consumption]]/Table58[[#This Row],[GDP]]</f>
        <v/>
      </c>
      <c r="I253" s="85">
        <f>Table58[[#This Row],[Private Investment]]/Table58[[#This Row],[GDP]]</f>
        <v/>
      </c>
      <c r="J253" s="85">
        <f>Table58[[#This Row],[Exports]]/Table58[[#This Row],[GDP]]</f>
        <v/>
      </c>
      <c r="K253" s="85">
        <f>-Table58[[#This Row],[Imports]]/Table58[[#This Row],[GDP]]</f>
        <v/>
      </c>
      <c r="L253" s="85">
        <f>Table58[[#This Row],[Government]]/Table58[[#This Row],[GDP]]</f>
        <v/>
      </c>
      <c r="N253" s="52">
        <f>SUM(Table58[[#This Row],[PC%]:[G%]])</f>
        <v/>
      </c>
      <c r="O253" s="55">
        <f>Table58[[#This Row],[Personal Consumption]]+Table58[[#This Row],[Private Investment]]+Table58[[#This Row],[Exports]]+Table58[[#This Row],[Government]]-Table58[[#This Row],[Imports]]</f>
        <v/>
      </c>
    </row>
    <row r="254">
      <c r="A254" s="94" t="n">
        <v>39814</v>
      </c>
      <c r="B254" s="164">
        <f>VLOOKUP(A254,'U.S. GDP'!A:B,2,)</f>
        <v/>
      </c>
      <c r="C254" s="164">
        <f>VLOOKUP(A254,PersonalConsumption!A:B,2,)</f>
        <v/>
      </c>
      <c r="D254" s="164">
        <f>VLOOKUP(A254,PrivateInvestment!A:B,2,)</f>
        <v/>
      </c>
      <c r="E254" s="164">
        <f>VLOOKUP(A254,Exports!A:B,2,)</f>
        <v/>
      </c>
      <c r="F254" s="164">
        <f>VLOOKUP(A254,Imports!A:B,2,)</f>
        <v/>
      </c>
      <c r="G254" s="164">
        <f>VLOOKUP(A254,Government!A:B,2,)</f>
        <v/>
      </c>
      <c r="H254" s="85">
        <f>Table58[[#This Row],[Personal Consumption]]/Table58[[#This Row],[GDP]]</f>
        <v/>
      </c>
      <c r="I254" s="85">
        <f>Table58[[#This Row],[Private Investment]]/Table58[[#This Row],[GDP]]</f>
        <v/>
      </c>
      <c r="J254" s="85">
        <f>Table58[[#This Row],[Exports]]/Table58[[#This Row],[GDP]]</f>
        <v/>
      </c>
      <c r="K254" s="85">
        <f>-Table58[[#This Row],[Imports]]/Table58[[#This Row],[GDP]]</f>
        <v/>
      </c>
      <c r="L254" s="85">
        <f>Table58[[#This Row],[Government]]/Table58[[#This Row],[GDP]]</f>
        <v/>
      </c>
      <c r="N254" s="52">
        <f>SUM(Table58[[#This Row],[PC%]:[G%]])</f>
        <v/>
      </c>
      <c r="O254" s="55">
        <f>Table58[[#This Row],[Personal Consumption]]+Table58[[#This Row],[Private Investment]]+Table58[[#This Row],[Exports]]+Table58[[#This Row],[Government]]-Table58[[#This Row],[Imports]]</f>
        <v/>
      </c>
    </row>
    <row r="255">
      <c r="A255" s="94" t="n">
        <v>39904</v>
      </c>
      <c r="B255" s="164">
        <f>VLOOKUP(A255,'U.S. GDP'!A:B,2,)</f>
        <v/>
      </c>
      <c r="C255" s="164">
        <f>VLOOKUP(A255,PersonalConsumption!A:B,2,)</f>
        <v/>
      </c>
      <c r="D255" s="164">
        <f>VLOOKUP(A255,PrivateInvestment!A:B,2,)</f>
        <v/>
      </c>
      <c r="E255" s="164">
        <f>VLOOKUP(A255,Exports!A:B,2,)</f>
        <v/>
      </c>
      <c r="F255" s="164">
        <f>VLOOKUP(A255,Imports!A:B,2,)</f>
        <v/>
      </c>
      <c r="G255" s="164">
        <f>VLOOKUP(A255,Government!A:B,2,)</f>
        <v/>
      </c>
      <c r="H255" s="85">
        <f>Table58[[#This Row],[Personal Consumption]]/Table58[[#This Row],[GDP]]</f>
        <v/>
      </c>
      <c r="I255" s="85">
        <f>Table58[[#This Row],[Private Investment]]/Table58[[#This Row],[GDP]]</f>
        <v/>
      </c>
      <c r="J255" s="85">
        <f>Table58[[#This Row],[Exports]]/Table58[[#This Row],[GDP]]</f>
        <v/>
      </c>
      <c r="K255" s="85">
        <f>-Table58[[#This Row],[Imports]]/Table58[[#This Row],[GDP]]</f>
        <v/>
      </c>
      <c r="L255" s="85">
        <f>Table58[[#This Row],[Government]]/Table58[[#This Row],[GDP]]</f>
        <v/>
      </c>
      <c r="N255" s="52">
        <f>SUM(Table58[[#This Row],[PC%]:[G%]])</f>
        <v/>
      </c>
      <c r="O255" s="55">
        <f>Table58[[#This Row],[Personal Consumption]]+Table58[[#This Row],[Private Investment]]+Table58[[#This Row],[Exports]]+Table58[[#This Row],[Government]]-Table58[[#This Row],[Imports]]</f>
        <v/>
      </c>
    </row>
    <row r="256">
      <c r="A256" s="94" t="n">
        <v>39995</v>
      </c>
      <c r="B256" s="164">
        <f>VLOOKUP(A256,'U.S. GDP'!A:B,2,)</f>
        <v/>
      </c>
      <c r="C256" s="164">
        <f>VLOOKUP(A256,PersonalConsumption!A:B,2,)</f>
        <v/>
      </c>
      <c r="D256" s="164">
        <f>VLOOKUP(A256,PrivateInvestment!A:B,2,)</f>
        <v/>
      </c>
      <c r="E256" s="164">
        <f>VLOOKUP(A256,Exports!A:B,2,)</f>
        <v/>
      </c>
      <c r="F256" s="164">
        <f>VLOOKUP(A256,Imports!A:B,2,)</f>
        <v/>
      </c>
      <c r="G256" s="164">
        <f>VLOOKUP(A256,Government!A:B,2,)</f>
        <v/>
      </c>
      <c r="H256" s="85">
        <f>Table58[[#This Row],[Personal Consumption]]/Table58[[#This Row],[GDP]]</f>
        <v/>
      </c>
      <c r="I256" s="85">
        <f>Table58[[#This Row],[Private Investment]]/Table58[[#This Row],[GDP]]</f>
        <v/>
      </c>
      <c r="J256" s="85">
        <f>Table58[[#This Row],[Exports]]/Table58[[#This Row],[GDP]]</f>
        <v/>
      </c>
      <c r="K256" s="85">
        <f>-Table58[[#This Row],[Imports]]/Table58[[#This Row],[GDP]]</f>
        <v/>
      </c>
      <c r="L256" s="85">
        <f>Table58[[#This Row],[Government]]/Table58[[#This Row],[GDP]]</f>
        <v/>
      </c>
      <c r="N256" s="52">
        <f>SUM(Table58[[#This Row],[PC%]:[G%]])</f>
        <v/>
      </c>
      <c r="O256" s="55">
        <f>Table58[[#This Row],[Personal Consumption]]+Table58[[#This Row],[Private Investment]]+Table58[[#This Row],[Exports]]+Table58[[#This Row],[Government]]-Table58[[#This Row],[Imports]]</f>
        <v/>
      </c>
    </row>
    <row r="257">
      <c r="A257" s="94" t="n">
        <v>40087</v>
      </c>
      <c r="B257" s="164">
        <f>VLOOKUP(A257,'U.S. GDP'!A:B,2,)</f>
        <v/>
      </c>
      <c r="C257" s="164">
        <f>VLOOKUP(A257,PersonalConsumption!A:B,2,)</f>
        <v/>
      </c>
      <c r="D257" s="164">
        <f>VLOOKUP(A257,PrivateInvestment!A:B,2,)</f>
        <v/>
      </c>
      <c r="E257" s="164">
        <f>VLOOKUP(A257,Exports!A:B,2,)</f>
        <v/>
      </c>
      <c r="F257" s="164">
        <f>VLOOKUP(A257,Imports!A:B,2,)</f>
        <v/>
      </c>
      <c r="G257" s="164">
        <f>VLOOKUP(A257,Government!A:B,2,)</f>
        <v/>
      </c>
      <c r="H257" s="85">
        <f>Table58[[#This Row],[Personal Consumption]]/Table58[[#This Row],[GDP]]</f>
        <v/>
      </c>
      <c r="I257" s="85">
        <f>Table58[[#This Row],[Private Investment]]/Table58[[#This Row],[GDP]]</f>
        <v/>
      </c>
      <c r="J257" s="85">
        <f>Table58[[#This Row],[Exports]]/Table58[[#This Row],[GDP]]</f>
        <v/>
      </c>
      <c r="K257" s="85">
        <f>-Table58[[#This Row],[Imports]]/Table58[[#This Row],[GDP]]</f>
        <v/>
      </c>
      <c r="L257" s="85">
        <f>Table58[[#This Row],[Government]]/Table58[[#This Row],[GDP]]</f>
        <v/>
      </c>
      <c r="N257" s="52">
        <f>SUM(Table58[[#This Row],[PC%]:[G%]])</f>
        <v/>
      </c>
      <c r="O257" s="55">
        <f>Table58[[#This Row],[Personal Consumption]]+Table58[[#This Row],[Private Investment]]+Table58[[#This Row],[Exports]]+Table58[[#This Row],[Government]]-Table58[[#This Row],[Imports]]</f>
        <v/>
      </c>
    </row>
    <row r="258">
      <c r="A258" s="94" t="n">
        <v>40179</v>
      </c>
      <c r="B258" s="164">
        <f>VLOOKUP(A258,'U.S. GDP'!A:B,2,)</f>
        <v/>
      </c>
      <c r="C258" s="164">
        <f>VLOOKUP(A258,PersonalConsumption!A:B,2,)</f>
        <v/>
      </c>
      <c r="D258" s="164">
        <f>VLOOKUP(A258,PrivateInvestment!A:B,2,)</f>
        <v/>
      </c>
      <c r="E258" s="164">
        <f>VLOOKUP(A258,Exports!A:B,2,)</f>
        <v/>
      </c>
      <c r="F258" s="164">
        <f>VLOOKUP(A258,Imports!A:B,2,)</f>
        <v/>
      </c>
      <c r="G258" s="164">
        <f>VLOOKUP(A258,Government!A:B,2,)</f>
        <v/>
      </c>
      <c r="H258" s="85">
        <f>Table58[[#This Row],[Personal Consumption]]/Table58[[#This Row],[GDP]]</f>
        <v/>
      </c>
      <c r="I258" s="85">
        <f>Table58[[#This Row],[Private Investment]]/Table58[[#This Row],[GDP]]</f>
        <v/>
      </c>
      <c r="J258" s="85">
        <f>Table58[[#This Row],[Exports]]/Table58[[#This Row],[GDP]]</f>
        <v/>
      </c>
      <c r="K258" s="85">
        <f>-Table58[[#This Row],[Imports]]/Table58[[#This Row],[GDP]]</f>
        <v/>
      </c>
      <c r="L258" s="85">
        <f>Table58[[#This Row],[Government]]/Table58[[#This Row],[GDP]]</f>
        <v/>
      </c>
      <c r="N258" s="52">
        <f>SUM(Table58[[#This Row],[PC%]:[G%]])</f>
        <v/>
      </c>
      <c r="O258" s="55">
        <f>Table58[[#This Row],[Personal Consumption]]+Table58[[#This Row],[Private Investment]]+Table58[[#This Row],[Exports]]+Table58[[#This Row],[Government]]-Table58[[#This Row],[Imports]]</f>
        <v/>
      </c>
    </row>
    <row r="259">
      <c r="A259" s="94" t="n">
        <v>40269</v>
      </c>
      <c r="B259" s="164">
        <f>VLOOKUP(A259,'U.S. GDP'!A:B,2,)</f>
        <v/>
      </c>
      <c r="C259" s="164">
        <f>VLOOKUP(A259,PersonalConsumption!A:B,2,)</f>
        <v/>
      </c>
      <c r="D259" s="164">
        <f>VLOOKUP(A259,PrivateInvestment!A:B,2,)</f>
        <v/>
      </c>
      <c r="E259" s="164">
        <f>VLOOKUP(A259,Exports!A:B,2,)</f>
        <v/>
      </c>
      <c r="F259" s="164">
        <f>VLOOKUP(A259,Imports!A:B,2,)</f>
        <v/>
      </c>
      <c r="G259" s="164">
        <f>VLOOKUP(A259,Government!A:B,2,)</f>
        <v/>
      </c>
      <c r="H259" s="85">
        <f>Table58[[#This Row],[Personal Consumption]]/Table58[[#This Row],[GDP]]</f>
        <v/>
      </c>
      <c r="I259" s="85">
        <f>Table58[[#This Row],[Private Investment]]/Table58[[#This Row],[GDP]]</f>
        <v/>
      </c>
      <c r="J259" s="85">
        <f>Table58[[#This Row],[Exports]]/Table58[[#This Row],[GDP]]</f>
        <v/>
      </c>
      <c r="K259" s="85">
        <f>-Table58[[#This Row],[Imports]]/Table58[[#This Row],[GDP]]</f>
        <v/>
      </c>
      <c r="L259" s="85">
        <f>Table58[[#This Row],[Government]]/Table58[[#This Row],[GDP]]</f>
        <v/>
      </c>
      <c r="N259" s="52">
        <f>SUM(Table58[[#This Row],[PC%]:[G%]])</f>
        <v/>
      </c>
      <c r="O259" s="55">
        <f>Table58[[#This Row],[Personal Consumption]]+Table58[[#This Row],[Private Investment]]+Table58[[#This Row],[Exports]]+Table58[[#This Row],[Government]]-Table58[[#This Row],[Imports]]</f>
        <v/>
      </c>
    </row>
    <row r="260">
      <c r="A260" s="94" t="n">
        <v>40360</v>
      </c>
      <c r="B260" s="164">
        <f>VLOOKUP(A260,'U.S. GDP'!A:B,2,)</f>
        <v/>
      </c>
      <c r="C260" s="164">
        <f>VLOOKUP(A260,PersonalConsumption!A:B,2,)</f>
        <v/>
      </c>
      <c r="D260" s="164">
        <f>VLOOKUP(A260,PrivateInvestment!A:B,2,)</f>
        <v/>
      </c>
      <c r="E260" s="164">
        <f>VLOOKUP(A260,Exports!A:B,2,)</f>
        <v/>
      </c>
      <c r="F260" s="164">
        <f>VLOOKUP(A260,Imports!A:B,2,)</f>
        <v/>
      </c>
      <c r="G260" s="164">
        <f>VLOOKUP(A260,Government!A:B,2,)</f>
        <v/>
      </c>
      <c r="H260" s="85">
        <f>Table58[[#This Row],[Personal Consumption]]/Table58[[#This Row],[GDP]]</f>
        <v/>
      </c>
      <c r="I260" s="85">
        <f>Table58[[#This Row],[Private Investment]]/Table58[[#This Row],[GDP]]</f>
        <v/>
      </c>
      <c r="J260" s="85">
        <f>Table58[[#This Row],[Exports]]/Table58[[#This Row],[GDP]]</f>
        <v/>
      </c>
      <c r="K260" s="85">
        <f>-Table58[[#This Row],[Imports]]/Table58[[#This Row],[GDP]]</f>
        <v/>
      </c>
      <c r="L260" s="85">
        <f>Table58[[#This Row],[Government]]/Table58[[#This Row],[GDP]]</f>
        <v/>
      </c>
      <c r="N260" s="52">
        <f>SUM(Table58[[#This Row],[PC%]:[G%]])</f>
        <v/>
      </c>
      <c r="O260" s="55">
        <f>Table58[[#This Row],[Personal Consumption]]+Table58[[#This Row],[Private Investment]]+Table58[[#This Row],[Exports]]+Table58[[#This Row],[Government]]-Table58[[#This Row],[Imports]]</f>
        <v/>
      </c>
    </row>
    <row r="261">
      <c r="A261" s="94" t="n">
        <v>40452</v>
      </c>
      <c r="B261" s="164">
        <f>VLOOKUP(A261,'U.S. GDP'!A:B,2,)</f>
        <v/>
      </c>
      <c r="C261" s="164">
        <f>VLOOKUP(A261,PersonalConsumption!A:B,2,)</f>
        <v/>
      </c>
      <c r="D261" s="164">
        <f>VLOOKUP(A261,PrivateInvestment!A:B,2,)</f>
        <v/>
      </c>
      <c r="E261" s="164">
        <f>VLOOKUP(A261,Exports!A:B,2,)</f>
        <v/>
      </c>
      <c r="F261" s="164">
        <f>VLOOKUP(A261,Imports!A:B,2,)</f>
        <v/>
      </c>
      <c r="G261" s="164">
        <f>VLOOKUP(A261,Government!A:B,2,)</f>
        <v/>
      </c>
      <c r="H261" s="85">
        <f>Table58[[#This Row],[Personal Consumption]]/Table58[[#This Row],[GDP]]</f>
        <v/>
      </c>
      <c r="I261" s="85">
        <f>Table58[[#This Row],[Private Investment]]/Table58[[#This Row],[GDP]]</f>
        <v/>
      </c>
      <c r="J261" s="85">
        <f>Table58[[#This Row],[Exports]]/Table58[[#This Row],[GDP]]</f>
        <v/>
      </c>
      <c r="K261" s="85">
        <f>-Table58[[#This Row],[Imports]]/Table58[[#This Row],[GDP]]</f>
        <v/>
      </c>
      <c r="L261" s="85">
        <f>Table58[[#This Row],[Government]]/Table58[[#This Row],[GDP]]</f>
        <v/>
      </c>
      <c r="N261" s="52">
        <f>SUM(Table58[[#This Row],[PC%]:[G%]])</f>
        <v/>
      </c>
      <c r="O261" s="55">
        <f>Table58[[#This Row],[Personal Consumption]]+Table58[[#This Row],[Private Investment]]+Table58[[#This Row],[Exports]]+Table58[[#This Row],[Government]]-Table58[[#This Row],[Imports]]</f>
        <v/>
      </c>
    </row>
    <row r="262">
      <c r="A262" s="94" t="n">
        <v>40544</v>
      </c>
      <c r="B262" s="164">
        <f>VLOOKUP(A262,'U.S. GDP'!A:B,2,)</f>
        <v/>
      </c>
      <c r="C262" s="164">
        <f>VLOOKUP(A262,PersonalConsumption!A:B,2,)</f>
        <v/>
      </c>
      <c r="D262" s="164">
        <f>VLOOKUP(A262,PrivateInvestment!A:B,2,)</f>
        <v/>
      </c>
      <c r="E262" s="164">
        <f>VLOOKUP(A262,Exports!A:B,2,)</f>
        <v/>
      </c>
      <c r="F262" s="164">
        <f>VLOOKUP(A262,Imports!A:B,2,)</f>
        <v/>
      </c>
      <c r="G262" s="164">
        <f>VLOOKUP(A262,Government!A:B,2,)</f>
        <v/>
      </c>
      <c r="H262" s="85">
        <f>Table58[[#This Row],[Personal Consumption]]/Table58[[#This Row],[GDP]]</f>
        <v/>
      </c>
      <c r="I262" s="85">
        <f>Table58[[#This Row],[Private Investment]]/Table58[[#This Row],[GDP]]</f>
        <v/>
      </c>
      <c r="J262" s="85">
        <f>Table58[[#This Row],[Exports]]/Table58[[#This Row],[GDP]]</f>
        <v/>
      </c>
      <c r="K262" s="85">
        <f>-Table58[[#This Row],[Imports]]/Table58[[#This Row],[GDP]]</f>
        <v/>
      </c>
      <c r="L262" s="85">
        <f>Table58[[#This Row],[Government]]/Table58[[#This Row],[GDP]]</f>
        <v/>
      </c>
      <c r="N262" s="52">
        <f>SUM(Table58[[#This Row],[PC%]:[G%]])</f>
        <v/>
      </c>
      <c r="O262" s="55">
        <f>Table58[[#This Row],[Personal Consumption]]+Table58[[#This Row],[Private Investment]]+Table58[[#This Row],[Exports]]+Table58[[#This Row],[Government]]-Table58[[#This Row],[Imports]]</f>
        <v/>
      </c>
    </row>
    <row r="263">
      <c r="A263" s="94" t="n">
        <v>40634</v>
      </c>
      <c r="B263" s="164">
        <f>VLOOKUP(A263,'U.S. GDP'!A:B,2,)</f>
        <v/>
      </c>
      <c r="C263" s="164">
        <f>VLOOKUP(A263,PersonalConsumption!A:B,2,)</f>
        <v/>
      </c>
      <c r="D263" s="164">
        <f>VLOOKUP(A263,PrivateInvestment!A:B,2,)</f>
        <v/>
      </c>
      <c r="E263" s="164">
        <f>VLOOKUP(A263,Exports!A:B,2,)</f>
        <v/>
      </c>
      <c r="F263" s="164">
        <f>VLOOKUP(A263,Imports!A:B,2,)</f>
        <v/>
      </c>
      <c r="G263" s="164">
        <f>VLOOKUP(A263,Government!A:B,2,)</f>
        <v/>
      </c>
      <c r="H263" s="85">
        <f>Table58[[#This Row],[Personal Consumption]]/Table58[[#This Row],[GDP]]</f>
        <v/>
      </c>
      <c r="I263" s="85">
        <f>Table58[[#This Row],[Private Investment]]/Table58[[#This Row],[GDP]]</f>
        <v/>
      </c>
      <c r="J263" s="85">
        <f>Table58[[#This Row],[Exports]]/Table58[[#This Row],[GDP]]</f>
        <v/>
      </c>
      <c r="K263" s="85">
        <f>-Table58[[#This Row],[Imports]]/Table58[[#This Row],[GDP]]</f>
        <v/>
      </c>
      <c r="L263" s="85">
        <f>Table58[[#This Row],[Government]]/Table58[[#This Row],[GDP]]</f>
        <v/>
      </c>
      <c r="N263" s="52">
        <f>SUM(Table58[[#This Row],[PC%]:[G%]])</f>
        <v/>
      </c>
      <c r="O263" s="55">
        <f>Table58[[#This Row],[Personal Consumption]]+Table58[[#This Row],[Private Investment]]+Table58[[#This Row],[Exports]]+Table58[[#This Row],[Government]]-Table58[[#This Row],[Imports]]</f>
        <v/>
      </c>
    </row>
    <row r="264">
      <c r="A264" s="94" t="n">
        <v>40725</v>
      </c>
      <c r="B264" s="164">
        <f>VLOOKUP(A264,'U.S. GDP'!A:B,2,)</f>
        <v/>
      </c>
      <c r="C264" s="164">
        <f>VLOOKUP(A264,PersonalConsumption!A:B,2,)</f>
        <v/>
      </c>
      <c r="D264" s="164">
        <f>VLOOKUP(A264,PrivateInvestment!A:B,2,)</f>
        <v/>
      </c>
      <c r="E264" s="164">
        <f>VLOOKUP(A264,Exports!A:B,2,)</f>
        <v/>
      </c>
      <c r="F264" s="164">
        <f>VLOOKUP(A264,Imports!A:B,2,)</f>
        <v/>
      </c>
      <c r="G264" s="164">
        <f>VLOOKUP(A264,Government!A:B,2,)</f>
        <v/>
      </c>
      <c r="H264" s="85">
        <f>Table58[[#This Row],[Personal Consumption]]/Table58[[#This Row],[GDP]]</f>
        <v/>
      </c>
      <c r="I264" s="85">
        <f>Table58[[#This Row],[Private Investment]]/Table58[[#This Row],[GDP]]</f>
        <v/>
      </c>
      <c r="J264" s="85">
        <f>Table58[[#This Row],[Exports]]/Table58[[#This Row],[GDP]]</f>
        <v/>
      </c>
      <c r="K264" s="85">
        <f>-Table58[[#This Row],[Imports]]/Table58[[#This Row],[GDP]]</f>
        <v/>
      </c>
      <c r="L264" s="85">
        <f>Table58[[#This Row],[Government]]/Table58[[#This Row],[GDP]]</f>
        <v/>
      </c>
      <c r="N264" s="52">
        <f>SUM(Table58[[#This Row],[PC%]:[G%]])</f>
        <v/>
      </c>
      <c r="O264" s="55">
        <f>Table58[[#This Row],[Personal Consumption]]+Table58[[#This Row],[Private Investment]]+Table58[[#This Row],[Exports]]+Table58[[#This Row],[Government]]-Table58[[#This Row],[Imports]]</f>
        <v/>
      </c>
    </row>
    <row r="265">
      <c r="A265" s="94" t="n">
        <v>40817</v>
      </c>
      <c r="B265" s="164">
        <f>VLOOKUP(A265,'U.S. GDP'!A:B,2,)</f>
        <v/>
      </c>
      <c r="C265" s="164">
        <f>VLOOKUP(A265,PersonalConsumption!A:B,2,)</f>
        <v/>
      </c>
      <c r="D265" s="164">
        <f>VLOOKUP(A265,PrivateInvestment!A:B,2,)</f>
        <v/>
      </c>
      <c r="E265" s="164">
        <f>VLOOKUP(A265,Exports!A:B,2,)</f>
        <v/>
      </c>
      <c r="F265" s="164">
        <f>VLOOKUP(A265,Imports!A:B,2,)</f>
        <v/>
      </c>
      <c r="G265" s="164">
        <f>VLOOKUP(A265,Government!A:B,2,)</f>
        <v/>
      </c>
      <c r="H265" s="85">
        <f>Table58[[#This Row],[Personal Consumption]]/Table58[[#This Row],[GDP]]</f>
        <v/>
      </c>
      <c r="I265" s="85">
        <f>Table58[[#This Row],[Private Investment]]/Table58[[#This Row],[GDP]]</f>
        <v/>
      </c>
      <c r="J265" s="85">
        <f>Table58[[#This Row],[Exports]]/Table58[[#This Row],[GDP]]</f>
        <v/>
      </c>
      <c r="K265" s="85">
        <f>-Table58[[#This Row],[Imports]]/Table58[[#This Row],[GDP]]</f>
        <v/>
      </c>
      <c r="L265" s="85">
        <f>Table58[[#This Row],[Government]]/Table58[[#This Row],[GDP]]</f>
        <v/>
      </c>
      <c r="N265" s="52">
        <f>SUM(Table58[[#This Row],[PC%]:[G%]])</f>
        <v/>
      </c>
      <c r="O265" s="55">
        <f>Table58[[#This Row],[Personal Consumption]]+Table58[[#This Row],[Private Investment]]+Table58[[#This Row],[Exports]]+Table58[[#This Row],[Government]]-Table58[[#This Row],[Imports]]</f>
        <v/>
      </c>
    </row>
    <row r="266">
      <c r="A266" s="94" t="n">
        <v>40909</v>
      </c>
      <c r="B266" s="164">
        <f>VLOOKUP(A266,'U.S. GDP'!A:B,2,)</f>
        <v/>
      </c>
      <c r="C266" s="164">
        <f>VLOOKUP(A266,PersonalConsumption!A:B,2,)</f>
        <v/>
      </c>
      <c r="D266" s="164">
        <f>VLOOKUP(A266,PrivateInvestment!A:B,2,)</f>
        <v/>
      </c>
      <c r="E266" s="164">
        <f>VLOOKUP(A266,Exports!A:B,2,)</f>
        <v/>
      </c>
      <c r="F266" s="164">
        <f>VLOOKUP(A266,Imports!A:B,2,)</f>
        <v/>
      </c>
      <c r="G266" s="164">
        <f>VLOOKUP(A266,Government!A:B,2,)</f>
        <v/>
      </c>
      <c r="H266" s="85">
        <f>Table58[[#This Row],[Personal Consumption]]/Table58[[#This Row],[GDP]]</f>
        <v/>
      </c>
      <c r="I266" s="85">
        <f>Table58[[#This Row],[Private Investment]]/Table58[[#This Row],[GDP]]</f>
        <v/>
      </c>
      <c r="J266" s="85">
        <f>Table58[[#This Row],[Exports]]/Table58[[#This Row],[GDP]]</f>
        <v/>
      </c>
      <c r="K266" s="85">
        <f>-Table58[[#This Row],[Imports]]/Table58[[#This Row],[GDP]]</f>
        <v/>
      </c>
      <c r="L266" s="85">
        <f>Table58[[#This Row],[Government]]/Table58[[#This Row],[GDP]]</f>
        <v/>
      </c>
      <c r="N266" s="52">
        <f>SUM(Table58[[#This Row],[PC%]:[G%]])</f>
        <v/>
      </c>
      <c r="O266" s="55">
        <f>Table58[[#This Row],[Personal Consumption]]+Table58[[#This Row],[Private Investment]]+Table58[[#This Row],[Exports]]+Table58[[#This Row],[Government]]-Table58[[#This Row],[Imports]]</f>
        <v/>
      </c>
    </row>
    <row r="267">
      <c r="A267" s="94" t="n">
        <v>41000</v>
      </c>
      <c r="B267" s="164">
        <f>VLOOKUP(A267,'U.S. GDP'!A:B,2,)</f>
        <v/>
      </c>
      <c r="C267" s="164">
        <f>VLOOKUP(A267,PersonalConsumption!A:B,2,)</f>
        <v/>
      </c>
      <c r="D267" s="164">
        <f>VLOOKUP(A267,PrivateInvestment!A:B,2,)</f>
        <v/>
      </c>
      <c r="E267" s="164">
        <f>VLOOKUP(A267,Exports!A:B,2,)</f>
        <v/>
      </c>
      <c r="F267" s="164">
        <f>VLOOKUP(A267,Imports!A:B,2,)</f>
        <v/>
      </c>
      <c r="G267" s="164">
        <f>VLOOKUP(A267,Government!A:B,2,)</f>
        <v/>
      </c>
      <c r="H267" s="85">
        <f>Table58[[#This Row],[Personal Consumption]]/Table58[[#This Row],[GDP]]</f>
        <v/>
      </c>
      <c r="I267" s="85">
        <f>Table58[[#This Row],[Private Investment]]/Table58[[#This Row],[GDP]]</f>
        <v/>
      </c>
      <c r="J267" s="85">
        <f>Table58[[#This Row],[Exports]]/Table58[[#This Row],[GDP]]</f>
        <v/>
      </c>
      <c r="K267" s="85">
        <f>-Table58[[#This Row],[Imports]]/Table58[[#This Row],[GDP]]</f>
        <v/>
      </c>
      <c r="L267" s="85">
        <f>Table58[[#This Row],[Government]]/Table58[[#This Row],[GDP]]</f>
        <v/>
      </c>
      <c r="N267" s="52">
        <f>SUM(Table58[[#This Row],[PC%]:[G%]])</f>
        <v/>
      </c>
      <c r="O267" s="55">
        <f>Table58[[#This Row],[Personal Consumption]]+Table58[[#This Row],[Private Investment]]+Table58[[#This Row],[Exports]]+Table58[[#This Row],[Government]]-Table58[[#This Row],[Imports]]</f>
        <v/>
      </c>
    </row>
    <row r="268">
      <c r="A268" s="94" t="n">
        <v>41091</v>
      </c>
      <c r="B268" s="164">
        <f>VLOOKUP(A268,'U.S. GDP'!A:B,2,)</f>
        <v/>
      </c>
      <c r="C268" s="164">
        <f>VLOOKUP(A268,PersonalConsumption!A:B,2,)</f>
        <v/>
      </c>
      <c r="D268" s="164">
        <f>VLOOKUP(A268,PrivateInvestment!A:B,2,)</f>
        <v/>
      </c>
      <c r="E268" s="164">
        <f>VLOOKUP(A268,Exports!A:B,2,)</f>
        <v/>
      </c>
      <c r="F268" s="164">
        <f>VLOOKUP(A268,Imports!A:B,2,)</f>
        <v/>
      </c>
      <c r="G268" s="164">
        <f>VLOOKUP(A268,Government!A:B,2,)</f>
        <v/>
      </c>
      <c r="H268" s="85">
        <f>Table58[[#This Row],[Personal Consumption]]/Table58[[#This Row],[GDP]]</f>
        <v/>
      </c>
      <c r="I268" s="85">
        <f>Table58[[#This Row],[Private Investment]]/Table58[[#This Row],[GDP]]</f>
        <v/>
      </c>
      <c r="J268" s="85">
        <f>Table58[[#This Row],[Exports]]/Table58[[#This Row],[GDP]]</f>
        <v/>
      </c>
      <c r="K268" s="85">
        <f>-Table58[[#This Row],[Imports]]/Table58[[#This Row],[GDP]]</f>
        <v/>
      </c>
      <c r="L268" s="85">
        <f>Table58[[#This Row],[Government]]/Table58[[#This Row],[GDP]]</f>
        <v/>
      </c>
      <c r="N268" s="52">
        <f>SUM(Table58[[#This Row],[PC%]:[G%]])</f>
        <v/>
      </c>
      <c r="O268" s="55">
        <f>Table58[[#This Row],[Personal Consumption]]+Table58[[#This Row],[Private Investment]]+Table58[[#This Row],[Exports]]+Table58[[#This Row],[Government]]-Table58[[#This Row],[Imports]]</f>
        <v/>
      </c>
    </row>
    <row r="269">
      <c r="A269" s="94" t="n">
        <v>41183</v>
      </c>
      <c r="B269" s="164">
        <f>VLOOKUP(A269,'U.S. GDP'!A:B,2,)</f>
        <v/>
      </c>
      <c r="C269" s="164">
        <f>VLOOKUP(A269,PersonalConsumption!A:B,2,)</f>
        <v/>
      </c>
      <c r="D269" s="164">
        <f>VLOOKUP(A269,PrivateInvestment!A:B,2,)</f>
        <v/>
      </c>
      <c r="E269" s="164">
        <f>VLOOKUP(A269,Exports!A:B,2,)</f>
        <v/>
      </c>
      <c r="F269" s="164">
        <f>VLOOKUP(A269,Imports!A:B,2,)</f>
        <v/>
      </c>
      <c r="G269" s="164">
        <f>VLOOKUP(A269,Government!A:B,2,)</f>
        <v/>
      </c>
      <c r="H269" s="85">
        <f>Table58[[#This Row],[Personal Consumption]]/Table58[[#This Row],[GDP]]</f>
        <v/>
      </c>
      <c r="I269" s="85">
        <f>Table58[[#This Row],[Private Investment]]/Table58[[#This Row],[GDP]]</f>
        <v/>
      </c>
      <c r="J269" s="85">
        <f>Table58[[#This Row],[Exports]]/Table58[[#This Row],[GDP]]</f>
        <v/>
      </c>
      <c r="K269" s="85">
        <f>-Table58[[#This Row],[Imports]]/Table58[[#This Row],[GDP]]</f>
        <v/>
      </c>
      <c r="L269" s="85">
        <f>Table58[[#This Row],[Government]]/Table58[[#This Row],[GDP]]</f>
        <v/>
      </c>
      <c r="N269" s="52">
        <f>SUM(Table58[[#This Row],[PC%]:[G%]])</f>
        <v/>
      </c>
      <c r="O269" s="55">
        <f>Table58[[#This Row],[Personal Consumption]]+Table58[[#This Row],[Private Investment]]+Table58[[#This Row],[Exports]]+Table58[[#This Row],[Government]]-Table58[[#This Row],[Imports]]</f>
        <v/>
      </c>
    </row>
    <row r="270">
      <c r="A270" s="94" t="n">
        <v>41275</v>
      </c>
      <c r="B270" s="164">
        <f>VLOOKUP(A270,'U.S. GDP'!A:B,2,)</f>
        <v/>
      </c>
      <c r="C270" s="164">
        <f>VLOOKUP(A270,PersonalConsumption!A:B,2,)</f>
        <v/>
      </c>
      <c r="D270" s="164">
        <f>VLOOKUP(A270,PrivateInvestment!A:B,2,)</f>
        <v/>
      </c>
      <c r="E270" s="164">
        <f>VLOOKUP(A270,Exports!A:B,2,)</f>
        <v/>
      </c>
      <c r="F270" s="164">
        <f>VLOOKUP(A270,Imports!A:B,2,)</f>
        <v/>
      </c>
      <c r="G270" s="164">
        <f>VLOOKUP(A270,Government!A:B,2,)</f>
        <v/>
      </c>
      <c r="H270" s="85">
        <f>Table58[[#This Row],[Personal Consumption]]/Table58[[#This Row],[GDP]]</f>
        <v/>
      </c>
      <c r="I270" s="85">
        <f>Table58[[#This Row],[Private Investment]]/Table58[[#This Row],[GDP]]</f>
        <v/>
      </c>
      <c r="J270" s="85">
        <f>Table58[[#This Row],[Exports]]/Table58[[#This Row],[GDP]]</f>
        <v/>
      </c>
      <c r="K270" s="85">
        <f>-Table58[[#This Row],[Imports]]/Table58[[#This Row],[GDP]]</f>
        <v/>
      </c>
      <c r="L270" s="85">
        <f>Table58[[#This Row],[Government]]/Table58[[#This Row],[GDP]]</f>
        <v/>
      </c>
      <c r="N270" s="52">
        <f>SUM(Table58[[#This Row],[PC%]:[G%]])</f>
        <v/>
      </c>
      <c r="O270" s="55">
        <f>Table58[[#This Row],[Personal Consumption]]+Table58[[#This Row],[Private Investment]]+Table58[[#This Row],[Exports]]+Table58[[#This Row],[Government]]-Table58[[#This Row],[Imports]]</f>
        <v/>
      </c>
    </row>
    <row r="271">
      <c r="A271" s="94" t="n">
        <v>41365</v>
      </c>
      <c r="B271" s="164">
        <f>VLOOKUP(A271,'U.S. GDP'!A:B,2,)</f>
        <v/>
      </c>
      <c r="C271" s="164">
        <f>VLOOKUP(A271,PersonalConsumption!A:B,2,)</f>
        <v/>
      </c>
      <c r="D271" s="164">
        <f>VLOOKUP(A271,PrivateInvestment!A:B,2,)</f>
        <v/>
      </c>
      <c r="E271" s="164">
        <f>VLOOKUP(A271,Exports!A:B,2,)</f>
        <v/>
      </c>
      <c r="F271" s="164">
        <f>VLOOKUP(A271,Imports!A:B,2,)</f>
        <v/>
      </c>
      <c r="G271" s="164">
        <f>VLOOKUP(A271,Government!A:B,2,)</f>
        <v/>
      </c>
      <c r="H271" s="85">
        <f>Table58[[#This Row],[Personal Consumption]]/Table58[[#This Row],[GDP]]</f>
        <v/>
      </c>
      <c r="I271" s="85">
        <f>Table58[[#This Row],[Private Investment]]/Table58[[#This Row],[GDP]]</f>
        <v/>
      </c>
      <c r="J271" s="85">
        <f>Table58[[#This Row],[Exports]]/Table58[[#This Row],[GDP]]</f>
        <v/>
      </c>
      <c r="K271" s="85">
        <f>-Table58[[#This Row],[Imports]]/Table58[[#This Row],[GDP]]</f>
        <v/>
      </c>
      <c r="L271" s="85">
        <f>Table58[[#This Row],[Government]]/Table58[[#This Row],[GDP]]</f>
        <v/>
      </c>
      <c r="N271" s="52">
        <f>SUM(Table58[[#This Row],[PC%]:[G%]])</f>
        <v/>
      </c>
      <c r="O271" s="55">
        <f>Table58[[#This Row],[Personal Consumption]]+Table58[[#This Row],[Private Investment]]+Table58[[#This Row],[Exports]]+Table58[[#This Row],[Government]]-Table58[[#This Row],[Imports]]</f>
        <v/>
      </c>
    </row>
    <row r="272">
      <c r="A272" s="94" t="n">
        <v>41456</v>
      </c>
      <c r="B272" s="164">
        <f>VLOOKUP(A272,'U.S. GDP'!A:B,2,)</f>
        <v/>
      </c>
      <c r="C272" s="164">
        <f>VLOOKUP(A272,PersonalConsumption!A:B,2,)</f>
        <v/>
      </c>
      <c r="D272" s="164">
        <f>VLOOKUP(A272,PrivateInvestment!A:B,2,)</f>
        <v/>
      </c>
      <c r="E272" s="164">
        <f>VLOOKUP(A272,Exports!A:B,2,)</f>
        <v/>
      </c>
      <c r="F272" s="164">
        <f>VLOOKUP(A272,Imports!A:B,2,)</f>
        <v/>
      </c>
      <c r="G272" s="164">
        <f>VLOOKUP(A272,Government!A:B,2,)</f>
        <v/>
      </c>
      <c r="H272" s="85">
        <f>Table58[[#This Row],[Personal Consumption]]/Table58[[#This Row],[GDP]]</f>
        <v/>
      </c>
      <c r="I272" s="85">
        <f>Table58[[#This Row],[Private Investment]]/Table58[[#This Row],[GDP]]</f>
        <v/>
      </c>
      <c r="J272" s="85">
        <f>Table58[[#This Row],[Exports]]/Table58[[#This Row],[GDP]]</f>
        <v/>
      </c>
      <c r="K272" s="85">
        <f>-Table58[[#This Row],[Imports]]/Table58[[#This Row],[GDP]]</f>
        <v/>
      </c>
      <c r="L272" s="85">
        <f>Table58[[#This Row],[Government]]/Table58[[#This Row],[GDP]]</f>
        <v/>
      </c>
      <c r="N272" s="52">
        <f>SUM(Table58[[#This Row],[PC%]:[G%]])</f>
        <v/>
      </c>
      <c r="O272" s="55">
        <f>Table58[[#This Row],[Personal Consumption]]+Table58[[#This Row],[Private Investment]]+Table58[[#This Row],[Exports]]+Table58[[#This Row],[Government]]-Table58[[#This Row],[Imports]]</f>
        <v/>
      </c>
    </row>
    <row r="273">
      <c r="A273" s="94" t="n">
        <v>41548</v>
      </c>
      <c r="B273" s="164">
        <f>VLOOKUP(A273,'U.S. GDP'!A:B,2,)</f>
        <v/>
      </c>
      <c r="C273" s="164">
        <f>VLOOKUP(A273,PersonalConsumption!A:B,2,)</f>
        <v/>
      </c>
      <c r="D273" s="164">
        <f>VLOOKUP(A273,PrivateInvestment!A:B,2,)</f>
        <v/>
      </c>
      <c r="E273" s="164">
        <f>VLOOKUP(A273,Exports!A:B,2,)</f>
        <v/>
      </c>
      <c r="F273" s="164">
        <f>VLOOKUP(A273,Imports!A:B,2,)</f>
        <v/>
      </c>
      <c r="G273" s="164">
        <f>VLOOKUP(A273,Government!A:B,2,)</f>
        <v/>
      </c>
      <c r="H273" s="85">
        <f>Table58[[#This Row],[Personal Consumption]]/Table58[[#This Row],[GDP]]</f>
        <v/>
      </c>
      <c r="I273" s="85">
        <f>Table58[[#This Row],[Private Investment]]/Table58[[#This Row],[GDP]]</f>
        <v/>
      </c>
      <c r="J273" s="85">
        <f>Table58[[#This Row],[Exports]]/Table58[[#This Row],[GDP]]</f>
        <v/>
      </c>
      <c r="K273" s="85">
        <f>-Table58[[#This Row],[Imports]]/Table58[[#This Row],[GDP]]</f>
        <v/>
      </c>
      <c r="L273" s="85">
        <f>Table58[[#This Row],[Government]]/Table58[[#This Row],[GDP]]</f>
        <v/>
      </c>
      <c r="N273" s="52">
        <f>SUM(Table58[[#This Row],[PC%]:[G%]])</f>
        <v/>
      </c>
      <c r="O273" s="55">
        <f>Table58[[#This Row],[Personal Consumption]]+Table58[[#This Row],[Private Investment]]+Table58[[#This Row],[Exports]]+Table58[[#This Row],[Government]]-Table58[[#This Row],[Imports]]</f>
        <v/>
      </c>
    </row>
    <row r="274">
      <c r="A274" s="94" t="n">
        <v>41640</v>
      </c>
      <c r="B274" s="164">
        <f>VLOOKUP(A274,'U.S. GDP'!A:B,2,)</f>
        <v/>
      </c>
      <c r="C274" s="164">
        <f>VLOOKUP(A274,PersonalConsumption!A:B,2,)</f>
        <v/>
      </c>
      <c r="D274" s="164">
        <f>VLOOKUP(A274,PrivateInvestment!A:B,2,)</f>
        <v/>
      </c>
      <c r="E274" s="164">
        <f>VLOOKUP(A274,Exports!A:B,2,)</f>
        <v/>
      </c>
      <c r="F274" s="164">
        <f>VLOOKUP(A274,Imports!A:B,2,)</f>
        <v/>
      </c>
      <c r="G274" s="164">
        <f>VLOOKUP(A274,Government!A:B,2,)</f>
        <v/>
      </c>
      <c r="H274" s="85">
        <f>Table58[[#This Row],[Personal Consumption]]/Table58[[#This Row],[GDP]]</f>
        <v/>
      </c>
      <c r="I274" s="85">
        <f>Table58[[#This Row],[Private Investment]]/Table58[[#This Row],[GDP]]</f>
        <v/>
      </c>
      <c r="J274" s="85">
        <f>Table58[[#This Row],[Exports]]/Table58[[#This Row],[GDP]]</f>
        <v/>
      </c>
      <c r="K274" s="85">
        <f>-Table58[[#This Row],[Imports]]/Table58[[#This Row],[GDP]]</f>
        <v/>
      </c>
      <c r="L274" s="85">
        <f>Table58[[#This Row],[Government]]/Table58[[#This Row],[GDP]]</f>
        <v/>
      </c>
      <c r="N274" s="52">
        <f>SUM(Table58[[#This Row],[PC%]:[G%]])</f>
        <v/>
      </c>
      <c r="O274" s="55">
        <f>Table58[[#This Row],[Personal Consumption]]+Table58[[#This Row],[Private Investment]]+Table58[[#This Row],[Exports]]+Table58[[#This Row],[Government]]-Table58[[#This Row],[Imports]]</f>
        <v/>
      </c>
    </row>
    <row r="275">
      <c r="A275" s="94" t="n">
        <v>41730</v>
      </c>
      <c r="B275" s="164">
        <f>VLOOKUP(A275,'U.S. GDP'!A:B,2,)</f>
        <v/>
      </c>
      <c r="C275" s="164">
        <f>VLOOKUP(A275,PersonalConsumption!A:B,2,)</f>
        <v/>
      </c>
      <c r="D275" s="164">
        <f>VLOOKUP(A275,PrivateInvestment!A:B,2,)</f>
        <v/>
      </c>
      <c r="E275" s="164">
        <f>VLOOKUP(A275,Exports!A:B,2,)</f>
        <v/>
      </c>
      <c r="F275" s="164">
        <f>VLOOKUP(A275,Imports!A:B,2,)</f>
        <v/>
      </c>
      <c r="G275" s="164">
        <f>VLOOKUP(A275,Government!A:B,2,)</f>
        <v/>
      </c>
      <c r="H275" s="85">
        <f>Table58[[#This Row],[Personal Consumption]]/Table58[[#This Row],[GDP]]</f>
        <v/>
      </c>
      <c r="I275" s="85">
        <f>Table58[[#This Row],[Private Investment]]/Table58[[#This Row],[GDP]]</f>
        <v/>
      </c>
      <c r="J275" s="85">
        <f>Table58[[#This Row],[Exports]]/Table58[[#This Row],[GDP]]</f>
        <v/>
      </c>
      <c r="K275" s="85">
        <f>-Table58[[#This Row],[Imports]]/Table58[[#This Row],[GDP]]</f>
        <v/>
      </c>
      <c r="L275" s="85">
        <f>Table58[[#This Row],[Government]]/Table58[[#This Row],[GDP]]</f>
        <v/>
      </c>
      <c r="N275" s="52">
        <f>SUM(Table58[[#This Row],[PC%]:[G%]])</f>
        <v/>
      </c>
      <c r="O275" s="55">
        <f>Table58[[#This Row],[Personal Consumption]]+Table58[[#This Row],[Private Investment]]+Table58[[#This Row],[Exports]]+Table58[[#This Row],[Government]]-Table58[[#This Row],[Imports]]</f>
        <v/>
      </c>
    </row>
    <row r="276">
      <c r="A276" s="94" t="n">
        <v>41821</v>
      </c>
      <c r="B276" s="164">
        <f>VLOOKUP(A276,'U.S. GDP'!A:B,2,)</f>
        <v/>
      </c>
      <c r="C276" s="164">
        <f>VLOOKUP(A276,PersonalConsumption!A:B,2,)</f>
        <v/>
      </c>
      <c r="D276" s="164">
        <f>VLOOKUP(A276,PrivateInvestment!A:B,2,)</f>
        <v/>
      </c>
      <c r="E276" s="164">
        <f>VLOOKUP(A276,Exports!A:B,2,)</f>
        <v/>
      </c>
      <c r="F276" s="164">
        <f>VLOOKUP(A276,Imports!A:B,2,)</f>
        <v/>
      </c>
      <c r="G276" s="164">
        <f>VLOOKUP(A276,Government!A:B,2,)</f>
        <v/>
      </c>
      <c r="H276" s="85">
        <f>Table58[[#This Row],[Personal Consumption]]/Table58[[#This Row],[GDP]]</f>
        <v/>
      </c>
      <c r="I276" s="85">
        <f>Table58[[#This Row],[Private Investment]]/Table58[[#This Row],[GDP]]</f>
        <v/>
      </c>
      <c r="J276" s="85">
        <f>Table58[[#This Row],[Exports]]/Table58[[#This Row],[GDP]]</f>
        <v/>
      </c>
      <c r="K276" s="85">
        <f>-Table58[[#This Row],[Imports]]/Table58[[#This Row],[GDP]]</f>
        <v/>
      </c>
      <c r="L276" s="85">
        <f>Table58[[#This Row],[Government]]/Table58[[#This Row],[GDP]]</f>
        <v/>
      </c>
      <c r="N276" s="52">
        <f>SUM(Table58[[#This Row],[PC%]:[G%]])</f>
        <v/>
      </c>
      <c r="O276" s="55">
        <f>Table58[[#This Row],[Personal Consumption]]+Table58[[#This Row],[Private Investment]]+Table58[[#This Row],[Exports]]+Table58[[#This Row],[Government]]-Table58[[#This Row],[Imports]]</f>
        <v/>
      </c>
    </row>
    <row r="277">
      <c r="A277" s="94" t="n">
        <v>41913</v>
      </c>
      <c r="B277" s="164">
        <f>VLOOKUP(A277,'U.S. GDP'!A:B,2,)</f>
        <v/>
      </c>
      <c r="C277" s="164">
        <f>VLOOKUP(A277,PersonalConsumption!A:B,2,)</f>
        <v/>
      </c>
      <c r="D277" s="164">
        <f>VLOOKUP(A277,PrivateInvestment!A:B,2,)</f>
        <v/>
      </c>
      <c r="E277" s="164">
        <f>VLOOKUP(A277,Exports!A:B,2,)</f>
        <v/>
      </c>
      <c r="F277" s="164">
        <f>VLOOKUP(A277,Imports!A:B,2,)</f>
        <v/>
      </c>
      <c r="G277" s="164">
        <f>VLOOKUP(A277,Government!A:B,2,)</f>
        <v/>
      </c>
      <c r="H277" s="85">
        <f>Table58[[#This Row],[Personal Consumption]]/Table58[[#This Row],[GDP]]</f>
        <v/>
      </c>
      <c r="I277" s="85">
        <f>Table58[[#This Row],[Private Investment]]/Table58[[#This Row],[GDP]]</f>
        <v/>
      </c>
      <c r="J277" s="85">
        <f>Table58[[#This Row],[Exports]]/Table58[[#This Row],[GDP]]</f>
        <v/>
      </c>
      <c r="K277" s="85">
        <f>-Table58[[#This Row],[Imports]]/Table58[[#This Row],[GDP]]</f>
        <v/>
      </c>
      <c r="L277" s="85">
        <f>Table58[[#This Row],[Government]]/Table58[[#This Row],[GDP]]</f>
        <v/>
      </c>
      <c r="N277" s="52">
        <f>SUM(Table58[[#This Row],[PC%]:[G%]])</f>
        <v/>
      </c>
      <c r="O277" s="55">
        <f>Table58[[#This Row],[Personal Consumption]]+Table58[[#This Row],[Private Investment]]+Table58[[#This Row],[Exports]]+Table58[[#This Row],[Government]]-Table58[[#This Row],[Imports]]</f>
        <v/>
      </c>
    </row>
    <row r="278">
      <c r="A278" s="94" t="n">
        <v>42005</v>
      </c>
      <c r="B278" s="164">
        <f>VLOOKUP(A278,'U.S. GDP'!A:B,2,)</f>
        <v/>
      </c>
      <c r="C278" s="164">
        <f>VLOOKUP(A278,PersonalConsumption!A:B,2,)</f>
        <v/>
      </c>
      <c r="D278" s="164">
        <f>VLOOKUP(A278,PrivateInvestment!A:B,2,)</f>
        <v/>
      </c>
      <c r="E278" s="164">
        <f>VLOOKUP(A278,Exports!A:B,2,)</f>
        <v/>
      </c>
      <c r="F278" s="164">
        <f>VLOOKUP(A278,Imports!A:B,2,)</f>
        <v/>
      </c>
      <c r="G278" s="164">
        <f>VLOOKUP(A278,Government!A:B,2,)</f>
        <v/>
      </c>
      <c r="H278" s="85">
        <f>Table58[[#This Row],[Personal Consumption]]/Table58[[#This Row],[GDP]]</f>
        <v/>
      </c>
      <c r="I278" s="85">
        <f>Table58[[#This Row],[Private Investment]]/Table58[[#This Row],[GDP]]</f>
        <v/>
      </c>
      <c r="J278" s="85">
        <f>Table58[[#This Row],[Exports]]/Table58[[#This Row],[GDP]]</f>
        <v/>
      </c>
      <c r="K278" s="85">
        <f>-Table58[[#This Row],[Imports]]/Table58[[#This Row],[GDP]]</f>
        <v/>
      </c>
      <c r="L278" s="85">
        <f>Table58[[#This Row],[Government]]/Table58[[#This Row],[GDP]]</f>
        <v/>
      </c>
      <c r="N278" s="52">
        <f>SUM(Table58[[#This Row],[PC%]:[G%]])</f>
        <v/>
      </c>
      <c r="O278" s="55">
        <f>Table58[[#This Row],[Personal Consumption]]+Table58[[#This Row],[Private Investment]]+Table58[[#This Row],[Exports]]+Table58[[#This Row],[Government]]-Table58[[#This Row],[Imports]]</f>
        <v/>
      </c>
    </row>
    <row r="279">
      <c r="A279" s="94" t="n">
        <v>42095</v>
      </c>
      <c r="B279" s="164">
        <f>VLOOKUP(A279,'U.S. GDP'!A:B,2,)</f>
        <v/>
      </c>
      <c r="C279" s="164">
        <f>VLOOKUP(A279,PersonalConsumption!A:B,2,)</f>
        <v/>
      </c>
      <c r="D279" s="164">
        <f>VLOOKUP(A279,PrivateInvestment!A:B,2,)</f>
        <v/>
      </c>
      <c r="E279" s="164">
        <f>VLOOKUP(A279,Exports!A:B,2,)</f>
        <v/>
      </c>
      <c r="F279" s="164">
        <f>VLOOKUP(A279,Imports!A:B,2,)</f>
        <v/>
      </c>
      <c r="G279" s="164">
        <f>VLOOKUP(A279,Government!A:B,2,)</f>
        <v/>
      </c>
      <c r="H279" s="85">
        <f>Table58[[#This Row],[Personal Consumption]]/Table58[[#This Row],[GDP]]</f>
        <v/>
      </c>
      <c r="I279" s="85">
        <f>Table58[[#This Row],[Private Investment]]/Table58[[#This Row],[GDP]]</f>
        <v/>
      </c>
      <c r="J279" s="85">
        <f>Table58[[#This Row],[Exports]]/Table58[[#This Row],[GDP]]</f>
        <v/>
      </c>
      <c r="K279" s="85">
        <f>-Table58[[#This Row],[Imports]]/Table58[[#This Row],[GDP]]</f>
        <v/>
      </c>
      <c r="L279" s="85">
        <f>Table58[[#This Row],[Government]]/Table58[[#This Row],[GDP]]</f>
        <v/>
      </c>
      <c r="N279" s="52">
        <f>SUM(Table58[[#This Row],[PC%]:[G%]])</f>
        <v/>
      </c>
      <c r="O279" s="55">
        <f>Table58[[#This Row],[Personal Consumption]]+Table58[[#This Row],[Private Investment]]+Table58[[#This Row],[Exports]]+Table58[[#This Row],[Government]]-Table58[[#This Row],[Imports]]</f>
        <v/>
      </c>
    </row>
    <row r="280">
      <c r="A280" s="94" t="n">
        <v>42186</v>
      </c>
      <c r="B280" s="164">
        <f>VLOOKUP(A280,'U.S. GDP'!A:B,2,)</f>
        <v/>
      </c>
      <c r="C280" s="164">
        <f>VLOOKUP(A280,PersonalConsumption!A:B,2,)</f>
        <v/>
      </c>
      <c r="D280" s="164">
        <f>VLOOKUP(A280,PrivateInvestment!A:B,2,)</f>
        <v/>
      </c>
      <c r="E280" s="164">
        <f>VLOOKUP(A280,Exports!A:B,2,)</f>
        <v/>
      </c>
      <c r="F280" s="164">
        <f>VLOOKUP(A280,Imports!A:B,2,)</f>
        <v/>
      </c>
      <c r="G280" s="164">
        <f>VLOOKUP(A280,Government!A:B,2,)</f>
        <v/>
      </c>
      <c r="H280" s="85">
        <f>Table58[[#This Row],[Personal Consumption]]/Table58[[#This Row],[GDP]]</f>
        <v/>
      </c>
      <c r="I280" s="85">
        <f>Table58[[#This Row],[Private Investment]]/Table58[[#This Row],[GDP]]</f>
        <v/>
      </c>
      <c r="J280" s="85">
        <f>Table58[[#This Row],[Exports]]/Table58[[#This Row],[GDP]]</f>
        <v/>
      </c>
      <c r="K280" s="85">
        <f>-Table58[[#This Row],[Imports]]/Table58[[#This Row],[GDP]]</f>
        <v/>
      </c>
      <c r="L280" s="85">
        <f>Table58[[#This Row],[Government]]/Table58[[#This Row],[GDP]]</f>
        <v/>
      </c>
      <c r="N280" s="52">
        <f>SUM(Table58[[#This Row],[PC%]:[G%]])</f>
        <v/>
      </c>
      <c r="O280" s="55">
        <f>Table58[[#This Row],[Personal Consumption]]+Table58[[#This Row],[Private Investment]]+Table58[[#This Row],[Exports]]+Table58[[#This Row],[Government]]-Table58[[#This Row],[Imports]]</f>
        <v/>
      </c>
    </row>
    <row r="281">
      <c r="A281" s="94" t="n">
        <v>42278</v>
      </c>
      <c r="B281" s="164">
        <f>VLOOKUP(A281,'U.S. GDP'!A:B,2,)</f>
        <v/>
      </c>
      <c r="C281" s="164">
        <f>VLOOKUP(A281,PersonalConsumption!A:B,2,)</f>
        <v/>
      </c>
      <c r="D281" s="164">
        <f>VLOOKUP(A281,PrivateInvestment!A:B,2,)</f>
        <v/>
      </c>
      <c r="E281" s="164">
        <f>VLOOKUP(A281,Exports!A:B,2,)</f>
        <v/>
      </c>
      <c r="F281" s="164">
        <f>VLOOKUP(A281,Imports!A:B,2,)</f>
        <v/>
      </c>
      <c r="G281" s="164">
        <f>VLOOKUP(A281,Government!A:B,2,)</f>
        <v/>
      </c>
      <c r="H281" s="85">
        <f>Table58[[#This Row],[Personal Consumption]]/Table58[[#This Row],[GDP]]</f>
        <v/>
      </c>
      <c r="I281" s="85">
        <f>Table58[[#This Row],[Private Investment]]/Table58[[#This Row],[GDP]]</f>
        <v/>
      </c>
      <c r="J281" s="85">
        <f>Table58[[#This Row],[Exports]]/Table58[[#This Row],[GDP]]</f>
        <v/>
      </c>
      <c r="K281" s="85">
        <f>-Table58[[#This Row],[Imports]]/Table58[[#This Row],[GDP]]</f>
        <v/>
      </c>
      <c r="L281" s="85">
        <f>Table58[[#This Row],[Government]]/Table58[[#This Row],[GDP]]</f>
        <v/>
      </c>
      <c r="N281" s="52">
        <f>SUM(Table58[[#This Row],[PC%]:[G%]])</f>
        <v/>
      </c>
      <c r="O281" s="55">
        <f>Table58[[#This Row],[Personal Consumption]]+Table58[[#This Row],[Private Investment]]+Table58[[#This Row],[Exports]]+Table58[[#This Row],[Government]]-Table58[[#This Row],[Imports]]</f>
        <v/>
      </c>
    </row>
    <row r="282">
      <c r="A282" s="94" t="n">
        <v>42370</v>
      </c>
      <c r="B282" s="164">
        <f>VLOOKUP(A282,'U.S. GDP'!A:B,2,)</f>
        <v/>
      </c>
      <c r="C282" s="164">
        <f>VLOOKUP(A282,PersonalConsumption!A:B,2,)</f>
        <v/>
      </c>
      <c r="D282" s="164">
        <f>VLOOKUP(A282,PrivateInvestment!A:B,2,)</f>
        <v/>
      </c>
      <c r="E282" s="164">
        <f>VLOOKUP(A282,Exports!A:B,2,)</f>
        <v/>
      </c>
      <c r="F282" s="164">
        <f>VLOOKUP(A282,Imports!A:B,2,)</f>
        <v/>
      </c>
      <c r="G282" s="164">
        <f>VLOOKUP(A282,Government!A:B,2,)</f>
        <v/>
      </c>
      <c r="H282" s="85">
        <f>Table58[[#This Row],[Personal Consumption]]/Table58[[#This Row],[GDP]]</f>
        <v/>
      </c>
      <c r="I282" s="85">
        <f>Table58[[#This Row],[Private Investment]]/Table58[[#This Row],[GDP]]</f>
        <v/>
      </c>
      <c r="J282" s="85">
        <f>Table58[[#This Row],[Exports]]/Table58[[#This Row],[GDP]]</f>
        <v/>
      </c>
      <c r="K282" s="85">
        <f>-Table58[[#This Row],[Imports]]/Table58[[#This Row],[GDP]]</f>
        <v/>
      </c>
      <c r="L282" s="85">
        <f>Table58[[#This Row],[Government]]/Table58[[#This Row],[GDP]]</f>
        <v/>
      </c>
      <c r="N282" s="52">
        <f>SUM(Table58[[#This Row],[PC%]:[G%]])</f>
        <v/>
      </c>
      <c r="O282" s="55">
        <f>Table58[[#This Row],[Personal Consumption]]+Table58[[#This Row],[Private Investment]]+Table58[[#This Row],[Exports]]+Table58[[#This Row],[Government]]-Table58[[#This Row],[Imports]]</f>
        <v/>
      </c>
    </row>
    <row r="283">
      <c r="A283" s="94" t="n">
        <v>42461</v>
      </c>
      <c r="B283" s="164">
        <f>VLOOKUP(A283,'U.S. GDP'!A:B,2,)</f>
        <v/>
      </c>
      <c r="C283" s="164">
        <f>VLOOKUP(A283,PersonalConsumption!A:B,2,)</f>
        <v/>
      </c>
      <c r="D283" s="164">
        <f>VLOOKUP(A283,PrivateInvestment!A:B,2,)</f>
        <v/>
      </c>
      <c r="E283" s="164">
        <f>VLOOKUP(A283,Exports!A:B,2,)</f>
        <v/>
      </c>
      <c r="F283" s="164">
        <f>VLOOKUP(A283,Imports!A:B,2,)</f>
        <v/>
      </c>
      <c r="G283" s="164">
        <f>VLOOKUP(A283,Government!A:B,2,)</f>
        <v/>
      </c>
      <c r="H283" s="85">
        <f>Table58[[#This Row],[Personal Consumption]]/Table58[[#This Row],[GDP]]</f>
        <v/>
      </c>
      <c r="I283" s="85">
        <f>Table58[[#This Row],[Private Investment]]/Table58[[#This Row],[GDP]]</f>
        <v/>
      </c>
      <c r="J283" s="85">
        <f>Table58[[#This Row],[Exports]]/Table58[[#This Row],[GDP]]</f>
        <v/>
      </c>
      <c r="K283" s="85">
        <f>-Table58[[#This Row],[Imports]]/Table58[[#This Row],[GDP]]</f>
        <v/>
      </c>
      <c r="L283" s="85">
        <f>Table58[[#This Row],[Government]]/Table58[[#This Row],[GDP]]</f>
        <v/>
      </c>
      <c r="N283" s="52">
        <f>SUM(Table58[[#This Row],[PC%]:[G%]])</f>
        <v/>
      </c>
      <c r="O283" s="55">
        <f>Table58[[#This Row],[Personal Consumption]]+Table58[[#This Row],[Private Investment]]+Table58[[#This Row],[Exports]]+Table58[[#This Row],[Government]]-Table58[[#This Row],[Imports]]</f>
        <v/>
      </c>
    </row>
    <row r="284">
      <c r="A284" s="94" t="n">
        <v>42552</v>
      </c>
      <c r="B284" s="164">
        <f>VLOOKUP(A284,'U.S. GDP'!A:B,2,)</f>
        <v/>
      </c>
      <c r="C284" s="164">
        <f>VLOOKUP(A284,PersonalConsumption!A:B,2,)</f>
        <v/>
      </c>
      <c r="D284" s="164">
        <f>VLOOKUP(A284,PrivateInvestment!A:B,2,)</f>
        <v/>
      </c>
      <c r="E284" s="164">
        <f>VLOOKUP(A284,Exports!A:B,2,)</f>
        <v/>
      </c>
      <c r="F284" s="164">
        <f>VLOOKUP(A284,Imports!A:B,2,)</f>
        <v/>
      </c>
      <c r="G284" s="164">
        <f>VLOOKUP(A284,Government!A:B,2,)</f>
        <v/>
      </c>
      <c r="H284" s="85">
        <f>Table58[[#This Row],[Personal Consumption]]/Table58[[#This Row],[GDP]]</f>
        <v/>
      </c>
      <c r="I284" s="85">
        <f>Table58[[#This Row],[Private Investment]]/Table58[[#This Row],[GDP]]</f>
        <v/>
      </c>
      <c r="J284" s="85">
        <f>Table58[[#This Row],[Exports]]/Table58[[#This Row],[GDP]]</f>
        <v/>
      </c>
      <c r="K284" s="85">
        <f>-Table58[[#This Row],[Imports]]/Table58[[#This Row],[GDP]]</f>
        <v/>
      </c>
      <c r="L284" s="85">
        <f>Table58[[#This Row],[Government]]/Table58[[#This Row],[GDP]]</f>
        <v/>
      </c>
      <c r="N284" s="52">
        <f>SUM(Table58[[#This Row],[PC%]:[G%]])</f>
        <v/>
      </c>
      <c r="O284" s="55">
        <f>Table58[[#This Row],[Personal Consumption]]+Table58[[#This Row],[Private Investment]]+Table58[[#This Row],[Exports]]+Table58[[#This Row],[Government]]-Table58[[#This Row],[Imports]]</f>
        <v/>
      </c>
    </row>
    <row r="285">
      <c r="A285" s="94" t="n">
        <v>42644</v>
      </c>
      <c r="B285" s="164">
        <f>VLOOKUP(A285,'U.S. GDP'!A:B,2,)</f>
        <v/>
      </c>
      <c r="C285" s="164">
        <f>VLOOKUP(A285,PersonalConsumption!A:B,2,)</f>
        <v/>
      </c>
      <c r="D285" s="164">
        <f>VLOOKUP(A285,PrivateInvestment!A:B,2,)</f>
        <v/>
      </c>
      <c r="E285" s="164">
        <f>VLOOKUP(A285,Exports!A:B,2,)</f>
        <v/>
      </c>
      <c r="F285" s="164">
        <f>VLOOKUP(A285,Imports!A:B,2,)</f>
        <v/>
      </c>
      <c r="G285" s="164">
        <f>VLOOKUP(A285,Government!A:B,2,)</f>
        <v/>
      </c>
      <c r="H285" s="85">
        <f>Table58[[#This Row],[Personal Consumption]]/Table58[[#This Row],[GDP]]</f>
        <v/>
      </c>
      <c r="I285" s="85">
        <f>Table58[[#This Row],[Private Investment]]/Table58[[#This Row],[GDP]]</f>
        <v/>
      </c>
      <c r="J285" s="85">
        <f>Table58[[#This Row],[Exports]]/Table58[[#This Row],[GDP]]</f>
        <v/>
      </c>
      <c r="K285" s="85">
        <f>-Table58[[#This Row],[Imports]]/Table58[[#This Row],[GDP]]</f>
        <v/>
      </c>
      <c r="L285" s="85">
        <f>Table58[[#This Row],[Government]]/Table58[[#This Row],[GDP]]</f>
        <v/>
      </c>
      <c r="N285" s="52">
        <f>SUM(Table58[[#This Row],[PC%]:[G%]])</f>
        <v/>
      </c>
      <c r="O285" s="55">
        <f>Table58[[#This Row],[Personal Consumption]]+Table58[[#This Row],[Private Investment]]+Table58[[#This Row],[Exports]]+Table58[[#This Row],[Government]]-Table58[[#This Row],[Imports]]</f>
        <v/>
      </c>
    </row>
    <row r="286">
      <c r="A286" s="94" t="n">
        <v>42736</v>
      </c>
      <c r="B286" s="164">
        <f>VLOOKUP(A286,'U.S. GDP'!A:B,2,)</f>
        <v/>
      </c>
      <c r="C286" s="164">
        <f>VLOOKUP(A286,PersonalConsumption!A:B,2,)</f>
        <v/>
      </c>
      <c r="D286" s="164">
        <f>VLOOKUP(A286,PrivateInvestment!A:B,2,)</f>
        <v/>
      </c>
      <c r="E286" s="164">
        <f>VLOOKUP(A286,Exports!A:B,2,)</f>
        <v/>
      </c>
      <c r="F286" s="164">
        <f>VLOOKUP(A286,Imports!A:B,2,)</f>
        <v/>
      </c>
      <c r="G286" s="164">
        <f>VLOOKUP(A286,Government!A:B,2,)</f>
        <v/>
      </c>
      <c r="H286" s="85">
        <f>Table58[[#This Row],[Personal Consumption]]/Table58[[#This Row],[GDP]]</f>
        <v/>
      </c>
      <c r="I286" s="85">
        <f>Table58[[#This Row],[Private Investment]]/Table58[[#This Row],[GDP]]</f>
        <v/>
      </c>
      <c r="J286" s="85">
        <f>Table58[[#This Row],[Exports]]/Table58[[#This Row],[GDP]]</f>
        <v/>
      </c>
      <c r="K286" s="85">
        <f>-Table58[[#This Row],[Imports]]/Table58[[#This Row],[GDP]]</f>
        <v/>
      </c>
      <c r="L286" s="85">
        <f>Table58[[#This Row],[Government]]/Table58[[#This Row],[GDP]]</f>
        <v/>
      </c>
      <c r="N286" s="52">
        <f>SUM(Table58[[#This Row],[PC%]:[G%]])</f>
        <v/>
      </c>
      <c r="O286" s="55">
        <f>Table58[[#This Row],[Personal Consumption]]+Table58[[#This Row],[Private Investment]]+Table58[[#This Row],[Exports]]+Table58[[#This Row],[Government]]-Table58[[#This Row],[Imports]]</f>
        <v/>
      </c>
    </row>
    <row r="287">
      <c r="A287" s="94" t="n">
        <v>42826</v>
      </c>
      <c r="B287" s="164">
        <f>VLOOKUP(A287,'U.S. GDP'!A:B,2,)</f>
        <v/>
      </c>
      <c r="C287" s="164">
        <f>VLOOKUP(A287,PersonalConsumption!A:B,2,)</f>
        <v/>
      </c>
      <c r="D287" s="164">
        <f>VLOOKUP(A287,PrivateInvestment!A:B,2,)</f>
        <v/>
      </c>
      <c r="E287" s="164">
        <f>VLOOKUP(A287,Exports!A:B,2,)</f>
        <v/>
      </c>
      <c r="F287" s="164">
        <f>VLOOKUP(A287,Imports!A:B,2,)</f>
        <v/>
      </c>
      <c r="G287" s="164">
        <f>VLOOKUP(A287,Government!A:B,2,)</f>
        <v/>
      </c>
      <c r="H287" s="85">
        <f>Table58[[#This Row],[Personal Consumption]]/Table58[[#This Row],[GDP]]</f>
        <v/>
      </c>
      <c r="I287" s="85">
        <f>Table58[[#This Row],[Private Investment]]/Table58[[#This Row],[GDP]]</f>
        <v/>
      </c>
      <c r="J287" s="85">
        <f>Table58[[#This Row],[Exports]]/Table58[[#This Row],[GDP]]</f>
        <v/>
      </c>
      <c r="K287" s="85">
        <f>-Table58[[#This Row],[Imports]]/Table58[[#This Row],[GDP]]</f>
        <v/>
      </c>
      <c r="L287" s="85">
        <f>Table58[[#This Row],[Government]]/Table58[[#This Row],[GDP]]</f>
        <v/>
      </c>
      <c r="N287" s="52">
        <f>SUM(Table58[[#This Row],[PC%]:[G%]])</f>
        <v/>
      </c>
      <c r="O287" s="55">
        <f>Table58[[#This Row],[Personal Consumption]]+Table58[[#This Row],[Private Investment]]+Table58[[#This Row],[Exports]]+Table58[[#This Row],[Government]]-Table58[[#This Row],[Imports]]</f>
        <v/>
      </c>
    </row>
    <row r="288">
      <c r="A288" s="94" t="n">
        <v>42917</v>
      </c>
      <c r="B288" s="164">
        <f>VLOOKUP(A288,'U.S. GDP'!A:B,2,)</f>
        <v/>
      </c>
      <c r="C288" s="164">
        <f>VLOOKUP(A288,PersonalConsumption!A:B,2,)</f>
        <v/>
      </c>
      <c r="D288" s="164">
        <f>VLOOKUP(A288,PrivateInvestment!A:B,2,)</f>
        <v/>
      </c>
      <c r="E288" s="164">
        <f>VLOOKUP(A288,Exports!A:B,2,)</f>
        <v/>
      </c>
      <c r="F288" s="164">
        <f>VLOOKUP(A288,Imports!A:B,2,)</f>
        <v/>
      </c>
      <c r="G288" s="164">
        <f>VLOOKUP(A288,Government!A:B,2,)</f>
        <v/>
      </c>
      <c r="H288" s="85">
        <f>Table58[[#This Row],[Personal Consumption]]/Table58[[#This Row],[GDP]]</f>
        <v/>
      </c>
      <c r="I288" s="85">
        <f>Table58[[#This Row],[Private Investment]]/Table58[[#This Row],[GDP]]</f>
        <v/>
      </c>
      <c r="J288" s="85">
        <f>Table58[[#This Row],[Exports]]/Table58[[#This Row],[GDP]]</f>
        <v/>
      </c>
      <c r="K288" s="85">
        <f>-Table58[[#This Row],[Imports]]/Table58[[#This Row],[GDP]]</f>
        <v/>
      </c>
      <c r="L288" s="85">
        <f>Table58[[#This Row],[Government]]/Table58[[#This Row],[GDP]]</f>
        <v/>
      </c>
      <c r="N288" s="52">
        <f>SUM(Table58[[#This Row],[PC%]:[G%]])</f>
        <v/>
      </c>
      <c r="O288" s="55">
        <f>Table58[[#This Row],[Personal Consumption]]+Table58[[#This Row],[Private Investment]]+Table58[[#This Row],[Exports]]+Table58[[#This Row],[Government]]-Table58[[#This Row],[Imports]]</f>
        <v/>
      </c>
    </row>
    <row r="289">
      <c r="A289" s="94" t="n">
        <v>43009</v>
      </c>
      <c r="B289" s="164">
        <f>VLOOKUP(A289,'U.S. GDP'!A:B,2,)</f>
        <v/>
      </c>
      <c r="C289" s="164">
        <f>VLOOKUP(A289,PersonalConsumption!A:B,2,)</f>
        <v/>
      </c>
      <c r="D289" s="164">
        <f>VLOOKUP(A289,PrivateInvestment!A:B,2,)</f>
        <v/>
      </c>
      <c r="E289" s="164">
        <f>VLOOKUP(A289,Exports!A:B,2,)</f>
        <v/>
      </c>
      <c r="F289" s="164">
        <f>VLOOKUP(A289,Imports!A:B,2,)</f>
        <v/>
      </c>
      <c r="G289" s="164">
        <f>VLOOKUP(A289,Government!A:B,2,)</f>
        <v/>
      </c>
      <c r="H289" s="85">
        <f>Table58[[#This Row],[Personal Consumption]]/Table58[[#This Row],[GDP]]</f>
        <v/>
      </c>
      <c r="I289" s="85">
        <f>Table58[[#This Row],[Private Investment]]/Table58[[#This Row],[GDP]]</f>
        <v/>
      </c>
      <c r="J289" s="85">
        <f>Table58[[#This Row],[Exports]]/Table58[[#This Row],[GDP]]</f>
        <v/>
      </c>
      <c r="K289" s="85">
        <f>-Table58[[#This Row],[Imports]]/Table58[[#This Row],[GDP]]</f>
        <v/>
      </c>
      <c r="L289" s="85">
        <f>Table58[[#This Row],[Government]]/Table58[[#This Row],[GDP]]</f>
        <v/>
      </c>
      <c r="N289" s="52">
        <f>SUM(Table58[[#This Row],[PC%]:[G%]])</f>
        <v/>
      </c>
      <c r="O289" s="55">
        <f>Table58[[#This Row],[Personal Consumption]]+Table58[[#This Row],[Private Investment]]+Table58[[#This Row],[Exports]]+Table58[[#This Row],[Government]]-Table58[[#This Row],[Imports]]</f>
        <v/>
      </c>
    </row>
    <row r="290">
      <c r="A290" s="94" t="n">
        <v>43101</v>
      </c>
      <c r="B290" s="164">
        <f>VLOOKUP(A290,'U.S. GDP'!A:B,2,)</f>
        <v/>
      </c>
      <c r="C290" s="164">
        <f>VLOOKUP(A290,PersonalConsumption!A:B,2,)</f>
        <v/>
      </c>
      <c r="D290" s="164">
        <f>VLOOKUP(A290,PrivateInvestment!A:B,2,)</f>
        <v/>
      </c>
      <c r="E290" s="164">
        <f>VLOOKUP(A290,Exports!A:B,2,)</f>
        <v/>
      </c>
      <c r="F290" s="164">
        <f>VLOOKUP(A290,Imports!A:B,2,)</f>
        <v/>
      </c>
      <c r="G290" s="164">
        <f>VLOOKUP(A290,Government!A:B,2,)</f>
        <v/>
      </c>
      <c r="H290" s="85">
        <f>Table58[[#This Row],[Personal Consumption]]/Table58[[#This Row],[GDP]]</f>
        <v/>
      </c>
      <c r="I290" s="85">
        <f>Table58[[#This Row],[Private Investment]]/Table58[[#This Row],[GDP]]</f>
        <v/>
      </c>
      <c r="J290" s="85">
        <f>Table58[[#This Row],[Exports]]/Table58[[#This Row],[GDP]]</f>
        <v/>
      </c>
      <c r="K290" s="85">
        <f>-Table58[[#This Row],[Imports]]/Table58[[#This Row],[GDP]]</f>
        <v/>
      </c>
      <c r="L290" s="85">
        <f>Table58[[#This Row],[Government]]/Table58[[#This Row],[GDP]]</f>
        <v/>
      </c>
      <c r="N290" s="52">
        <f>SUM(Table58[[#This Row],[PC%]:[G%]])</f>
        <v/>
      </c>
      <c r="O290" s="55">
        <f>Table58[[#This Row],[Personal Consumption]]+Table58[[#This Row],[Private Investment]]+Table58[[#This Row],[Exports]]+Table58[[#This Row],[Government]]-Table58[[#This Row],[Imports]]</f>
        <v/>
      </c>
    </row>
    <row r="291">
      <c r="A291" s="94" t="n">
        <v>43191</v>
      </c>
      <c r="B291" s="164">
        <f>VLOOKUP(A291,'U.S. GDP'!A:B,2,)</f>
        <v/>
      </c>
      <c r="C291" s="164">
        <f>VLOOKUP(A291,PersonalConsumption!A:B,2,)</f>
        <v/>
      </c>
      <c r="D291" s="164">
        <f>VLOOKUP(A291,PrivateInvestment!A:B,2,)</f>
        <v/>
      </c>
      <c r="E291" s="164">
        <f>VLOOKUP(A291,Exports!A:B,2,)</f>
        <v/>
      </c>
      <c r="F291" s="164">
        <f>VLOOKUP(A291,Imports!A:B,2,)</f>
        <v/>
      </c>
      <c r="G291" s="164">
        <f>VLOOKUP(A291,Government!A:B,2,)</f>
        <v/>
      </c>
      <c r="H291" s="85">
        <f>Table58[[#This Row],[Personal Consumption]]/Table58[[#This Row],[GDP]]</f>
        <v/>
      </c>
      <c r="I291" s="85">
        <f>Table58[[#This Row],[Private Investment]]/Table58[[#This Row],[GDP]]</f>
        <v/>
      </c>
      <c r="J291" s="85">
        <f>Table58[[#This Row],[Exports]]/Table58[[#This Row],[GDP]]</f>
        <v/>
      </c>
      <c r="K291" s="85">
        <f>-Table58[[#This Row],[Imports]]/Table58[[#This Row],[GDP]]</f>
        <v/>
      </c>
      <c r="L291" s="85">
        <f>Table58[[#This Row],[Government]]/Table58[[#This Row],[GDP]]</f>
        <v/>
      </c>
      <c r="N291" s="52">
        <f>SUM(Table58[[#This Row],[PC%]:[G%]])</f>
        <v/>
      </c>
      <c r="O291" s="55">
        <f>Table58[[#This Row],[Personal Consumption]]+Table58[[#This Row],[Private Investment]]+Table58[[#This Row],[Exports]]+Table58[[#This Row],[Government]]-Table58[[#This Row],[Imports]]</f>
        <v/>
      </c>
    </row>
    <row r="292">
      <c r="A292" s="94" t="n">
        <v>43282</v>
      </c>
      <c r="B292" s="164">
        <f>VLOOKUP(A292,'U.S. GDP'!A:B,2,)</f>
        <v/>
      </c>
      <c r="C292" s="164">
        <f>VLOOKUP(A292,PersonalConsumption!A:B,2,)</f>
        <v/>
      </c>
      <c r="D292" s="164">
        <f>VLOOKUP(A292,PrivateInvestment!A:B,2,)</f>
        <v/>
      </c>
      <c r="E292" s="95">
        <f>VLOOKUP(A292,Exports!A:B,2,)</f>
        <v/>
      </c>
      <c r="F292" s="164">
        <f>VLOOKUP(A292,Imports!A:B,2,)</f>
        <v/>
      </c>
      <c r="G292" s="85">
        <f>VLOOKUP(A292,Government!A:B,2,)</f>
        <v/>
      </c>
      <c r="H292" s="85">
        <f>Table58[[#This Row],[Personal Consumption]]/Table58[[#This Row],[GDP]]</f>
        <v/>
      </c>
      <c r="I292" s="85">
        <f>Table58[[#This Row],[Private Investment]]/Table58[[#This Row],[GDP]]</f>
        <v/>
      </c>
      <c r="J292" s="85">
        <f>Table58[[#This Row],[Exports]]/Table58[[#This Row],[GDP]]</f>
        <v/>
      </c>
      <c r="K292" s="85">
        <f>-Table58[[#This Row],[Imports]]/Table58[[#This Row],[GDP]]</f>
        <v/>
      </c>
      <c r="L292" s="85">
        <f>Table58[[#This Row],[Government]]/Table58[[#This Row],[GDP]]</f>
        <v/>
      </c>
      <c r="N292" s="52">
        <f>SUM(Table58[[#This Row],[PC%]:[G%]])</f>
        <v/>
      </c>
      <c r="O292" s="55">
        <f>Table58[[#This Row],[Personal Consumption]]+Table58[[#This Row],[Private Investment]]+Table58[[#This Row],[Exports]]+Table58[[#This Row],[Government]]-Table58[[#This Row],[Imports]]</f>
        <v/>
      </c>
    </row>
    <row r="293">
      <c r="A293" s="94" t="n">
        <v>43374</v>
      </c>
      <c r="B293" s="164">
        <f>VLOOKUP(A293,'U.S. GDP'!A:B,2,)</f>
        <v/>
      </c>
      <c r="C293" s="164">
        <f>VLOOKUP(A293,PersonalConsumption!A:B,2,)</f>
        <v/>
      </c>
      <c r="D293" s="164">
        <f>VLOOKUP(A293,PrivateInvestment!A:B,2,)</f>
        <v/>
      </c>
      <c r="E293" s="164">
        <f>VLOOKUP(A293,Exports!A:B,2,)</f>
        <v/>
      </c>
      <c r="F293" s="164">
        <f>VLOOKUP(A293,Imports!A:B,2,)</f>
        <v/>
      </c>
      <c r="G293" s="164">
        <f>VLOOKUP(A293,Government!A:B,2,)</f>
        <v/>
      </c>
      <c r="H293" s="85">
        <f>Table58[[#This Row],[Personal Consumption]]/Table58[[#This Row],[GDP]]</f>
        <v/>
      </c>
      <c r="I293" s="85">
        <f>Table58[[#This Row],[Private Investment]]/Table58[[#This Row],[GDP]]</f>
        <v/>
      </c>
      <c r="J293" s="85">
        <f>Table58[[#This Row],[Exports]]/Table58[[#This Row],[GDP]]</f>
        <v/>
      </c>
      <c r="K293" s="85">
        <f>-Table58[[#This Row],[Imports]]/Table58[[#This Row],[GDP]]</f>
        <v/>
      </c>
      <c r="L293" s="85">
        <f>Table58[[#This Row],[Government]]/Table58[[#This Row],[GDP]]</f>
        <v/>
      </c>
      <c r="N293" s="52">
        <f>SUM(Table58[[#This Row],[PC%]:[G%]])</f>
        <v/>
      </c>
      <c r="O293" s="55">
        <f>Table58[[#This Row],[Personal Consumption]]+Table58[[#This Row],[Private Investment]]+Table58[[#This Row],[Exports]]+Table58[[#This Row],[Government]]-Table58[[#This Row],[Imports]]</f>
        <v/>
      </c>
    </row>
    <row r="294">
      <c r="A294" s="94" t="n">
        <v>43466</v>
      </c>
      <c r="B294" s="164">
        <f>VLOOKUP(A294,'U.S. GDP'!A:B,2,)</f>
        <v/>
      </c>
      <c r="C294" s="164">
        <f>VLOOKUP(A294,PersonalConsumption!A:B,2,)</f>
        <v/>
      </c>
      <c r="D294" s="164">
        <f>VLOOKUP(A294,PrivateInvestment!A:B,2,)</f>
        <v/>
      </c>
      <c r="E294" s="95">
        <f>VLOOKUP(A294,Exports!A:B,2,)</f>
        <v/>
      </c>
      <c r="F294" s="164">
        <f>VLOOKUP(A294,Imports!A:B,2,)</f>
        <v/>
      </c>
      <c r="G294" s="85">
        <f>VLOOKUP(A294,Government!A:B,2,)</f>
        <v/>
      </c>
      <c r="H294" s="85">
        <f>Table58[[#This Row],[Personal Consumption]]/Table58[[#This Row],[GDP]]</f>
        <v/>
      </c>
      <c r="I294" s="85">
        <f>Table58[[#This Row],[Private Investment]]/Table58[[#This Row],[GDP]]</f>
        <v/>
      </c>
      <c r="J294" s="85">
        <f>Table58[[#This Row],[Exports]]/Table58[[#This Row],[GDP]]</f>
        <v/>
      </c>
      <c r="K294" s="85">
        <f>-Table58[[#This Row],[Imports]]/Table58[[#This Row],[GDP]]</f>
        <v/>
      </c>
      <c r="L294" s="85">
        <f>Table58[[#This Row],[Government]]/Table58[[#This Row],[GDP]]</f>
        <v/>
      </c>
      <c r="N294" s="52">
        <f>SUM(Table58[[#This Row],[PC%]:[G%]])</f>
        <v/>
      </c>
      <c r="O294" s="55">
        <f>Table58[[#This Row],[Personal Consumption]]+Table58[[#This Row],[Private Investment]]+Table58[[#This Row],[Exports]]+Table58[[#This Row],[Government]]-Table58[[#This Row],[Imports]]</f>
        <v/>
      </c>
    </row>
    <row r="295">
      <c r="A295" s="94" t="n">
        <v>43556</v>
      </c>
      <c r="B295" s="164">
        <f>VLOOKUP(A295,'U.S. GDP'!A:B,2,)</f>
        <v/>
      </c>
      <c r="C295" s="164">
        <f>VLOOKUP(A295,PersonalConsumption!A:B,2,)</f>
        <v/>
      </c>
      <c r="D295" s="164">
        <f>VLOOKUP(A295,PrivateInvestment!A:B,2,)</f>
        <v/>
      </c>
      <c r="E295" s="164">
        <f>VLOOKUP(A295,Exports!A:B,2,)</f>
        <v/>
      </c>
      <c r="F295" s="164">
        <f>VLOOKUP(A295,Imports!A:B,2,)</f>
        <v/>
      </c>
      <c r="G295" s="164">
        <f>VLOOKUP(A295,Government!A:B,2,)</f>
        <v/>
      </c>
      <c r="H295" s="85">
        <f>Table58[[#This Row],[Personal Consumption]]/Table58[[#This Row],[GDP]]</f>
        <v/>
      </c>
      <c r="I295" s="85">
        <f>Table58[[#This Row],[Private Investment]]/Table58[[#This Row],[GDP]]</f>
        <v/>
      </c>
      <c r="J295" s="85">
        <f>Table58[[#This Row],[Exports]]/Table58[[#This Row],[GDP]]</f>
        <v/>
      </c>
      <c r="K295" s="85">
        <f>-Table58[[#This Row],[Imports]]/Table58[[#This Row],[GDP]]</f>
        <v/>
      </c>
      <c r="L295" s="85">
        <f>Table58[[#This Row],[Government]]/Table58[[#This Row],[GDP]]</f>
        <v/>
      </c>
      <c r="N295" s="52">
        <f>SUM(Table58[[#This Row],[PC%]:[G%]])</f>
        <v/>
      </c>
      <c r="O295" s="55">
        <f>Table58[[#This Row],[Personal Consumption]]+Table58[[#This Row],[Private Investment]]+Table58[[#This Row],[Exports]]+Table58[[#This Row],[Government]]-Table58[[#This Row],[Imports]]</f>
        <v/>
      </c>
    </row>
    <row r="296">
      <c r="A296" s="94" t="n">
        <v>43647</v>
      </c>
      <c r="B296" s="164">
        <f>VLOOKUP(A296,'U.S. GDP'!A:B,2,)</f>
        <v/>
      </c>
      <c r="C296" s="164">
        <f>VLOOKUP(A296,PersonalConsumption!A:B,2,)</f>
        <v/>
      </c>
      <c r="D296" s="164">
        <f>VLOOKUP(A296,PrivateInvestment!A:B,2,)</f>
        <v/>
      </c>
      <c r="E296" s="95">
        <f>VLOOKUP(A296,Exports!A:B,2,)</f>
        <v/>
      </c>
      <c r="F296" s="164">
        <f>VLOOKUP(A296,Imports!A:B,2,)</f>
        <v/>
      </c>
      <c r="G296" s="85">
        <f>VLOOKUP(A296,Government!A:B,2,)</f>
        <v/>
      </c>
      <c r="H296" s="85">
        <f>Table58[[#This Row],[Personal Consumption]]/Table58[[#This Row],[GDP]]</f>
        <v/>
      </c>
      <c r="I296" s="85">
        <f>Table58[[#This Row],[Private Investment]]/Table58[[#This Row],[GDP]]</f>
        <v/>
      </c>
      <c r="J296" s="85">
        <f>Table58[[#This Row],[Exports]]/Table58[[#This Row],[GDP]]</f>
        <v/>
      </c>
      <c r="K296" s="85">
        <f>-Table58[[#This Row],[Imports]]/Table58[[#This Row],[GDP]]</f>
        <v/>
      </c>
      <c r="L296" s="85">
        <f>Table58[[#This Row],[Government]]/Table58[[#This Row],[GDP]]</f>
        <v/>
      </c>
      <c r="M296" s="125" t="n"/>
      <c r="N296" s="52">
        <f>SUM(Table58[[#This Row],[PC%]:[G%]])</f>
        <v/>
      </c>
      <c r="O296" s="55">
        <f>Table58[[#This Row],[Personal Consumption]]+Table58[[#This Row],[Private Investment]]+Table58[[#This Row],[Exports]]+Table58[[#This Row],[Government]]-Table58[[#This Row],[Imports]]</f>
        <v/>
      </c>
    </row>
    <row r="297">
      <c r="A297" s="94" t="n">
        <v>43739</v>
      </c>
      <c r="B297" s="164">
        <f>VLOOKUP(A297,'U.S. GDP'!A:B,2,)</f>
        <v/>
      </c>
      <c r="C297" s="164">
        <f>VLOOKUP(A297,PersonalConsumption!A:B,2,)</f>
        <v/>
      </c>
      <c r="D297" s="164">
        <f>VLOOKUP(A297,PrivateInvestment!A:B,2,)</f>
        <v/>
      </c>
      <c r="E297" s="164">
        <f>VLOOKUP(A297,Exports!A:B,2,)</f>
        <v/>
      </c>
      <c r="F297" s="164">
        <f>VLOOKUP(A297,Imports!A:B,2,)</f>
        <v/>
      </c>
      <c r="G297" s="164">
        <f>VLOOKUP(A297,Government!A:B,2,)</f>
        <v/>
      </c>
      <c r="H297" s="85">
        <f>Table58[[#This Row],[Personal Consumption]]/Table58[[#This Row],[GDP]]</f>
        <v/>
      </c>
      <c r="I297" s="85">
        <f>Table58[[#This Row],[Private Investment]]/Table58[[#This Row],[GDP]]</f>
        <v/>
      </c>
      <c r="J297" s="85">
        <f>Table58[[#This Row],[Exports]]/Table58[[#This Row],[GDP]]</f>
        <v/>
      </c>
      <c r="K297" s="85">
        <f>-Table58[[#This Row],[Imports]]/Table58[[#This Row],[GDP]]</f>
        <v/>
      </c>
      <c r="L297" s="85">
        <f>Table58[[#This Row],[Government]]/Table58[[#This Row],[GDP]]</f>
        <v/>
      </c>
      <c r="M297" s="125" t="n"/>
      <c r="N297" s="52">
        <f>SUM(Table58[[#This Row],[PC%]:[G%]])</f>
        <v/>
      </c>
      <c r="O297" s="55">
        <f>Table58[[#This Row],[Personal Consumption]]+Table58[[#This Row],[Private Investment]]+Table58[[#This Row],[Exports]]+Table58[[#This Row],[Government]]-Table58[[#This Row],[Imports]]</f>
        <v/>
      </c>
    </row>
    <row r="298">
      <c r="A298" s="94" t="n">
        <v>43831</v>
      </c>
      <c r="B298" s="164">
        <f>VLOOKUP(A298,'U.S. GDP'!A:B,2,)</f>
        <v/>
      </c>
      <c r="C298" s="164">
        <f>VLOOKUP(A298,PersonalConsumption!A:B,2,)</f>
        <v/>
      </c>
      <c r="D298" s="164">
        <f>VLOOKUP(A298,PrivateInvestment!A:B,2,)</f>
        <v/>
      </c>
      <c r="E298" s="95">
        <f>VLOOKUP(A298,Exports!A:B,2,)</f>
        <v/>
      </c>
      <c r="F298" s="164">
        <f>VLOOKUP(A298,Imports!A:B,2,)</f>
        <v/>
      </c>
      <c r="G298" s="85">
        <f>VLOOKUP(A298,Government!A:B,2,)</f>
        <v/>
      </c>
      <c r="H298" s="85">
        <f>Table58[[#This Row],[Personal Consumption]]/Table58[[#This Row],[GDP]]</f>
        <v/>
      </c>
      <c r="I298" s="85">
        <f>Table58[[#This Row],[Private Investment]]/Table58[[#This Row],[GDP]]</f>
        <v/>
      </c>
      <c r="J298" s="85">
        <f>Table58[[#This Row],[Exports]]/Table58[[#This Row],[GDP]]</f>
        <v/>
      </c>
      <c r="K298" s="85">
        <f>-Table58[[#This Row],[Imports]]/Table58[[#This Row],[GDP]]</f>
        <v/>
      </c>
      <c r="L298" s="85">
        <f>Table58[[#This Row],[Government]]/Table58[[#This Row],[GDP]]</f>
        <v/>
      </c>
      <c r="M298" s="125" t="n"/>
      <c r="N298" s="52">
        <f>SUM(Table58[[#This Row],[PC%]:[G%]])</f>
        <v/>
      </c>
      <c r="O298" s="55">
        <f>Table58[[#This Row],[Personal Consumption]]+Table58[[#This Row],[Private Investment]]+Table58[[#This Row],[Exports]]+Table58[[#This Row],[Government]]-Table58[[#This Row],[Imports]]</f>
        <v/>
      </c>
    </row>
    <row r="299">
      <c r="A299" s="94" t="n">
        <v>43922</v>
      </c>
      <c r="B299" s="164">
        <f>VLOOKUP(A299,'U.S. GDP'!A:B,2,)</f>
        <v/>
      </c>
      <c r="C299" s="164">
        <f>VLOOKUP(A299,PersonalConsumption!A:B,2,)</f>
        <v/>
      </c>
      <c r="D299" s="164">
        <f>VLOOKUP(A299,PrivateInvestment!A:B,2,)</f>
        <v/>
      </c>
      <c r="E299" s="164">
        <f>VLOOKUP(A299,Exports!A:B,2,)</f>
        <v/>
      </c>
      <c r="F299" s="164">
        <f>VLOOKUP(A299,Imports!A:B,2,)</f>
        <v/>
      </c>
      <c r="G299" s="164">
        <f>VLOOKUP(A299,Government!A:B,2,)</f>
        <v/>
      </c>
      <c r="H299" s="85">
        <f>Table58[[#This Row],[Personal Consumption]]/Table58[[#This Row],[GDP]]</f>
        <v/>
      </c>
      <c r="I299" s="85">
        <f>Table58[[#This Row],[Private Investment]]/Table58[[#This Row],[GDP]]</f>
        <v/>
      </c>
      <c r="J299" s="85">
        <f>Table58[[#This Row],[Exports]]/Table58[[#This Row],[GDP]]</f>
        <v/>
      </c>
      <c r="K299" s="85">
        <f>-Table58[[#This Row],[Imports]]/Table58[[#This Row],[GDP]]</f>
        <v/>
      </c>
      <c r="L299" s="85">
        <f>Table58[[#This Row],[Government]]/Table58[[#This Row],[GDP]]</f>
        <v/>
      </c>
      <c r="M299" s="125" t="n"/>
      <c r="N299" s="52">
        <f>SUM(Table58[[#This Row],[PC%]:[G%]])</f>
        <v/>
      </c>
      <c r="O299" s="55">
        <f>Table58[[#This Row],[Personal Consumption]]+Table58[[#This Row],[Private Investment]]+Table58[[#This Row],[Exports]]+Table58[[#This Row],[Government]]-Table58[[#This Row],[Imports]]</f>
        <v/>
      </c>
    </row>
    <row r="300">
      <c r="A300" s="94" t="n">
        <v>44013</v>
      </c>
      <c r="B300" s="164">
        <f>VLOOKUP(A300,'U.S. GDP'!A:B,2,)</f>
        <v/>
      </c>
      <c r="C300" s="164">
        <f>VLOOKUP(A300,PersonalConsumption!A:B,2,)</f>
        <v/>
      </c>
      <c r="D300" s="164">
        <f>VLOOKUP(A300,PrivateInvestment!A:B,2,)</f>
        <v/>
      </c>
      <c r="E300" s="95">
        <f>VLOOKUP(A300,Exports!A:B,2,)</f>
        <v/>
      </c>
      <c r="F300" s="164">
        <f>VLOOKUP(A300,Imports!A:B,2,)</f>
        <v/>
      </c>
      <c r="G300" s="85">
        <f>VLOOKUP(A300,Government!A:B,2,)</f>
        <v/>
      </c>
      <c r="H300" s="85">
        <f>Table58[[#This Row],[Personal Consumption]]/Table58[[#This Row],[GDP]]</f>
        <v/>
      </c>
      <c r="I300" s="85">
        <f>Table58[[#This Row],[Private Investment]]/Table58[[#This Row],[GDP]]</f>
        <v/>
      </c>
      <c r="J300" s="85">
        <f>Table58[[#This Row],[Exports]]/Table58[[#This Row],[GDP]]</f>
        <v/>
      </c>
      <c r="K300" s="85">
        <f>-Table58[[#This Row],[Imports]]/Table58[[#This Row],[GDP]]</f>
        <v/>
      </c>
      <c r="L300" s="85">
        <f>Table58[[#This Row],[Government]]/Table58[[#This Row],[GDP]]</f>
        <v/>
      </c>
      <c r="M300" s="125" t="n"/>
      <c r="N300" s="52">
        <f>SUM(Table58[[#This Row],[PC%]:[G%]])</f>
        <v/>
      </c>
      <c r="O300" s="55">
        <f>Table58[[#This Row],[Personal Consumption]]+Table58[[#This Row],[Private Investment]]+Table58[[#This Row],[Exports]]+Table58[[#This Row],[Government]]-Table58[[#This Row],[Imports]]</f>
        <v/>
      </c>
    </row>
    <row r="301">
      <c r="A301" s="94" t="n">
        <v>44105</v>
      </c>
      <c r="B301" s="164">
        <f>VLOOKUP(A301,'U.S. GDP'!A:B,2,)</f>
        <v/>
      </c>
      <c r="C301" s="164">
        <f>VLOOKUP(A301,PersonalConsumption!A:B,2,)</f>
        <v/>
      </c>
      <c r="D301" s="164">
        <f>VLOOKUP(A301,PrivateInvestment!A:B,2,)</f>
        <v/>
      </c>
      <c r="E301" s="164">
        <f>VLOOKUP(A301,Exports!A:B,2,)</f>
        <v/>
      </c>
      <c r="F301" s="164">
        <f>VLOOKUP(A301,Imports!A:B,2,)</f>
        <v/>
      </c>
      <c r="G301" s="164">
        <f>VLOOKUP(A301,Government!A:B,2,)</f>
        <v/>
      </c>
      <c r="H301" s="85">
        <f>Table58[[#This Row],[Personal Consumption]]/Table58[[#This Row],[GDP]]</f>
        <v/>
      </c>
      <c r="I301" s="85">
        <f>Table58[[#This Row],[Private Investment]]/Table58[[#This Row],[GDP]]</f>
        <v/>
      </c>
      <c r="J301" s="85">
        <f>Table58[[#This Row],[Exports]]/Table58[[#This Row],[GDP]]</f>
        <v/>
      </c>
      <c r="K301" s="85">
        <f>-Table58[[#This Row],[Imports]]/Table58[[#This Row],[GDP]]</f>
        <v/>
      </c>
      <c r="L301" s="85">
        <f>Table58[[#This Row],[Government]]/Table58[[#This Row],[GDP]]</f>
        <v/>
      </c>
      <c r="M301" s="125" t="n"/>
      <c r="N301" s="52">
        <f>SUM(Table58[[#This Row],[PC%]:[G%]])</f>
        <v/>
      </c>
      <c r="O301" s="55">
        <f>Table58[[#This Row],[Personal Consumption]]+Table58[[#This Row],[Private Investment]]+Table58[[#This Row],[Exports]]+Table58[[#This Row],[Government]]-Table58[[#This Row],[Imports]]</f>
        <v/>
      </c>
    </row>
    <row r="302">
      <c r="A302" s="94" t="n">
        <v>44197</v>
      </c>
      <c r="B302" s="164">
        <f>VLOOKUP(A302,'U.S. GDP'!A:B,2,)</f>
        <v/>
      </c>
      <c r="C302" s="164">
        <f>VLOOKUP(A302,PersonalConsumption!A:B,2,)</f>
        <v/>
      </c>
      <c r="D302" s="164">
        <f>VLOOKUP(A302,PrivateInvestment!A:B,2,)</f>
        <v/>
      </c>
      <c r="E302" s="95">
        <f>VLOOKUP(A302,Exports!A:B,2,)</f>
        <v/>
      </c>
      <c r="F302" s="164">
        <f>VLOOKUP(A302,Imports!A:B,2,)</f>
        <v/>
      </c>
      <c r="G302" s="85">
        <f>VLOOKUP(A302,Government!A:B,2,)</f>
        <v/>
      </c>
      <c r="H302" s="85">
        <f>Table58[[#This Row],[Personal Consumption]]/Table58[[#This Row],[GDP]]</f>
        <v/>
      </c>
      <c r="I302" s="85">
        <f>Table58[[#This Row],[Private Investment]]/Table58[[#This Row],[GDP]]</f>
        <v/>
      </c>
      <c r="J302" s="85">
        <f>Table58[[#This Row],[Exports]]/Table58[[#This Row],[GDP]]</f>
        <v/>
      </c>
      <c r="K302" s="85">
        <f>-Table58[[#This Row],[Imports]]/Table58[[#This Row],[GDP]]</f>
        <v/>
      </c>
      <c r="L302" s="85">
        <f>Table58[[#This Row],[Government]]/Table58[[#This Row],[GDP]]</f>
        <v/>
      </c>
      <c r="M302" s="125" t="n"/>
      <c r="N302" s="52">
        <f>SUM(Table58[[#This Row],[PC%]:[G%]])</f>
        <v/>
      </c>
      <c r="O302" s="55">
        <f>Table58[[#This Row],[Personal Consumption]]+Table58[[#This Row],[Private Investment]]+Table58[[#This Row],[Exports]]+Table58[[#This Row],[Government]]-Table58[[#This Row],[Imports]]</f>
        <v/>
      </c>
    </row>
    <row r="303">
      <c r="A303" s="94" t="n">
        <v>44287</v>
      </c>
      <c r="B303" s="164">
        <f>VLOOKUP(A303,'U.S. GDP'!A:B,2,)</f>
        <v/>
      </c>
      <c r="C303" s="164">
        <f>VLOOKUP(A303,PersonalConsumption!A:B,2,)</f>
        <v/>
      </c>
      <c r="D303" s="164">
        <f>VLOOKUP(A303,PrivateInvestment!A:B,2,)</f>
        <v/>
      </c>
      <c r="E303" s="164">
        <f>VLOOKUP(A303,Exports!A:B,2,)</f>
        <v/>
      </c>
      <c r="F303" s="164">
        <f>VLOOKUP(A303,Imports!A:B,2,)</f>
        <v/>
      </c>
      <c r="G303" s="164">
        <f>VLOOKUP(A303,Government!A:B,2,)</f>
        <v/>
      </c>
      <c r="H303" s="85">
        <f>Table58[[#This Row],[Personal Consumption]]/Table58[[#This Row],[GDP]]</f>
        <v/>
      </c>
      <c r="I303" s="85">
        <f>Table58[[#This Row],[Private Investment]]/Table58[[#This Row],[GDP]]</f>
        <v/>
      </c>
      <c r="J303" s="85">
        <f>Table58[[#This Row],[Exports]]/Table58[[#This Row],[GDP]]</f>
        <v/>
      </c>
      <c r="K303" s="85">
        <f>-Table58[[#This Row],[Imports]]/Table58[[#This Row],[GDP]]</f>
        <v/>
      </c>
      <c r="L303" s="85">
        <f>Table58[[#This Row],[Government]]/Table58[[#This Row],[GDP]]</f>
        <v/>
      </c>
      <c r="M303" s="125" t="n"/>
      <c r="N303" s="52">
        <f>SUM(Table58[[#This Row],[PC%]:[G%]])</f>
        <v/>
      </c>
      <c r="O303" s="55">
        <f>Table58[[#This Row],[Personal Consumption]]+Table58[[#This Row],[Private Investment]]+Table58[[#This Row],[Exports]]+Table58[[#This Row],[Government]]-Table58[[#This Row],[Imports]]</f>
        <v/>
      </c>
    </row>
    <row r="304">
      <c r="A304" s="94" t="n">
        <v>44378</v>
      </c>
      <c r="B304" s="164">
        <f>VLOOKUP(A304,'U.S. GDP'!A:B,2,)</f>
        <v/>
      </c>
      <c r="C304" s="164">
        <f>VLOOKUP(A304,PersonalConsumption!A:B,2,)</f>
        <v/>
      </c>
      <c r="D304" s="164">
        <f>VLOOKUP(A304,PrivateInvestment!A:B,2,)</f>
        <v/>
      </c>
      <c r="E304" s="95">
        <f>VLOOKUP(A304,Exports!A:B,2,)</f>
        <v/>
      </c>
      <c r="F304" s="164">
        <f>VLOOKUP(A304,Imports!A:B,2,)</f>
        <v/>
      </c>
      <c r="G304" s="85">
        <f>VLOOKUP(A304,Government!A:B,2,)</f>
        <v/>
      </c>
      <c r="H304" s="85">
        <f>Table58[[#This Row],[Personal Consumption]]/Table58[[#This Row],[GDP]]</f>
        <v/>
      </c>
      <c r="I304" s="85">
        <f>Table58[[#This Row],[Private Investment]]/Table58[[#This Row],[GDP]]</f>
        <v/>
      </c>
      <c r="J304" s="85">
        <f>Table58[[#This Row],[Exports]]/Table58[[#This Row],[GDP]]</f>
        <v/>
      </c>
      <c r="K304" s="85">
        <f>-Table58[[#This Row],[Imports]]/Table58[[#This Row],[GDP]]</f>
        <v/>
      </c>
      <c r="L304" s="85">
        <f>Table58[[#This Row],[Government]]/Table58[[#This Row],[GDP]]</f>
        <v/>
      </c>
      <c r="M304" s="125" t="n"/>
      <c r="N304" s="52">
        <f>SUM(Table58[[#This Row],[PC%]:[G%]])</f>
        <v/>
      </c>
      <c r="O304" s="5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</cols>
  <sheetData>
    <row r="1" ht="16" customHeight="1" s="126">
      <c r="A1" s="83" t="inlineStr">
        <is>
          <t>PCECC96</t>
        </is>
      </c>
      <c r="B1" s="171" t="n"/>
      <c r="C1" s="3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https://fred.stlouisfed.org/series/PCECC96</t>
        </is>
      </c>
      <c r="M1" s="125" t="n"/>
      <c r="N1" s="125" t="n"/>
      <c r="O1" s="125" t="n"/>
    </row>
    <row r="2">
      <c r="A2" s="38" t="inlineStr">
        <is>
          <t>Real Personal Consumption Expenditures (PCECC96)</t>
        </is>
      </c>
      <c r="B2" s="172" t="n"/>
      <c r="C2" s="3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GPDIC1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https://fred.stlouisfed.org/series/GPDIC1</t>
        </is>
      </c>
      <c r="M1" s="125" t="n"/>
      <c r="N1" s="125" t="n"/>
      <c r="O1" s="125" t="n"/>
    </row>
    <row r="2">
      <c r="A2" s="104" t="inlineStr">
        <is>
          <t>Real Gross Private Domestic Investment (GPDIC1)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EXPGSC1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https://fred.stlouisfed.org/series/EXPGSC1</t>
        </is>
      </c>
      <c r="M1" s="125" t="n"/>
      <c r="N1" s="125" t="n"/>
      <c r="O1" s="125" t="n"/>
    </row>
    <row r="2">
      <c r="A2" s="104" t="inlineStr">
        <is>
          <t>Real Exports of Goods and Services (EXPGSC1)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IMPGSC1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https://fred.stlouisfed.org/series/IMPGSC1</t>
        </is>
      </c>
      <c r="M1" s="125" t="n"/>
      <c r="N1" s="125" t="n"/>
      <c r="O1" s="125" t="n"/>
    </row>
    <row r="2">
      <c r="A2" s="104" t="inlineStr">
        <is>
          <t xml:space="preserve">Real Imports of Goods and Services 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GCEC1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https://fred.stlouisfed.org/series/GCEC1</t>
        </is>
      </c>
      <c r="M1" s="125" t="n"/>
      <c r="N1" s="125" t="n"/>
      <c r="O1" s="125" t="n"/>
    </row>
    <row r="2">
      <c r="A2" s="104" t="inlineStr">
        <is>
          <t>Government Consumption Expenditures and Gross Investment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7" t="inlineStr">
        <is>
          <t>GDPCTPI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https://fred.stlouisfed.org/series/GDPCTPI</t>
        </is>
      </c>
      <c r="M1" s="125" t="n"/>
      <c r="N1" s="125" t="n"/>
      <c r="O1" s="125" t="n"/>
    </row>
    <row r="2">
      <c r="A2" s="104" t="inlineStr">
        <is>
          <t xml:space="preserve">Gross Domestic Product: Chain-type Price Index 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7" t="inlineStr">
        <is>
          <t>JCXFE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https://fred.stlouisfed.org/series/JCXFE</t>
        </is>
      </c>
      <c r="M1" s="125" t="n"/>
      <c r="N1" s="125" t="n"/>
      <c r="O1" s="125" t="n"/>
    </row>
    <row r="2">
      <c r="A2" s="104" t="inlineStr">
        <is>
          <t>Personal Consumption Expenditures: Chain-type Price Index Less Food and Energy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 t="n"/>
      <c r="C6" s="81" t="n"/>
      <c r="D6" s="81" t="n"/>
      <c r="E6" s="81" t="n"/>
    </row>
    <row r="7">
      <c r="A7" s="79" t="n">
        <v>17258</v>
      </c>
      <c r="B7" s="164" t="n"/>
      <c r="C7" s="85" t="n"/>
      <c r="D7" s="81" t="n"/>
      <c r="E7" s="81" t="n"/>
    </row>
    <row r="8">
      <c r="A8" s="79" t="n">
        <v>17349</v>
      </c>
      <c r="B8" s="164" t="n"/>
      <c r="C8" s="85" t="n"/>
      <c r="D8" s="81" t="n"/>
      <c r="E8" s="81" t="n"/>
    </row>
    <row r="9">
      <c r="A9" s="79" t="n">
        <v>17441</v>
      </c>
      <c r="B9" s="164" t="n"/>
      <c r="C9" s="85" t="n"/>
      <c r="D9" s="81" t="n"/>
      <c r="E9" s="81" t="n"/>
    </row>
    <row r="10">
      <c r="A10" s="79" t="n">
        <v>17533</v>
      </c>
      <c r="B10" s="164" t="n"/>
      <c r="C10" s="85" t="n"/>
      <c r="D10" s="81" t="n"/>
      <c r="E10" s="81" t="n"/>
    </row>
    <row r="11">
      <c r="A11" s="79" t="n">
        <v>17624</v>
      </c>
      <c r="B11" s="164" t="n"/>
      <c r="C11" s="85" t="n"/>
      <c r="D11" s="81" t="n"/>
      <c r="E11" s="81" t="n"/>
    </row>
    <row r="12">
      <c r="A12" s="79" t="n">
        <v>17715</v>
      </c>
      <c r="B12" s="164" t="n"/>
      <c r="C12" s="85" t="n"/>
      <c r="D12" s="81" t="n"/>
      <c r="E12" s="81" t="n"/>
    </row>
    <row r="13">
      <c r="A13" s="79" t="n">
        <v>17807</v>
      </c>
      <c r="B13" s="164" t="n"/>
      <c r="C13" s="85" t="n"/>
      <c r="D13" s="81" t="n"/>
      <c r="E13" s="81" t="n"/>
    </row>
    <row r="14">
      <c r="A14" s="79" t="n">
        <v>17899</v>
      </c>
      <c r="B14" s="164" t="n"/>
      <c r="C14" s="85" t="n"/>
      <c r="D14" s="81" t="n"/>
      <c r="E14" s="81" t="n"/>
    </row>
    <row r="15">
      <c r="A15" s="79" t="n">
        <v>17989</v>
      </c>
      <c r="B15" s="164" t="n"/>
      <c r="C15" s="85" t="n"/>
      <c r="D15" s="81" t="n"/>
      <c r="E15" s="81" t="n"/>
    </row>
    <row r="16">
      <c r="A16" s="79" t="n">
        <v>18080</v>
      </c>
      <c r="B16" s="164" t="n"/>
      <c r="C16" s="85" t="n"/>
      <c r="D16" s="81" t="n"/>
      <c r="E16" s="81" t="n"/>
    </row>
    <row r="17">
      <c r="A17" s="79" t="n">
        <v>18172</v>
      </c>
      <c r="B17" s="164" t="n"/>
      <c r="C17" s="85" t="n"/>
      <c r="D17" s="81" t="n"/>
      <c r="E17" s="81" t="n"/>
    </row>
    <row r="18">
      <c r="A18" s="79" t="n">
        <v>18264</v>
      </c>
      <c r="B18" s="164" t="n"/>
      <c r="C18" s="85" t="n"/>
      <c r="D18" s="81" t="n"/>
      <c r="E18" s="81" t="n"/>
    </row>
    <row r="19">
      <c r="A19" s="79" t="n">
        <v>18354</v>
      </c>
      <c r="B19" s="164" t="n"/>
      <c r="C19" s="85" t="n"/>
      <c r="D19" s="81" t="n"/>
      <c r="E19" s="81" t="n"/>
    </row>
    <row r="20">
      <c r="A20" s="79" t="n">
        <v>18445</v>
      </c>
      <c r="B20" s="164" t="n"/>
      <c r="C20" s="85" t="n"/>
      <c r="D20" s="81" t="n"/>
      <c r="E20" s="81" t="n"/>
    </row>
    <row r="21">
      <c r="A21" s="79" t="n">
        <v>18537</v>
      </c>
      <c r="B21" s="164" t="n"/>
      <c r="C21" s="85" t="n"/>
      <c r="D21" s="81" t="n"/>
      <c r="E21" s="81" t="n"/>
    </row>
    <row r="22">
      <c r="A22" s="79" t="n">
        <v>18629</v>
      </c>
      <c r="B22" s="164" t="n"/>
      <c r="C22" s="85" t="n"/>
      <c r="D22" s="81" t="n"/>
      <c r="E22" s="81" t="n"/>
    </row>
    <row r="23">
      <c r="A23" s="79" t="n">
        <v>18719</v>
      </c>
      <c r="B23" s="164" t="n"/>
      <c r="C23" s="85" t="n"/>
      <c r="D23" s="81" t="n"/>
      <c r="E23" s="81" t="n"/>
    </row>
    <row r="24">
      <c r="A24" s="79" t="n">
        <v>18810</v>
      </c>
      <c r="B24" s="164" t="n"/>
      <c r="C24" s="85" t="n"/>
      <c r="D24" s="81" t="n"/>
      <c r="E24" s="81" t="n"/>
    </row>
    <row r="25">
      <c r="A25" s="79" t="n">
        <v>18902</v>
      </c>
      <c r="B25" s="164" t="n"/>
      <c r="C25" s="85" t="n"/>
      <c r="D25" s="81" t="n"/>
      <c r="E25" s="81" t="n"/>
    </row>
    <row r="26">
      <c r="A26" s="79" t="n">
        <v>18994</v>
      </c>
      <c r="B26" s="164" t="n"/>
      <c r="C26" s="85" t="n"/>
      <c r="D26" s="81" t="n"/>
      <c r="E26" s="81" t="n"/>
    </row>
    <row r="27">
      <c r="A27" s="79" t="n">
        <v>19085</v>
      </c>
      <c r="B27" s="164" t="n"/>
      <c r="C27" s="85" t="n"/>
      <c r="D27" s="81" t="n"/>
      <c r="E27" s="81" t="n"/>
    </row>
    <row r="28">
      <c r="A28" s="79" t="n">
        <v>19176</v>
      </c>
      <c r="B28" s="164" t="n"/>
      <c r="C28" s="85" t="n"/>
      <c r="D28" s="81" t="n"/>
      <c r="E28" s="81" t="n"/>
    </row>
    <row r="29">
      <c r="A29" s="79" t="n">
        <v>19268</v>
      </c>
      <c r="B29" s="164" t="n"/>
      <c r="C29" s="85" t="n"/>
      <c r="D29" s="81" t="n"/>
      <c r="E29" s="81" t="n"/>
    </row>
    <row r="30">
      <c r="A30" s="79" t="n">
        <v>19360</v>
      </c>
      <c r="B30" s="164" t="n"/>
      <c r="C30" s="85" t="n"/>
      <c r="D30" s="81" t="n"/>
      <c r="E30" s="81" t="n"/>
    </row>
    <row r="31">
      <c r="A31" s="79" t="n">
        <v>19450</v>
      </c>
      <c r="B31" s="164" t="n"/>
      <c r="C31" s="85" t="n"/>
      <c r="D31" s="81" t="n"/>
      <c r="E31" s="81" t="n"/>
    </row>
    <row r="32">
      <c r="A32" s="79" t="n">
        <v>19541</v>
      </c>
      <c r="B32" s="164" t="n"/>
      <c r="C32" s="85" t="n"/>
      <c r="D32" s="81" t="n"/>
      <c r="E32" s="81" t="n"/>
    </row>
    <row r="33">
      <c r="A33" s="79" t="n">
        <v>19633</v>
      </c>
      <c r="B33" s="164" t="n"/>
      <c r="C33" s="85" t="n"/>
      <c r="D33" s="81" t="n"/>
      <c r="E33" s="81" t="n"/>
    </row>
    <row r="34">
      <c r="A34" s="79" t="n">
        <v>19725</v>
      </c>
      <c r="B34" s="164" t="n"/>
      <c r="C34" s="85" t="n"/>
      <c r="D34" s="81" t="n"/>
      <c r="E34" s="81" t="n"/>
    </row>
    <row r="35">
      <c r="A35" s="79" t="n">
        <v>19815</v>
      </c>
      <c r="B35" s="164" t="n"/>
      <c r="C35" s="85" t="n"/>
      <c r="D35" s="81" t="n"/>
      <c r="E35" s="81" t="n"/>
    </row>
    <row r="36">
      <c r="A36" s="79" t="n">
        <v>19906</v>
      </c>
      <c r="B36" s="164" t="n"/>
      <c r="C36" s="85" t="n"/>
      <c r="D36" s="81" t="n"/>
      <c r="E36" s="81" t="n"/>
    </row>
    <row r="37">
      <c r="A37" s="79" t="n">
        <v>19998</v>
      </c>
      <c r="B37" s="164" t="n"/>
      <c r="C37" s="85" t="n"/>
      <c r="D37" s="81" t="n"/>
      <c r="E37" s="81" t="n"/>
    </row>
    <row r="38">
      <c r="A38" s="79" t="n">
        <v>20090</v>
      </c>
      <c r="B38" s="164" t="n"/>
      <c r="C38" s="85" t="n"/>
      <c r="D38" s="81" t="n"/>
      <c r="E38" s="81" t="n"/>
    </row>
    <row r="39">
      <c r="A39" s="79" t="n">
        <v>20180</v>
      </c>
      <c r="B39" s="164" t="n"/>
      <c r="C39" s="85" t="n"/>
      <c r="D39" s="81" t="n"/>
      <c r="E39" s="81" t="n"/>
    </row>
    <row r="40">
      <c r="A40" s="79" t="n">
        <v>20271</v>
      </c>
      <c r="B40" s="164" t="n"/>
      <c r="C40" s="85" t="n"/>
      <c r="D40" s="81" t="n"/>
      <c r="E40" s="81" t="n"/>
    </row>
    <row r="41">
      <c r="A41" s="79" t="n">
        <v>20363</v>
      </c>
      <c r="B41" s="164" t="n"/>
      <c r="C41" s="85" t="n"/>
      <c r="D41" s="81" t="n"/>
      <c r="E41" s="81" t="n"/>
    </row>
    <row r="42">
      <c r="A42" s="79" t="n">
        <v>20455</v>
      </c>
      <c r="B42" s="164" t="n"/>
      <c r="C42" s="85" t="n"/>
      <c r="D42" s="81" t="n"/>
      <c r="E42" s="81" t="n"/>
    </row>
    <row r="43">
      <c r="A43" s="79" t="n">
        <v>20546</v>
      </c>
      <c r="B43" s="164" t="n"/>
      <c r="C43" s="85" t="n"/>
      <c r="D43" s="81" t="n"/>
      <c r="E43" s="81" t="n"/>
    </row>
    <row r="44">
      <c r="A44" s="79" t="n">
        <v>20637</v>
      </c>
      <c r="B44" s="164" t="n"/>
      <c r="C44" s="85" t="n"/>
      <c r="D44" s="81" t="n"/>
      <c r="E44" s="81" t="n"/>
    </row>
    <row r="45">
      <c r="A45" s="79" t="n">
        <v>20729</v>
      </c>
      <c r="B45" s="164" t="n"/>
      <c r="C45" s="85" t="n"/>
      <c r="D45" s="81" t="n"/>
      <c r="E45" s="81" t="n"/>
    </row>
    <row r="46">
      <c r="A46" s="79" t="n">
        <v>20821</v>
      </c>
      <c r="B46" s="164" t="n"/>
      <c r="C46" s="85" t="n"/>
      <c r="D46" s="81" t="n"/>
      <c r="E46" s="81" t="n"/>
    </row>
    <row r="47">
      <c r="A47" s="79" t="n">
        <v>20911</v>
      </c>
      <c r="B47" s="164" t="n"/>
      <c r="C47" s="85" t="n"/>
      <c r="D47" s="81" t="n"/>
      <c r="E47" s="81" t="n"/>
    </row>
    <row r="48">
      <c r="A48" s="79" t="n">
        <v>21002</v>
      </c>
      <c r="B48" s="164" t="n"/>
      <c r="C48" s="85" t="n"/>
      <c r="D48" s="81" t="n"/>
      <c r="E48" s="81" t="n"/>
    </row>
    <row r="49">
      <c r="A49" s="79" t="n">
        <v>21094</v>
      </c>
      <c r="B49" s="164" t="n"/>
      <c r="C49" s="85" t="n"/>
      <c r="D49" s="81" t="n"/>
      <c r="E49" s="81" t="n"/>
    </row>
    <row r="50">
      <c r="A50" s="79" t="n">
        <v>21186</v>
      </c>
      <c r="B50" s="164" t="n"/>
      <c r="C50" s="85" t="n"/>
      <c r="D50" s="81" t="n"/>
      <c r="E50" s="81" t="n"/>
    </row>
    <row r="51">
      <c r="A51" s="79" t="n">
        <v>21276</v>
      </c>
      <c r="B51" s="164" t="n"/>
      <c r="C51" s="85" t="n"/>
      <c r="D51" s="81" t="n"/>
      <c r="E51" s="81" t="n"/>
    </row>
    <row r="52">
      <c r="A52" s="79" t="n">
        <v>21367</v>
      </c>
      <c r="B52" s="164" t="n"/>
      <c r="C52" s="85" t="n"/>
      <c r="D52" s="81" t="n"/>
      <c r="E52" s="81" t="n"/>
    </row>
    <row r="53">
      <c r="A53" s="79" t="n">
        <v>21459</v>
      </c>
      <c r="B53" s="164" t="n"/>
      <c r="C53" s="85" t="n"/>
      <c r="D53" s="81" t="n"/>
      <c r="E53" s="81" t="n"/>
    </row>
    <row r="54">
      <c r="A54" s="79" t="n">
        <v>21551</v>
      </c>
      <c r="B54" s="164">
        <f>VLOOKUP(A54,Database!A:L,MATCH($A$1,Database!$A$1:$L$1,),)</f>
        <v/>
      </c>
      <c r="C54" s="85" t="n"/>
      <c r="D54" s="81" t="n"/>
      <c r="E54" s="81" t="n"/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 t="n"/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 t="n"/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 t="n"/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125" min="1" max="1"/>
    <col width="35.83203125" customWidth="1" style="125" min="2" max="2"/>
    <col width="9.1640625" customWidth="1" style="125" min="3" max="12"/>
    <col width="9.1640625" customWidth="1" style="39" min="13" max="13"/>
    <col width="9.1640625" customWidth="1" style="125" min="14" max="16384"/>
  </cols>
  <sheetData>
    <row r="1" ht="18" customHeight="1" s="126">
      <c r="A1" s="147" t="inlineStr">
        <is>
          <t>Table 1.1.6. Real Gross Domestic Product, Chained Dollars</t>
        </is>
      </c>
      <c r="Q1" s="125" t="inlineStr">
        <is>
          <t>https://fred.stlouisfed.org/release/tables?eid=13026&amp;rid=53</t>
        </is>
      </c>
    </row>
    <row r="2" ht="17" customHeight="1" s="126">
      <c r="A2" s="149" t="inlineStr">
        <is>
          <t>[Billions of chained (2009) dollars] Seasonally adjusted at annual rates</t>
        </is>
      </c>
    </row>
    <row r="3">
      <c r="A3" s="148" t="inlineStr">
        <is>
          <t>Bureau of Economic Analysis</t>
        </is>
      </c>
    </row>
    <row r="4">
      <c r="A4" s="148" t="inlineStr">
        <is>
          <t>Last Revised on: May 30, 2018 - Next Release Date June 28, 2018</t>
        </is>
      </c>
    </row>
    <row r="6">
      <c r="A6" s="150" t="inlineStr">
        <is>
          <t>Line</t>
        </is>
      </c>
      <c r="B6" s="150" t="inlineStr"/>
      <c r="C6" s="150" t="inlineStr">
        <is>
          <t>2016</t>
        </is>
      </c>
      <c r="D6" s="175" t="n"/>
      <c r="E6" s="175" t="n"/>
      <c r="F6" s="176" t="n"/>
      <c r="G6" s="150" t="inlineStr">
        <is>
          <t>2017</t>
        </is>
      </c>
      <c r="H6" s="175" t="n"/>
      <c r="I6" s="175" t="n"/>
      <c r="J6" s="176" t="n"/>
      <c r="K6" s="150" t="inlineStr">
        <is>
          <t>2018</t>
        </is>
      </c>
    </row>
    <row r="7">
      <c r="A7" s="177" t="n"/>
      <c r="B7" s="177" t="n"/>
      <c r="C7" s="150" t="inlineStr">
        <is>
          <t>Q1</t>
        </is>
      </c>
      <c r="D7" s="150" t="inlineStr">
        <is>
          <t>Q2</t>
        </is>
      </c>
      <c r="E7" s="150" t="inlineStr">
        <is>
          <t>Q3</t>
        </is>
      </c>
      <c r="F7" s="150" t="inlineStr">
        <is>
          <t>Q4</t>
        </is>
      </c>
      <c r="G7" s="150" t="inlineStr">
        <is>
          <t>Q1</t>
        </is>
      </c>
      <c r="H7" s="150" t="inlineStr">
        <is>
          <t>Q2</t>
        </is>
      </c>
      <c r="I7" s="150" t="inlineStr">
        <is>
          <t>Q3</t>
        </is>
      </c>
      <c r="J7" s="150" t="inlineStr">
        <is>
          <t>Q4</t>
        </is>
      </c>
      <c r="K7" s="150" t="inlineStr">
        <is>
          <t>Q1</t>
        </is>
      </c>
    </row>
    <row r="8">
      <c r="A8" s="148" t="inlineStr">
        <is>
          <t>1</t>
        </is>
      </c>
      <c r="B8" s="41" t="inlineStr">
        <is>
          <t xml:space="preserve">        Gross domestic product</t>
        </is>
      </c>
      <c r="C8" s="148" t="n">
        <v>16571.6</v>
      </c>
      <c r="D8" s="148" t="n">
        <v>16663.5</v>
      </c>
      <c r="E8" s="148" t="n">
        <v>16778.1</v>
      </c>
      <c r="F8" s="148" t="n">
        <v>16851.4</v>
      </c>
      <c r="G8" s="148" t="n">
        <v>16903.2</v>
      </c>
      <c r="H8" s="148" t="n">
        <v>17031.1</v>
      </c>
      <c r="I8" s="148" t="n">
        <v>17163.9</v>
      </c>
      <c r="J8" s="148" t="n">
        <v>17286.5</v>
      </c>
      <c r="K8" s="148" t="n">
        <v>17379.7</v>
      </c>
    </row>
    <row r="9">
      <c r="A9" s="148" t="inlineStr">
        <is>
          <t>2</t>
        </is>
      </c>
      <c r="B9" s="41" t="inlineStr">
        <is>
          <t>Personal consumption expenditures</t>
        </is>
      </c>
      <c r="C9" s="148" t="n">
        <v>11430.5</v>
      </c>
      <c r="D9" s="148" t="n">
        <v>11537.7</v>
      </c>
      <c r="E9" s="148" t="n">
        <v>11618.1</v>
      </c>
      <c r="F9" s="148" t="n">
        <v>11702.1</v>
      </c>
      <c r="G9" s="148" t="n">
        <v>11758</v>
      </c>
      <c r="H9" s="148" t="n">
        <v>11853</v>
      </c>
      <c r="I9" s="148" t="n">
        <v>11916.6</v>
      </c>
      <c r="J9" s="148" t="n">
        <v>12035.2</v>
      </c>
      <c r="K9" s="148" t="n">
        <v>12065.9</v>
      </c>
      <c r="M9" s="39">
        <f>K9/K8</f>
        <v/>
      </c>
    </row>
    <row r="10">
      <c r="A10" s="148" t="inlineStr">
        <is>
          <t>3</t>
        </is>
      </c>
      <c r="B10" s="148" t="inlineStr">
        <is>
          <t xml:space="preserve">    Goods</t>
        </is>
      </c>
      <c r="C10" s="148" t="n">
        <v>4000.4</v>
      </c>
      <c r="D10" s="148" t="n">
        <v>4059.1</v>
      </c>
      <c r="E10" s="148" t="n">
        <v>4090.8</v>
      </c>
      <c r="F10" s="148" t="n">
        <v>4138.4</v>
      </c>
      <c r="G10" s="148" t="n">
        <v>4145.4</v>
      </c>
      <c r="H10" s="148" t="n">
        <v>4199.9</v>
      </c>
      <c r="I10" s="148" t="n">
        <v>4246</v>
      </c>
      <c r="J10" s="148" t="n">
        <v>4326.2</v>
      </c>
      <c r="K10" s="148" t="n">
        <v>4319.7</v>
      </c>
    </row>
    <row r="11">
      <c r="A11" s="148" t="inlineStr">
        <is>
          <t>4</t>
        </is>
      </c>
      <c r="B11" s="148" t="inlineStr">
        <is>
          <t xml:space="preserve">        Durable goods</t>
        </is>
      </c>
      <c r="C11" s="148" t="n">
        <v>1544.4</v>
      </c>
      <c r="D11" s="148" t="n">
        <v>1576.2</v>
      </c>
      <c r="E11" s="148" t="n">
        <v>1611.9</v>
      </c>
      <c r="F11" s="148" t="n">
        <v>1647.9</v>
      </c>
      <c r="G11" s="148" t="n">
        <v>1647.3</v>
      </c>
      <c r="H11" s="148" t="n">
        <v>1677.8</v>
      </c>
      <c r="I11" s="148" t="n">
        <v>1712.9</v>
      </c>
      <c r="J11" s="148" t="n">
        <v>1768.6</v>
      </c>
      <c r="K11" s="148" t="n">
        <v>1757.2</v>
      </c>
    </row>
    <row r="12">
      <c r="A12" s="148" t="inlineStr">
        <is>
          <t>5</t>
        </is>
      </c>
      <c r="B12" s="148" t="inlineStr">
        <is>
          <t xml:space="preserve">        Nondurable goods</t>
        </is>
      </c>
      <c r="C12" s="148" t="n">
        <v>2488.6</v>
      </c>
      <c r="D12" s="148" t="n">
        <v>2517.5</v>
      </c>
      <c r="E12" s="148" t="n">
        <v>2517.9</v>
      </c>
      <c r="F12" s="148" t="n">
        <v>2533.2</v>
      </c>
      <c r="G12" s="148" t="n">
        <v>2540.2</v>
      </c>
      <c r="H12" s="148" t="n">
        <v>2566.6</v>
      </c>
      <c r="I12" s="148" t="n">
        <v>2581.5</v>
      </c>
      <c r="J12" s="148" t="n">
        <v>2611.9</v>
      </c>
      <c r="K12" s="148" t="n">
        <v>2614.8</v>
      </c>
    </row>
    <row r="13">
      <c r="A13" s="148" t="inlineStr">
        <is>
          <t>6</t>
        </is>
      </c>
      <c r="B13" s="148" t="inlineStr">
        <is>
          <t xml:space="preserve">    Services</t>
        </is>
      </c>
      <c r="C13" s="148" t="n">
        <v>7434.7</v>
      </c>
      <c r="D13" s="148" t="n">
        <v>7485.7</v>
      </c>
      <c r="E13" s="148" t="n">
        <v>7534.9</v>
      </c>
      <c r="F13" s="148" t="n">
        <v>7573.8</v>
      </c>
      <c r="G13" s="148" t="n">
        <v>7621</v>
      </c>
      <c r="H13" s="148" t="n">
        <v>7664.4</v>
      </c>
      <c r="I13" s="148" t="n">
        <v>7685.5</v>
      </c>
      <c r="J13" s="148" t="n">
        <v>7729.7</v>
      </c>
      <c r="K13" s="148" t="n">
        <v>7764.3</v>
      </c>
    </row>
    <row r="14">
      <c r="A14" s="148" t="inlineStr">
        <is>
          <t>7</t>
        </is>
      </c>
      <c r="B14" s="41" t="inlineStr">
        <is>
          <t>Gross private domestic investment</t>
        </is>
      </c>
      <c r="C14" s="148" t="n">
        <v>2849.8</v>
      </c>
      <c r="D14" s="148" t="n">
        <v>2830.2</v>
      </c>
      <c r="E14" s="148" t="n">
        <v>2847.2</v>
      </c>
      <c r="F14" s="148" t="n">
        <v>2905.7</v>
      </c>
      <c r="G14" s="148" t="n">
        <v>2897</v>
      </c>
      <c r="H14" s="148" t="n">
        <v>2924.7</v>
      </c>
      <c r="I14" s="148" t="n">
        <v>2976.5</v>
      </c>
      <c r="J14" s="148" t="n">
        <v>3011.1</v>
      </c>
      <c r="K14" s="148" t="n">
        <v>3064.1</v>
      </c>
      <c r="M14" s="39">
        <f>K14/K8</f>
        <v/>
      </c>
    </row>
    <row r="15">
      <c r="A15" s="148" t="inlineStr">
        <is>
          <t>8</t>
        </is>
      </c>
      <c r="B15" s="148" t="inlineStr">
        <is>
          <t xml:space="preserve">    Fixed investment</t>
        </is>
      </c>
      <c r="C15" s="148" t="n">
        <v>2787.8</v>
      </c>
      <c r="D15" s="148" t="n">
        <v>2797.5</v>
      </c>
      <c r="E15" s="148" t="n">
        <v>2808.2</v>
      </c>
      <c r="F15" s="148" t="n">
        <v>2820.3</v>
      </c>
      <c r="G15" s="148" t="n">
        <v>2875.7</v>
      </c>
      <c r="H15" s="148" t="n">
        <v>2898.5</v>
      </c>
      <c r="I15" s="148" t="n">
        <v>2915.8</v>
      </c>
      <c r="J15" s="148" t="n">
        <v>2973.7</v>
      </c>
      <c r="K15" s="148" t="n">
        <v>3020.7</v>
      </c>
    </row>
    <row r="16">
      <c r="A16" s="148" t="inlineStr">
        <is>
          <t>9</t>
        </is>
      </c>
      <c r="B16" s="148" t="inlineStr">
        <is>
          <t xml:space="preserve">        Nonresidential</t>
        </is>
      </c>
      <c r="C16" s="148" t="n">
        <v>2187.5</v>
      </c>
      <c r="D16" s="148" t="n">
        <v>2205.3</v>
      </c>
      <c r="E16" s="148" t="n">
        <v>2224</v>
      </c>
      <c r="F16" s="148" t="n">
        <v>2224.9</v>
      </c>
      <c r="G16" s="148" t="n">
        <v>2263.6</v>
      </c>
      <c r="H16" s="148" t="n">
        <v>2300.6</v>
      </c>
      <c r="I16" s="148" t="n">
        <v>2326.9</v>
      </c>
      <c r="J16" s="148" t="n">
        <v>2365.7</v>
      </c>
      <c r="K16" s="148" t="n">
        <v>2418.2</v>
      </c>
    </row>
    <row r="17">
      <c r="A17" s="148" t="inlineStr">
        <is>
          <t>10</t>
        </is>
      </c>
      <c r="B17" s="148" t="inlineStr">
        <is>
          <t xml:space="preserve">            Structures</t>
        </is>
      </c>
      <c r="C17" s="148" t="n">
        <v>439.1</v>
      </c>
      <c r="D17" s="148" t="n">
        <v>439.7</v>
      </c>
      <c r="E17" s="148" t="n">
        <v>454.6</v>
      </c>
      <c r="F17" s="148" t="n">
        <v>452.1</v>
      </c>
      <c r="G17" s="148" t="n">
        <v>468</v>
      </c>
      <c r="H17" s="148" t="n">
        <v>476</v>
      </c>
      <c r="I17" s="148" t="n">
        <v>467.4</v>
      </c>
      <c r="J17" s="148" t="n">
        <v>474.6</v>
      </c>
      <c r="K17" s="148" t="n">
        <v>490.7</v>
      </c>
    </row>
    <row r="18">
      <c r="A18" s="148" t="inlineStr">
        <is>
          <t>11</t>
        </is>
      </c>
      <c r="B18" s="148" t="inlineStr">
        <is>
          <t xml:space="preserve">            Equipment</t>
        </is>
      </c>
      <c r="C18" s="148" t="n">
        <v>1050.7</v>
      </c>
      <c r="D18" s="148" t="n">
        <v>1049</v>
      </c>
      <c r="E18" s="148" t="n">
        <v>1043.4</v>
      </c>
      <c r="F18" s="148" t="n">
        <v>1048</v>
      </c>
      <c r="G18" s="148" t="n">
        <v>1059.4</v>
      </c>
      <c r="H18" s="148" t="n">
        <v>1082</v>
      </c>
      <c r="I18" s="148" t="n">
        <v>1110.1</v>
      </c>
      <c r="J18" s="148" t="n">
        <v>1140.8</v>
      </c>
      <c r="K18" s="148" t="n">
        <v>1156.2</v>
      </c>
    </row>
    <row r="19">
      <c r="A19" s="148" t="inlineStr">
        <is>
          <t>12</t>
        </is>
      </c>
      <c r="B19" s="148" t="inlineStr">
        <is>
          <t xml:space="preserve">            Intellectual property products</t>
        </is>
      </c>
      <c r="C19" s="148" t="n">
        <v>702.8</v>
      </c>
      <c r="D19" s="148" t="n">
        <v>721.5</v>
      </c>
      <c r="E19" s="148" t="n">
        <v>729</v>
      </c>
      <c r="F19" s="148" t="n">
        <v>728.3</v>
      </c>
      <c r="G19" s="148" t="n">
        <v>738.6</v>
      </c>
      <c r="H19" s="148" t="n">
        <v>745.3</v>
      </c>
      <c r="I19" s="148" t="n">
        <v>754.8</v>
      </c>
      <c r="J19" s="148" t="n">
        <v>756.4</v>
      </c>
      <c r="K19" s="148" t="n">
        <v>776.2</v>
      </c>
    </row>
    <row r="20">
      <c r="A20" s="148" t="inlineStr">
        <is>
          <t>13</t>
        </is>
      </c>
      <c r="B20" s="148" t="inlineStr">
        <is>
          <t xml:space="preserve">        Residential</t>
        </is>
      </c>
      <c r="C20" s="148" t="n">
        <v>593.7</v>
      </c>
      <c r="D20" s="148" t="n">
        <v>586.5</v>
      </c>
      <c r="E20" s="148" t="n">
        <v>579.8</v>
      </c>
      <c r="F20" s="148" t="n">
        <v>589.8</v>
      </c>
      <c r="G20" s="148" t="n">
        <v>605.5</v>
      </c>
      <c r="H20" s="148" t="n">
        <v>594.1</v>
      </c>
      <c r="I20" s="148" t="n">
        <v>587</v>
      </c>
      <c r="J20" s="148" t="n">
        <v>604.9</v>
      </c>
      <c r="K20" s="148" t="n">
        <v>601.9</v>
      </c>
    </row>
    <row r="21">
      <c r="A21" s="148" t="inlineStr">
        <is>
          <t>14</t>
        </is>
      </c>
      <c r="B21" s="148" t="inlineStr">
        <is>
          <t xml:space="preserve">    Change in private inventories</t>
        </is>
      </c>
      <c r="C21" s="148" t="n">
        <v>40.6</v>
      </c>
      <c r="D21" s="148" t="n">
        <v>12.2</v>
      </c>
      <c r="E21" s="148" t="n">
        <v>17.6</v>
      </c>
      <c r="F21" s="148" t="n">
        <v>63.1</v>
      </c>
      <c r="G21" s="148" t="n">
        <v>1.2</v>
      </c>
      <c r="H21" s="148" t="n">
        <v>5.5</v>
      </c>
      <c r="I21" s="148" t="n">
        <v>38.5</v>
      </c>
      <c r="J21" s="148" t="n">
        <v>15.6</v>
      </c>
      <c r="K21" s="148" t="n">
        <v>20.2</v>
      </c>
    </row>
    <row r="22">
      <c r="A22" s="148" t="inlineStr">
        <is>
          <t>15</t>
        </is>
      </c>
      <c r="B22" s="41" t="inlineStr">
        <is>
          <t>Net exports of goods and services</t>
        </is>
      </c>
      <c r="C22" s="148" t="n">
        <v>-584.2</v>
      </c>
      <c r="D22" s="148" t="n">
        <v>-572.4</v>
      </c>
      <c r="E22" s="148" t="n">
        <v>-557.3</v>
      </c>
      <c r="F22" s="148" t="n">
        <v>-631.1</v>
      </c>
      <c r="G22" s="148" t="n">
        <v>-622.2</v>
      </c>
      <c r="H22" s="148" t="n">
        <v>-613.6</v>
      </c>
      <c r="I22" s="148" t="n">
        <v>-597.5</v>
      </c>
      <c r="J22" s="148" t="n">
        <v>-653.9</v>
      </c>
      <c r="K22" s="148" t="n">
        <v>-650.9</v>
      </c>
      <c r="M22" s="39">
        <f>K22/K8</f>
        <v/>
      </c>
    </row>
    <row r="23">
      <c r="A23" s="148" t="inlineStr">
        <is>
          <t>16</t>
        </is>
      </c>
      <c r="B23" s="148" t="inlineStr">
        <is>
          <t xml:space="preserve">    Exports</t>
        </is>
      </c>
      <c r="C23" s="148" t="n">
        <v>2098.1</v>
      </c>
      <c r="D23" s="148" t="n">
        <v>2112.5</v>
      </c>
      <c r="E23" s="148" t="n">
        <v>2145.3</v>
      </c>
      <c r="F23" s="148" t="n">
        <v>2124.4</v>
      </c>
      <c r="G23" s="148" t="n">
        <v>2162.3</v>
      </c>
      <c r="H23" s="148" t="n">
        <v>2181.1</v>
      </c>
      <c r="I23" s="148" t="n">
        <v>2192.4</v>
      </c>
      <c r="J23" s="148" t="n">
        <v>2229.8</v>
      </c>
      <c r="K23" s="148" t="n">
        <v>2252.9</v>
      </c>
      <c r="M23" s="39">
        <f>K23/K8</f>
        <v/>
      </c>
    </row>
    <row r="24">
      <c r="A24" s="148" t="inlineStr">
        <is>
          <t>17</t>
        </is>
      </c>
      <c r="B24" s="148" t="inlineStr">
        <is>
          <t xml:space="preserve">        Goods</t>
        </is>
      </c>
      <c r="C24" s="148" t="n">
        <v>1429.2</v>
      </c>
      <c r="D24" s="148" t="n">
        <v>1439.1</v>
      </c>
      <c r="E24" s="148" t="n">
        <v>1467.2</v>
      </c>
      <c r="F24" s="148" t="n">
        <v>1454.5</v>
      </c>
      <c r="G24" s="148" t="n">
        <v>1492.3</v>
      </c>
      <c r="H24" s="148" t="n">
        <v>1500.4</v>
      </c>
      <c r="I24" s="148" t="n">
        <v>1507.3</v>
      </c>
      <c r="J24" s="148" t="n">
        <v>1549.1</v>
      </c>
      <c r="K24" s="148" t="n">
        <v>1569.6</v>
      </c>
    </row>
    <row r="25">
      <c r="A25" s="148" t="inlineStr">
        <is>
          <t>18</t>
        </is>
      </c>
      <c r="B25" s="148" t="inlineStr">
        <is>
          <t xml:space="preserve">        Services</t>
        </is>
      </c>
      <c r="C25" s="148" t="n">
        <v>668.8</v>
      </c>
      <c r="D25" s="148" t="n">
        <v>673.3</v>
      </c>
      <c r="E25" s="148" t="n">
        <v>678.5</v>
      </c>
      <c r="F25" s="148" t="n">
        <v>670.6</v>
      </c>
      <c r="G25" s="148" t="n">
        <v>672.2</v>
      </c>
      <c r="H25" s="148" t="n">
        <v>682.3</v>
      </c>
      <c r="I25" s="148" t="n">
        <v>686.6</v>
      </c>
      <c r="J25" s="148" t="n">
        <v>684.2</v>
      </c>
      <c r="K25" s="148" t="n">
        <v>687.4</v>
      </c>
    </row>
    <row r="26">
      <c r="A26" s="148" t="inlineStr">
        <is>
          <t>19</t>
        </is>
      </c>
      <c r="B26" s="148" t="inlineStr">
        <is>
          <t xml:space="preserve">    Imports</t>
        </is>
      </c>
      <c r="C26" s="148" t="n">
        <v>2682.3</v>
      </c>
      <c r="D26" s="148" t="n">
        <v>2684.9</v>
      </c>
      <c r="E26" s="148" t="n">
        <v>2702.6</v>
      </c>
      <c r="F26" s="148" t="n">
        <v>2755.5</v>
      </c>
      <c r="G26" s="148" t="n">
        <v>2784.5</v>
      </c>
      <c r="H26" s="148" t="n">
        <v>2794.8</v>
      </c>
      <c r="I26" s="148" t="n">
        <v>2790</v>
      </c>
      <c r="J26" s="148" t="n">
        <v>2883.7</v>
      </c>
      <c r="K26" s="148" t="n">
        <v>2903.8</v>
      </c>
      <c r="M26" s="39">
        <f>K26/K8</f>
        <v/>
      </c>
    </row>
    <row r="27">
      <c r="A27" s="148" t="inlineStr">
        <is>
          <t>20</t>
        </is>
      </c>
      <c r="B27" s="148" t="inlineStr">
        <is>
          <t xml:space="preserve">        Goods</t>
        </is>
      </c>
      <c r="C27" s="148" t="n">
        <v>2203.2</v>
      </c>
      <c r="D27" s="148" t="n">
        <v>2204.6</v>
      </c>
      <c r="E27" s="148" t="n">
        <v>2211.4</v>
      </c>
      <c r="F27" s="148" t="n">
        <v>2260.7</v>
      </c>
      <c r="G27" s="148" t="n">
        <v>2286.7</v>
      </c>
      <c r="H27" s="148" t="n">
        <v>2294.3</v>
      </c>
      <c r="I27" s="148" t="n">
        <v>2292.9</v>
      </c>
      <c r="J27" s="148" t="n">
        <v>2386</v>
      </c>
      <c r="K27" s="148" t="n">
        <v>2399.3</v>
      </c>
    </row>
    <row r="28">
      <c r="A28" s="148" t="inlineStr">
        <is>
          <t>21</t>
        </is>
      </c>
      <c r="B28" s="148" t="inlineStr">
        <is>
          <t xml:space="preserve">        Services</t>
        </is>
      </c>
      <c r="C28" s="148" t="n">
        <v>477</v>
      </c>
      <c r="D28" s="148" t="n">
        <v>478.2</v>
      </c>
      <c r="E28" s="148" t="n">
        <v>488.6</v>
      </c>
      <c r="F28" s="148" t="n">
        <v>492.4</v>
      </c>
      <c r="G28" s="148" t="n">
        <v>495.5</v>
      </c>
      <c r="H28" s="148" t="n">
        <v>498.2</v>
      </c>
      <c r="I28" s="148" t="n">
        <v>494.8</v>
      </c>
      <c r="J28" s="148" t="n">
        <v>496.2</v>
      </c>
      <c r="K28" s="148" t="n">
        <v>502.9</v>
      </c>
    </row>
    <row r="29">
      <c r="A29" s="148" t="inlineStr">
        <is>
          <t>22</t>
        </is>
      </c>
      <c r="B29" s="41" t="inlineStr">
        <is>
          <t>Government consumption expenditures and gross investment</t>
        </is>
      </c>
      <c r="C29" s="148" t="n">
        <v>2903.2</v>
      </c>
      <c r="D29" s="148" t="n">
        <v>2896.3</v>
      </c>
      <c r="E29" s="148" t="n">
        <v>2899.9</v>
      </c>
      <c r="F29" s="148" t="n">
        <v>2901.2</v>
      </c>
      <c r="G29" s="148" t="n">
        <v>2896.6</v>
      </c>
      <c r="H29" s="148" t="n">
        <v>2895.2</v>
      </c>
      <c r="I29" s="148" t="n">
        <v>2900</v>
      </c>
      <c r="J29" s="148" t="n">
        <v>2921.5</v>
      </c>
      <c r="K29" s="148" t="n">
        <v>2929.8</v>
      </c>
      <c r="M29" s="39">
        <f>K29/K8</f>
        <v/>
      </c>
    </row>
    <row r="30">
      <c r="A30" s="148" t="inlineStr">
        <is>
          <t>23</t>
        </is>
      </c>
      <c r="B30" s="148" t="inlineStr">
        <is>
          <t xml:space="preserve">    Federal</t>
        </is>
      </c>
      <c r="C30" s="148" t="n">
        <v>1114.6</v>
      </c>
      <c r="D30" s="148" t="n">
        <v>1112.1</v>
      </c>
      <c r="E30" s="148" t="n">
        <v>1116.5</v>
      </c>
      <c r="F30" s="148" t="n">
        <v>1115.2</v>
      </c>
      <c r="G30" s="148" t="n">
        <v>1108.4</v>
      </c>
      <c r="H30" s="148" t="n">
        <v>1113.7</v>
      </c>
      <c r="I30" s="148" t="n">
        <v>1117.4</v>
      </c>
      <c r="J30" s="148" t="n">
        <v>1126.2</v>
      </c>
      <c r="K30" s="148" t="n">
        <v>1131</v>
      </c>
    </row>
    <row r="31">
      <c r="A31" s="148" t="inlineStr">
        <is>
          <t>24</t>
        </is>
      </c>
      <c r="B31" s="148" t="inlineStr">
        <is>
          <t xml:space="preserve">        National defense</t>
        </is>
      </c>
      <c r="C31" s="148" t="n">
        <v>668.9</v>
      </c>
      <c r="D31" s="148" t="n">
        <v>665.4</v>
      </c>
      <c r="E31" s="148" t="n">
        <v>669.6</v>
      </c>
      <c r="F31" s="148" t="n">
        <v>664.1</v>
      </c>
      <c r="G31" s="148" t="n">
        <v>658.6</v>
      </c>
      <c r="H31" s="148" t="n">
        <v>666.2</v>
      </c>
      <c r="I31" s="148" t="n">
        <v>670.2</v>
      </c>
      <c r="J31" s="148" t="n">
        <v>679.2</v>
      </c>
      <c r="K31" s="148" t="n">
        <v>682.3</v>
      </c>
    </row>
    <row r="32">
      <c r="A32" s="148" t="inlineStr">
        <is>
          <t>25</t>
        </is>
      </c>
      <c r="B32" s="148" t="inlineStr">
        <is>
          <t xml:space="preserve">        Nondefense</t>
        </is>
      </c>
      <c r="C32" s="148" t="n">
        <v>445.1</v>
      </c>
      <c r="D32" s="148" t="n">
        <v>446.1</v>
      </c>
      <c r="E32" s="148" t="n">
        <v>446.4</v>
      </c>
      <c r="F32" s="148" t="n">
        <v>450.3</v>
      </c>
      <c r="G32" s="148" t="n">
        <v>449</v>
      </c>
      <c r="H32" s="148" t="n">
        <v>446.9</v>
      </c>
      <c r="I32" s="148" t="n">
        <v>446.6</v>
      </c>
      <c r="J32" s="148" t="n">
        <v>446.5</v>
      </c>
      <c r="K32" s="148" t="n">
        <v>448.3</v>
      </c>
    </row>
    <row r="33">
      <c r="A33" s="148" t="inlineStr">
        <is>
          <t>26</t>
        </is>
      </c>
      <c r="B33" s="148" t="inlineStr">
        <is>
          <t xml:space="preserve">    State and local</t>
        </is>
      </c>
      <c r="C33" s="148" t="n">
        <v>1786.6</v>
      </c>
      <c r="D33" s="148" t="n">
        <v>1782.3</v>
      </c>
      <c r="E33" s="148" t="n">
        <v>1781.6</v>
      </c>
      <c r="F33" s="148" t="n">
        <v>1784.1</v>
      </c>
      <c r="G33" s="148" t="n">
        <v>1786.2</v>
      </c>
      <c r="H33" s="148" t="n">
        <v>1779.6</v>
      </c>
      <c r="I33" s="148" t="n">
        <v>1780.7</v>
      </c>
      <c r="J33" s="148" t="n">
        <v>1793.5</v>
      </c>
      <c r="K33" s="148" t="n">
        <v>1797</v>
      </c>
    </row>
    <row r="34">
      <c r="A34" s="148" t="inlineStr">
        <is>
          <t>27</t>
        </is>
      </c>
      <c r="B34" s="148" t="inlineStr">
        <is>
          <t>Residual</t>
        </is>
      </c>
      <c r="C34" s="148" t="n">
        <v>-41.4</v>
      </c>
      <c r="D34" s="148" t="n">
        <v>-48.2</v>
      </c>
      <c r="E34" s="148" t="n">
        <v>-54.2</v>
      </c>
      <c r="F34" s="148" t="n">
        <v>-55.2</v>
      </c>
      <c r="G34" s="148" t="n">
        <v>-54</v>
      </c>
      <c r="H34" s="148" t="n">
        <v>-63.5</v>
      </c>
      <c r="I34" s="148" t="n">
        <v>-77.40000000000001</v>
      </c>
      <c r="J34" s="148" t="n">
        <v>-86.3</v>
      </c>
      <c r="K34" s="148" t="n">
        <v>-84.09999999999999</v>
      </c>
    </row>
    <row r="35" ht="15.75" customHeight="1" s="126">
      <c r="A35" s="151" t="inlineStr">
        <is>
          <t>Legend / Footnotes:</t>
        </is>
      </c>
    </row>
    <row r="36" ht="15" customHeight="1" s="126">
      <c r="A36" s="152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39">
        <f>M29+M22+M14+M9</f>
        <v/>
      </c>
    </row>
    <row r="42">
      <c r="A42" s="125" t="inlineStr">
        <is>
          <t>Table 1.1.6. Real Gross Domestic Product, Chained Dollars</t>
        </is>
      </c>
    </row>
    <row r="43" ht="16" customHeight="1" s="126" thickBot="1"/>
    <row r="44">
      <c r="A44" s="125" t="inlineStr">
        <is>
          <t>Line</t>
        </is>
      </c>
      <c r="B44" s="42" t="n"/>
      <c r="C44" s="43" t="inlineStr">
        <is>
          <t>Q3 2019</t>
        </is>
      </c>
      <c r="D44" s="43" t="inlineStr">
        <is>
          <t>Q2 2019</t>
        </is>
      </c>
      <c r="E44" s="43" t="inlineStr">
        <is>
          <t>Q3 2018</t>
        </is>
      </c>
      <c r="F44" s="44" t="n"/>
      <c r="G44" s="45" t="inlineStr">
        <is>
          <t>% of GDP</t>
        </is>
      </c>
    </row>
    <row r="45">
      <c r="A45" s="125" t="inlineStr">
        <is>
          <t xml:space="preserve"> </t>
        </is>
      </c>
      <c r="B45" s="46" t="inlineStr">
        <is>
          <t>1Gross domestic product</t>
        </is>
      </c>
      <c r="C45" s="11" t="n">
        <v>19122.1</v>
      </c>
      <c r="D45" s="11" t="n">
        <v>19021.9</v>
      </c>
      <c r="E45" s="11" t="n">
        <v>18732.7</v>
      </c>
      <c r="F45" s="12" t="n"/>
      <c r="G45" s="13" t="n"/>
      <c r="Q45" s="125" t="inlineStr">
        <is>
          <t>1Gross domestic product</t>
        </is>
      </c>
      <c r="R45" s="125" t="inlineStr">
        <is>
          <t>Q1 1947</t>
        </is>
      </c>
      <c r="S45" s="47" t="n">
        <v>2033.061</v>
      </c>
      <c r="T45" s="47" t="n">
        <v>2033.061</v>
      </c>
      <c r="U45" s="39" t="inlineStr">
        <is>
          <t>.</t>
        </is>
      </c>
    </row>
    <row r="46">
      <c r="A46" s="125" t="inlineStr">
        <is>
          <t xml:space="preserve"> </t>
        </is>
      </c>
      <c r="B46" s="46" t="inlineStr">
        <is>
          <t>2Personal consumption expenditures</t>
        </is>
      </c>
      <c r="C46" s="11" t="n">
        <v>13345.6</v>
      </c>
      <c r="D46" s="11" t="n">
        <v>13250</v>
      </c>
      <c r="E46" s="11" t="n">
        <v>13019.8</v>
      </c>
      <c r="F46" s="48" t="inlineStr">
        <is>
          <t>C =</t>
        </is>
      </c>
      <c r="G46" s="13">
        <f>C46/C45</f>
        <v/>
      </c>
      <c r="Q46" s="125" t="inlineStr">
        <is>
          <t xml:space="preserve"> </t>
        </is>
      </c>
      <c r="R46" s="125" t="inlineStr">
        <is>
          <t>2Personal consumption expenditures</t>
        </is>
      </c>
      <c r="S46" s="125" t="inlineStr">
        <is>
          <t>Q1 1947</t>
        </is>
      </c>
      <c r="T46" s="47" t="n">
        <v>1274.952</v>
      </c>
      <c r="U46" s="39" t="inlineStr">
        <is>
          <t>.</t>
        </is>
      </c>
      <c r="V46" s="125" t="inlineStr">
        <is>
          <t>.</t>
        </is>
      </c>
      <c r="W46" s="39">
        <f>T46/T45</f>
        <v/>
      </c>
    </row>
    <row r="47">
      <c r="A47" s="125" t="inlineStr">
        <is>
          <t xml:space="preserve"> </t>
        </is>
      </c>
      <c r="B47" s="49" t="inlineStr">
        <is>
          <t>3Goods</t>
        </is>
      </c>
      <c r="C47" s="11" t="n">
        <v>4812.1</v>
      </c>
      <c r="D47" s="11" t="n">
        <v>4746.4</v>
      </c>
      <c r="E47" s="11" t="n">
        <v>4614</v>
      </c>
      <c r="F47" s="12" t="n"/>
      <c r="G47" s="13" t="n"/>
      <c r="Q47" s="125" t="inlineStr">
        <is>
          <t xml:space="preserve"> </t>
        </is>
      </c>
      <c r="R47" s="125" t="inlineStr">
        <is>
          <t>3Goods</t>
        </is>
      </c>
      <c r="S47" s="125" t="inlineStr">
        <is>
          <t>.</t>
        </is>
      </c>
      <c r="T47" s="125" t="inlineStr">
        <is>
          <t>.</t>
        </is>
      </c>
      <c r="U47" s="39" t="inlineStr">
        <is>
          <t>.</t>
        </is>
      </c>
      <c r="V47" s="125" t="inlineStr">
        <is>
          <t>.</t>
        </is>
      </c>
      <c r="W47" s="39" t="n"/>
    </row>
    <row r="48">
      <c r="A48" s="125" t="inlineStr">
        <is>
          <t xml:space="preserve"> </t>
        </is>
      </c>
      <c r="B48" s="49" t="inlineStr">
        <is>
          <t>4Durable goods</t>
        </is>
      </c>
      <c r="C48" s="11" t="n">
        <v>1794.7</v>
      </c>
      <c r="D48" s="11" t="n">
        <v>1759.3</v>
      </c>
      <c r="E48" s="11" t="n">
        <v>1699.8</v>
      </c>
      <c r="F48" s="12" t="n"/>
      <c r="G48" s="13" t="n"/>
      <c r="Q48" s="125" t="inlineStr">
        <is>
          <t xml:space="preserve"> </t>
        </is>
      </c>
      <c r="R48" s="125" t="inlineStr">
        <is>
          <t>4Durable goods</t>
        </is>
      </c>
      <c r="S48" s="125" t="inlineStr">
        <is>
          <t>.</t>
        </is>
      </c>
      <c r="T48" s="125" t="inlineStr">
        <is>
          <t>.</t>
        </is>
      </c>
      <c r="U48" s="39" t="inlineStr">
        <is>
          <t>.</t>
        </is>
      </c>
      <c r="V48" s="125" t="inlineStr">
        <is>
          <t>.</t>
        </is>
      </c>
      <c r="W48" s="39" t="n"/>
    </row>
    <row r="49">
      <c r="A49" s="125" t="inlineStr">
        <is>
          <t xml:space="preserve"> </t>
        </is>
      </c>
      <c r="B49" s="49" t="inlineStr">
        <is>
          <t>5Nondurable goods</t>
        </is>
      </c>
      <c r="C49" s="11" t="n">
        <v>3033.2</v>
      </c>
      <c r="D49" s="11" t="n">
        <v>3001.3</v>
      </c>
      <c r="E49" s="11" t="n">
        <v>2926.6</v>
      </c>
      <c r="F49" s="12" t="n"/>
      <c r="G49" s="13" t="n"/>
      <c r="Q49" s="125" t="inlineStr">
        <is>
          <t xml:space="preserve"> </t>
        </is>
      </c>
      <c r="R49" s="125" t="inlineStr">
        <is>
          <t>5Nondurable goods</t>
        </is>
      </c>
      <c r="S49" s="125" t="inlineStr">
        <is>
          <t>.</t>
        </is>
      </c>
      <c r="T49" s="125" t="inlineStr">
        <is>
          <t>.</t>
        </is>
      </c>
      <c r="U49" s="39" t="inlineStr">
        <is>
          <t>.</t>
        </is>
      </c>
      <c r="V49" s="125" t="inlineStr">
        <is>
          <t>.</t>
        </is>
      </c>
      <c r="W49" s="39" t="n"/>
    </row>
    <row r="50">
      <c r="A50" s="125" t="inlineStr">
        <is>
          <t xml:space="preserve"> </t>
        </is>
      </c>
      <c r="B50" s="49" t="inlineStr">
        <is>
          <t>6Services</t>
        </is>
      </c>
      <c r="C50" s="11" t="n">
        <v>8577.6</v>
      </c>
      <c r="D50" s="11" t="n">
        <v>8541.4</v>
      </c>
      <c r="E50" s="11" t="n">
        <v>8433.6</v>
      </c>
      <c r="F50" s="12" t="n"/>
      <c r="G50" s="13" t="n"/>
      <c r="Q50" s="125" t="inlineStr">
        <is>
          <t xml:space="preserve"> </t>
        </is>
      </c>
      <c r="R50" s="125" t="inlineStr">
        <is>
          <t>6Services</t>
        </is>
      </c>
      <c r="S50" s="125" t="inlineStr">
        <is>
          <t>.</t>
        </is>
      </c>
      <c r="T50" s="125" t="inlineStr">
        <is>
          <t>.</t>
        </is>
      </c>
      <c r="U50" s="39" t="inlineStr">
        <is>
          <t>.</t>
        </is>
      </c>
      <c r="V50" s="125" t="inlineStr">
        <is>
          <t>.</t>
        </is>
      </c>
      <c r="W50" s="39" t="n"/>
    </row>
    <row r="51">
      <c r="A51" s="125" t="inlineStr">
        <is>
          <t xml:space="preserve"> </t>
        </is>
      </c>
      <c r="B51" s="46" t="inlineStr">
        <is>
          <t>7Gross private domestic investment</t>
        </is>
      </c>
      <c r="C51" s="11" t="n">
        <v>3423.9</v>
      </c>
      <c r="D51" s="11" t="n">
        <v>3424.7</v>
      </c>
      <c r="E51" s="11" t="n">
        <v>3404.2</v>
      </c>
      <c r="F51" s="48" t="inlineStr">
        <is>
          <t>I =</t>
        </is>
      </c>
      <c r="G51" s="13">
        <f>C51/C45</f>
        <v/>
      </c>
      <c r="Q51" s="125" t="inlineStr">
        <is>
          <t xml:space="preserve"> </t>
        </is>
      </c>
      <c r="R51" s="125" t="inlineStr">
        <is>
          <t>7Gross private domestic investment</t>
        </is>
      </c>
      <c r="S51" s="125" t="inlineStr">
        <is>
          <t>Q1 1947</t>
        </is>
      </c>
      <c r="T51" s="125" t="n">
        <v>218.091</v>
      </c>
      <c r="U51" s="39" t="inlineStr">
        <is>
          <t>.</t>
        </is>
      </c>
      <c r="V51" s="125" t="inlineStr">
        <is>
          <t>.</t>
        </is>
      </c>
      <c r="W51" s="39">
        <f>T51/T45</f>
        <v/>
      </c>
    </row>
    <row r="52">
      <c r="A52" s="125" t="inlineStr">
        <is>
          <t xml:space="preserve"> </t>
        </is>
      </c>
      <c r="B52" s="49" t="inlineStr">
        <is>
          <t>8Fixed investment</t>
        </is>
      </c>
      <c r="C52" s="11" t="n">
        <v>3328.7</v>
      </c>
      <c r="D52" s="11" t="n">
        <v>3337.4</v>
      </c>
      <c r="E52" s="11" t="n">
        <v>3301.3</v>
      </c>
      <c r="F52" s="12" t="n"/>
      <c r="G52" s="13" t="n"/>
      <c r="Q52" s="125" t="inlineStr">
        <is>
          <t xml:space="preserve"> </t>
        </is>
      </c>
      <c r="R52" s="125" t="inlineStr">
        <is>
          <t>8Fixed investment</t>
        </is>
      </c>
      <c r="S52" s="125" t="inlineStr">
        <is>
          <t>.</t>
        </is>
      </c>
      <c r="T52" s="125" t="inlineStr">
        <is>
          <t>.</t>
        </is>
      </c>
      <c r="U52" s="39" t="inlineStr">
        <is>
          <t>.</t>
        </is>
      </c>
      <c r="V52" s="125" t="inlineStr">
        <is>
          <t>.</t>
        </is>
      </c>
      <c r="W52" s="39" t="n"/>
    </row>
    <row r="53">
      <c r="A53" s="125" t="inlineStr">
        <is>
          <t xml:space="preserve"> </t>
        </is>
      </c>
      <c r="B53" s="49" t="inlineStr">
        <is>
          <t>9Nonresidential</t>
        </is>
      </c>
      <c r="C53" s="11" t="n">
        <v>2740</v>
      </c>
      <c r="D53" s="11" t="n">
        <v>2758.5</v>
      </c>
      <c r="E53" s="11" t="n">
        <v>2703.9</v>
      </c>
      <c r="F53" s="12" t="n"/>
      <c r="G53" s="13" t="n"/>
      <c r="Q53" s="125" t="inlineStr">
        <is>
          <t xml:space="preserve"> </t>
        </is>
      </c>
      <c r="R53" s="125" t="inlineStr">
        <is>
          <t>9Nonresidential</t>
        </is>
      </c>
      <c r="S53" s="125" t="inlineStr">
        <is>
          <t>.</t>
        </is>
      </c>
      <c r="T53" s="125" t="inlineStr">
        <is>
          <t>.</t>
        </is>
      </c>
      <c r="U53" s="39" t="inlineStr">
        <is>
          <t>.</t>
        </is>
      </c>
      <c r="V53" s="125" t="inlineStr">
        <is>
          <t>.</t>
        </is>
      </c>
      <c r="W53" s="39" t="n"/>
    </row>
    <row r="54">
      <c r="A54" s="125" t="inlineStr">
        <is>
          <t xml:space="preserve"> </t>
        </is>
      </c>
      <c r="B54" s="49" t="inlineStr">
        <is>
          <t>10Structures</t>
        </is>
      </c>
      <c r="C54" s="11" t="n">
        <v>506.5</v>
      </c>
      <c r="D54" s="11" t="n">
        <v>523</v>
      </c>
      <c r="E54" s="11" t="n">
        <v>546.2</v>
      </c>
      <c r="F54" s="12" t="n"/>
      <c r="G54" s="13" t="n"/>
      <c r="Q54" s="125" t="inlineStr">
        <is>
          <t xml:space="preserve"> </t>
        </is>
      </c>
      <c r="R54" s="125" t="inlineStr">
        <is>
          <t>10Structures</t>
        </is>
      </c>
      <c r="S54" s="125" t="inlineStr">
        <is>
          <t>.</t>
        </is>
      </c>
      <c r="T54" s="125" t="inlineStr">
        <is>
          <t>.</t>
        </is>
      </c>
      <c r="U54" s="39" t="inlineStr">
        <is>
          <t>.</t>
        </is>
      </c>
      <c r="V54" s="125" t="inlineStr">
        <is>
          <t>.</t>
        </is>
      </c>
      <c r="W54" s="39" t="n"/>
    </row>
    <row r="55">
      <c r="A55" s="125" t="inlineStr">
        <is>
          <t xml:space="preserve"> </t>
        </is>
      </c>
      <c r="B55" s="49" t="inlineStr">
        <is>
          <t>11Equipment</t>
        </is>
      </c>
      <c r="C55" s="11" t="n">
        <v>1269.2</v>
      </c>
      <c r="D55" s="11" t="n">
        <v>1281.5</v>
      </c>
      <c r="E55" s="11" t="n">
        <v>1256.7</v>
      </c>
      <c r="F55" s="12" t="n"/>
      <c r="G55" s="13" t="n"/>
      <c r="Q55" s="125" t="inlineStr">
        <is>
          <t xml:space="preserve"> </t>
        </is>
      </c>
      <c r="R55" s="125" t="inlineStr">
        <is>
          <t>11Equipment</t>
        </is>
      </c>
      <c r="S55" s="125" t="inlineStr">
        <is>
          <t>.</t>
        </is>
      </c>
      <c r="T55" s="125" t="inlineStr">
        <is>
          <t>.</t>
        </is>
      </c>
      <c r="U55" s="39" t="inlineStr">
        <is>
          <t>.</t>
        </is>
      </c>
      <c r="V55" s="125" t="inlineStr">
        <is>
          <t>.</t>
        </is>
      </c>
      <c r="W55" s="39" t="n"/>
    </row>
    <row r="56">
      <c r="A56" s="125" t="inlineStr">
        <is>
          <t xml:space="preserve"> </t>
        </is>
      </c>
      <c r="B56" s="49" t="inlineStr">
        <is>
          <t>12Intellectual property products</t>
        </is>
      </c>
      <c r="C56" s="11" t="n">
        <v>976.2</v>
      </c>
      <c r="D56" s="11" t="n">
        <v>964.2</v>
      </c>
      <c r="E56" s="11" t="n">
        <v>905.9</v>
      </c>
      <c r="F56" s="12" t="n"/>
      <c r="G56" s="13" t="n"/>
      <c r="Q56" s="125" t="inlineStr">
        <is>
          <t xml:space="preserve"> </t>
        </is>
      </c>
      <c r="R56" s="125" t="inlineStr">
        <is>
          <t>12Intellectual property products</t>
        </is>
      </c>
      <c r="S56" s="125" t="inlineStr">
        <is>
          <t>.</t>
        </is>
      </c>
      <c r="T56" s="125" t="inlineStr">
        <is>
          <t>.</t>
        </is>
      </c>
      <c r="U56" s="39" t="inlineStr">
        <is>
          <t>.</t>
        </is>
      </c>
      <c r="V56" s="125" t="inlineStr">
        <is>
          <t>.</t>
        </is>
      </c>
      <c r="W56" s="39" t="n"/>
    </row>
    <row r="57">
      <c r="A57" s="125" t="inlineStr">
        <is>
          <t xml:space="preserve"> </t>
        </is>
      </c>
      <c r="B57" s="49" t="inlineStr">
        <is>
          <t>13Residential</t>
        </is>
      </c>
      <c r="C57" s="11" t="n">
        <v>594.3</v>
      </c>
      <c r="D57" s="11" t="n">
        <v>587</v>
      </c>
      <c r="E57" s="11" t="n">
        <v>600.1</v>
      </c>
      <c r="F57" s="12" t="n"/>
      <c r="G57" s="13" t="n"/>
      <c r="Q57" s="125" t="inlineStr">
        <is>
          <t xml:space="preserve"> </t>
        </is>
      </c>
      <c r="R57" s="125" t="inlineStr">
        <is>
          <t>13Residential</t>
        </is>
      </c>
      <c r="S57" s="125" t="inlineStr">
        <is>
          <t>.</t>
        </is>
      </c>
      <c r="T57" s="125" t="inlineStr">
        <is>
          <t>.</t>
        </is>
      </c>
      <c r="U57" s="39" t="inlineStr">
        <is>
          <t>.</t>
        </is>
      </c>
      <c r="V57" s="125" t="inlineStr">
        <is>
          <t>.</t>
        </is>
      </c>
      <c r="W57" s="39" t="n"/>
    </row>
    <row r="58">
      <c r="A58" s="125" t="inlineStr">
        <is>
          <t xml:space="preserve"> </t>
        </is>
      </c>
      <c r="B58" s="49" t="inlineStr">
        <is>
          <t>14Change in private inventories</t>
        </is>
      </c>
      <c r="C58" s="11" t="n">
        <v>79.8</v>
      </c>
      <c r="D58" s="11" t="n">
        <v>69.40000000000001</v>
      </c>
      <c r="E58" s="11" t="n">
        <v>87.2</v>
      </c>
      <c r="F58" s="12" t="n"/>
      <c r="G58" s="13" t="n"/>
      <c r="Q58" s="125" t="inlineStr">
        <is>
          <t xml:space="preserve"> </t>
        </is>
      </c>
      <c r="R58" s="125" t="inlineStr">
        <is>
          <t>14Change in private inventories</t>
        </is>
      </c>
      <c r="S58" s="125" t="inlineStr">
        <is>
          <t>Q1 1947</t>
        </is>
      </c>
      <c r="T58" s="125" t="n">
        <v>6.462</v>
      </c>
      <c r="U58" s="39" t="inlineStr">
        <is>
          <t>.</t>
        </is>
      </c>
      <c r="V58" s="125" t="inlineStr">
        <is>
          <t>.</t>
        </is>
      </c>
      <c r="W58" s="39" t="n"/>
    </row>
    <row r="59">
      <c r="A59" s="125" t="inlineStr">
        <is>
          <t xml:space="preserve"> </t>
        </is>
      </c>
      <c r="B59" s="46" t="inlineStr">
        <is>
          <t>15Net exports of goods and services</t>
        </is>
      </c>
      <c r="C59" s="11" t="n">
        <v>-988.3</v>
      </c>
      <c r="D59" s="11" t="n">
        <v>-980.7</v>
      </c>
      <c r="E59" s="11" t="n">
        <v>-962.4</v>
      </c>
      <c r="F59" s="48" t="inlineStr">
        <is>
          <t>X =</t>
        </is>
      </c>
      <c r="G59" s="13">
        <f>C59/C45</f>
        <v/>
      </c>
      <c r="Q59" s="125" t="inlineStr">
        <is>
          <t xml:space="preserve"> </t>
        </is>
      </c>
      <c r="R59" s="125" t="inlineStr">
        <is>
          <t>15Net exports of goods and services</t>
        </is>
      </c>
      <c r="S59" s="125" t="inlineStr">
        <is>
          <t>.</t>
        </is>
      </c>
      <c r="T59" s="125" t="inlineStr">
        <is>
          <t>.</t>
        </is>
      </c>
      <c r="U59" s="39" t="inlineStr">
        <is>
          <t>.</t>
        </is>
      </c>
      <c r="V59" s="125" t="inlineStr">
        <is>
          <t>.</t>
        </is>
      </c>
      <c r="W59" s="39" t="n"/>
    </row>
    <row r="60">
      <c r="A60" s="125" t="inlineStr">
        <is>
          <t xml:space="preserve"> </t>
        </is>
      </c>
      <c r="B60" s="49" t="inlineStr">
        <is>
          <t>16Exports</t>
        </is>
      </c>
      <c r="C60" s="11" t="n">
        <v>2523.1</v>
      </c>
      <c r="D60" s="11" t="n">
        <v>2517.5</v>
      </c>
      <c r="E60" s="11" t="n">
        <v>2519.3</v>
      </c>
      <c r="F60" s="12" t="n"/>
      <c r="G60" s="13">
        <f>C60/C45</f>
        <v/>
      </c>
      <c r="Q60" s="125" t="inlineStr">
        <is>
          <t xml:space="preserve"> </t>
        </is>
      </c>
      <c r="R60" s="125" t="inlineStr">
        <is>
          <t>16Exports</t>
        </is>
      </c>
      <c r="S60" s="125" t="inlineStr">
        <is>
          <t>Q1 1947</t>
        </is>
      </c>
      <c r="T60" s="125" t="n">
        <v>97.759</v>
      </c>
      <c r="U60" s="39" t="inlineStr">
        <is>
          <t>.</t>
        </is>
      </c>
      <c r="V60" s="125" t="inlineStr">
        <is>
          <t>.</t>
        </is>
      </c>
      <c r="W60" s="39">
        <f>T60/T45</f>
        <v/>
      </c>
    </row>
    <row r="61">
      <c r="A61" s="125" t="inlineStr">
        <is>
          <t xml:space="preserve"> </t>
        </is>
      </c>
      <c r="B61" s="49" t="inlineStr">
        <is>
          <t>17Goods</t>
        </is>
      </c>
      <c r="C61" s="11" t="n">
        <v>1784.2</v>
      </c>
      <c r="D61" s="11" t="n">
        <v>1775.3</v>
      </c>
      <c r="E61" s="11" t="n">
        <v>1771.2</v>
      </c>
      <c r="F61" s="12" t="n"/>
      <c r="G61" s="13" t="n"/>
      <c r="Q61" s="125" t="inlineStr">
        <is>
          <t xml:space="preserve"> </t>
        </is>
      </c>
      <c r="R61" s="125" t="inlineStr">
        <is>
          <t>17Goods</t>
        </is>
      </c>
      <c r="S61" s="125" t="inlineStr">
        <is>
          <t>.</t>
        </is>
      </c>
      <c r="T61" s="125" t="inlineStr">
        <is>
          <t>.</t>
        </is>
      </c>
      <c r="U61" s="39" t="inlineStr">
        <is>
          <t>.</t>
        </is>
      </c>
      <c r="V61" s="125" t="inlineStr">
        <is>
          <t>.</t>
        </is>
      </c>
      <c r="W61" s="39" t="n"/>
    </row>
    <row r="62">
      <c r="A62" s="125" t="inlineStr">
        <is>
          <t xml:space="preserve"> </t>
        </is>
      </c>
      <c r="B62" s="49" t="inlineStr">
        <is>
          <t>18Services</t>
        </is>
      </c>
      <c r="C62" s="11" t="n">
        <v>745.7</v>
      </c>
      <c r="D62" s="11" t="n">
        <v>748</v>
      </c>
      <c r="E62" s="11" t="n">
        <v>753</v>
      </c>
      <c r="F62" s="12" t="n"/>
      <c r="G62" s="13" t="n"/>
      <c r="Q62" s="125" t="inlineStr">
        <is>
          <t xml:space="preserve"> </t>
        </is>
      </c>
      <c r="R62" s="125" t="inlineStr">
        <is>
          <t>18Services</t>
        </is>
      </c>
      <c r="S62" s="125" t="inlineStr">
        <is>
          <t>.</t>
        </is>
      </c>
      <c r="T62" s="125" t="inlineStr">
        <is>
          <t>.</t>
        </is>
      </c>
      <c r="U62" s="39" t="inlineStr">
        <is>
          <t>.</t>
        </is>
      </c>
      <c r="V62" s="125" t="inlineStr">
        <is>
          <t>.</t>
        </is>
      </c>
      <c r="W62" s="39" t="n"/>
    </row>
    <row r="63">
      <c r="A63" s="125" t="inlineStr">
        <is>
          <t xml:space="preserve"> </t>
        </is>
      </c>
      <c r="B63" s="49" t="inlineStr">
        <is>
          <t>19Imports</t>
        </is>
      </c>
      <c r="C63" s="11" t="n">
        <v>3511.4</v>
      </c>
      <c r="D63" s="11" t="n">
        <v>3498.2</v>
      </c>
      <c r="E63" s="11" t="n">
        <v>3481.8</v>
      </c>
      <c r="F63" s="12" t="n"/>
      <c r="G63" s="13">
        <f>C63/C45</f>
        <v/>
      </c>
      <c r="Q63" s="125" t="inlineStr">
        <is>
          <t xml:space="preserve"> </t>
        </is>
      </c>
      <c r="R63" s="125" t="inlineStr">
        <is>
          <t>19Imports</t>
        </is>
      </c>
      <c r="S63" s="125" t="inlineStr">
        <is>
          <t>Q1 1947</t>
        </is>
      </c>
      <c r="T63" s="125" t="n">
        <v>60.271</v>
      </c>
      <c r="U63" s="39" t="inlineStr">
        <is>
          <t>.</t>
        </is>
      </c>
      <c r="V63" s="125" t="inlineStr">
        <is>
          <t>.</t>
        </is>
      </c>
      <c r="W63" s="39">
        <f>T63/T45</f>
        <v/>
      </c>
    </row>
    <row r="64">
      <c r="A64" s="125" t="inlineStr">
        <is>
          <t xml:space="preserve"> </t>
        </is>
      </c>
      <c r="B64" s="49" t="inlineStr">
        <is>
          <t>20Goods</t>
        </is>
      </c>
      <c r="C64" s="11" t="n">
        <v>2947.6</v>
      </c>
      <c r="D64" s="11" t="n">
        <v>2941.7</v>
      </c>
      <c r="E64" s="11" t="n">
        <v>2945.4</v>
      </c>
      <c r="F64" s="12" t="n"/>
      <c r="G64" s="13" t="n"/>
      <c r="Q64" s="125" t="inlineStr">
        <is>
          <t xml:space="preserve"> </t>
        </is>
      </c>
      <c r="R64" s="125" t="inlineStr">
        <is>
          <t>20Goods</t>
        </is>
      </c>
      <c r="S64" s="125" t="inlineStr">
        <is>
          <t>.</t>
        </is>
      </c>
      <c r="T64" s="125" t="inlineStr">
        <is>
          <t>.</t>
        </is>
      </c>
      <c r="U64" s="39" t="inlineStr">
        <is>
          <t>.</t>
        </is>
      </c>
      <c r="V64" s="125" t="inlineStr">
        <is>
          <t>.</t>
        </is>
      </c>
      <c r="W64" s="39" t="n"/>
    </row>
    <row r="65">
      <c r="A65" s="125" t="inlineStr">
        <is>
          <t xml:space="preserve"> </t>
        </is>
      </c>
      <c r="B65" s="49" t="inlineStr">
        <is>
          <t>21Services</t>
        </is>
      </c>
      <c r="C65" s="11" t="n">
        <v>563.5</v>
      </c>
      <c r="D65" s="11" t="n">
        <v>557.2</v>
      </c>
      <c r="E65" s="11" t="n">
        <v>540.3</v>
      </c>
      <c r="F65" s="12" t="n"/>
      <c r="G65" s="13" t="n"/>
      <c r="Q65" s="125" t="inlineStr">
        <is>
          <t xml:space="preserve"> </t>
        </is>
      </c>
      <c r="R65" s="125" t="inlineStr">
        <is>
          <t>21Services</t>
        </is>
      </c>
      <c r="S65" s="125" t="inlineStr">
        <is>
          <t>.</t>
        </is>
      </c>
      <c r="T65" s="125" t="inlineStr">
        <is>
          <t>.</t>
        </is>
      </c>
      <c r="U65" s="39" t="inlineStr">
        <is>
          <t>.</t>
        </is>
      </c>
      <c r="V65" s="125" t="inlineStr">
        <is>
          <t>.</t>
        </is>
      </c>
      <c r="W65" s="39" t="n"/>
    </row>
    <row r="66">
      <c r="A66" s="125" t="inlineStr">
        <is>
          <t xml:space="preserve"> </t>
        </is>
      </c>
      <c r="B66" s="46" t="inlineStr">
        <is>
          <t>22Government consumption expenditures and gross investment</t>
        </is>
      </c>
      <c r="C66" s="11" t="n">
        <v>3309.7</v>
      </c>
      <c r="D66" s="11" t="n">
        <v>3296.6</v>
      </c>
      <c r="E66" s="11" t="n">
        <v>3238</v>
      </c>
      <c r="F66" s="48" t="inlineStr">
        <is>
          <t>G =</t>
        </is>
      </c>
      <c r="G66" s="13">
        <f>C66/C45</f>
        <v/>
      </c>
      <c r="Q66" s="125" t="inlineStr">
        <is>
          <t xml:space="preserve"> </t>
        </is>
      </c>
      <c r="R66" s="125" t="inlineStr">
        <is>
          <t>22Government consumption expenditures and gross investment</t>
        </is>
      </c>
      <c r="S66" s="125" t="inlineStr">
        <is>
          <t>Q1 1947</t>
        </is>
      </c>
      <c r="T66" s="125" t="n">
        <v>524.076</v>
      </c>
      <c r="U66" s="39" t="inlineStr">
        <is>
          <t>.</t>
        </is>
      </c>
      <c r="V66" s="125" t="inlineStr">
        <is>
          <t>.</t>
        </is>
      </c>
      <c r="W66" s="39">
        <f>T66/T45</f>
        <v/>
      </c>
    </row>
    <row r="67">
      <c r="A67" s="125" t="inlineStr">
        <is>
          <t xml:space="preserve"> </t>
        </is>
      </c>
      <c r="B67" s="49" t="inlineStr">
        <is>
          <t>23Federal</t>
        </is>
      </c>
      <c r="C67" s="11" t="n">
        <v>1284.5</v>
      </c>
      <c r="D67" s="11" t="n">
        <v>1273.9</v>
      </c>
      <c r="E67" s="11" t="n">
        <v>1238.7</v>
      </c>
      <c r="F67" s="12" t="n"/>
      <c r="G67" s="14" t="n"/>
      <c r="Q67" s="125" t="inlineStr">
        <is>
          <t xml:space="preserve"> </t>
        </is>
      </c>
      <c r="R67" s="125" t="inlineStr">
        <is>
          <t>23Federal</t>
        </is>
      </c>
      <c r="S67" s="125" t="inlineStr">
        <is>
          <t>.</t>
        </is>
      </c>
      <c r="T67" s="125" t="inlineStr">
        <is>
          <t>.</t>
        </is>
      </c>
      <c r="U67" s="39" t="inlineStr">
        <is>
          <t>.</t>
        </is>
      </c>
      <c r="V67" s="125" t="inlineStr">
        <is>
          <t>.</t>
        </is>
      </c>
    </row>
    <row r="68">
      <c r="A68" s="125" t="inlineStr">
        <is>
          <t xml:space="preserve"> </t>
        </is>
      </c>
      <c r="B68" s="49" t="inlineStr">
        <is>
          <t>24National defense</t>
        </is>
      </c>
      <c r="C68" s="11" t="n">
        <v>775</v>
      </c>
      <c r="D68" s="11" t="n">
        <v>770.8</v>
      </c>
      <c r="E68" s="11" t="n">
        <v>741.2</v>
      </c>
      <c r="F68" s="12" t="n"/>
      <c r="G68" s="14" t="n"/>
      <c r="Q68" s="125" t="inlineStr">
        <is>
          <t xml:space="preserve"> </t>
        </is>
      </c>
      <c r="R68" s="125" t="inlineStr">
        <is>
          <t>24National defense</t>
        </is>
      </c>
      <c r="S68" s="125" t="inlineStr">
        <is>
          <t>.</t>
        </is>
      </c>
      <c r="T68" s="125" t="inlineStr">
        <is>
          <t>.</t>
        </is>
      </c>
      <c r="U68" s="39" t="inlineStr">
        <is>
          <t>.</t>
        </is>
      </c>
      <c r="V68" s="125" t="inlineStr">
        <is>
          <t>.</t>
        </is>
      </c>
    </row>
    <row r="69">
      <c r="A69" s="125" t="inlineStr">
        <is>
          <t xml:space="preserve"> </t>
        </is>
      </c>
      <c r="B69" s="49" t="inlineStr">
        <is>
          <t>25Nondefense</t>
        </is>
      </c>
      <c r="C69" s="11" t="n">
        <v>509.2</v>
      </c>
      <c r="D69" s="11" t="n">
        <v>502.9</v>
      </c>
      <c r="E69" s="11" t="n">
        <v>497</v>
      </c>
      <c r="F69" s="12" t="n"/>
      <c r="G69" s="14" t="n"/>
      <c r="Q69" s="125" t="inlineStr">
        <is>
          <t xml:space="preserve"> </t>
        </is>
      </c>
      <c r="R69" s="125" t="inlineStr">
        <is>
          <t>25Nondefense</t>
        </is>
      </c>
      <c r="S69" s="125" t="inlineStr">
        <is>
          <t>.</t>
        </is>
      </c>
      <c r="T69" s="125" t="inlineStr">
        <is>
          <t>.</t>
        </is>
      </c>
      <c r="U69" s="39" t="inlineStr">
        <is>
          <t>.</t>
        </is>
      </c>
      <c r="V69" s="125" t="inlineStr">
        <is>
          <t>.</t>
        </is>
      </c>
    </row>
    <row r="70">
      <c r="A70" s="125" t="inlineStr">
        <is>
          <t xml:space="preserve"> </t>
        </is>
      </c>
      <c r="B70" s="49" t="inlineStr">
        <is>
          <t>26State and local</t>
        </is>
      </c>
      <c r="C70" s="11" t="n">
        <v>2024.1</v>
      </c>
      <c r="D70" s="11" t="n">
        <v>2021.4</v>
      </c>
      <c r="E70" s="11" t="n">
        <v>1997.7</v>
      </c>
      <c r="F70" s="12" t="n"/>
      <c r="G70" s="14" t="n"/>
      <c r="Q70" s="125" t="inlineStr">
        <is>
          <t xml:space="preserve"> </t>
        </is>
      </c>
      <c r="R70" s="125" t="inlineStr">
        <is>
          <t>26State and local</t>
        </is>
      </c>
      <c r="S70" s="125" t="inlineStr">
        <is>
          <t>.</t>
        </is>
      </c>
      <c r="T70" s="125" t="inlineStr">
        <is>
          <t>.</t>
        </is>
      </c>
      <c r="U70" s="39" t="inlineStr">
        <is>
          <t>.</t>
        </is>
      </c>
      <c r="V70" s="125" t="inlineStr">
        <is>
          <t>.</t>
        </is>
      </c>
    </row>
    <row r="71" ht="16" customHeight="1" s="126" thickBot="1">
      <c r="A71" s="125" t="inlineStr">
        <is>
          <t xml:space="preserve"> </t>
        </is>
      </c>
      <c r="B71" s="50" t="inlineStr">
        <is>
          <t>27Residual</t>
        </is>
      </c>
      <c r="C71" s="15" t="n">
        <v>-36.6</v>
      </c>
      <c r="D71" s="15" t="n">
        <v>-24.6</v>
      </c>
      <c r="E71" s="15" t="n">
        <v>2.4</v>
      </c>
      <c r="F71" s="16" t="n"/>
      <c r="G71" s="17" t="n"/>
      <c r="Q71" s="125" t="inlineStr">
        <is>
          <t xml:space="preserve"> </t>
        </is>
      </c>
      <c r="R71" s="125" t="inlineStr">
        <is>
          <t>27Residual</t>
        </is>
      </c>
      <c r="S71" s="125" t="inlineStr">
        <is>
          <t>Q1 1947</t>
        </is>
      </c>
      <c r="T71" s="125" t="n">
        <v>-28.008</v>
      </c>
      <c r="U71" s="39" t="n"/>
    </row>
    <row r="72">
      <c r="U72" s="39" t="n"/>
      <c r="W72" s="3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2021-11-18T18:04:41Z</dcterms:modified>
  <cp:lastModifiedBy>Mark Mukherjee</cp:lastModifiedBy>
</cp:coreProperties>
</file>