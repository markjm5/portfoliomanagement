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yyyy-mm-dd h:mm:ss"/>
    <numFmt numFmtId="170" formatCode="dd-mm-YYYY"/>
  </numFmts>
  <fonts count="18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7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">
    <xf numFmtId="0" fontId="12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4">
    <xf numFmtId="0" fontId="0" fillId="0" borderId="0" pivotButton="0" quotePrefix="0" xfId="0"/>
    <xf numFmtId="0" fontId="5" fillId="0" borderId="0" pivotButton="0" quotePrefix="0" xfId="2"/>
    <xf numFmtId="3" fontId="8" fillId="0" borderId="1" applyAlignment="1" pivotButton="0" quotePrefix="0" xfId="0">
      <alignment horizontal="center" vertical="center"/>
    </xf>
    <xf numFmtId="10" fontId="8" fillId="0" borderId="1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1" applyAlignment="1" pivotButton="0" quotePrefix="0" xfId="0">
      <alignment horizontal="center" vertical="center"/>
    </xf>
    <xf numFmtId="10" fontId="9" fillId="0" borderId="1" applyAlignment="1" pivotButton="0" quotePrefix="0" xfId="0">
      <alignment horizontal="center" vertical="center"/>
    </xf>
    <xf numFmtId="0" fontId="7" fillId="3" borderId="0" pivotButton="0" quotePrefix="0" xfId="0"/>
    <xf numFmtId="0" fontId="15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0" fontId="0" fillId="3" borderId="1" applyAlignment="1" pivotButton="0" quotePrefix="0" xfId="0">
      <alignment horizontal="center" wrapText="1"/>
    </xf>
    <xf numFmtId="3" fontId="0" fillId="3" borderId="0" pivotButton="0" quotePrefix="0" xfId="0"/>
    <xf numFmtId="3" fontId="0" fillId="3" borderId="1" applyAlignment="1" pivotButton="0" quotePrefix="0" xfId="0">
      <alignment horizontal="center" wrapText="1"/>
    </xf>
    <xf numFmtId="3" fontId="0" fillId="3" borderId="1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0" applyAlignment="1" pivotButton="0" quotePrefix="0" xfId="0">
      <alignment horizontal="center" vertical="center"/>
    </xf>
    <xf numFmtId="10" fontId="8" fillId="0" borderId="10" applyAlignment="1" pivotButton="0" quotePrefix="0" xfId="0">
      <alignment horizontal="center" vertical="center"/>
    </xf>
    <xf numFmtId="0" fontId="2" fillId="5" borderId="11" applyAlignment="1" pivotButton="0" quotePrefix="0" xfId="0">
      <alignment horizontal="center"/>
    </xf>
    <xf numFmtId="0" fontId="2" fillId="5" borderId="12" applyAlignment="1" pivotButton="0" quotePrefix="0" xfId="0">
      <alignment horizontal="center"/>
    </xf>
    <xf numFmtId="17" fontId="2" fillId="5" borderId="14" applyAlignment="1" pivotButton="0" quotePrefix="0" xfId="0">
      <alignment horizontal="center"/>
    </xf>
    <xf numFmtId="17" fontId="2" fillId="5" borderId="15" applyAlignment="1" pivotButton="0" quotePrefix="0" xfId="0">
      <alignment horizontal="center"/>
    </xf>
    <xf numFmtId="17" fontId="2" fillId="5" borderId="16" applyAlignment="1" pivotButton="0" quotePrefix="0" xfId="0">
      <alignment horizontal="center"/>
    </xf>
    <xf numFmtId="14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2" applyAlignment="1" pivotButton="0" quotePrefix="0" xfId="0">
      <alignment horizontal="center" vertical="center" wrapText="1"/>
    </xf>
    <xf numFmtId="10" fontId="0" fillId="4" borderId="3" applyAlignment="1" pivotButton="0" quotePrefix="0" xfId="0">
      <alignment horizontal="center" vertical="center" wrapText="1"/>
    </xf>
    <xf numFmtId="2" fontId="0" fillId="4" borderId="3" applyAlignment="1" pivotButton="0" quotePrefix="0" xfId="0">
      <alignment horizontal="center" vertical="center" wrapText="1"/>
    </xf>
    <xf numFmtId="0" fontId="0" fillId="4" borderId="3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14" fontId="0" fillId="3" borderId="1" pivotButton="0" quotePrefix="0" xfId="0"/>
    <xf numFmtId="2" fontId="0" fillId="3" borderId="1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17" fillId="3" borderId="0" pivotButton="0" quotePrefix="0" xfId="0"/>
    <xf numFmtId="0" fontId="13" fillId="4" borderId="18" applyAlignment="1" pivotButton="0" quotePrefix="0" xfId="0">
      <alignment horizontal="center" vertical="center"/>
    </xf>
    <xf numFmtId="10" fontId="13" fillId="4" borderId="19" applyAlignment="1" pivotButton="0" quotePrefix="0" xfId="0">
      <alignment horizontal="center" vertical="center"/>
    </xf>
    <xf numFmtId="2" fontId="13" fillId="4" borderId="19" applyAlignment="1" pivotButton="0" quotePrefix="0" xfId="0">
      <alignment horizontal="center" vertical="center"/>
    </xf>
    <xf numFmtId="0" fontId="13" fillId="4" borderId="20" applyAlignment="1" pivotButton="0" quotePrefix="0" xfId="0">
      <alignment horizontal="center" vertical="center"/>
    </xf>
    <xf numFmtId="14" fontId="0" fillId="3" borderId="21" applyAlignment="1" pivotButton="0" quotePrefix="0" xfId="0">
      <alignment horizontal="center"/>
    </xf>
    <xf numFmtId="10" fontId="0" fillId="3" borderId="21" applyAlignment="1" pivotButton="0" quotePrefix="0" xfId="0">
      <alignment horizontal="center" vertical="center"/>
    </xf>
    <xf numFmtId="10" fontId="0" fillId="3" borderId="21" applyAlignment="1" pivotButton="0" quotePrefix="0" xfId="0">
      <alignment horizontal="center"/>
    </xf>
    <xf numFmtId="164" fontId="0" fillId="3" borderId="17" applyAlignment="1" pivotButton="0" quotePrefix="0" xfId="8">
      <alignment horizontal="center"/>
    </xf>
    <xf numFmtId="164" fontId="0" fillId="5" borderId="13" applyAlignment="1" pivotButton="0" quotePrefix="0" xfId="8">
      <alignment horizontal="center"/>
    </xf>
    <xf numFmtId="164" fontId="0" fillId="3" borderId="1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13" fillId="4" borderId="19" applyAlignment="1" pivotButton="0" quotePrefix="0" xfId="0">
      <alignment horizontal="center" vertical="center"/>
    </xf>
    <xf numFmtId="166" fontId="0" fillId="3" borderId="1" applyAlignment="1" pivotButton="0" quotePrefix="0" xfId="0">
      <alignment horizontal="center" vertical="center"/>
    </xf>
    <xf numFmtId="166" fontId="0" fillId="3" borderId="21" applyAlignment="1" pivotButton="0" quotePrefix="0" xfId="0">
      <alignment horizontal="center" vertical="center"/>
    </xf>
    <xf numFmtId="167" fontId="8" fillId="0" borderId="10" applyAlignment="1" pivotButton="0" quotePrefix="0" xfId="0">
      <alignment horizontal="center" vertical="center"/>
    </xf>
    <xf numFmtId="167" fontId="8" fillId="0" borderId="1" applyAlignment="1" pivotButton="0" quotePrefix="0" xfId="0">
      <alignment horizontal="center" vertical="center"/>
    </xf>
    <xf numFmtId="167" fontId="9" fillId="0" borderId="1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3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5" fillId="3" borderId="0" pivotButton="0" quotePrefix="0" xfId="2"/>
    <xf numFmtId="168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1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5" fillId="3" borderId="0" pivotButton="0" quotePrefix="0" xfId="2"/>
    <xf numFmtId="0" fontId="2" fillId="3" borderId="5" applyAlignment="1" pivotButton="0" quotePrefix="0" xfId="0">
      <alignment horizontal="center" vertical="center"/>
    </xf>
    <xf numFmtId="0" fontId="0" fillId="0" borderId="5" pivotButton="0" quotePrefix="0" xfId="0"/>
    <xf numFmtId="0" fontId="13" fillId="4" borderId="22" applyAlignment="1" pivotButton="0" quotePrefix="0" xfId="0">
      <alignment horizontal="center"/>
    </xf>
    <xf numFmtId="0" fontId="0" fillId="0" borderId="6" pivotButton="0" quotePrefix="0" xfId="0"/>
    <xf numFmtId="0" fontId="0" fillId="0" borderId="7" pivotButton="0" quotePrefix="0" xfId="0"/>
    <xf numFmtId="0" fontId="14" fillId="3" borderId="0" applyAlignment="1" pivotButton="0" quotePrefix="0" xfId="0">
      <alignment wrapText="1"/>
    </xf>
    <xf numFmtId="0" fontId="16" fillId="4" borderId="22" applyAlignment="1" pivotButton="0" quotePrefix="0" xfId="0">
      <alignment horizontal="center"/>
    </xf>
    <xf numFmtId="0" fontId="16" fillId="2" borderId="22" applyAlignment="1" pivotButton="0" quotePrefix="0" xfId="0">
      <alignment horizontal="center"/>
    </xf>
    <xf numFmtId="170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GDP'!$A$7:$A$309</f>
              <numCache>
                <formatCode>m/d/yyyy</formatCode>
                <ptCount val="303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  <pt idx="300">
                  <v>44652</v>
                </pt>
                <pt idx="301">
                  <v>44743</v>
                </pt>
              </numCache>
            </numRef>
          </cat>
          <val>
            <numRef>
              <f>'U.S. GDP'!$E$7:$E$309</f>
              <numCache>
                <formatCode>0.00%</formatCode>
                <ptCount val="303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0.01729760842158212</v>
                </pt>
                <pt idx="280">
                  <v>0.02030451578470238</v>
                </pt>
                <pt idx="281">
                  <v>0.03351266228426919</v>
                </pt>
                <pt idx="282">
                  <v>0.04083729328819619</v>
                </pt>
                <pt idx="283">
                  <v>0.02799534764083123</v>
                </pt>
                <pt idx="284">
                  <v>0.02818684793662207</v>
                </pt>
                <pt idx="285">
                  <v>0.0291957464820578</v>
                </pt>
                <pt idx="286">
                  <v>0.007291179052316021</v>
                </pt>
                <pt idx="287">
                  <v>0.02188578552753562</v>
                </pt>
                <pt idx="288">
                  <v>0.02719334362326342</v>
                </pt>
                <pt idx="289">
                  <v>0.03607670893327275</v>
                </pt>
                <pt idx="290">
                  <v>0.01783999833506478</v>
                </pt>
                <pt idx="291">
                  <v>-0.04618404801605125</v>
                </pt>
                <pt idx="292">
                  <v>-0.2985741977414336</v>
                </pt>
                <pt idx="293">
                  <v>0.3531713913729067</v>
                </pt>
                <pt idx="294">
                  <v>0.03908878225555235</v>
                </pt>
                <pt idx="295">
                  <v>0.06315454956208622</v>
                </pt>
                <pt idx="296">
                  <v>0.07004895940091926</v>
                </pt>
                <pt idx="297">
                  <v>0.02652766290027997</v>
                </pt>
                <pt idx="298">
                  <v>0.06957257344233025</v>
                </pt>
                <pt idx="299">
                  <v>-0.01631277702696388</v>
                </pt>
                <pt idx="300">
                  <v>-0.005772819614643487</v>
                </pt>
                <pt idx="301">
                  <v>0.03243337917387401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GDP'!$B$6:$B$309</f>
              <numCache>
                <formatCode>0.0</formatCode>
                <ptCount val="304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17889.094</v>
                </pt>
                <pt idx="281">
                  <v>17979.218</v>
                </pt>
                <pt idx="282">
                  <v>18127.994</v>
                </pt>
                <pt idx="283">
                  <v>18310.3</v>
                </pt>
                <pt idx="284">
                  <v>18437.127</v>
                </pt>
                <pt idx="285">
                  <v>18565.697</v>
                </pt>
                <pt idx="286">
                  <v>18699.748</v>
                </pt>
                <pt idx="287">
                  <v>18733.741</v>
                </pt>
                <pt idx="288">
                  <v>18835.411</v>
                </pt>
                <pt idx="289">
                  <v>18962.175</v>
                </pt>
                <pt idx="290">
                  <v>19130.932</v>
                </pt>
                <pt idx="291">
                  <v>19215.691</v>
                </pt>
                <pt idx="292">
                  <v>18989.877</v>
                </pt>
                <pt idx="293">
                  <v>17378.712</v>
                </pt>
                <pt idx="294">
                  <v>18743.72</v>
                </pt>
                <pt idx="295">
                  <v>18924.262</v>
                </pt>
                <pt idx="296">
                  <v>19216.224</v>
                </pt>
                <pt idx="297">
                  <v>19544.248</v>
                </pt>
                <pt idx="298">
                  <v>19672.594</v>
                </pt>
                <pt idx="299">
                  <v>20006.181</v>
                </pt>
                <pt idx="300">
                  <v>19924.088</v>
                </pt>
                <pt idx="301">
                  <v>19895.271</v>
                </pt>
                <pt idx="302">
                  <v>20054.663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GDP'!$C$258:$C$309</f>
              <numCache>
                <formatCode>0.00%</formatCode>
                <ptCount val="52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0.004296631141172277</v>
                </pt>
                <pt idx="29">
                  <v>0.005037929813550076</v>
                </pt>
                <pt idx="30">
                  <v>0.008274887150264155</v>
                </pt>
                <pt idx="31">
                  <v>0.01005660085721567</v>
                </pt>
                <pt idx="32">
                  <v>0.006926538614878027</v>
                </pt>
                <pt idx="33">
                  <v>0.006973429211611966</v>
                </pt>
                <pt idx="34">
                  <v>0.007220359138684612</v>
                </pt>
                <pt idx="35">
                  <v>0.001817831983618293</v>
                </pt>
                <pt idx="36">
                  <v>0.005427106096961533</v>
                </pt>
                <pt idx="37">
                  <v>0.006730089404473266</v>
                </pt>
                <pt idx="38">
                  <v>0.008899664727279514</v>
                </pt>
                <pt idx="39">
                  <v>0.004430468938993573</v>
                </pt>
                <pt idx="40">
                  <v>-0.01175154200803908</v>
                </pt>
                <pt idx="41">
                  <v>-0.08484336154467988</v>
                </pt>
                <pt idx="42">
                  <v>0.07854483117045738</v>
                </pt>
                <pt idx="43">
                  <v>0.009632132789008672</v>
                </pt>
                <pt idx="44">
                  <v>0.01542791998969363</v>
                </pt>
                <pt idx="45">
                  <v>0.01707015904893705</v>
                </pt>
                <pt idx="46">
                  <v>0.006566944913920524</v>
                </pt>
                <pt idx="47">
                  <v>0.01695694019812535</v>
                </pt>
                <pt idx="48">
                  <v>-0.004103381849839345</v>
                </pt>
                <pt idx="49">
                  <v>-0.001446339727068014</v>
                </pt>
                <pt idx="50">
                  <v>0.008011552091951892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GDP'!$D$6:$D$309</f>
              <numCache>
                <formatCode>0.00%</formatCode>
                <ptCount val="304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0.01842416355046683</v>
                </pt>
                <pt idx="281">
                  <v>0.02046912858646235</v>
                </pt>
                <pt idx="282">
                  <v>0.02276539538036879</v>
                </pt>
                <pt idx="283">
                  <v>0.02794320412113688</v>
                </pt>
                <pt idx="284">
                  <v>0.03063503383681697</v>
                </pt>
                <pt idx="285">
                  <v>0.03261982807038656</v>
                </pt>
                <pt idx="286">
                  <v>0.03153983832960232</v>
                </pt>
                <pt idx="287">
                  <v>0.02312583627794206</v>
                </pt>
                <pt idx="288">
                  <v>0.02160228109292731</v>
                </pt>
                <pt idx="289">
                  <v>0.02135540615577208</v>
                </pt>
                <pt idx="290">
                  <v>0.02305827864632192</v>
                </pt>
                <pt idx="291">
                  <v>0.02572630848264621</v>
                </pt>
                <pt idx="292">
                  <v>0.008200829809341583</v>
                </pt>
                <pt idx="293">
                  <v>-0.08350640155994762</v>
                </pt>
                <pt idx="294">
                  <v>-0.0202401012140966</v>
                </pt>
                <pt idx="295">
                  <v>-0.01516619933157752</v>
                </pt>
                <pt idx="296">
                  <v>0.01191935050448183</v>
                </pt>
                <pt idx="297">
                  <v>0.1246085440624138</v>
                </pt>
                <pt idx="298">
                  <v>0.04955654480540681</v>
                </pt>
                <pt idx="299">
                  <v>0.05717100090878058</v>
                </pt>
                <pt idx="300">
                  <v>0.03683678957947209</v>
                </pt>
                <pt idx="301">
                  <v>0.0179604249802807</v>
                </pt>
                <pt idx="302">
                  <v>0.01942138388053957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GDP'!$E$258:$E$309</f>
              <numCache>
                <formatCode>0.00%</formatCode>
                <ptCount val="52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0.01729760842158212</v>
                </pt>
                <pt idx="29">
                  <v>0.02030451578470238</v>
                </pt>
                <pt idx="30">
                  <v>0.03351266228426919</v>
                </pt>
                <pt idx="31">
                  <v>0.04083729328819619</v>
                </pt>
                <pt idx="32">
                  <v>0.02799534764083123</v>
                </pt>
                <pt idx="33">
                  <v>0.02818684793662207</v>
                </pt>
                <pt idx="34">
                  <v>0.0291957464820578</v>
                </pt>
                <pt idx="35">
                  <v>0.007291179052316021</v>
                </pt>
                <pt idx="36">
                  <v>0.02188578552753562</v>
                </pt>
                <pt idx="37">
                  <v>0.02719334362326342</v>
                </pt>
                <pt idx="38">
                  <v>0.03607670893327275</v>
                </pt>
                <pt idx="39">
                  <v>0.01783999833506478</v>
                </pt>
                <pt idx="40">
                  <v>-0.04618404801605125</v>
                </pt>
                <pt idx="41">
                  <v>-0.2985741977414336</v>
                </pt>
                <pt idx="42">
                  <v>0.3531713913729067</v>
                </pt>
                <pt idx="43">
                  <v>0.03908878225555235</v>
                </pt>
                <pt idx="44">
                  <v>0.06315454956208622</v>
                </pt>
                <pt idx="45">
                  <v>0.07004895940091926</v>
                </pt>
                <pt idx="46">
                  <v>0.02652766290027997</v>
                </pt>
                <pt idx="47">
                  <v>0.06957257344233025</v>
                </pt>
                <pt idx="48">
                  <v>-0.01631277702696388</v>
                </pt>
                <pt idx="49">
                  <v>-0.005772819614643487</v>
                </pt>
                <pt idx="50">
                  <v>0.03243337917387401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PersonalConsumption!$B$6:$B$309</f>
              <numCache>
                <formatCode>0.0</formatCode>
                <ptCount val="304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12369.907</v>
                </pt>
                <pt idx="281">
                  <v>12419.407</v>
                </pt>
                <pt idx="282">
                  <v>12493.466</v>
                </pt>
                <pt idx="283">
                  <v>12630.132</v>
                </pt>
                <pt idx="284">
                  <v>12713.156</v>
                </pt>
                <pt idx="285">
                  <v>12805.609</v>
                </pt>
                <pt idx="286">
                  <v>12887.074</v>
                </pt>
                <pt idx="287">
                  <v>12943.375</v>
                </pt>
                <pt idx="288">
                  <v>12955.727</v>
                </pt>
                <pt idx="289">
                  <v>13038.854</v>
                </pt>
                <pt idx="290">
                  <v>13148.857</v>
                </pt>
                <pt idx="291">
                  <v>13225.609</v>
                </pt>
                <pt idx="292">
                  <v>13016.75</v>
                </pt>
                <pt idx="293">
                  <v>11817.147</v>
                </pt>
                <pt idx="294">
                  <v>12922.381</v>
                </pt>
                <pt idx="295">
                  <v>13046.614</v>
                </pt>
                <pt idx="296">
                  <v>13386.763</v>
                </pt>
                <pt idx="297">
                  <v>13773.688</v>
                </pt>
                <pt idx="298">
                  <v>13874.396</v>
                </pt>
                <pt idx="299">
                  <v>13981.514</v>
                </pt>
                <pt idx="300">
                  <v>14028.383</v>
                </pt>
                <pt idx="301">
                  <v>14099.456</v>
                </pt>
                <pt idx="302">
                  <v>14178.562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PersonalConsumption!$C$6:$C$309</f>
              <numCache>
                <formatCode>0.00%</formatCode>
                <ptCount val="304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0.007069157595377586</v>
                </pt>
                <pt idx="281">
                  <v>0.004001646900013072</v>
                </pt>
                <pt idx="282">
                  <v>0.005963167162490215</v>
                </pt>
                <pt idx="283">
                  <v>0.01093899803305178</v>
                </pt>
                <pt idx="284">
                  <v>0.006573486326192098</v>
                </pt>
                <pt idx="285">
                  <v>0.007272230435935775</v>
                </pt>
                <pt idx="286">
                  <v>0.006361665423331303</v>
                </pt>
                <pt idx="287">
                  <v>0.004368796206182992</v>
                </pt>
                <pt idx="288">
                  <v>0.000954310602914678</v>
                </pt>
                <pt idx="289">
                  <v>0.006416235846896016</v>
                </pt>
                <pt idx="290">
                  <v>0.008436554316813472</v>
                </pt>
                <pt idx="291">
                  <v>0.005837161359348604</v>
                </pt>
                <pt idx="292">
                  <v>-0.0157920138119916</v>
                </pt>
                <pt idx="293">
                  <v>-0.09215841127777664</v>
                </pt>
                <pt idx="294">
                  <v>0.09352798945464573</v>
                </pt>
                <pt idx="295">
                  <v>0.00961378557094085</v>
                </pt>
                <pt idx="296">
                  <v>0.02607182216014065</v>
                </pt>
                <pt idx="297">
                  <v>0.02890355196398108</v>
                </pt>
                <pt idx="298">
                  <v>0.007311621985339042</v>
                </pt>
                <pt idx="299">
                  <v>0.007720552303682161</v>
                </pt>
                <pt idx="300">
                  <v>0.003352212070881637</v>
                </pt>
                <pt idx="301">
                  <v>0.005066371512668304</v>
                </pt>
                <pt idx="302">
                  <v>0.005610571074515199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PersonalConsumption!$D$6:$D$309</f>
              <numCache>
                <formatCode>0.00%</formatCode>
                <ptCount val="304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0.02305226173992305</v>
                </pt>
                <pt idx="281">
                  <v>0.02195245521811859</v>
                </pt>
                <pt idx="282">
                  <v>0.02205889450942596</v>
                </pt>
                <pt idx="283">
                  <v>0.02825481174259611</v>
                </pt>
                <pt idx="284">
                  <v>0.02774871306631502</v>
                </pt>
                <pt idx="285">
                  <v>0.03109665380963851</v>
                </pt>
                <pt idx="286">
                  <v>0.03150510835023685</v>
                </pt>
                <pt idx="287">
                  <v>0.02480124514929855</v>
                </pt>
                <pt idx="288">
                  <v>0.01908031333840314</v>
                </pt>
                <pt idx="289">
                  <v>0.01821428406880133</v>
                </pt>
                <pt idx="290">
                  <v>0.02031361036648035</v>
                </pt>
                <pt idx="291">
                  <v>0.0218052864882614</v>
                </pt>
                <pt idx="292">
                  <v>0.004710117772626672</v>
                </pt>
                <pt idx="293">
                  <v>-0.09369742156787694</v>
                </pt>
                <pt idx="294">
                  <v>-0.01722400661897841</v>
                </pt>
                <pt idx="295">
                  <v>-0.01353397034495733</v>
                </pt>
                <pt idx="296">
                  <v>0.02842591276624356</v>
                </pt>
                <pt idx="297">
                  <v>0.1655679666166461</v>
                </pt>
                <pt idx="298">
                  <v>0.07367179469480131</v>
                </pt>
                <pt idx="299">
                  <v>0.07165843950008789</v>
                </pt>
                <pt idx="300">
                  <v>0.04792943596596122</v>
                </pt>
                <pt idx="301">
                  <v>0.0236514722854184</v>
                </pt>
                <pt idx="302">
                  <v>0.02192282820816122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PersonalConsumption!$E$6:$E$309</f>
              <numCache>
                <formatCode>0.00%</formatCode>
                <ptCount val="304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0.02857788388120208</v>
                </pt>
                <pt idx="281">
                  <v>0.01610292324028317</v>
                </pt>
                <pt idx="282">
                  <v>0.0240668742757697</v>
                </pt>
                <pt idx="283">
                  <v>0.04447921243436692</v>
                </pt>
                <pt idx="284">
                  <v>0.02655434768719234</v>
                </pt>
                <pt idx="285">
                  <v>0.02940777493106816</v>
                </pt>
                <pt idx="286">
                  <v>0.0256905178993847</v>
                </pt>
                <pt idx="287">
                  <v>0.01759003700879158</v>
                </pt>
                <pt idx="288">
                  <v>0.003822710141244912</v>
                </pt>
                <pt idx="289">
                  <v>0.02591301015355829</v>
                </pt>
                <pt idx="290">
                  <v>0.03417567692779899</v>
                </pt>
                <pt idx="291">
                  <v>0.02355387686035493</v>
                </pt>
                <pt idx="292">
                  <v>-0.06168742018833939</v>
                </pt>
                <pt idx="293">
                  <v>-0.3207333437484402</v>
                </pt>
                <pt idx="294">
                  <v>0.4299459238464707</v>
                </pt>
                <pt idx="295">
                  <v>0.03901325427578684</v>
                </pt>
                <pt idx="296">
                  <v>0.1084370783836817</v>
                </pt>
                <pt idx="297">
                  <v>0.1207239835514877</v>
                </pt>
                <pt idx="298">
                  <v>0.0295688132075127</v>
                </pt>
                <pt idx="299">
                  <v>0.031241695128575</v>
                </pt>
                <pt idx="300">
                  <v>0.01347642304400898</v>
                </pt>
                <pt idx="301">
                  <v>0.02042001560828544</v>
                </pt>
                <pt idx="302">
                  <v>0.02263186278527107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PrivateInvestment!$B$6:$B$308</f>
              <numCache>
                <formatCode>0.0</formatCode>
                <ptCount val="303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3131.917</v>
                </pt>
                <pt idx="281">
                  <v>3187.781</v>
                </pt>
                <pt idx="282">
                  <v>3250.825</v>
                </pt>
                <pt idx="283">
                  <v>3293.441</v>
                </pt>
                <pt idx="284">
                  <v>3342.884</v>
                </pt>
                <pt idx="285">
                  <v>3349.047</v>
                </pt>
                <pt idx="286">
                  <v>3453.059</v>
                </pt>
                <pt idx="287">
                  <v>3450.608</v>
                </pt>
                <pt idx="288">
                  <v>3484.349</v>
                </pt>
                <pt idx="289">
                  <v>3504.855</v>
                </pt>
                <pt idx="290">
                  <v>3527.193</v>
                </pt>
                <pt idx="291">
                  <v>3454.354</v>
                </pt>
                <pt idx="292">
                  <v>3409.883</v>
                </pt>
                <pt idx="293">
                  <v>2884.223</v>
                </pt>
                <pt idx="294">
                  <v>3394.142</v>
                </pt>
                <pt idx="295">
                  <v>3537.645</v>
                </pt>
                <pt idx="296">
                  <v>3489.294</v>
                </pt>
                <pt idx="297">
                  <v>3496.867</v>
                </pt>
                <pt idx="298">
                  <v>3584.05</v>
                </pt>
                <pt idx="299">
                  <v>3841.771</v>
                </pt>
                <pt idx="300">
                  <v>3892.48</v>
                </pt>
                <pt idx="301">
                  <v>3746.973</v>
                </pt>
                <pt idx="302">
                  <v>3653.85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PrivateInvestment!$C$6:$C$308</f>
              <numCache>
                <formatCode>0.00%</formatCode>
                <ptCount val="303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-0.00497493944546537</v>
                </pt>
                <pt idx="281">
                  <v>0.01783699887321408</v>
                </pt>
                <pt idx="282">
                  <v>0.0197767663462452</v>
                </pt>
                <pt idx="283">
                  <v>0.0131092876423677</v>
                </pt>
                <pt idx="284">
                  <v>0.01501256588473885</v>
                </pt>
                <pt idx="285">
                  <v>0.001843617666661485</v>
                </pt>
                <pt idx="286">
                  <v>0.0310571932851346</v>
                </pt>
                <pt idx="287">
                  <v>-0.0007098054218013714</v>
                </pt>
                <pt idx="288">
                  <v>0.009778276755864469</v>
                </pt>
                <pt idx="289">
                  <v>0.005885173959324929</v>
                </pt>
                <pt idx="290">
                  <v>0.006373444835806387</v>
                </pt>
                <pt idx="291">
                  <v>-0.0206506987284224</v>
                </pt>
                <pt idx="292">
                  <v>-0.01287389769548807</v>
                </pt>
                <pt idx="293">
                  <v>-0.1541577819532224</v>
                </pt>
                <pt idx="294">
                  <v>0.1767959689663386</v>
                </pt>
                <pt idx="295">
                  <v>0.04227960998685387</v>
                </pt>
                <pt idx="296">
                  <v>-0.01366756698312016</v>
                </pt>
                <pt idx="297">
                  <v>0.002170353085753255</v>
                </pt>
                <pt idx="298">
                  <v>0.02493174604581758</v>
                </pt>
                <pt idx="299">
                  <v>0.07190775798328707</v>
                </pt>
                <pt idx="300">
                  <v>0.01319938122287868</v>
                </pt>
                <pt idx="301">
                  <v>-0.03738156650772774</v>
                </pt>
                <pt idx="302">
                  <v>-0.02485286122958453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PrivateInvestment!$D$6:$D$308</f>
              <numCache>
                <formatCode>0.00%</formatCode>
                <ptCount val="303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0.01703811298709602</v>
                </pt>
                <pt idx="281">
                  <v>0.04062503162405127</v>
                </pt>
                <pt idx="282">
                  <v>0.05914283982852107</v>
                </pt>
                <pt idx="283">
                  <v>0.04634201048679993</v>
                </pt>
                <pt idx="284">
                  <v>0.06736034192477007</v>
                </pt>
                <pt idx="285">
                  <v>0.05058879515249011</v>
                </pt>
                <pt idx="286">
                  <v>0.06221005437081368</v>
                </pt>
                <pt idx="287">
                  <v>0.04772121316276817</v>
                </pt>
                <pt idx="288">
                  <v>0.04231824975081401</v>
                </pt>
                <pt idx="289">
                  <v>0.0465230855225382</v>
                </pt>
                <pt idx="290">
                  <v>0.02146908002440735</v>
                </pt>
                <pt idx="291">
                  <v>0.001085605783096672</v>
                </pt>
                <pt idx="292">
                  <v>-0.02137156754389424</v>
                </pt>
                <pt idx="293">
                  <v>-0.1770777963710339</v>
                </pt>
                <pt idx="294">
                  <v>-0.03772149695239256</v>
                </pt>
                <pt idx="295">
                  <v>0.02411188893784487</v>
                </pt>
                <pt idx="296">
                  <v>0.02328848233209176</v>
                </pt>
                <pt idx="297">
                  <v>0.2124121470496561</v>
                </pt>
                <pt idx="298">
                  <v>0.05595169559788611</v>
                </pt>
                <pt idx="299">
                  <v>0.08596849033749859</v>
                </pt>
                <pt idx="300">
                  <v>0.1155494492582168</v>
                </pt>
                <pt idx="301">
                  <v>0.07152288033831419</v>
                </pt>
                <pt idx="302">
                  <v>0.01947517473249528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PrivateInvestment!$E$6:$E$308</f>
              <numCache>
                <formatCode>0.00%</formatCode>
                <ptCount val="303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-0.01975174955383407</v>
                </pt>
                <pt idx="281">
                  <v>0.0732797478638032</v>
                </pt>
                <pt idx="282">
                  <v>0.0814848816768472</v>
                </pt>
                <pt idx="283">
                  <v>0.05347731214180285</v>
                </pt>
                <pt idx="284">
                  <v>0.06141611109678879</v>
                </pt>
                <pt idx="285">
                  <v>0.00739488930008414</v>
                </pt>
                <pt idx="286">
                  <v>0.1301368237948564</v>
                </pt>
                <pt idx="287">
                  <v>-0.002836200174997749</v>
                </pt>
                <pt idx="288">
                  <v>0.03969054413136375</v>
                </pt>
                <pt idx="289">
                  <v>0.02374932401050667</v>
                </pt>
                <pt idx="290">
                  <v>0.02573854136541365</v>
                </pt>
                <pt idx="291">
                  <v>-0.08007913097915975</v>
                </pt>
                <pt idx="292">
                  <v>-0.05050967459906053</v>
                </pt>
                <pt idx="293">
                  <v>-0.4881326456497469</v>
                </pt>
                <pt idx="294">
                  <v>0.9178060675097068</v>
                </pt>
                <pt idx="295">
                  <v>0.1801493381366341</v>
                </pt>
                <pt idx="296">
                  <v>-0.0535596312504808</v>
                </pt>
                <pt idx="297">
                  <v>0.008709715853509659</v>
                </pt>
                <pt idx="298">
                  <v>0.1035189118168476</v>
                </pt>
                <pt idx="299">
                  <v>0.3201693834429844</v>
                </pt>
                <pt idx="300">
                  <v>0.05385209581167372</v>
                </pt>
                <pt idx="301">
                  <v>-0.1413489695084781</v>
                </pt>
                <pt idx="302">
                  <v>-0.09576647808228567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Exports!$B$6:$B$308</f>
              <numCache>
                <formatCode>0.0</formatCode>
                <ptCount val="303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2460.754</v>
                </pt>
                <pt idx="281">
                  <v>2468.946</v>
                </pt>
                <pt idx="282">
                  <v>2483.467</v>
                </pt>
                <pt idx="283">
                  <v>2547.997</v>
                </pt>
                <pt idx="284">
                  <v>2564.661</v>
                </pt>
                <pt idx="285">
                  <v>2578.61</v>
                </pt>
                <pt idx="286">
                  <v>2544.552</v>
                </pt>
                <pt idx="287">
                  <v>2552.437</v>
                </pt>
                <pt idx="288">
                  <v>2582.285</v>
                </pt>
                <pt idx="289">
                  <v>2567.281</v>
                </pt>
                <pt idx="290">
                  <v>2567.01</v>
                </pt>
                <pt idx="291">
                  <v>2571.845</v>
                </pt>
                <pt idx="292">
                  <v>2467.304</v>
                </pt>
                <pt idx="293">
                  <v>1951.368</v>
                </pt>
                <pt idx="294">
                  <v>2193.033</v>
                </pt>
                <pt idx="295">
                  <v>2315.033</v>
                </pt>
                <pt idx="296">
                  <v>2317.505</v>
                </pt>
                <pt idx="297">
                  <v>2345.132</v>
                </pt>
                <pt idx="298">
                  <v>2338.825</v>
                </pt>
                <pt idx="299">
                  <v>2465.672</v>
                </pt>
                <pt idx="300">
                  <v>2436.934</v>
                </pt>
                <pt idx="301">
                  <v>2516.928</v>
                </pt>
                <pt idx="302">
                  <v>2604.137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Exports!$C$6:$C$308</f>
              <numCache>
                <formatCode>0.00%</formatCode>
                <ptCount val="303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0.02593314633161998</v>
                </pt>
                <pt idx="281">
                  <v>0.003329060930105166</v>
                </pt>
                <pt idx="282">
                  <v>0.005881457107607937</v>
                </pt>
                <pt idx="283">
                  <v>0.02598383630626046</v>
                </pt>
                <pt idx="284">
                  <v>0.006540039097377358</v>
                </pt>
                <pt idx="285">
                  <v>0.005438925456424872</v>
                </pt>
                <pt idx="286">
                  <v>-0.01320789107309752</v>
                </pt>
                <pt idx="287">
                  <v>0.003098777309325871</v>
                </pt>
                <pt idx="288">
                  <v>0.01169392231816102</v>
                </pt>
                <pt idx="289">
                  <v>-0.005810357880714137</v>
                </pt>
                <pt idx="290">
                  <v>-0.0001055591499332293</v>
                </pt>
                <pt idx="291">
                  <v>0.001883514283154168</v>
                </pt>
                <pt idx="292">
                  <v>-0.04064825057497622</v>
                </pt>
                <pt idx="293">
                  <v>-0.2091092139436406</v>
                </pt>
                <pt idx="294">
                  <v>0.1238438879801247</v>
                </pt>
                <pt idx="295">
                  <v>0.05563071782321561</v>
                </pt>
                <pt idx="296">
                  <v>0.001067803353127237</v>
                </pt>
                <pt idx="297">
                  <v>0.01192100987915881</v>
                </pt>
                <pt idx="298">
                  <v>-0.002689400852489431</v>
                </pt>
                <pt idx="299">
                  <v>0.05423535322223776</v>
                </pt>
                <pt idx="300">
                  <v>-0.01165524043749527</v>
                </pt>
                <pt idx="301">
                  <v>0.03282567357179131</v>
                </pt>
                <pt idx="302">
                  <v>0.03464898479416189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Exports!$D$6:$D$308</f>
              <numCache>
                <formatCode>0.00%</formatCode>
                <ptCount val="303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0.04238098364683431</v>
                </pt>
                <pt idx="281">
                  <v>0.03797761047198948</v>
                </pt>
                <pt idx="282">
                  <v>0.02811572675727948</v>
                </pt>
                <pt idx="283">
                  <v>0.06230634149270047</v>
                </pt>
                <pt idx="284">
                  <v>0.04222567554497531</v>
                </pt>
                <pt idx="285">
                  <v>0.04441733436049238</v>
                </pt>
                <pt idx="286">
                  <v>0.02459666264943325</v>
                </pt>
                <pt idx="287">
                  <v>0.001742545222776971</v>
                </pt>
                <pt idx="288">
                  <v>0.006871863376875071</v>
                </pt>
                <pt idx="289">
                  <v>-0.00439345228630936</v>
                </pt>
                <pt idx="290">
                  <v>0.008825915131622416</v>
                </pt>
                <pt idx="291">
                  <v>0.007603713627407808</v>
                </pt>
                <pt idx="292">
                  <v>-0.04452684347389996</v>
                </pt>
                <pt idx="293">
                  <v>-0.2399086815973787</v>
                </pt>
                <pt idx="294">
                  <v>-0.145685836829619</v>
                </pt>
                <pt idx="295">
                  <v>-0.0998551623445425</v>
                </pt>
                <pt idx="296">
                  <v>-0.06071363723319055</v>
                </pt>
                <pt idx="297">
                  <v>0.2017886938803958</v>
                </pt>
                <pt idx="298">
                  <v>0.06647961977772333</v>
                </pt>
                <pt idx="299">
                  <v>0.06506991477011348</v>
                </pt>
                <pt idx="300">
                  <v>0.05153343789981039</v>
                </pt>
                <pt idx="301">
                  <v>0.07325643076807609</v>
                </pt>
                <pt idx="302">
                  <v>0.1134381580494481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Exports!$E$6:$E$308</f>
              <numCache>
                <formatCode>0.00%</formatCode>
                <ptCount val="303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-0.0117100133757253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0.1078379691687434</v>
                </pt>
                <pt idx="281">
                  <v>0.0133828873025279</v>
                </pt>
                <pt idx="282">
                  <v>0.0237341926478396</v>
                </pt>
                <pt idx="283">
                  <v>0.1080569325224865</v>
                </pt>
                <pt idx="284">
                  <v>0.02641790981245729</v>
                </pt>
                <pt idx="285">
                  <v>0.02193383773672841</v>
                </pt>
                <pt idx="286">
                  <v>-0.05179405992170971</v>
                </pt>
                <pt idx="287">
                  <v>0.01245284287744131</v>
                </pt>
                <pt idx="288">
                  <v>0.04760259136120748</v>
                </pt>
                <pt idx="289">
                  <v>-0.02303965346763059</v>
                </pt>
                <pt idx="290">
                  <v>-0.0004221697480328856</v>
                </pt>
                <pt idx="291">
                  <v>0.007555369629548725</v>
                </pt>
                <pt idx="292">
                  <v>-0.1529452398314838</v>
                </pt>
                <pt idx="293">
                  <v>-0.6087394473606504</v>
                </pt>
                <pt idx="294">
                  <v>0.5952323642032498</v>
                </pt>
                <pt idx="295">
                  <v>0.2417897681411236</v>
                </pt>
                <pt idx="296">
                  <v>0.004278059507869525</v>
                </pt>
                <pt idx="297">
                  <v>0.04854349897283639</v>
                </pt>
                <pt idx="298">
                  <v>-0.01071428390439289</v>
                </pt>
                <pt idx="299">
                  <v>0.2352370338159344</v>
                </pt>
                <pt idx="300">
                  <v>-0.04581220872556557</v>
                </pt>
                <pt idx="301">
                  <v>0.1379104863349765</v>
                </pt>
                <pt idx="302">
                  <v>0.1459670850380825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Imports!$B$6:$B$308</f>
              <numCache>
                <formatCode>0.0</formatCode>
                <ptCount val="303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3241.836</v>
                </pt>
                <pt idx="281">
                  <v>3273.403</v>
                </pt>
                <pt idx="282">
                  <v>3270.757</v>
                </pt>
                <pt idx="283">
                  <v>3362.957</v>
                </pt>
                <pt idx="284">
                  <v>3391.258</v>
                </pt>
                <pt idx="285">
                  <v>3395.283</v>
                </pt>
                <pt idx="286">
                  <v>3441.068</v>
                </pt>
                <pt idx="287">
                  <v>3474.268</v>
                </pt>
                <pt idx="288">
                  <v>3485.931</v>
                </pt>
                <pt idx="289">
                  <v>3491.751</v>
                </pt>
                <pt idx="290">
                  <v>3476.382</v>
                </pt>
                <pt idx="291">
                  <v>3404.66</v>
                </pt>
                <pt idx="292">
                  <v>3295.493</v>
                </pt>
                <pt idx="293">
                  <v>2718.619</v>
                </pt>
                <pt idx="294">
                  <v>3184.18</v>
                </pt>
                <pt idx="295">
                  <v>3419.001</v>
                </pt>
                <pt idx="296">
                  <v>3482.035</v>
                </pt>
                <pt idx="297">
                  <v>3549.002</v>
                </pt>
                <pt idx="298">
                  <v>3606.283</v>
                </pt>
                <pt idx="299">
                  <v>3763.316</v>
                </pt>
                <pt idx="300">
                  <v>3925.633</v>
                </pt>
                <pt idx="301">
                  <v>3947.472</v>
                </pt>
                <pt idx="302">
                  <v>3872.908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Imports!$C$6:$C$308</f>
              <numCache>
                <formatCode>0.00%</formatCode>
                <ptCount val="303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0.01544576784833312</v>
                </pt>
                <pt idx="281">
                  <v>0.009737383383983647</v>
                </pt>
                <pt idx="282">
                  <v>-0.0008083331016681206</v>
                </pt>
                <pt idx="283">
                  <v>0.02818919289938073</v>
                </pt>
                <pt idx="284">
                  <v>0.008415510516488891</v>
                </pt>
                <pt idx="285">
                  <v>0.001186875194986666</v>
                </pt>
                <pt idx="286">
                  <v>0.01348488476512865</v>
                </pt>
                <pt idx="287">
                  <v>0.009648167371292813</v>
                </pt>
                <pt idx="288">
                  <v>0.003356966129268097</v>
                </pt>
                <pt idx="289">
                  <v>0.001669568330526383</v>
                </pt>
                <pt idx="290">
                  <v>-0.004401516602988054</v>
                </pt>
                <pt idx="291">
                  <v>-0.02063121946897671</v>
                </pt>
                <pt idx="292">
                  <v>-0.03206399464263683</v>
                </pt>
                <pt idx="293">
                  <v>-0.1750493780444989</v>
                </pt>
                <pt idx="294">
                  <v>0.171249079036084</v>
                </pt>
                <pt idx="295">
                  <v>0.07374614500436545</v>
                </pt>
                <pt idx="296">
                  <v>0.01843637951553674</v>
                </pt>
                <pt idx="297">
                  <v>0.0192321444212939</v>
                </pt>
                <pt idx="298">
                  <v>0.01614003035219477</v>
                </pt>
                <pt idx="299">
                  <v>0.04354428091195281</v>
                </pt>
                <pt idx="300">
                  <v>0.04313137669013179</v>
                </pt>
                <pt idx="301">
                  <v>0.005563179237590574</v>
                </pt>
                <pt idx="302">
                  <v>-0.01888905101796803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Imports!$D$6:$D$308</f>
              <numCache>
                <formatCode>0.00%</formatCode>
                <ptCount val="303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0.03905732668627782</v>
                </pt>
                <pt idx="281">
                  <v>0.04807756035789697</v>
                </pt>
                <pt idx="282">
                  <v>0.03966335418218258</v>
                </pt>
                <pt idx="283">
                  <v>0.05338470333043587</v>
                </pt>
                <pt idx="284">
                  <v>0.04609178255778517</v>
                </pt>
                <pt idx="285">
                  <v>0.03723342344343184</v>
                </pt>
                <pt idx="286">
                  <v>0.05207082030245602</v>
                </pt>
                <pt idx="287">
                  <v>0.03309914459209563</v>
                </pt>
                <pt idx="288">
                  <v>0.02791677896521003</v>
                </pt>
                <pt idx="289">
                  <v>0.02841235914649834</v>
                </pt>
                <pt idx="290">
                  <v>0.01026251152258539</v>
                </pt>
                <pt idx="291">
                  <v>-0.02003529952208643</v>
                </pt>
                <pt idx="292">
                  <v>-0.05463045596714338</v>
                </pt>
                <pt idx="293">
                  <v>-0.2214167046848415</v>
                </pt>
                <pt idx="294">
                  <v>-0.08405347858779623</v>
                </pt>
                <pt idx="295">
                  <v>0.004212168028525712</v>
                </pt>
                <pt idx="296">
                  <v>0.05660518775187807</v>
                </pt>
                <pt idx="297">
                  <v>0.3054429473199444</v>
                </pt>
                <pt idx="298">
                  <v>0.1325625435747979</v>
                </pt>
                <pt idx="299">
                  <v>0.1007063174301498</v>
                </pt>
                <pt idx="300">
                  <v>0.1273961921692344</v>
                </pt>
                <pt idx="301">
                  <v>0.112276634389048</v>
                </pt>
                <pt idx="302">
                  <v>0.07393346556551442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Imports!$E$6:$E$308</f>
              <numCache>
                <formatCode>0.00%</formatCode>
                <ptCount val="303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0.06322929847147551</v>
                </pt>
                <pt idx="281">
                  <v>0.03952213540083971</v>
                </pt>
                <pt idx="282">
                  <v>-0.003229414104493289</v>
                </pt>
                <pt idx="283">
                  <v>0.1176147865938719</v>
                </pt>
                <pt idx="284">
                  <v>0.03408935595839213</v>
                </pt>
                <pt idx="285">
                  <v>0.004755959505976515</v>
                </pt>
                <pt idx="286">
                  <v>0.05504043330982245</v>
                </pt>
                <pt idx="287">
                  <v>0.03915479343311334</v>
                </pt>
                <pt idx="288">
                  <v>0.01349563129520659</v>
                </pt>
                <pt idx="289">
                  <v>0.006695016695746236</v>
                </pt>
                <pt idx="290">
                  <v>-0.0174901670346459</v>
                </pt>
                <pt idx="291">
                  <v>-0.08000593988427407</v>
                </pt>
                <pt idx="292">
                  <v>-0.122218183006606</v>
                </pt>
                <pt idx="293">
                  <v>-0.536860505592506</v>
                </pt>
                <pt idx="294">
                  <v>0.8819021985456021</v>
                </pt>
                <pt idx="295">
                  <v>0.32924939249133</v>
                </pt>
                <pt idx="296">
                  <v>0.07581010024026291</v>
                </pt>
                <pt idx="297">
                  <v>0.07917642075405129</v>
                </pt>
                <pt idx="298">
                  <v>0.06614001069700692</v>
                </pt>
                <pt idx="299">
                  <v>0.1858876032710941</v>
                </pt>
                <pt idx="300">
                  <v>0.1840118133671256</v>
                </pt>
                <pt idx="301">
                  <v>0.02243910038609642</v>
                </pt>
                <pt idx="302">
                  <v>-0.0734422574483059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Government!$B$6:$B$308</f>
              <numCache>
                <formatCode>0.0</formatCode>
                <ptCount val="303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3152.232</v>
                </pt>
                <pt idx="281">
                  <v>3157.874</v>
                </pt>
                <pt idx="282">
                  <v>3157.086</v>
                </pt>
                <pt idx="283">
                  <v>3181.999</v>
                </pt>
                <pt idx="284">
                  <v>3187.714</v>
                </pt>
                <pt idx="285">
                  <v>3210.037</v>
                </pt>
                <pt idx="286">
                  <v>3231.336</v>
                </pt>
                <pt idx="287">
                  <v>3232.303</v>
                </pt>
                <pt idx="288">
                  <v>3270.966</v>
                </pt>
                <pt idx="289">
                  <v>3313.8</v>
                </pt>
                <pt idx="290">
                  <v>3341.229</v>
                </pt>
                <pt idx="291">
                  <v>3360.85</v>
                </pt>
                <pt idx="292">
                  <v>3387.944</v>
                </pt>
                <pt idx="293">
                  <v>3448.043</v>
                </pt>
                <pt idx="294">
                  <v>3395.877</v>
                </pt>
                <pt idx="295">
                  <v>3394.795</v>
                </pt>
                <pt idx="296">
                  <v>3448.743</v>
                </pt>
                <pt idx="297">
                  <v>3422.363</v>
                </pt>
                <pt idx="298">
                  <v>3421.046</v>
                </pt>
                <pt idx="299">
                  <v>3412.858</v>
                </pt>
                <pt idx="300">
                  <v>3393.389</v>
                </pt>
                <pt idx="301">
                  <v>3379.499</v>
                </pt>
                <pt idx="302">
                  <v>3410.625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Government!$C$6:$C$308</f>
              <numCache>
                <formatCode>0.00%</formatCode>
                <ptCount val="303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-0.002606889922419801</v>
                </pt>
                <pt idx="281">
                  <v>0.00178984287958495</v>
                </pt>
                <pt idx="282">
                  <v>-0.0002495349719463193</v>
                </pt>
                <pt idx="283">
                  <v>0.007891137587002703</v>
                </pt>
                <pt idx="284">
                  <v>0.001796040790710539</v>
                </pt>
                <pt idx="285">
                  <v>0.007002823967269292</v>
                </pt>
                <pt idx="286">
                  <v>0.006635126012566204</v>
                </pt>
                <pt idx="287">
                  <v>0.0002992570255770673</v>
                </pt>
                <pt idx="288">
                  <v>0.01196144049614161</v>
                </pt>
                <pt idx="289">
                  <v>0.01309521407437445</v>
                </pt>
                <pt idx="290">
                  <v>0.008277204417888716</v>
                </pt>
                <pt idx="291">
                  <v>0.005872390069642067</v>
                </pt>
                <pt idx="292">
                  <v>0.008061651070413751</v>
                </pt>
                <pt idx="293">
                  <v>0.01773907715121624</v>
                </pt>
                <pt idx="294">
                  <v>-0.01512916167228778</v>
                </pt>
                <pt idx="295">
                  <v>-0.0003186216697483095</v>
                </pt>
                <pt idx="296">
                  <v>0.01589138666694156</v>
                </pt>
                <pt idx="297">
                  <v>-0.00764916376778441</v>
                </pt>
                <pt idx="298">
                  <v>-0.0003848218321668413</v>
                </pt>
                <pt idx="299">
                  <v>-0.002393420024167944</v>
                </pt>
                <pt idx="300">
                  <v>-0.005704603004285573</v>
                </pt>
                <pt idx="301">
                  <v>-0.004093253087105642</v>
                </pt>
                <pt idx="302">
                  <v>0.009210240926243863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Government!$D$6:$D$308</f>
              <numCache>
                <formatCode>0.00%</formatCode>
                <ptCount val="303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0.002988060802312327</v>
                </pt>
                <pt idx="281">
                  <v>0.006362196493844611</v>
                </pt>
                <pt idx="282">
                  <v>0.001012082206947985</v>
                </pt>
                <pt idx="283">
                  <v>0.006811642948155446</v>
                </pt>
                <pt idx="284">
                  <v>0.0112561511969931</v>
                </pt>
                <pt idx="285">
                  <v>0.01651839180410618</v>
                </pt>
                <pt idx="286">
                  <v>0.02351852309376432</v>
                </pt>
                <pt idx="287">
                  <v>0.01580893017251108</v>
                </pt>
                <pt idx="288">
                  <v>0.02611652111826844</v>
                </pt>
                <pt idx="289">
                  <v>0.03232454953011457</v>
                </pt>
                <pt idx="290">
                  <v>0.03400853393147604</v>
                </pt>
                <pt idx="291">
                  <v>0.03976947705707046</v>
                </pt>
                <pt idx="292">
                  <v>0.0357625239760976</v>
                </pt>
                <pt idx="293">
                  <v>0.04051029030116481</v>
                </pt>
                <pt idx="294">
                  <v>0.01635565835206151</v>
                </pt>
                <pt idx="295">
                  <v>0.01010012348066714</v>
                </pt>
                <pt idx="296">
                  <v>0.01794569213658785</v>
                </pt>
                <pt idx="297">
                  <v>-0.00744770294337985</v>
                </pt>
                <pt idx="298">
                  <v>0.007411634755911321</v>
                </pt>
                <pt idx="299">
                  <v>0.005320792566266918</v>
                </pt>
                <pt idx="300">
                  <v>-0.0160504856407102</v>
                </pt>
                <pt idx="301">
                  <v>-0.01252467958542096</v>
                </pt>
                <pt idx="302">
                  <v>-0.003046144366372104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Government!$E$6:$E$308</f>
              <numCache>
                <formatCode>0.00%</formatCode>
                <ptCount val="303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-0.0103868552574824</v>
                </pt>
                <pt idx="281">
                  <v>0.007178615689120038</v>
                </pt>
                <pt idx="282">
                  <v>-0.0009977663437200635</v>
                </pt>
                <pt idx="283">
                  <v>0.03194014006627754</v>
                </pt>
                <pt idx="284">
                  <v>0.007203540922783302</v>
                </pt>
                <pt idx="285">
                  <v>0.02830690919621603</v>
                </pt>
                <pt idx="286">
                  <v>0.02680582381463448</v>
                </pt>
                <pt idx="287">
                  <v>0.001197565538120227</v>
                </pt>
                <pt idx="288">
                  <v>0.04871108439083383</v>
                </pt>
                <pt idx="289">
                  <v>0.053418776006247</v>
                </pt>
                <pt idx="290">
                  <v>0.03352216339837444</v>
                </pt>
                <pt idx="291">
                  <v>0.02369728129522808</v>
                </pt>
                <pt idx="292">
                  <v>0.03263864552711104</v>
                </pt>
                <pt idx="293">
                  <v>0.07286678494053933</v>
                </pt>
                <pt idx="294">
                  <v>-0.05915709684840686</v>
                </pt>
                <pt idx="295">
                  <v>-0.00127387768975773</v>
                </pt>
                <pt idx="296">
                  <v>0.06509688006318437</v>
                </pt>
                <pt idx="297">
                  <v>-0.03024738361097723</v>
                </pt>
                <pt idx="298">
                  <v>-0.001538399029539894</v>
                </pt>
                <pt idx="299">
                  <v>-0.009539364149822038</v>
                </pt>
                <pt idx="300">
                  <v>-0.02262389855357816</v>
                </pt>
                <pt idx="301">
                  <v>-0.01627275806794237</v>
                </pt>
                <pt idx="302">
                  <v>0.03735306729345922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GDPPriceIndex!$B$6:$B$308</f>
              <numCache>
                <formatCode>0.0</formatCode>
                <ptCount val="303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107.022</v>
                </pt>
                <pt idx="281">
                  <v>107.363</v>
                </pt>
                <pt idx="282">
                  <v>107.948</v>
                </pt>
                <pt idx="283">
                  <v>108.639</v>
                </pt>
                <pt idx="284">
                  <v>109.365</v>
                </pt>
                <pt idx="285">
                  <v>110.176</v>
                </pt>
                <pt idx="286">
                  <v>110.68</v>
                </pt>
                <pt idx="287">
                  <v>111.155</v>
                </pt>
                <pt idx="288">
                  <v>111.56</v>
                </pt>
                <pt idx="289">
                  <v>112.184</v>
                </pt>
                <pt idx="290">
                  <v>112.558</v>
                </pt>
                <pt idx="291">
                  <v>112.91</v>
                </pt>
                <pt idx="292">
                  <v>113.427</v>
                </pt>
                <pt idx="293">
                  <v>113.053</v>
                </pt>
                <pt idx="294">
                  <v>114.032</v>
                </pt>
                <pt idx="295">
                  <v>114.744</v>
                </pt>
                <pt idx="296">
                  <v>116.199</v>
                </pt>
                <pt idx="297">
                  <v>117.974</v>
                </pt>
                <pt idx="298">
                  <v>119.763</v>
                </pt>
                <pt idx="299">
                  <v>121.758</v>
                </pt>
                <pt idx="300">
                  <v>124.209</v>
                </pt>
                <pt idx="301">
                  <v>126.914</v>
                </pt>
                <pt idx="302">
                  <v>128.276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GDPPriceIndex!$C$6:$C$308</f>
              <numCache>
                <formatCode>0.00%</formatCode>
                <ptCount val="303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0.00518455903071294</v>
                </pt>
                <pt idx="281">
                  <v>0.003186260768813832</v>
                </pt>
                <pt idx="282">
                  <v>0.005448804522973406</v>
                </pt>
                <pt idx="283">
                  <v>0.006401230221958745</v>
                </pt>
                <pt idx="284">
                  <v>0.006682683014387091</v>
                </pt>
                <pt idx="285">
                  <v>0.007415535134640946</v>
                </pt>
                <pt idx="286">
                  <v>0.004574498983444714</v>
                </pt>
                <pt idx="287">
                  <v>0.00429165160823992</v>
                </pt>
                <pt idx="288">
                  <v>0.003643560793486583</v>
                </pt>
                <pt idx="289">
                  <v>0.005593402653280703</v>
                </pt>
                <pt idx="290">
                  <v>0.003333808742779803</v>
                </pt>
                <pt idx="291">
                  <v>0.003127276604061814</v>
                </pt>
                <pt idx="292">
                  <v>0.004578868125055443</v>
                </pt>
                <pt idx="293">
                  <v>-0.003297274899274506</v>
                </pt>
                <pt idx="294">
                  <v>0.008659655205965337</v>
                </pt>
                <pt idx="295">
                  <v>0.006243861372246416</v>
                </pt>
                <pt idx="296">
                  <v>0.01268040158962559</v>
                </pt>
                <pt idx="297">
                  <v>0.01527551872219215</v>
                </pt>
                <pt idx="298">
                  <v>0.01516435824842763</v>
                </pt>
                <pt idx="299">
                  <v>0.01665789935121858</v>
                </pt>
                <pt idx="300">
                  <v>0.02013009412112558</v>
                </pt>
                <pt idx="301">
                  <v>0.02177780998156332</v>
                </pt>
                <pt idx="302">
                  <v>0.01073167656838496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GDPPriceIndex!$D$6:$D$308</f>
              <numCache>
                <formatCode>0.00%</formatCode>
                <ptCount val="303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0.02049145156522652</v>
                </pt>
                <pt idx="281">
                  <v>0.0169261953474275</v>
                </pt>
                <pt idx="282">
                  <v>0.01939675524581173</v>
                </pt>
                <pt idx="283">
                  <v>0.02037193575655111</v>
                </pt>
                <pt idx="284">
                  <v>0.02189269495991468</v>
                </pt>
                <pt idx="285">
                  <v>0.02620083268910148</v>
                </pt>
                <pt idx="286">
                  <v>0.02530848186163721</v>
                </pt>
                <pt idx="287">
                  <v>0.02315927061184294</v>
                </pt>
                <pt idx="288">
                  <v>0.02007040643716004</v>
                </pt>
                <pt idx="289">
                  <v>0.01822538483880333</v>
                </pt>
                <pt idx="290">
                  <v>0.01696783520057824</v>
                </pt>
                <pt idx="291">
                  <v>0.01578876343844177</v>
                </pt>
                <pt idx="292">
                  <v>0.01673538902832561</v>
                </pt>
                <pt idx="293">
                  <v>0.007746202667046992</v>
                </pt>
                <pt idx="294">
                  <v>0.01309547077950914</v>
                </pt>
                <pt idx="295">
                  <v>0.01624302541847492</v>
                </pt>
                <pt idx="296">
                  <v>0.02443862572403388</v>
                </pt>
                <pt idx="297">
                  <v>0.04352825665838152</v>
                </pt>
                <pt idx="298">
                  <v>0.05025782236565182</v>
                </pt>
                <pt idx="299">
                  <v>0.06112737920937038</v>
                </pt>
                <pt idx="300">
                  <v>0.06893346758577962</v>
                </pt>
                <pt idx="301">
                  <v>0.07577940902232694</v>
                </pt>
                <pt idx="302">
                  <v>0.07108205372276917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GDPPriceIndex!$E$6:$E$308</f>
              <numCache>
                <formatCode>0.00%</formatCode>
                <ptCount val="303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0.02090007219600243</v>
                </pt>
                <pt idx="281">
                  <v>0.01280608611540646</v>
                </pt>
                <pt idx="282">
                  <v>0.02197400288622586</v>
                </pt>
                <pt idx="283">
                  <v>0.02585182623776894</v>
                </pt>
                <pt idx="284">
                  <v>0.02699987731330844</v>
                </pt>
                <pt idx="285">
                  <v>0.0299937156563741</v>
                </pt>
                <pt idx="286">
                  <v>0.01842393552198729</v>
                </pt>
                <pt idx="287">
                  <v>0.01727743259260417</v>
                </pt>
                <pt idx="288">
                  <v>0.01465409004260021</v>
                </pt>
                <pt idx="289">
                  <v>0.02256202849560651</v>
                </pt>
                <pt idx="290">
                  <v>0.01340206899059271</v>
                </pt>
                <pt idx="291">
                  <v>0.01256790800293883</v>
                </pt>
                <pt idx="292">
                  <v>0.01844165314244228</v>
                </pt>
                <pt idx="293">
                  <v>-0.01312401074050684</v>
                </pt>
                <pt idx="294">
                  <v>0.03509116175432214</v>
                </pt>
                <pt idx="295">
                  <v>0.02521033552573693</v>
                </pt>
                <pt idx="296">
                  <v>0.05169454337777779</v>
                </pt>
                <pt idx="297">
                  <v>0.06251643581851463</v>
                </pt>
                <pt idx="298">
                  <v>0.06205118108828667</v>
                </pt>
                <pt idx="299">
                  <v>0.0683150773774146</v>
                </pt>
                <pt idx="300">
                  <v>0.08298449334672542</v>
                </pt>
                <pt idx="301">
                  <v>0.08999841741645231</v>
                </pt>
                <pt idx="302">
                  <v>0.04362267664998987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CorePCE!$B$6:$B$308</f>
              <numCache>
                <formatCode>0.0</formatCode>
                <ptCount val="303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107.328</v>
                </pt>
                <pt idx="281">
                  <v>107.738</v>
                </pt>
                <pt idx="282">
                  <v>108.077</v>
                </pt>
                <pt idx="283">
                  <v>108.608</v>
                </pt>
                <pt idx="284">
                  <v>109.318</v>
                </pt>
                <pt idx="285">
                  <v>109.926</v>
                </pt>
                <pt idx="286">
                  <v>110.313</v>
                </pt>
                <pt idx="287">
                  <v>110.822</v>
                </pt>
                <pt idx="288">
                  <v>111.23</v>
                </pt>
                <pt idx="289">
                  <v>111.808</v>
                </pt>
                <pt idx="290">
                  <v>112.255</v>
                </pt>
                <pt idx="291">
                  <v>112.597</v>
                </pt>
                <pt idx="292">
                  <v>113.119</v>
                </pt>
                <pt idx="293">
                  <v>112.846</v>
                </pt>
                <pt idx="294">
                  <v>113.729</v>
                </pt>
                <pt idx="295">
                  <v>114.163</v>
                </pt>
                <pt idx="296">
                  <v>115.072</v>
                </pt>
                <pt idx="297">
                  <v>116.774</v>
                </pt>
                <pt idx="298">
                  <v>118.152</v>
                </pt>
                <pt idx="299">
                  <v>119.555</v>
                </pt>
                <pt idx="300">
                  <v>121.206</v>
                </pt>
                <pt idx="301">
                  <v>122.592</v>
                </pt>
                <pt idx="302">
                  <v>123.997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CorePCE!$C$6:$C$308</f>
              <numCache>
                <formatCode>0.00%</formatCode>
                <ptCount val="303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0.004774476211874451</v>
                </pt>
                <pt idx="281">
                  <v>0.003820065593321375</v>
                </pt>
                <pt idx="282">
                  <v>0.003146522118472578</v>
                </pt>
                <pt idx="283">
                  <v>0.004913163762872821</v>
                </pt>
                <pt idx="284">
                  <v>0.00653727165586323</v>
                </pt>
                <pt idx="285">
                  <v>0.005561755612067584</v>
                </pt>
                <pt idx="286">
                  <v>0.003520550188308502</v>
                </pt>
                <pt idx="287">
                  <v>0.004614143391984628</v>
                </pt>
                <pt idx="288">
                  <v>0.00368157946978038</v>
                </pt>
                <pt idx="289">
                  <v>0.005196439809403965</v>
                </pt>
                <pt idx="290">
                  <v>0.003997925014310144</v>
                </pt>
                <pt idx="291">
                  <v>0.003046634893768641</v>
                </pt>
                <pt idx="292">
                  <v>0.004636002735419288</v>
                </pt>
                <pt idx="293">
                  <v>-0.002413387671390271</v>
                </pt>
                <pt idx="294">
                  <v>0.007824823210392885</v>
                </pt>
                <pt idx="295">
                  <v>0.003816089124145974</v>
                </pt>
                <pt idx="296">
                  <v>0.007962299519108696</v>
                </pt>
                <pt idx="297">
                  <v>0.01479073971078975</v>
                </pt>
                <pt idx="298">
                  <v>0.01180057204514704</v>
                </pt>
                <pt idx="299">
                  <v>0.01187453449793491</v>
                </pt>
                <pt idx="300">
                  <v>0.01380954372464553</v>
                </pt>
                <pt idx="301">
                  <v>0.01143507747141227</v>
                </pt>
                <pt idx="302">
                  <v>0.01146078047507179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CorePCE!$D$6:$D$308</f>
              <numCache>
                <formatCode>0.00%</formatCode>
                <ptCount val="303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0.01863047501542266</v>
                </pt>
                <pt idx="281">
                  <v>0.01700067020965293</v>
                </pt>
                <pt idx="282">
                  <v>0.01547496006765002</v>
                </pt>
                <pt idx="283">
                  <v>0.01675747533187296</v>
                </pt>
                <pt idx="284">
                  <v>0.01854129397734044</v>
                </pt>
                <pt idx="285">
                  <v>0.02030852623958123</v>
                </pt>
                <pt idx="286">
                  <v>0.02068895324629666</v>
                </pt>
                <pt idx="287">
                  <v>0.02038523865645255</v>
                </pt>
                <pt idx="288">
                  <v>0.01749025778005458</v>
                </pt>
                <pt idx="289">
                  <v>0.01712060840929357</v>
                </pt>
                <pt idx="290">
                  <v>0.01760445278434992</v>
                </pt>
                <pt idx="291">
                  <v>0.01601667538936305</v>
                </pt>
                <pt idx="292">
                  <v>0.01698282837364017</v>
                </pt>
                <pt idx="293">
                  <v>0.009283772180881481</v>
                </pt>
                <pt idx="294">
                  <v>0.01313081822635966</v>
                </pt>
                <pt idx="295">
                  <v>0.01390800820625774</v>
                </pt>
                <pt idx="296">
                  <v>0.01726500411071529</v>
                </pt>
                <pt idx="297">
                  <v>0.03480850007975468</v>
                </pt>
                <pt idx="298">
                  <v>0.03889069630437269</v>
                </pt>
                <pt idx="299">
                  <v>0.04723071397913518</v>
                </pt>
                <pt idx="300">
                  <v>0.05330575639599555</v>
                </pt>
                <pt idx="301">
                  <v>0.04982273451281961</v>
                </pt>
                <pt idx="302">
                  <v>0.04947017401313561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CorePCE!$E$6:$E$308</f>
              <numCache>
                <formatCode>0.00%</formatCode>
                <ptCount val="303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0.09211949747852932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0.01923511445436565</v>
                </pt>
                <pt idx="281">
                  <v>0.01536804297642003</v>
                </pt>
                <pt idx="282">
                  <v>0.01264561679040987</v>
                </pt>
                <pt idx="283">
                  <v>0.01979796510209741</v>
                </pt>
                <pt idx="284">
                  <v>0.02640662147931905</v>
                </pt>
                <pt idx="285">
                  <v>0.02243331032799567</v>
                </pt>
                <pt idx="286">
                  <v>0.01415674108727139</v>
                </pt>
                <pt idx="287">
                  <v>0.01858470888301045</v>
                </pt>
                <pt idx="288">
                  <v>0.01480784182810302</v>
                </pt>
                <pt idx="289">
                  <v>0.02094833916451377</v>
                </pt>
                <pt idx="290">
                  <v>0.01608785634103893</v>
                </pt>
                <pt idx="291">
                  <v>0.0122423446815525</v>
                </pt>
                <pt idx="292">
                  <v>0.01867336508933404</v>
                </pt>
                <pt idx="293">
                  <v>-0.009618660237850074</v>
                </pt>
                <pt idx="294">
                  <v>0.03166858012873131</v>
                </pt>
                <pt idx="295">
                  <v>0.01535195421361557</v>
                </pt>
                <pt idx="296">
                  <v>0.03223161055982371</v>
                </pt>
                <pt idx="297">
                  <v>0.06048854543160931</v>
                </pt>
                <pt idx="298">
                  <v>0.04804440165954693</v>
                </pt>
                <pt idx="299">
                  <v>0.04835088274578614</v>
                </pt>
                <pt idx="300">
                  <v>0.05639296636687341</v>
                </pt>
                <pt idx="301">
                  <v>0.04653087401326395</v>
                </pt>
                <pt idx="302">
                  <v>0.04663725755820214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8" headerRowCount="1" totalsRowShown="0" dataDxfId="85" headerRowBorderDxfId="86" tableBorderDxfId="84" totalsRowBorderDxfId="83">
  <autoFilter ref="A5:E308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8" headerRowCount="1" totalsRowShown="0" headerRowDxfId="77" dataDxfId="75" headerRowBorderDxfId="76">
  <autoFilter ref="A5:L308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8" headerRowCount="1" totalsRowShown="0" dataDxfId="61" headerRowBorderDxfId="62" tableBorderDxfId="60" totalsRowBorderDxfId="59">
  <autoFilter ref="A5:E308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8" headerRowCount="1" totalsRowShown="0" dataDxfId="52" headerRowBorderDxfId="53" tableBorderDxfId="51" totalsRowBorderDxfId="50">
  <autoFilter ref="A5:E308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8" headerRowCount="1" totalsRowShown="0" dataDxfId="43" headerRowBorderDxfId="44" tableBorderDxfId="42" totalsRowBorderDxfId="41">
  <autoFilter ref="A5:E308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8" headerRowCount="1" totalsRowShown="0" dataDxfId="34" headerRowBorderDxfId="35" tableBorderDxfId="33" totalsRowBorderDxfId="32">
  <autoFilter ref="A5:E308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8" headerRowCount="1" totalsRowShown="0" dataDxfId="25" headerRowBorderDxfId="26" tableBorderDxfId="24" totalsRowBorderDxfId="23">
  <autoFilter ref="A5:E308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8" headerRowCount="1" totalsRowShown="0" dataDxfId="16" headerRowBorderDxfId="17" tableBorderDxfId="15" totalsRowBorderDxfId="14">
  <autoFilter ref="A5:E308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8" headerRowCount="1" totalsRowShown="0" dataDxfId="7" headerRowBorderDxfId="8" tableBorderDxfId="6" totalsRowBorderDxfId="5">
  <autoFilter ref="A5:E308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8" defaultColWidth="9.1796875" defaultRowHeight="14.5"/>
  <cols>
    <col width="5.1796875" customWidth="1" style="80" min="1" max="1"/>
    <col width="12.81640625" customWidth="1" style="80" min="2" max="10"/>
    <col width="6.6328125" customWidth="1" style="80" min="11" max="12"/>
    <col width="24.1796875" customWidth="1" style="80" min="13" max="15"/>
    <col width="9.1796875" customWidth="1" style="80" min="16" max="30"/>
    <col width="9.1796875" customWidth="1" style="80" min="31" max="16384"/>
  </cols>
  <sheetData>
    <row r="1">
      <c r="B1" s="85" t="n"/>
    </row>
    <row r="2" ht="16" customHeight="1" thickBot="1">
      <c r="B2" s="86" t="n"/>
      <c r="C2" s="86" t="n"/>
      <c r="D2" s="86" t="n"/>
      <c r="E2" s="86" t="n"/>
      <c r="F2" s="86" t="n"/>
      <c r="G2" s="86" t="n"/>
      <c r="H2" s="86" t="n"/>
      <c r="I2" s="86" t="n"/>
      <c r="J2" s="86" t="n"/>
    </row>
    <row r="3" ht="16" customHeight="1" thickBot="1">
      <c r="B3" s="87" t="inlineStr">
        <is>
          <t>U.S. GDP</t>
        </is>
      </c>
      <c r="C3" s="88" t="n"/>
      <c r="D3" s="88" t="n"/>
      <c r="E3" s="88" t="n"/>
      <c r="F3" s="88" t="n"/>
      <c r="G3" s="88" t="n"/>
      <c r="H3" s="88" t="n"/>
      <c r="I3" s="88" t="n"/>
      <c r="J3" s="89" t="n"/>
    </row>
    <row r="5">
      <c r="B5" s="81" t="inlineStr">
        <is>
          <t>Definition</t>
        </is>
      </c>
      <c r="C5" s="82" t="n"/>
      <c r="D5" s="82" t="n"/>
      <c r="E5" s="82" t="n"/>
      <c r="F5" s="82" t="n"/>
      <c r="G5" s="82" t="n"/>
      <c r="H5" s="82" t="n"/>
      <c r="I5" s="82" t="n"/>
      <c r="J5" s="83" t="n"/>
    </row>
    <row r="7" ht="182" customHeight="1">
      <c r="B7" s="90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15" t="n"/>
    </row>
    <row r="8" ht="30.75" customHeight="1">
      <c r="B8" s="1" t="inlineStr">
        <is>
          <t>https://apps.bea.gov/iTable/iTable.cfm?reqid=19&amp;step=2#reqid=19&amp;step=2&amp;isuri=1&amp;1921=survey</t>
        </is>
      </c>
      <c r="C8" s="79" t="n"/>
      <c r="D8" s="79" t="n"/>
      <c r="E8" s="79" t="n"/>
      <c r="F8" s="79" t="n"/>
      <c r="G8" s="79" t="n"/>
      <c r="H8" s="79" t="n"/>
      <c r="I8" s="79" t="n"/>
      <c r="J8" s="79" t="n"/>
    </row>
    <row r="9">
      <c r="B9" s="8" t="n"/>
      <c r="C9" s="9" t="n"/>
      <c r="D9" s="9" t="n"/>
      <c r="E9" s="9" t="n"/>
    </row>
    <row r="10">
      <c r="B10" s="81" t="inlineStr">
        <is>
          <t>Process / TO DO LIST</t>
        </is>
      </c>
      <c r="C10" s="82" t="n"/>
      <c r="D10" s="82" t="n"/>
      <c r="E10" s="82" t="n"/>
      <c r="F10" s="82" t="n"/>
      <c r="G10" s="82" t="n"/>
      <c r="H10" s="82" t="n"/>
      <c r="I10" s="82" t="n"/>
      <c r="J10" s="83" t="n"/>
      <c r="M10" s="81" t="inlineStr">
        <is>
          <t>Summary</t>
        </is>
      </c>
      <c r="N10" s="82" t="n"/>
      <c r="O10" s="83" t="n"/>
    </row>
    <row r="12">
      <c r="B12" s="81" t="inlineStr">
        <is>
          <t>TO DO LIST</t>
        </is>
      </c>
      <c r="C12" s="82" t="n"/>
      <c r="D12" s="82" t="n"/>
      <c r="E12" s="82" t="n"/>
      <c r="F12" s="83" t="n"/>
      <c r="G12" s="81" t="inlineStr">
        <is>
          <t>Comments</t>
        </is>
      </c>
      <c r="H12" s="82" t="n"/>
      <c r="I12" s="82" t="n"/>
      <c r="J12" s="83" t="n"/>
    </row>
    <row r="13" ht="16" customHeight="1" thickBot="1"/>
    <row r="14" ht="16" customHeight="1" thickBot="1">
      <c r="B14" s="84" t="inlineStr">
        <is>
          <t>https://fred.stlouisfed.org/</t>
        </is>
      </c>
      <c r="N14" s="30" t="inlineStr">
        <is>
          <t>GDP yoy%</t>
        </is>
      </c>
      <c r="O14" s="31" t="inlineStr">
        <is>
          <t>GDP qoq annualized%</t>
        </is>
      </c>
    </row>
    <row r="15" ht="16" customHeight="1" thickBot="1">
      <c r="B15" s="80" t="inlineStr">
        <is>
          <t>Create List on fred</t>
        </is>
      </c>
      <c r="G15" s="80" t="inlineStr">
        <is>
          <t>Create account on Fred</t>
        </is>
      </c>
      <c r="M15" s="32" t="n">
        <v>44470</v>
      </c>
      <c r="N15" s="56">
        <f>VLOOKUP(M15,'U.S. GDP'!A:E,4,)</f>
        <v/>
      </c>
      <c r="O15" s="57">
        <f>VLOOKUP(M15,'U.S. GDP'!A:F,5,)</f>
        <v/>
      </c>
    </row>
    <row r="16" ht="16" customHeight="1" thickBot="1">
      <c r="B16" s="26" t="inlineStr">
        <is>
          <t>DPCCRV1Q225SBEA</t>
        </is>
      </c>
      <c r="G16" s="80" t="inlineStr">
        <is>
          <t>Create Different Lists with required data</t>
        </is>
      </c>
      <c r="M16" s="33" t="n">
        <v>44378</v>
      </c>
      <c r="N16" s="56">
        <f>VLOOKUP(M16,'U.S. GDP'!A:E,4,)</f>
        <v/>
      </c>
      <c r="O16" s="57">
        <f>VLOOKUP(M16,'U.S. GDP'!A:F,5,)</f>
        <v/>
      </c>
    </row>
    <row r="17" ht="16" customHeight="1" thickBot="1">
      <c r="B17" s="26" t="inlineStr">
        <is>
          <t>EXPGSC1</t>
        </is>
      </c>
      <c r="M17" s="33" t="n">
        <v>44287</v>
      </c>
      <c r="N17" s="56">
        <f>VLOOKUP(M17,'U.S. GDP'!A:E,4,)</f>
        <v/>
      </c>
      <c r="O17" s="57">
        <f>VLOOKUP(M17,'U.S. GDP'!A:F,5,)</f>
        <v/>
      </c>
    </row>
    <row r="18" ht="16" customHeight="1" thickBot="1">
      <c r="B18" s="26" t="inlineStr">
        <is>
          <t>GCEC1</t>
        </is>
      </c>
      <c r="G18" s="80" t="inlineStr">
        <is>
          <t>Add row for new quarter</t>
        </is>
      </c>
      <c r="M18" s="33" t="n">
        <v>44197</v>
      </c>
      <c r="N18" s="56">
        <f>VLOOKUP(M18,'U.S. GDP'!A:E,4,)</f>
        <v/>
      </c>
      <c r="O18" s="57">
        <f>VLOOKUP(M18,'U.S. GDP'!A:F,5,)</f>
        <v/>
      </c>
    </row>
    <row r="19" ht="16" customHeight="1" thickBot="1">
      <c r="B19" s="26" t="inlineStr">
        <is>
          <t>GDPC1</t>
        </is>
      </c>
      <c r="M19" s="33" t="n">
        <v>44105</v>
      </c>
      <c r="N19" s="56">
        <f>VLOOKUP(M19,'U.S. GDP'!A:E,4,)</f>
        <v/>
      </c>
      <c r="O19" s="57">
        <f>VLOOKUP(M19,'U.S. GDP'!A:F,5,)</f>
        <v/>
      </c>
    </row>
    <row r="20" ht="16" customHeight="1" thickBot="1">
      <c r="B20" s="26" t="inlineStr">
        <is>
          <t>GDPCTPI</t>
        </is>
      </c>
      <c r="G20" s="80" t="n"/>
      <c r="M20" s="33" t="n">
        <v>44013</v>
      </c>
      <c r="N20" s="56">
        <f>VLOOKUP(M20,'U.S. GDP'!A:E,4,)</f>
        <v/>
      </c>
      <c r="O20" s="57">
        <f>VLOOKUP(M20,'U.S. GDP'!A:F,5,)</f>
        <v/>
      </c>
    </row>
    <row r="21" ht="16" customHeight="1" thickBot="1">
      <c r="B21" s="26" t="inlineStr">
        <is>
          <t>GPDIC1</t>
        </is>
      </c>
      <c r="G21" s="80" t="n"/>
      <c r="M21" s="33" t="n">
        <v>43922</v>
      </c>
      <c r="N21" s="56">
        <f>VLOOKUP(M21,'U.S. GDP'!A:E,4,)</f>
        <v/>
      </c>
      <c r="O21" s="57">
        <f>VLOOKUP(M21,'U.S. GDP'!A:F,5,)</f>
        <v/>
      </c>
    </row>
    <row r="22" ht="16" customHeight="1" thickBot="1">
      <c r="B22" s="26" t="inlineStr">
        <is>
          <t>IMPGSC1</t>
        </is>
      </c>
      <c r="G22" s="80" t="n"/>
      <c r="M22" s="33" t="n">
        <v>43831</v>
      </c>
      <c r="N22" s="56">
        <f>VLOOKUP(M22,'U.S. GDP'!A:E,4,)</f>
        <v/>
      </c>
      <c r="O22" s="57">
        <f>VLOOKUP(M22,'U.S. GDP'!A:F,5,)</f>
        <v/>
      </c>
    </row>
    <row r="23" ht="16" customHeight="1" thickBot="1">
      <c r="B23" s="26" t="inlineStr">
        <is>
          <t>JCXFE</t>
        </is>
      </c>
      <c r="M23" s="33" t="n">
        <v>43739</v>
      </c>
      <c r="N23" s="56">
        <f>VLOOKUP(M23,'U.S. GDP'!A:E,4,)</f>
        <v/>
      </c>
      <c r="O23" s="57">
        <f>VLOOKUP(M23,'U.S. GDP'!A:F,5,)</f>
        <v/>
      </c>
    </row>
    <row r="24" ht="16" customHeight="1" thickBot="1">
      <c r="B24" s="26" t="inlineStr">
        <is>
          <t>PCECC96</t>
        </is>
      </c>
      <c r="M24" s="33" t="n">
        <v>43647</v>
      </c>
      <c r="N24" s="56">
        <f>VLOOKUP(M24,'U.S. GDP'!A:E,4,)</f>
        <v/>
      </c>
      <c r="O24" s="57">
        <f>VLOOKUP(M24,'U.S. GDP'!A:F,5,)</f>
        <v/>
      </c>
    </row>
    <row r="25" ht="16" customHeight="1" thickBot="1">
      <c r="M25" s="33" t="n">
        <v>43556</v>
      </c>
      <c r="N25" s="56">
        <f>VLOOKUP(M25,'U.S. GDP'!A:E,4,)</f>
        <v/>
      </c>
      <c r="O25" s="57">
        <f>VLOOKUP(M25,'U.S. GDP'!A:F,5,)</f>
        <v/>
      </c>
    </row>
    <row r="26" ht="16" customHeight="1" thickBot="1">
      <c r="M26" s="33" t="n">
        <v>43466</v>
      </c>
      <c r="N26" s="56">
        <f>VLOOKUP(M26,'U.S. GDP'!A:E,4,)</f>
        <v/>
      </c>
      <c r="O26" s="57">
        <f>VLOOKUP(M26,'U.S. GDP'!A:F,5,)</f>
        <v/>
      </c>
    </row>
    <row r="27" ht="16" customHeight="1" thickBot="1">
      <c r="M27" s="34" t="n">
        <v>43374</v>
      </c>
      <c r="N27" s="56">
        <f>VLOOKUP(M27,'U.S. GDP'!A:E,4,)</f>
        <v/>
      </c>
      <c r="O27" s="57">
        <f>VLOOKUP(M27,'U.S. GDP'!A:F,5,)</f>
        <v/>
      </c>
    </row>
    <row r="28">
      <c r="B28" s="10" t="n"/>
    </row>
    <row r="29">
      <c r="B29" s="79" t="n"/>
    </row>
    <row r="30">
      <c r="B30" s="11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4"/>
  <sheetViews>
    <sheetView zoomScale="120" zoomScaleNormal="120" workbookViewId="0">
      <pane ySplit="1" topLeftCell="A289" activePane="bottomLeft" state="frozen"/>
      <selection activeCell="I311" sqref="I311"/>
      <selection pane="bottomLeft" activeCell="I311" sqref="I311"/>
    </sheetView>
  </sheetViews>
  <sheetFormatPr baseColWidth="8" defaultColWidth="8.81640625" defaultRowHeight="14.5"/>
  <cols>
    <col width="12.6328125" customWidth="1" min="1" max="1"/>
    <col width="15.6328125" customWidth="1" min="2" max="2"/>
    <col width="11.6328125" customWidth="1" min="3" max="4"/>
    <col width="12.6328125" customWidth="1" min="5" max="5"/>
    <col width="10.6328125" customWidth="1" min="6" max="6"/>
    <col width="11.6328125" customWidth="1" min="7" max="8"/>
    <col width="10.6328125" customWidth="1" min="9" max="9"/>
    <col width="12.6328125" customWidth="1" min="10" max="10"/>
    <col width="9.1796875" customWidth="1" min="11" max="256"/>
    <col width="12.6328125" customWidth="1" min="257" max="257"/>
    <col width="15.6328125" customWidth="1" min="258" max="258"/>
    <col width="11.6328125" customWidth="1" min="259" max="260"/>
    <col width="12.6328125" customWidth="1" min="261" max="261"/>
    <col width="10.6328125" customWidth="1" min="262" max="262"/>
    <col width="11.6328125" customWidth="1" min="263" max="264"/>
    <col width="10.6328125" customWidth="1" min="265" max="265"/>
    <col width="12.6328125" customWidth="1" min="266" max="266"/>
    <col width="9.1796875" customWidth="1" min="267" max="512"/>
    <col width="12.6328125" customWidth="1" min="513" max="513"/>
    <col width="15.6328125" customWidth="1" min="514" max="514"/>
    <col width="11.6328125" customWidth="1" min="515" max="516"/>
    <col width="12.6328125" customWidth="1" min="517" max="517"/>
    <col width="10.6328125" customWidth="1" min="518" max="518"/>
    <col width="11.6328125" customWidth="1" min="519" max="520"/>
    <col width="10.6328125" customWidth="1" min="521" max="521"/>
    <col width="12.6328125" customWidth="1" min="522" max="522"/>
    <col width="9.1796875" customWidth="1" min="523" max="768"/>
    <col width="12.6328125" customWidth="1" min="769" max="769"/>
    <col width="15.6328125" customWidth="1" min="770" max="770"/>
    <col width="11.6328125" customWidth="1" min="771" max="772"/>
    <col width="12.6328125" customWidth="1" min="773" max="773"/>
    <col width="10.6328125" customWidth="1" min="774" max="774"/>
    <col width="11.6328125" customWidth="1" min="775" max="776"/>
    <col width="10.6328125" customWidth="1" min="777" max="777"/>
    <col width="12.6328125" customWidth="1" min="778" max="778"/>
    <col width="9.1796875" customWidth="1" min="779" max="1024"/>
    <col width="12.6328125" customWidth="1" min="1025" max="1025"/>
    <col width="15.6328125" customWidth="1" min="1026" max="1026"/>
    <col width="11.6328125" customWidth="1" min="1027" max="1028"/>
    <col width="12.6328125" customWidth="1" min="1029" max="1029"/>
    <col width="10.6328125" customWidth="1" min="1030" max="1030"/>
    <col width="11.6328125" customWidth="1" min="1031" max="1032"/>
    <col width="10.6328125" customWidth="1" min="1033" max="1033"/>
    <col width="12.6328125" customWidth="1" min="1034" max="1034"/>
    <col width="9.1796875" customWidth="1" min="1035" max="1280"/>
    <col width="12.6328125" customWidth="1" min="1281" max="1281"/>
    <col width="15.6328125" customWidth="1" min="1282" max="1282"/>
    <col width="11.6328125" customWidth="1" min="1283" max="1284"/>
    <col width="12.6328125" customWidth="1" min="1285" max="1285"/>
    <col width="10.6328125" customWidth="1" min="1286" max="1286"/>
    <col width="11.6328125" customWidth="1" min="1287" max="1288"/>
    <col width="10.6328125" customWidth="1" min="1289" max="1289"/>
    <col width="12.6328125" customWidth="1" min="1290" max="1290"/>
    <col width="9.1796875" customWidth="1" min="1291" max="1536"/>
    <col width="12.6328125" customWidth="1" min="1537" max="1537"/>
    <col width="15.6328125" customWidth="1" min="1538" max="1538"/>
    <col width="11.6328125" customWidth="1" min="1539" max="1540"/>
    <col width="12.6328125" customWidth="1" min="1541" max="1541"/>
    <col width="10.6328125" customWidth="1" min="1542" max="1542"/>
    <col width="11.6328125" customWidth="1" min="1543" max="1544"/>
    <col width="10.6328125" customWidth="1" min="1545" max="1545"/>
    <col width="12.6328125" customWidth="1" min="1546" max="1546"/>
    <col width="9.1796875" customWidth="1" min="1547" max="1792"/>
    <col width="12.6328125" customWidth="1" min="1793" max="1793"/>
    <col width="15.6328125" customWidth="1" min="1794" max="1794"/>
    <col width="11.6328125" customWidth="1" min="1795" max="1796"/>
    <col width="12.6328125" customWidth="1" min="1797" max="1797"/>
    <col width="10.6328125" customWidth="1" min="1798" max="1798"/>
    <col width="11.6328125" customWidth="1" min="1799" max="1800"/>
    <col width="10.6328125" customWidth="1" min="1801" max="1801"/>
    <col width="12.6328125" customWidth="1" min="1802" max="1802"/>
    <col width="9.1796875" customWidth="1" min="1803" max="2048"/>
    <col width="12.6328125" customWidth="1" min="2049" max="2049"/>
    <col width="15.6328125" customWidth="1" min="2050" max="2050"/>
    <col width="11.6328125" customWidth="1" min="2051" max="2052"/>
    <col width="12.6328125" customWidth="1" min="2053" max="2053"/>
    <col width="10.6328125" customWidth="1" min="2054" max="2054"/>
    <col width="11.6328125" customWidth="1" min="2055" max="2056"/>
    <col width="10.6328125" customWidth="1" min="2057" max="2057"/>
    <col width="12.6328125" customWidth="1" min="2058" max="2058"/>
    <col width="9.1796875" customWidth="1" min="2059" max="2304"/>
    <col width="12.6328125" customWidth="1" min="2305" max="2305"/>
    <col width="15.6328125" customWidth="1" min="2306" max="2306"/>
    <col width="11.6328125" customWidth="1" min="2307" max="2308"/>
    <col width="12.6328125" customWidth="1" min="2309" max="2309"/>
    <col width="10.6328125" customWidth="1" min="2310" max="2310"/>
    <col width="11.6328125" customWidth="1" min="2311" max="2312"/>
    <col width="10.6328125" customWidth="1" min="2313" max="2313"/>
    <col width="12.6328125" customWidth="1" min="2314" max="2314"/>
    <col width="9.1796875" customWidth="1" min="2315" max="2560"/>
    <col width="12.6328125" customWidth="1" min="2561" max="2561"/>
    <col width="15.6328125" customWidth="1" min="2562" max="2562"/>
    <col width="11.6328125" customWidth="1" min="2563" max="2564"/>
    <col width="12.6328125" customWidth="1" min="2565" max="2565"/>
    <col width="10.6328125" customWidth="1" min="2566" max="2566"/>
    <col width="11.6328125" customWidth="1" min="2567" max="2568"/>
    <col width="10.6328125" customWidth="1" min="2569" max="2569"/>
    <col width="12.6328125" customWidth="1" min="2570" max="2570"/>
    <col width="9.1796875" customWidth="1" min="2571" max="2816"/>
    <col width="12.6328125" customWidth="1" min="2817" max="2817"/>
    <col width="15.6328125" customWidth="1" min="2818" max="2818"/>
    <col width="11.6328125" customWidth="1" min="2819" max="2820"/>
    <col width="12.6328125" customWidth="1" min="2821" max="2821"/>
    <col width="10.6328125" customWidth="1" min="2822" max="2822"/>
    <col width="11.6328125" customWidth="1" min="2823" max="2824"/>
    <col width="10.6328125" customWidth="1" min="2825" max="2825"/>
    <col width="12.6328125" customWidth="1" min="2826" max="2826"/>
    <col width="9.1796875" customWidth="1" min="2827" max="3072"/>
    <col width="12.6328125" customWidth="1" min="3073" max="3073"/>
    <col width="15.6328125" customWidth="1" min="3074" max="3074"/>
    <col width="11.6328125" customWidth="1" min="3075" max="3076"/>
    <col width="12.6328125" customWidth="1" min="3077" max="3077"/>
    <col width="10.6328125" customWidth="1" min="3078" max="3078"/>
    <col width="11.6328125" customWidth="1" min="3079" max="3080"/>
    <col width="10.6328125" customWidth="1" min="3081" max="3081"/>
    <col width="12.6328125" customWidth="1" min="3082" max="3082"/>
    <col width="9.1796875" customWidth="1" min="3083" max="3328"/>
    <col width="12.6328125" customWidth="1" min="3329" max="3329"/>
    <col width="15.6328125" customWidth="1" min="3330" max="3330"/>
    <col width="11.6328125" customWidth="1" min="3331" max="3332"/>
    <col width="12.6328125" customWidth="1" min="3333" max="3333"/>
    <col width="10.6328125" customWidth="1" min="3334" max="3334"/>
    <col width="11.6328125" customWidth="1" min="3335" max="3336"/>
    <col width="10.6328125" customWidth="1" min="3337" max="3337"/>
    <col width="12.6328125" customWidth="1" min="3338" max="3338"/>
    <col width="9.1796875" customWidth="1" min="3339" max="3584"/>
    <col width="12.6328125" customWidth="1" min="3585" max="3585"/>
    <col width="15.6328125" customWidth="1" min="3586" max="3586"/>
    <col width="11.6328125" customWidth="1" min="3587" max="3588"/>
    <col width="12.6328125" customWidth="1" min="3589" max="3589"/>
    <col width="10.6328125" customWidth="1" min="3590" max="3590"/>
    <col width="11.6328125" customWidth="1" min="3591" max="3592"/>
    <col width="10.6328125" customWidth="1" min="3593" max="3593"/>
    <col width="12.6328125" customWidth="1" min="3594" max="3594"/>
    <col width="9.1796875" customWidth="1" min="3595" max="3840"/>
    <col width="12.6328125" customWidth="1" min="3841" max="3841"/>
    <col width="15.6328125" customWidth="1" min="3842" max="3842"/>
    <col width="11.6328125" customWidth="1" min="3843" max="3844"/>
    <col width="12.6328125" customWidth="1" min="3845" max="3845"/>
    <col width="10.6328125" customWidth="1" min="3846" max="3846"/>
    <col width="11.6328125" customWidth="1" min="3847" max="3848"/>
    <col width="10.6328125" customWidth="1" min="3849" max="3849"/>
    <col width="12.6328125" customWidth="1" min="3850" max="3850"/>
    <col width="9.1796875" customWidth="1" min="3851" max="4096"/>
    <col width="12.6328125" customWidth="1" min="4097" max="4097"/>
    <col width="15.6328125" customWidth="1" min="4098" max="4098"/>
    <col width="11.6328125" customWidth="1" min="4099" max="4100"/>
    <col width="12.6328125" customWidth="1" min="4101" max="4101"/>
    <col width="10.6328125" customWidth="1" min="4102" max="4102"/>
    <col width="11.6328125" customWidth="1" min="4103" max="4104"/>
    <col width="10.6328125" customWidth="1" min="4105" max="4105"/>
    <col width="12.6328125" customWidth="1" min="4106" max="4106"/>
    <col width="9.1796875" customWidth="1" min="4107" max="4352"/>
    <col width="12.6328125" customWidth="1" min="4353" max="4353"/>
    <col width="15.6328125" customWidth="1" min="4354" max="4354"/>
    <col width="11.6328125" customWidth="1" min="4355" max="4356"/>
    <col width="12.6328125" customWidth="1" min="4357" max="4357"/>
    <col width="10.6328125" customWidth="1" min="4358" max="4358"/>
    <col width="11.6328125" customWidth="1" min="4359" max="4360"/>
    <col width="10.6328125" customWidth="1" min="4361" max="4361"/>
    <col width="12.6328125" customWidth="1" min="4362" max="4362"/>
    <col width="9.1796875" customWidth="1" min="4363" max="4608"/>
    <col width="12.6328125" customWidth="1" min="4609" max="4609"/>
    <col width="15.6328125" customWidth="1" min="4610" max="4610"/>
    <col width="11.6328125" customWidth="1" min="4611" max="4612"/>
    <col width="12.6328125" customWidth="1" min="4613" max="4613"/>
    <col width="10.6328125" customWidth="1" min="4614" max="4614"/>
    <col width="11.6328125" customWidth="1" min="4615" max="4616"/>
    <col width="10.6328125" customWidth="1" min="4617" max="4617"/>
    <col width="12.6328125" customWidth="1" min="4618" max="4618"/>
    <col width="9.1796875" customWidth="1" min="4619" max="4864"/>
    <col width="12.6328125" customWidth="1" min="4865" max="4865"/>
    <col width="15.6328125" customWidth="1" min="4866" max="4866"/>
    <col width="11.6328125" customWidth="1" min="4867" max="4868"/>
    <col width="12.6328125" customWidth="1" min="4869" max="4869"/>
    <col width="10.6328125" customWidth="1" min="4870" max="4870"/>
    <col width="11.6328125" customWidth="1" min="4871" max="4872"/>
    <col width="10.6328125" customWidth="1" min="4873" max="4873"/>
    <col width="12.6328125" customWidth="1" min="4874" max="4874"/>
    <col width="9.1796875" customWidth="1" min="4875" max="5120"/>
    <col width="12.6328125" customWidth="1" min="5121" max="5121"/>
    <col width="15.6328125" customWidth="1" min="5122" max="5122"/>
    <col width="11.6328125" customWidth="1" min="5123" max="5124"/>
    <col width="12.6328125" customWidth="1" min="5125" max="5125"/>
    <col width="10.6328125" customWidth="1" min="5126" max="5126"/>
    <col width="11.6328125" customWidth="1" min="5127" max="5128"/>
    <col width="10.6328125" customWidth="1" min="5129" max="5129"/>
    <col width="12.6328125" customWidth="1" min="5130" max="5130"/>
    <col width="9.1796875" customWidth="1" min="5131" max="5376"/>
    <col width="12.6328125" customWidth="1" min="5377" max="5377"/>
    <col width="15.6328125" customWidth="1" min="5378" max="5378"/>
    <col width="11.6328125" customWidth="1" min="5379" max="5380"/>
    <col width="12.6328125" customWidth="1" min="5381" max="5381"/>
    <col width="10.6328125" customWidth="1" min="5382" max="5382"/>
    <col width="11.6328125" customWidth="1" min="5383" max="5384"/>
    <col width="10.6328125" customWidth="1" min="5385" max="5385"/>
    <col width="12.6328125" customWidth="1" min="5386" max="5386"/>
    <col width="9.1796875" customWidth="1" min="5387" max="5632"/>
    <col width="12.6328125" customWidth="1" min="5633" max="5633"/>
    <col width="15.6328125" customWidth="1" min="5634" max="5634"/>
    <col width="11.6328125" customWidth="1" min="5635" max="5636"/>
    <col width="12.6328125" customWidth="1" min="5637" max="5637"/>
    <col width="10.6328125" customWidth="1" min="5638" max="5638"/>
    <col width="11.6328125" customWidth="1" min="5639" max="5640"/>
    <col width="10.6328125" customWidth="1" min="5641" max="5641"/>
    <col width="12.6328125" customWidth="1" min="5642" max="5642"/>
    <col width="9.1796875" customWidth="1" min="5643" max="5888"/>
    <col width="12.6328125" customWidth="1" min="5889" max="5889"/>
    <col width="15.6328125" customWidth="1" min="5890" max="5890"/>
    <col width="11.6328125" customWidth="1" min="5891" max="5892"/>
    <col width="12.6328125" customWidth="1" min="5893" max="5893"/>
    <col width="10.6328125" customWidth="1" min="5894" max="5894"/>
    <col width="11.6328125" customWidth="1" min="5895" max="5896"/>
    <col width="10.6328125" customWidth="1" min="5897" max="5897"/>
    <col width="12.6328125" customWidth="1" min="5898" max="5898"/>
    <col width="9.1796875" customWidth="1" min="5899" max="6144"/>
    <col width="12.6328125" customWidth="1" min="6145" max="6145"/>
    <col width="15.6328125" customWidth="1" min="6146" max="6146"/>
    <col width="11.6328125" customWidth="1" min="6147" max="6148"/>
    <col width="12.6328125" customWidth="1" min="6149" max="6149"/>
    <col width="10.6328125" customWidth="1" min="6150" max="6150"/>
    <col width="11.6328125" customWidth="1" min="6151" max="6152"/>
    <col width="10.6328125" customWidth="1" min="6153" max="6153"/>
    <col width="12.6328125" customWidth="1" min="6154" max="6154"/>
    <col width="9.1796875" customWidth="1" min="6155" max="6400"/>
    <col width="12.6328125" customWidth="1" min="6401" max="6401"/>
    <col width="15.6328125" customWidth="1" min="6402" max="6402"/>
    <col width="11.6328125" customWidth="1" min="6403" max="6404"/>
    <col width="12.6328125" customWidth="1" min="6405" max="6405"/>
    <col width="10.6328125" customWidth="1" min="6406" max="6406"/>
    <col width="11.6328125" customWidth="1" min="6407" max="6408"/>
    <col width="10.6328125" customWidth="1" min="6409" max="6409"/>
    <col width="12.6328125" customWidth="1" min="6410" max="6410"/>
    <col width="9.1796875" customWidth="1" min="6411" max="6656"/>
    <col width="12.6328125" customWidth="1" min="6657" max="6657"/>
    <col width="15.6328125" customWidth="1" min="6658" max="6658"/>
    <col width="11.6328125" customWidth="1" min="6659" max="6660"/>
    <col width="12.6328125" customWidth="1" min="6661" max="6661"/>
    <col width="10.6328125" customWidth="1" min="6662" max="6662"/>
    <col width="11.6328125" customWidth="1" min="6663" max="6664"/>
    <col width="10.6328125" customWidth="1" min="6665" max="6665"/>
    <col width="12.6328125" customWidth="1" min="6666" max="6666"/>
    <col width="9.1796875" customWidth="1" min="6667" max="6912"/>
    <col width="12.6328125" customWidth="1" min="6913" max="6913"/>
    <col width="15.6328125" customWidth="1" min="6914" max="6914"/>
    <col width="11.6328125" customWidth="1" min="6915" max="6916"/>
    <col width="12.6328125" customWidth="1" min="6917" max="6917"/>
    <col width="10.6328125" customWidth="1" min="6918" max="6918"/>
    <col width="11.6328125" customWidth="1" min="6919" max="6920"/>
    <col width="10.6328125" customWidth="1" min="6921" max="6921"/>
    <col width="12.6328125" customWidth="1" min="6922" max="6922"/>
    <col width="9.1796875" customWidth="1" min="6923" max="7168"/>
    <col width="12.6328125" customWidth="1" min="7169" max="7169"/>
    <col width="15.6328125" customWidth="1" min="7170" max="7170"/>
    <col width="11.6328125" customWidth="1" min="7171" max="7172"/>
    <col width="12.6328125" customWidth="1" min="7173" max="7173"/>
    <col width="10.6328125" customWidth="1" min="7174" max="7174"/>
    <col width="11.6328125" customWidth="1" min="7175" max="7176"/>
    <col width="10.6328125" customWidth="1" min="7177" max="7177"/>
    <col width="12.6328125" customWidth="1" min="7178" max="7178"/>
    <col width="9.1796875" customWidth="1" min="7179" max="7424"/>
    <col width="12.6328125" customWidth="1" min="7425" max="7425"/>
    <col width="15.6328125" customWidth="1" min="7426" max="7426"/>
    <col width="11.6328125" customWidth="1" min="7427" max="7428"/>
    <col width="12.6328125" customWidth="1" min="7429" max="7429"/>
    <col width="10.6328125" customWidth="1" min="7430" max="7430"/>
    <col width="11.6328125" customWidth="1" min="7431" max="7432"/>
    <col width="10.6328125" customWidth="1" min="7433" max="7433"/>
    <col width="12.6328125" customWidth="1" min="7434" max="7434"/>
    <col width="9.1796875" customWidth="1" min="7435" max="7680"/>
    <col width="12.6328125" customWidth="1" min="7681" max="7681"/>
    <col width="15.6328125" customWidth="1" min="7682" max="7682"/>
    <col width="11.6328125" customWidth="1" min="7683" max="7684"/>
    <col width="12.6328125" customWidth="1" min="7685" max="7685"/>
    <col width="10.6328125" customWidth="1" min="7686" max="7686"/>
    <col width="11.6328125" customWidth="1" min="7687" max="7688"/>
    <col width="10.6328125" customWidth="1" min="7689" max="7689"/>
    <col width="12.6328125" customWidth="1" min="7690" max="7690"/>
    <col width="9.1796875" customWidth="1" min="7691" max="7936"/>
    <col width="12.6328125" customWidth="1" min="7937" max="7937"/>
    <col width="15.6328125" customWidth="1" min="7938" max="7938"/>
    <col width="11.6328125" customWidth="1" min="7939" max="7940"/>
    <col width="12.6328125" customWidth="1" min="7941" max="7941"/>
    <col width="10.6328125" customWidth="1" min="7942" max="7942"/>
    <col width="11.6328125" customWidth="1" min="7943" max="7944"/>
    <col width="10.6328125" customWidth="1" min="7945" max="7945"/>
    <col width="12.6328125" customWidth="1" min="7946" max="7946"/>
    <col width="9.1796875" customWidth="1" min="7947" max="8192"/>
    <col width="12.6328125" customWidth="1" min="8193" max="8193"/>
    <col width="15.6328125" customWidth="1" min="8194" max="8194"/>
    <col width="11.6328125" customWidth="1" min="8195" max="8196"/>
    <col width="12.6328125" customWidth="1" min="8197" max="8197"/>
    <col width="10.6328125" customWidth="1" min="8198" max="8198"/>
    <col width="11.6328125" customWidth="1" min="8199" max="8200"/>
    <col width="10.6328125" customWidth="1" min="8201" max="8201"/>
    <col width="12.6328125" customWidth="1" min="8202" max="8202"/>
    <col width="9.1796875" customWidth="1" min="8203" max="8448"/>
    <col width="12.6328125" customWidth="1" min="8449" max="8449"/>
    <col width="15.6328125" customWidth="1" min="8450" max="8450"/>
    <col width="11.6328125" customWidth="1" min="8451" max="8452"/>
    <col width="12.6328125" customWidth="1" min="8453" max="8453"/>
    <col width="10.6328125" customWidth="1" min="8454" max="8454"/>
    <col width="11.6328125" customWidth="1" min="8455" max="8456"/>
    <col width="10.6328125" customWidth="1" min="8457" max="8457"/>
    <col width="12.6328125" customWidth="1" min="8458" max="8458"/>
    <col width="9.1796875" customWidth="1" min="8459" max="8704"/>
    <col width="12.6328125" customWidth="1" min="8705" max="8705"/>
    <col width="15.6328125" customWidth="1" min="8706" max="8706"/>
    <col width="11.6328125" customWidth="1" min="8707" max="8708"/>
    <col width="12.6328125" customWidth="1" min="8709" max="8709"/>
    <col width="10.6328125" customWidth="1" min="8710" max="8710"/>
    <col width="11.6328125" customWidth="1" min="8711" max="8712"/>
    <col width="10.6328125" customWidth="1" min="8713" max="8713"/>
    <col width="12.6328125" customWidth="1" min="8714" max="8714"/>
    <col width="9.1796875" customWidth="1" min="8715" max="8960"/>
    <col width="12.6328125" customWidth="1" min="8961" max="8961"/>
    <col width="15.6328125" customWidth="1" min="8962" max="8962"/>
    <col width="11.6328125" customWidth="1" min="8963" max="8964"/>
    <col width="12.6328125" customWidth="1" min="8965" max="8965"/>
    <col width="10.6328125" customWidth="1" min="8966" max="8966"/>
    <col width="11.6328125" customWidth="1" min="8967" max="8968"/>
    <col width="10.6328125" customWidth="1" min="8969" max="8969"/>
    <col width="12.6328125" customWidth="1" min="8970" max="8970"/>
    <col width="9.1796875" customWidth="1" min="8971" max="9216"/>
    <col width="12.6328125" customWidth="1" min="9217" max="9217"/>
    <col width="15.6328125" customWidth="1" min="9218" max="9218"/>
    <col width="11.6328125" customWidth="1" min="9219" max="9220"/>
    <col width="12.6328125" customWidth="1" min="9221" max="9221"/>
    <col width="10.6328125" customWidth="1" min="9222" max="9222"/>
    <col width="11.6328125" customWidth="1" min="9223" max="9224"/>
    <col width="10.6328125" customWidth="1" min="9225" max="9225"/>
    <col width="12.6328125" customWidth="1" min="9226" max="9226"/>
    <col width="9.1796875" customWidth="1" min="9227" max="9472"/>
    <col width="12.6328125" customWidth="1" min="9473" max="9473"/>
    <col width="15.6328125" customWidth="1" min="9474" max="9474"/>
    <col width="11.6328125" customWidth="1" min="9475" max="9476"/>
    <col width="12.6328125" customWidth="1" min="9477" max="9477"/>
    <col width="10.6328125" customWidth="1" min="9478" max="9478"/>
    <col width="11.6328125" customWidth="1" min="9479" max="9480"/>
    <col width="10.6328125" customWidth="1" min="9481" max="9481"/>
    <col width="12.6328125" customWidth="1" min="9482" max="9482"/>
    <col width="9.1796875" customWidth="1" min="9483" max="9728"/>
    <col width="12.6328125" customWidth="1" min="9729" max="9729"/>
    <col width="15.6328125" customWidth="1" min="9730" max="9730"/>
    <col width="11.6328125" customWidth="1" min="9731" max="9732"/>
    <col width="12.6328125" customWidth="1" min="9733" max="9733"/>
    <col width="10.6328125" customWidth="1" min="9734" max="9734"/>
    <col width="11.6328125" customWidth="1" min="9735" max="9736"/>
    <col width="10.6328125" customWidth="1" min="9737" max="9737"/>
    <col width="12.6328125" customWidth="1" min="9738" max="9738"/>
    <col width="9.1796875" customWidth="1" min="9739" max="9984"/>
    <col width="12.6328125" customWidth="1" min="9985" max="9985"/>
    <col width="15.6328125" customWidth="1" min="9986" max="9986"/>
    <col width="11.6328125" customWidth="1" min="9987" max="9988"/>
    <col width="12.6328125" customWidth="1" min="9989" max="9989"/>
    <col width="10.6328125" customWidth="1" min="9990" max="9990"/>
    <col width="11.6328125" customWidth="1" min="9991" max="9992"/>
    <col width="10.6328125" customWidth="1" min="9993" max="9993"/>
    <col width="12.6328125" customWidth="1" min="9994" max="9994"/>
    <col width="9.1796875" customWidth="1" min="9995" max="10240"/>
    <col width="12.6328125" customWidth="1" min="10241" max="10241"/>
    <col width="15.6328125" customWidth="1" min="10242" max="10242"/>
    <col width="11.6328125" customWidth="1" min="10243" max="10244"/>
    <col width="12.6328125" customWidth="1" min="10245" max="10245"/>
    <col width="10.6328125" customWidth="1" min="10246" max="10246"/>
    <col width="11.6328125" customWidth="1" min="10247" max="10248"/>
    <col width="10.6328125" customWidth="1" min="10249" max="10249"/>
    <col width="12.6328125" customWidth="1" min="10250" max="10250"/>
    <col width="9.1796875" customWidth="1" min="10251" max="10496"/>
    <col width="12.6328125" customWidth="1" min="10497" max="10497"/>
    <col width="15.6328125" customWidth="1" min="10498" max="10498"/>
    <col width="11.6328125" customWidth="1" min="10499" max="10500"/>
    <col width="12.6328125" customWidth="1" min="10501" max="10501"/>
    <col width="10.6328125" customWidth="1" min="10502" max="10502"/>
    <col width="11.6328125" customWidth="1" min="10503" max="10504"/>
    <col width="10.6328125" customWidth="1" min="10505" max="10505"/>
    <col width="12.6328125" customWidth="1" min="10506" max="10506"/>
    <col width="9.1796875" customWidth="1" min="10507" max="10752"/>
    <col width="12.6328125" customWidth="1" min="10753" max="10753"/>
    <col width="15.6328125" customWidth="1" min="10754" max="10754"/>
    <col width="11.6328125" customWidth="1" min="10755" max="10756"/>
    <col width="12.6328125" customWidth="1" min="10757" max="10757"/>
    <col width="10.6328125" customWidth="1" min="10758" max="10758"/>
    <col width="11.6328125" customWidth="1" min="10759" max="10760"/>
    <col width="10.6328125" customWidth="1" min="10761" max="10761"/>
    <col width="12.6328125" customWidth="1" min="10762" max="10762"/>
    <col width="9.1796875" customWidth="1" min="10763" max="11008"/>
    <col width="12.6328125" customWidth="1" min="11009" max="11009"/>
    <col width="15.6328125" customWidth="1" min="11010" max="11010"/>
    <col width="11.6328125" customWidth="1" min="11011" max="11012"/>
    <col width="12.6328125" customWidth="1" min="11013" max="11013"/>
    <col width="10.6328125" customWidth="1" min="11014" max="11014"/>
    <col width="11.6328125" customWidth="1" min="11015" max="11016"/>
    <col width="10.6328125" customWidth="1" min="11017" max="11017"/>
    <col width="12.6328125" customWidth="1" min="11018" max="11018"/>
    <col width="9.1796875" customWidth="1" min="11019" max="11264"/>
    <col width="12.6328125" customWidth="1" min="11265" max="11265"/>
    <col width="15.6328125" customWidth="1" min="11266" max="11266"/>
    <col width="11.6328125" customWidth="1" min="11267" max="11268"/>
    <col width="12.6328125" customWidth="1" min="11269" max="11269"/>
    <col width="10.6328125" customWidth="1" min="11270" max="11270"/>
    <col width="11.6328125" customWidth="1" min="11271" max="11272"/>
    <col width="10.6328125" customWidth="1" min="11273" max="11273"/>
    <col width="12.6328125" customWidth="1" min="11274" max="11274"/>
    <col width="9.1796875" customWidth="1" min="11275" max="11520"/>
    <col width="12.6328125" customWidth="1" min="11521" max="11521"/>
    <col width="15.6328125" customWidth="1" min="11522" max="11522"/>
    <col width="11.6328125" customWidth="1" min="11523" max="11524"/>
    <col width="12.6328125" customWidth="1" min="11525" max="11525"/>
    <col width="10.6328125" customWidth="1" min="11526" max="11526"/>
    <col width="11.6328125" customWidth="1" min="11527" max="11528"/>
    <col width="10.6328125" customWidth="1" min="11529" max="11529"/>
    <col width="12.6328125" customWidth="1" min="11530" max="11530"/>
    <col width="9.1796875" customWidth="1" min="11531" max="11776"/>
    <col width="12.6328125" customWidth="1" min="11777" max="11777"/>
    <col width="15.6328125" customWidth="1" min="11778" max="11778"/>
    <col width="11.6328125" customWidth="1" min="11779" max="11780"/>
    <col width="12.6328125" customWidth="1" min="11781" max="11781"/>
    <col width="10.6328125" customWidth="1" min="11782" max="11782"/>
    <col width="11.6328125" customWidth="1" min="11783" max="11784"/>
    <col width="10.6328125" customWidth="1" min="11785" max="11785"/>
    <col width="12.6328125" customWidth="1" min="11786" max="11786"/>
    <col width="9.1796875" customWidth="1" min="11787" max="12032"/>
    <col width="12.6328125" customWidth="1" min="12033" max="12033"/>
    <col width="15.6328125" customWidth="1" min="12034" max="12034"/>
    <col width="11.6328125" customWidth="1" min="12035" max="12036"/>
    <col width="12.6328125" customWidth="1" min="12037" max="12037"/>
    <col width="10.6328125" customWidth="1" min="12038" max="12038"/>
    <col width="11.6328125" customWidth="1" min="12039" max="12040"/>
    <col width="10.6328125" customWidth="1" min="12041" max="12041"/>
    <col width="12.6328125" customWidth="1" min="12042" max="12042"/>
    <col width="9.1796875" customWidth="1" min="12043" max="12288"/>
    <col width="12.6328125" customWidth="1" min="12289" max="12289"/>
    <col width="15.6328125" customWidth="1" min="12290" max="12290"/>
    <col width="11.6328125" customWidth="1" min="12291" max="12292"/>
    <col width="12.6328125" customWidth="1" min="12293" max="12293"/>
    <col width="10.6328125" customWidth="1" min="12294" max="12294"/>
    <col width="11.6328125" customWidth="1" min="12295" max="12296"/>
    <col width="10.6328125" customWidth="1" min="12297" max="12297"/>
    <col width="12.6328125" customWidth="1" min="12298" max="12298"/>
    <col width="9.1796875" customWidth="1" min="12299" max="12544"/>
    <col width="12.6328125" customWidth="1" min="12545" max="12545"/>
    <col width="15.6328125" customWidth="1" min="12546" max="12546"/>
    <col width="11.6328125" customWidth="1" min="12547" max="12548"/>
    <col width="12.6328125" customWidth="1" min="12549" max="12549"/>
    <col width="10.6328125" customWidth="1" min="12550" max="12550"/>
    <col width="11.6328125" customWidth="1" min="12551" max="12552"/>
    <col width="10.6328125" customWidth="1" min="12553" max="12553"/>
    <col width="12.6328125" customWidth="1" min="12554" max="12554"/>
    <col width="9.1796875" customWidth="1" min="12555" max="12800"/>
    <col width="12.6328125" customWidth="1" min="12801" max="12801"/>
    <col width="15.6328125" customWidth="1" min="12802" max="12802"/>
    <col width="11.6328125" customWidth="1" min="12803" max="12804"/>
    <col width="12.6328125" customWidth="1" min="12805" max="12805"/>
    <col width="10.6328125" customWidth="1" min="12806" max="12806"/>
    <col width="11.6328125" customWidth="1" min="12807" max="12808"/>
    <col width="10.6328125" customWidth="1" min="12809" max="12809"/>
    <col width="12.6328125" customWidth="1" min="12810" max="12810"/>
    <col width="9.1796875" customWidth="1" min="12811" max="13056"/>
    <col width="12.6328125" customWidth="1" min="13057" max="13057"/>
    <col width="15.6328125" customWidth="1" min="13058" max="13058"/>
    <col width="11.6328125" customWidth="1" min="13059" max="13060"/>
    <col width="12.6328125" customWidth="1" min="13061" max="13061"/>
    <col width="10.6328125" customWidth="1" min="13062" max="13062"/>
    <col width="11.6328125" customWidth="1" min="13063" max="13064"/>
    <col width="10.6328125" customWidth="1" min="13065" max="13065"/>
    <col width="12.6328125" customWidth="1" min="13066" max="13066"/>
    <col width="9.1796875" customWidth="1" min="13067" max="13312"/>
    <col width="12.6328125" customWidth="1" min="13313" max="13313"/>
    <col width="15.6328125" customWidth="1" min="13314" max="13314"/>
    <col width="11.6328125" customWidth="1" min="13315" max="13316"/>
    <col width="12.6328125" customWidth="1" min="13317" max="13317"/>
    <col width="10.6328125" customWidth="1" min="13318" max="13318"/>
    <col width="11.6328125" customWidth="1" min="13319" max="13320"/>
    <col width="10.6328125" customWidth="1" min="13321" max="13321"/>
    <col width="12.6328125" customWidth="1" min="13322" max="13322"/>
    <col width="9.1796875" customWidth="1" min="13323" max="13568"/>
    <col width="12.6328125" customWidth="1" min="13569" max="13569"/>
    <col width="15.6328125" customWidth="1" min="13570" max="13570"/>
    <col width="11.6328125" customWidth="1" min="13571" max="13572"/>
    <col width="12.6328125" customWidth="1" min="13573" max="13573"/>
    <col width="10.6328125" customWidth="1" min="13574" max="13574"/>
    <col width="11.6328125" customWidth="1" min="13575" max="13576"/>
    <col width="10.6328125" customWidth="1" min="13577" max="13577"/>
    <col width="12.6328125" customWidth="1" min="13578" max="13578"/>
    <col width="9.1796875" customWidth="1" min="13579" max="13824"/>
    <col width="12.6328125" customWidth="1" min="13825" max="13825"/>
    <col width="15.6328125" customWidth="1" min="13826" max="13826"/>
    <col width="11.6328125" customWidth="1" min="13827" max="13828"/>
    <col width="12.6328125" customWidth="1" min="13829" max="13829"/>
    <col width="10.6328125" customWidth="1" min="13830" max="13830"/>
    <col width="11.6328125" customWidth="1" min="13831" max="13832"/>
    <col width="10.6328125" customWidth="1" min="13833" max="13833"/>
    <col width="12.6328125" customWidth="1" min="13834" max="13834"/>
    <col width="9.1796875" customWidth="1" min="13835" max="14080"/>
    <col width="12.6328125" customWidth="1" min="14081" max="14081"/>
    <col width="15.6328125" customWidth="1" min="14082" max="14082"/>
    <col width="11.6328125" customWidth="1" min="14083" max="14084"/>
    <col width="12.6328125" customWidth="1" min="14085" max="14085"/>
    <col width="10.6328125" customWidth="1" min="14086" max="14086"/>
    <col width="11.6328125" customWidth="1" min="14087" max="14088"/>
    <col width="10.6328125" customWidth="1" min="14089" max="14089"/>
    <col width="12.6328125" customWidth="1" min="14090" max="14090"/>
    <col width="9.1796875" customWidth="1" min="14091" max="14336"/>
    <col width="12.6328125" customWidth="1" min="14337" max="14337"/>
    <col width="15.6328125" customWidth="1" min="14338" max="14338"/>
    <col width="11.6328125" customWidth="1" min="14339" max="14340"/>
    <col width="12.6328125" customWidth="1" min="14341" max="14341"/>
    <col width="10.6328125" customWidth="1" min="14342" max="14342"/>
    <col width="11.6328125" customWidth="1" min="14343" max="14344"/>
    <col width="10.6328125" customWidth="1" min="14345" max="14345"/>
    <col width="12.6328125" customWidth="1" min="14346" max="14346"/>
    <col width="9.1796875" customWidth="1" min="14347" max="14592"/>
    <col width="12.6328125" customWidth="1" min="14593" max="14593"/>
    <col width="15.6328125" customWidth="1" min="14594" max="14594"/>
    <col width="11.6328125" customWidth="1" min="14595" max="14596"/>
    <col width="12.6328125" customWidth="1" min="14597" max="14597"/>
    <col width="10.6328125" customWidth="1" min="14598" max="14598"/>
    <col width="11.6328125" customWidth="1" min="14599" max="14600"/>
    <col width="10.6328125" customWidth="1" min="14601" max="14601"/>
    <col width="12.6328125" customWidth="1" min="14602" max="14602"/>
    <col width="9.1796875" customWidth="1" min="14603" max="14848"/>
    <col width="12.6328125" customWidth="1" min="14849" max="14849"/>
    <col width="15.6328125" customWidth="1" min="14850" max="14850"/>
    <col width="11.6328125" customWidth="1" min="14851" max="14852"/>
    <col width="12.6328125" customWidth="1" min="14853" max="14853"/>
    <col width="10.6328125" customWidth="1" min="14854" max="14854"/>
    <col width="11.6328125" customWidth="1" min="14855" max="14856"/>
    <col width="10.6328125" customWidth="1" min="14857" max="14857"/>
    <col width="12.6328125" customWidth="1" min="14858" max="14858"/>
    <col width="9.1796875" customWidth="1" min="14859" max="15104"/>
    <col width="12.6328125" customWidth="1" min="15105" max="15105"/>
    <col width="15.6328125" customWidth="1" min="15106" max="15106"/>
    <col width="11.6328125" customWidth="1" min="15107" max="15108"/>
    <col width="12.6328125" customWidth="1" min="15109" max="15109"/>
    <col width="10.6328125" customWidth="1" min="15110" max="15110"/>
    <col width="11.6328125" customWidth="1" min="15111" max="15112"/>
    <col width="10.6328125" customWidth="1" min="15113" max="15113"/>
    <col width="12.6328125" customWidth="1" min="15114" max="15114"/>
    <col width="9.1796875" customWidth="1" min="15115" max="15360"/>
    <col width="12.6328125" customWidth="1" min="15361" max="15361"/>
    <col width="15.6328125" customWidth="1" min="15362" max="15362"/>
    <col width="11.6328125" customWidth="1" min="15363" max="15364"/>
    <col width="12.6328125" customWidth="1" min="15365" max="15365"/>
    <col width="10.6328125" customWidth="1" min="15366" max="15366"/>
    <col width="11.6328125" customWidth="1" min="15367" max="15368"/>
    <col width="10.6328125" customWidth="1" min="15369" max="15369"/>
    <col width="12.6328125" customWidth="1" min="15370" max="15370"/>
    <col width="9.1796875" customWidth="1" min="15371" max="15616"/>
    <col width="12.6328125" customWidth="1" min="15617" max="15617"/>
    <col width="15.6328125" customWidth="1" min="15618" max="15618"/>
    <col width="11.6328125" customWidth="1" min="15619" max="15620"/>
    <col width="12.6328125" customWidth="1" min="15621" max="15621"/>
    <col width="10.6328125" customWidth="1" min="15622" max="15622"/>
    <col width="11.6328125" customWidth="1" min="15623" max="15624"/>
    <col width="10.6328125" customWidth="1" min="15625" max="15625"/>
    <col width="12.6328125" customWidth="1" min="15626" max="15626"/>
    <col width="9.1796875" customWidth="1" min="15627" max="15872"/>
    <col width="12.6328125" customWidth="1" min="15873" max="15873"/>
    <col width="15.6328125" customWidth="1" min="15874" max="15874"/>
    <col width="11.6328125" customWidth="1" min="15875" max="15876"/>
    <col width="12.6328125" customWidth="1" min="15877" max="15877"/>
    <col width="10.6328125" customWidth="1" min="15878" max="15878"/>
    <col width="11.6328125" customWidth="1" min="15879" max="15880"/>
    <col width="10.6328125" customWidth="1" min="15881" max="15881"/>
    <col width="12.6328125" customWidth="1" min="15882" max="15882"/>
    <col width="9.1796875" customWidth="1" min="15883" max="16128"/>
    <col width="12.6328125" customWidth="1" min="16129" max="16129"/>
    <col width="15.6328125" customWidth="1" min="16130" max="16130"/>
    <col width="11.6328125" customWidth="1" min="16131" max="16132"/>
    <col width="12.6328125" customWidth="1" min="16133" max="16133"/>
    <col width="10.6328125" customWidth="1" min="16134" max="16134"/>
    <col width="11.6328125" customWidth="1" min="16135" max="16136"/>
    <col width="10.6328125" customWidth="1" min="16137" max="16137"/>
    <col width="12.6328125" customWidth="1" min="16138" max="16138"/>
    <col width="9.1796875" customWidth="1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93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93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93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93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93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93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93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93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93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93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93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93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93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93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93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93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93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93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93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93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93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93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93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93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93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93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93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93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93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93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93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93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93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93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93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93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93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93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93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93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93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93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93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93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93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93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93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93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93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93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93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93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93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93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93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93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93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93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93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93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93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93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93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93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93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93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93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93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93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93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93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93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93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93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93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93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93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93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93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93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93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93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93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93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93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93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93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93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93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93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93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93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93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93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93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93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93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93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93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93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93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93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93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93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93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93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93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93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93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93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93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93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93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93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93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93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93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93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93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93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93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93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93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93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93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93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93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93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93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93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93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93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93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93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93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93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93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93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93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93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93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93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93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93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93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93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93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93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93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93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93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93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93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93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93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93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93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93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93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93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93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93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93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93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93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93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93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93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93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93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93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93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93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93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93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93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93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93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93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93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93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93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93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93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93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93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93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93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93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93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93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93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93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93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93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93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93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93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93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93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93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93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93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93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93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93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93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93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93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93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93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93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93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93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93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93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93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93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93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93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93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93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93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93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93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93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93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93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93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93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93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93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93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93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93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93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93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93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93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93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93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93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93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93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93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93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93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93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93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93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93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93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93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93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93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93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93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93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93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93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93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93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93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93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93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93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93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93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93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93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93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93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93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93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93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93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93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93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93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93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93" t="n">
        <v>42736</v>
      </c>
      <c r="B282" t="n">
        <v>1.9</v>
      </c>
      <c r="C282" t="n">
        <v>2460.754</v>
      </c>
      <c r="D282" t="n">
        <v>3152.232</v>
      </c>
      <c r="E282" t="n">
        <v>17889.094</v>
      </c>
      <c r="F282" t="n">
        <v>107.022</v>
      </c>
      <c r="G282" t="n">
        <v>3131.917</v>
      </c>
      <c r="H282" t="n">
        <v>3241.836</v>
      </c>
      <c r="I282" t="n">
        <v>107.328</v>
      </c>
      <c r="J282" t="n">
        <v>12369.907</v>
      </c>
    </row>
    <row r="283">
      <c r="A283" s="93" t="n">
        <v>42826</v>
      </c>
      <c r="B283" t="n">
        <v>1.5</v>
      </c>
      <c r="C283" t="n">
        <v>2468.946</v>
      </c>
      <c r="D283" t="n">
        <v>3157.874</v>
      </c>
      <c r="E283" t="n">
        <v>17979.218</v>
      </c>
      <c r="F283" t="n">
        <v>107.363</v>
      </c>
      <c r="G283" t="n">
        <v>3187.781</v>
      </c>
      <c r="H283" t="n">
        <v>3273.403</v>
      </c>
      <c r="I283" t="n">
        <v>107.738</v>
      </c>
      <c r="J283" t="n">
        <v>12419.407</v>
      </c>
    </row>
    <row r="284">
      <c r="A284" s="93" t="n">
        <v>42917</v>
      </c>
      <c r="B284" t="n">
        <v>1.3</v>
      </c>
      <c r="C284" t="n">
        <v>2483.467</v>
      </c>
      <c r="D284" t="n">
        <v>3157.086</v>
      </c>
      <c r="E284" t="n">
        <v>18127.994</v>
      </c>
      <c r="F284" t="n">
        <v>107.948</v>
      </c>
      <c r="G284" t="n">
        <v>3250.825</v>
      </c>
      <c r="H284" t="n">
        <v>3270.757</v>
      </c>
      <c r="I284" t="n">
        <v>108.077</v>
      </c>
      <c r="J284" t="n">
        <v>12493.466</v>
      </c>
    </row>
    <row r="285">
      <c r="A285" s="93" t="n">
        <v>43009</v>
      </c>
      <c r="B285" t="n">
        <v>2</v>
      </c>
      <c r="C285" t="n">
        <v>2547.997</v>
      </c>
      <c r="D285" t="n">
        <v>3181.999</v>
      </c>
      <c r="E285" t="n">
        <v>18310.3</v>
      </c>
      <c r="F285" t="n">
        <v>108.639</v>
      </c>
      <c r="G285" t="n">
        <v>3293.441</v>
      </c>
      <c r="H285" t="n">
        <v>3362.957</v>
      </c>
      <c r="I285" t="n">
        <v>108.608</v>
      </c>
      <c r="J285" t="n">
        <v>12630.132</v>
      </c>
    </row>
    <row r="286">
      <c r="A286" s="93" t="n">
        <v>43101</v>
      </c>
      <c r="B286" t="n">
        <v>2.6</v>
      </c>
      <c r="C286" t="n">
        <v>2564.661</v>
      </c>
      <c r="D286" t="n">
        <v>3187.714</v>
      </c>
      <c r="E286" t="n">
        <v>18437.127</v>
      </c>
      <c r="F286" t="n">
        <v>109.365</v>
      </c>
      <c r="G286" t="n">
        <v>3342.884</v>
      </c>
      <c r="H286" t="n">
        <v>3391.258</v>
      </c>
      <c r="I286" t="n">
        <v>109.318</v>
      </c>
      <c r="J286" t="n">
        <v>12713.156</v>
      </c>
    </row>
    <row r="287">
      <c r="A287" s="93" t="n">
        <v>43191</v>
      </c>
      <c r="B287" t="n">
        <v>2.2</v>
      </c>
      <c r="C287" t="n">
        <v>2578.61</v>
      </c>
      <c r="D287" t="n">
        <v>3210.037</v>
      </c>
      <c r="E287" t="n">
        <v>18565.697</v>
      </c>
      <c r="F287" t="n">
        <v>110.176</v>
      </c>
      <c r="G287" t="n">
        <v>3349.047</v>
      </c>
      <c r="H287" t="n">
        <v>3395.283</v>
      </c>
      <c r="I287" t="n">
        <v>109.926</v>
      </c>
      <c r="J287" t="n">
        <v>12805.609</v>
      </c>
    </row>
    <row r="288">
      <c r="A288" s="93" t="n">
        <v>43282</v>
      </c>
      <c r="B288" t="n">
        <v>1.4</v>
      </c>
      <c r="C288" t="n">
        <v>2544.552</v>
      </c>
      <c r="D288" t="n">
        <v>3231.336</v>
      </c>
      <c r="E288" t="n">
        <v>18699.748</v>
      </c>
      <c r="F288" t="n">
        <v>110.68</v>
      </c>
      <c r="G288" t="n">
        <v>3453.059</v>
      </c>
      <c r="H288" t="n">
        <v>3441.068</v>
      </c>
      <c r="I288" t="n">
        <v>110.313</v>
      </c>
      <c r="J288" t="n">
        <v>12887.074</v>
      </c>
    </row>
    <row r="289">
      <c r="A289" s="93" t="n">
        <v>43374</v>
      </c>
      <c r="B289" t="n">
        <v>1.9</v>
      </c>
      <c r="C289" t="n">
        <v>2552.437</v>
      </c>
      <c r="D289" t="n">
        <v>3232.303</v>
      </c>
      <c r="E289" t="n">
        <v>18733.741</v>
      </c>
      <c r="F289" t="n">
        <v>111.155</v>
      </c>
      <c r="G289" t="n">
        <v>3450.608</v>
      </c>
      <c r="H289" t="n">
        <v>3474.268</v>
      </c>
      <c r="I289" t="n">
        <v>110.822</v>
      </c>
      <c r="J289" t="n">
        <v>12943.375</v>
      </c>
    </row>
    <row r="290">
      <c r="A290" s="93" t="n">
        <v>43466</v>
      </c>
      <c r="B290" t="n">
        <v>1.5</v>
      </c>
      <c r="C290" t="n">
        <v>2582.285</v>
      </c>
      <c r="D290" t="n">
        <v>3270.966</v>
      </c>
      <c r="E290" t="n">
        <v>18835.411</v>
      </c>
      <c r="F290" t="n">
        <v>111.56</v>
      </c>
      <c r="G290" t="n">
        <v>3484.349</v>
      </c>
      <c r="H290" t="n">
        <v>3485.931</v>
      </c>
      <c r="I290" t="n">
        <v>111.23</v>
      </c>
      <c r="J290" t="n">
        <v>12955.727</v>
      </c>
    </row>
    <row r="291">
      <c r="A291" s="93" t="n">
        <v>43556</v>
      </c>
      <c r="B291" t="n">
        <v>2.1</v>
      </c>
      <c r="C291" t="n">
        <v>2567.281</v>
      </c>
      <c r="D291" t="n">
        <v>3313.8</v>
      </c>
      <c r="E291" t="n">
        <v>18962.175</v>
      </c>
      <c r="F291" t="n">
        <v>112.184</v>
      </c>
      <c r="G291" t="n">
        <v>3504.855</v>
      </c>
      <c r="H291" t="n">
        <v>3491.751</v>
      </c>
      <c r="I291" t="n">
        <v>111.808</v>
      </c>
      <c r="J291" t="n">
        <v>13038.854</v>
      </c>
    </row>
    <row r="292">
      <c r="A292" s="93" t="n">
        <v>43647</v>
      </c>
      <c r="B292" t="n">
        <v>1.6</v>
      </c>
      <c r="C292" t="n">
        <v>2567.01</v>
      </c>
      <c r="D292" t="n">
        <v>3341.229</v>
      </c>
      <c r="E292" t="n">
        <v>19130.932</v>
      </c>
      <c r="F292" t="n">
        <v>112.558</v>
      </c>
      <c r="G292" t="n">
        <v>3527.193</v>
      </c>
      <c r="H292" t="n">
        <v>3476.382</v>
      </c>
      <c r="I292" t="n">
        <v>112.255</v>
      </c>
      <c r="J292" t="n">
        <v>13148.857</v>
      </c>
    </row>
    <row r="293">
      <c r="A293" s="93" t="n">
        <v>43739</v>
      </c>
      <c r="B293" t="n">
        <v>1.2</v>
      </c>
      <c r="C293" t="n">
        <v>2571.845</v>
      </c>
      <c r="D293" t="n">
        <v>3360.85</v>
      </c>
      <c r="E293" t="n">
        <v>19215.691</v>
      </c>
      <c r="F293" t="n">
        <v>112.91</v>
      </c>
      <c r="G293" t="n">
        <v>3454.354</v>
      </c>
      <c r="H293" t="n">
        <v>3404.66</v>
      </c>
      <c r="I293" t="n">
        <v>112.597</v>
      </c>
      <c r="J293" t="n">
        <v>13225.609</v>
      </c>
    </row>
    <row r="294">
      <c r="A294" s="93" t="n">
        <v>43831</v>
      </c>
      <c r="B294" t="n">
        <v>1.9</v>
      </c>
      <c r="C294" t="n">
        <v>2467.304</v>
      </c>
      <c r="D294" t="n">
        <v>3387.944</v>
      </c>
      <c r="E294" t="n">
        <v>18989.877</v>
      </c>
      <c r="F294" t="n">
        <v>113.427</v>
      </c>
      <c r="G294" t="n">
        <v>3409.883</v>
      </c>
      <c r="H294" t="n">
        <v>3295.493</v>
      </c>
      <c r="I294" t="n">
        <v>113.119</v>
      </c>
      <c r="J294" t="n">
        <v>13016.75</v>
      </c>
    </row>
    <row r="295">
      <c r="A295" s="93" t="n">
        <v>43922</v>
      </c>
      <c r="B295" t="n">
        <v>-1</v>
      </c>
      <c r="C295" t="n">
        <v>1951.368</v>
      </c>
      <c r="D295" t="n">
        <v>3448.043</v>
      </c>
      <c r="E295" t="n">
        <v>17378.712</v>
      </c>
      <c r="F295" t="n">
        <v>113.053</v>
      </c>
      <c r="G295" t="n">
        <v>2884.223</v>
      </c>
      <c r="H295" t="n">
        <v>2718.619</v>
      </c>
      <c r="I295" t="n">
        <v>112.846</v>
      </c>
      <c r="J295" t="n">
        <v>11817.147</v>
      </c>
    </row>
    <row r="296">
      <c r="A296" s="93" t="n">
        <v>44013</v>
      </c>
      <c r="B296" t="n">
        <v>3.2</v>
      </c>
      <c r="C296" t="n">
        <v>2193.033</v>
      </c>
      <c r="D296" t="n">
        <v>3395.877</v>
      </c>
      <c r="E296" t="n">
        <v>18743.72</v>
      </c>
      <c r="F296" t="n">
        <v>114.032</v>
      </c>
      <c r="G296" t="n">
        <v>3394.142</v>
      </c>
      <c r="H296" t="n">
        <v>3184.18</v>
      </c>
      <c r="I296" t="n">
        <v>113.729</v>
      </c>
      <c r="J296" t="n">
        <v>12922.381</v>
      </c>
    </row>
    <row r="297">
      <c r="A297" s="93" t="n">
        <v>44105</v>
      </c>
      <c r="B297" t="n">
        <v>1.5</v>
      </c>
      <c r="C297" t="n">
        <v>2315.033</v>
      </c>
      <c r="D297" t="n">
        <v>3394.795</v>
      </c>
      <c r="E297" t="n">
        <v>18924.262</v>
      </c>
      <c r="F297" t="n">
        <v>114.744</v>
      </c>
      <c r="G297" t="n">
        <v>3537.645</v>
      </c>
      <c r="H297" t="n">
        <v>3419.001</v>
      </c>
      <c r="I297" t="n">
        <v>114.163</v>
      </c>
      <c r="J297" t="n">
        <v>13046.614</v>
      </c>
    </row>
    <row r="298">
      <c r="A298" s="93" t="n">
        <v>44197</v>
      </c>
      <c r="B298" t="n">
        <v>3.2</v>
      </c>
      <c r="C298" t="n">
        <v>2317.505</v>
      </c>
      <c r="D298" t="n">
        <v>3448.743</v>
      </c>
      <c r="E298" t="n">
        <v>19216.224</v>
      </c>
      <c r="F298" t="n">
        <v>116.199</v>
      </c>
      <c r="G298" t="n">
        <v>3489.294</v>
      </c>
      <c r="H298" t="n">
        <v>3482.035</v>
      </c>
      <c r="I298" t="n">
        <v>115.072</v>
      </c>
      <c r="J298" t="n">
        <v>13386.763</v>
      </c>
    </row>
    <row r="299">
      <c r="A299" s="93" t="n">
        <v>44287</v>
      </c>
      <c r="B299" t="n">
        <v>6</v>
      </c>
      <c r="C299" t="n">
        <v>2345.132</v>
      </c>
      <c r="D299" t="n">
        <v>3422.363</v>
      </c>
      <c r="E299" t="n">
        <v>19544.248</v>
      </c>
      <c r="F299" t="n">
        <v>117.974</v>
      </c>
      <c r="G299" t="n">
        <v>3496.867</v>
      </c>
      <c r="H299" t="n">
        <v>3549.002</v>
      </c>
      <c r="I299" t="n">
        <v>116.774</v>
      </c>
      <c r="J299" t="n">
        <v>13773.688</v>
      </c>
    </row>
    <row r="300">
      <c r="A300" s="93" t="n">
        <v>44378</v>
      </c>
      <c r="B300" t="n">
        <v>4.8</v>
      </c>
      <c r="C300" t="n">
        <v>2338.825</v>
      </c>
      <c r="D300" t="n">
        <v>3421.046</v>
      </c>
      <c r="E300" t="n">
        <v>19672.594</v>
      </c>
      <c r="F300" t="n">
        <v>119.763</v>
      </c>
      <c r="G300" t="n">
        <v>3584.05</v>
      </c>
      <c r="H300" t="n">
        <v>3606.283</v>
      </c>
      <c r="I300" t="n">
        <v>118.152</v>
      </c>
      <c r="J300" t="n">
        <v>13874.396</v>
      </c>
    </row>
    <row r="301">
      <c r="A301" s="93" t="n">
        <v>44470</v>
      </c>
      <c r="B301" t="n">
        <v>4.8</v>
      </c>
      <c r="C301" t="n">
        <v>2465.672</v>
      </c>
      <c r="D301" t="n">
        <v>3412.858</v>
      </c>
      <c r="E301" t="n">
        <v>20006.181</v>
      </c>
      <c r="F301" t="n">
        <v>121.758</v>
      </c>
      <c r="G301" t="n">
        <v>3841.771</v>
      </c>
      <c r="H301" t="n">
        <v>3763.316</v>
      </c>
      <c r="I301" t="n">
        <v>119.555</v>
      </c>
      <c r="J301" t="n">
        <v>13981.514</v>
      </c>
    </row>
    <row r="302">
      <c r="A302" s="93" t="n">
        <v>44562</v>
      </c>
      <c r="B302" t="n">
        <v>5.6</v>
      </c>
      <c r="C302" t="n">
        <v>2436.934</v>
      </c>
      <c r="D302" t="n">
        <v>3393.389</v>
      </c>
      <c r="E302" t="n">
        <v>19924.088</v>
      </c>
      <c r="F302" t="n">
        <v>124.209</v>
      </c>
      <c r="G302" t="n">
        <v>3892.48</v>
      </c>
      <c r="H302" t="n">
        <v>3925.633</v>
      </c>
      <c r="I302" t="n">
        <v>121.206</v>
      </c>
      <c r="J302" t="n">
        <v>14028.383</v>
      </c>
    </row>
    <row r="303">
      <c r="A303" s="93" t="n">
        <v>44652</v>
      </c>
      <c r="B303" t="n">
        <v>4.7</v>
      </c>
      <c r="C303" t="n">
        <v>2516.928</v>
      </c>
      <c r="D303" t="n">
        <v>3379.499</v>
      </c>
      <c r="E303" t="n">
        <v>19895.271</v>
      </c>
      <c r="F303" t="n">
        <v>126.914</v>
      </c>
      <c r="G303" t="n">
        <v>3746.973</v>
      </c>
      <c r="H303" t="n">
        <v>3947.472</v>
      </c>
      <c r="I303" t="n">
        <v>122.592</v>
      </c>
      <c r="J303" t="n">
        <v>14099.456</v>
      </c>
    </row>
    <row r="304">
      <c r="A304" s="93" t="n">
        <v>44743</v>
      </c>
      <c r="B304" t="n">
        <v>4.7</v>
      </c>
      <c r="C304" t="n">
        <v>2604.137</v>
      </c>
      <c r="D304" t="n">
        <v>3410.625</v>
      </c>
      <c r="E304" t="n">
        <v>20054.663</v>
      </c>
      <c r="F304" t="n">
        <v>128.276</v>
      </c>
      <c r="G304" t="n">
        <v>3653.85</v>
      </c>
      <c r="H304" t="n">
        <v>3872.908</v>
      </c>
      <c r="I304" t="n">
        <v>123.997</v>
      </c>
      <c r="J304" t="n">
        <v>14178.562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8"/>
  <sheetViews>
    <sheetView zoomScale="110" zoomScaleNormal="110" workbookViewId="0">
      <pane ySplit="5" topLeftCell="A296" activePane="bottomLeft" state="frozen"/>
      <selection activeCell="I311" sqref="I311"/>
      <selection pane="bottomLeft" activeCell="U333" sqref="U333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21.36328125" customWidth="1" min="5" max="5"/>
    <col width="10.81640625" customWidth="1" min="6" max="18"/>
  </cols>
  <sheetData>
    <row r="1" ht="16" customHeight="1">
      <c r="A1" s="38" t="inlineStr">
        <is>
          <t>GDPC1</t>
        </is>
      </c>
      <c r="B1" s="39" t="inlineStr">
        <is>
          <t>Real Gross Domestic Product</t>
        </is>
      </c>
      <c r="C1" s="13" t="n"/>
      <c r="D1" s="15" t="inlineStr">
        <is>
          <t>https://fred.stlouisfed.org/series/GDPC1</t>
        </is>
      </c>
      <c r="E1" s="14" t="n"/>
      <c r="F1" s="14" t="n"/>
      <c r="G1" s="14" t="n"/>
      <c r="H1" s="14" t="n"/>
      <c r="I1" s="15" t="inlineStr">
        <is>
          <t>https://tradingeconomics.com/united-states/gdp-constant-prices</t>
        </is>
      </c>
      <c r="J1" s="14" t="n"/>
      <c r="K1" s="14" t="n"/>
      <c r="L1" s="80" t="n"/>
      <c r="M1" s="80" t="n"/>
      <c r="N1" s="80" t="n"/>
      <c r="O1" s="80" t="n"/>
      <c r="P1" s="80" t="n"/>
    </row>
    <row r="2">
      <c r="A2" s="59" t="inlineStr">
        <is>
          <t xml:space="preserve"> Billions of Chained 2012 Dollars, Seasonally Adjusted Annual Rate</t>
        </is>
      </c>
      <c r="B2" s="12" t="n"/>
      <c r="C2" s="13" t="n"/>
      <c r="D2" s="13" t="n"/>
      <c r="E2" s="14" t="n"/>
      <c r="F2" s="60" t="n"/>
      <c r="G2" s="14" t="n"/>
      <c r="H2" s="16" t="n"/>
      <c r="I2" s="14" t="inlineStr">
        <is>
          <t>Column A Cell Format Date US Month day year</t>
        </is>
      </c>
      <c r="J2" s="14" t="n"/>
      <c r="K2" s="14" t="n"/>
      <c r="L2" s="80" t="n"/>
      <c r="M2" s="80" t="n"/>
      <c r="N2" s="80" t="n"/>
      <c r="O2" s="80" t="n"/>
      <c r="P2" s="80" t="n"/>
    </row>
    <row r="3">
      <c r="A3" s="61" t="n"/>
      <c r="B3" s="12" t="n"/>
      <c r="C3" s="13" t="n"/>
      <c r="D3" s="13" t="n"/>
      <c r="E3" s="14" t="n"/>
      <c r="F3" s="14" t="n"/>
      <c r="G3" s="14" t="n"/>
      <c r="H3" s="14" t="n"/>
      <c r="I3" s="14" t="n"/>
      <c r="J3" s="14" t="n"/>
      <c r="K3" s="14" t="n"/>
      <c r="L3" s="80" t="n"/>
      <c r="M3" s="80" t="n"/>
      <c r="N3" s="80" t="n"/>
      <c r="O3" s="80" t="n"/>
      <c r="P3" s="80" t="n"/>
    </row>
    <row r="4">
      <c r="A4" s="61" t="n"/>
      <c r="B4" s="12" t="n"/>
      <c r="C4" s="13" t="n"/>
      <c r="D4" s="13" t="n"/>
      <c r="E4" s="14" t="n"/>
      <c r="F4" s="14" t="n"/>
      <c r="G4" s="14" t="n"/>
      <c r="H4" s="14" t="n"/>
      <c r="I4" s="15">
        <f>C1&amp;A2</f>
        <v/>
      </c>
      <c r="J4" s="14" t="n"/>
      <c r="K4" s="14" t="n"/>
      <c r="L4" s="80" t="n"/>
      <c r="M4" s="80" t="n"/>
      <c r="N4" s="80" t="n"/>
      <c r="O4" s="80" t="n"/>
      <c r="P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GDP q/q %</t>
        </is>
      </c>
      <c r="D5" s="51" t="inlineStr">
        <is>
          <t>GDP y/y %</t>
        </is>
      </c>
      <c r="E5" s="52" t="inlineStr">
        <is>
          <t>GDP Annualized QoQ</t>
        </is>
      </c>
    </row>
    <row r="6">
      <c r="A6" s="35" t="n">
        <v>17168</v>
      </c>
      <c r="B6" s="63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conditionalFormatting sqref="C258:C3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6"/>
  <sheetViews>
    <sheetView tabSelected="1" zoomScale="140" zoomScaleNormal="140" workbookViewId="0">
      <pane ySplit="3" topLeftCell="A37" activePane="bottomLeft" state="frozen"/>
      <selection pane="bottomLeft" activeCell="A4" sqref="A4:XFD4"/>
    </sheetView>
  </sheetViews>
  <sheetFormatPr baseColWidth="8" defaultColWidth="8.81640625" defaultRowHeight="14.5"/>
  <cols>
    <col width="1" customWidth="1" style="80" min="1" max="2"/>
    <col width="6.36328125" customWidth="1" min="3" max="3"/>
    <col width="7.6328125" customWidth="1" min="4" max="4"/>
    <col width="5.6328125" customWidth="1" min="5" max="6"/>
    <col width="3.36328125" customWidth="1" style="80" min="7" max="7"/>
    <col width="6.453125" customWidth="1" min="8" max="8"/>
    <col width="7.6328125" customWidth="1" min="9" max="9"/>
    <col width="5.6328125" customWidth="1" min="10" max="11"/>
    <col width="3.36328125" customWidth="1" style="80" min="12" max="12"/>
    <col width="6.36328125" customWidth="1" min="13" max="13"/>
    <col width="9.1796875" customWidth="1" min="14" max="14"/>
    <col width="5.6328125" customWidth="1" min="15" max="16"/>
    <col width="3.453125" customWidth="1" style="80" min="17" max="17"/>
    <col width="5.6328125" customWidth="1" min="18" max="18"/>
    <col width="7.6328125" customWidth="1" min="19" max="19"/>
    <col width="5.6328125" customWidth="1" min="20" max="21"/>
    <col width="3.453125" customWidth="1" style="80" min="22" max="22"/>
    <col width="6.453125" customWidth="1" min="23" max="23"/>
    <col width="7.6328125" customWidth="1" min="24" max="24"/>
    <col width="5.6328125" customWidth="1" min="25" max="26"/>
    <col width="2.453125" customWidth="1" style="80" min="27" max="27"/>
    <col width="6" customWidth="1" min="28" max="28"/>
    <col width="7.6328125" customWidth="1" min="29" max="29"/>
    <col width="5.6328125" customWidth="1" min="30" max="31"/>
    <col width="2.6328125" customWidth="1" style="80" min="32" max="32"/>
    <col width="6" customWidth="1" min="33" max="33"/>
    <col width="7.6328125" customWidth="1" min="34" max="34"/>
    <col width="5.6328125" customWidth="1" min="35" max="36"/>
    <col width="3.36328125" customWidth="1" style="80" min="37" max="37"/>
    <col width="6" customWidth="1" min="38" max="38"/>
    <col width="7.6328125" customWidth="1" min="39" max="39"/>
    <col width="5.6328125" customWidth="1" min="40" max="41"/>
    <col width="9.1796875" customWidth="1" style="80" min="42" max="154"/>
  </cols>
  <sheetData>
    <row r="1" ht="16" customFormat="1" customHeight="1" s="80" thickBot="1">
      <c r="F1" s="27" t="n"/>
      <c r="K1" s="27" t="n"/>
    </row>
    <row r="2" ht="16" customFormat="1" customHeight="1" s="80" thickBot="1">
      <c r="C2" s="92" t="inlineStr">
        <is>
          <t>US GDP</t>
        </is>
      </c>
      <c r="D2" s="88" t="n"/>
      <c r="E2" s="88" t="n"/>
      <c r="F2" s="89" t="n"/>
      <c r="H2" s="92" t="inlineStr">
        <is>
          <t>Personal Consumption</t>
        </is>
      </c>
      <c r="I2" s="88" t="n"/>
      <c r="J2" s="88" t="n"/>
      <c r="K2" s="89" t="n"/>
      <c r="M2" s="91" t="inlineStr">
        <is>
          <t>Private Investment</t>
        </is>
      </c>
      <c r="N2" s="88" t="n"/>
      <c r="O2" s="88" t="n"/>
      <c r="P2" s="89" t="n"/>
      <c r="R2" s="91" t="inlineStr">
        <is>
          <t>Exports</t>
        </is>
      </c>
      <c r="S2" s="88" t="n"/>
      <c r="T2" s="88" t="n"/>
      <c r="U2" s="89" t="n"/>
      <c r="W2" s="91" t="inlineStr">
        <is>
          <t>Imports</t>
        </is>
      </c>
      <c r="X2" s="88" t="n"/>
      <c r="Y2" s="88" t="n"/>
      <c r="Z2" s="89" t="n"/>
      <c r="AB2" s="91" t="inlineStr">
        <is>
          <t>Government</t>
        </is>
      </c>
      <c r="AC2" s="88" t="n"/>
      <c r="AD2" s="88" t="n"/>
      <c r="AE2" s="89" t="n"/>
      <c r="AG2" s="91" t="inlineStr">
        <is>
          <t>GDP Price index</t>
        </is>
      </c>
      <c r="AH2" s="88" t="n"/>
      <c r="AI2" s="88" t="n"/>
      <c r="AJ2" s="89" t="n"/>
      <c r="AL2" s="92" t="inlineStr">
        <is>
          <t>Core PCE QoQ</t>
        </is>
      </c>
      <c r="AM2" s="88" t="n"/>
      <c r="AN2" s="88" t="n"/>
      <c r="AO2" s="89" t="n"/>
    </row>
    <row r="3" ht="13" customFormat="1" customHeight="1" s="4">
      <c r="A3" s="7" t="n"/>
      <c r="B3" s="7" t="n"/>
      <c r="C3" s="65" t="inlineStr">
        <is>
          <t>Date</t>
        </is>
      </c>
      <c r="D3" s="28" t="inlineStr">
        <is>
          <t>Value mil$</t>
        </is>
      </c>
      <c r="E3" s="29" t="inlineStr">
        <is>
          <t>q/q</t>
        </is>
      </c>
      <c r="F3" s="29" t="inlineStr">
        <is>
          <t>y/y</t>
        </is>
      </c>
      <c r="G3" s="7" t="n"/>
      <c r="H3" s="66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66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66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66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66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66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66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67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67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67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67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67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67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67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67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67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67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67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67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67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67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67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67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67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67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67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67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67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67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67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67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67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67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67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67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67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67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67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67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67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67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67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67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67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67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67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67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67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67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67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67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67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67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67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67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67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67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67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67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67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67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67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67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67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67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67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67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67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67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67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67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67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67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67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67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67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67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67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67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67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67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67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67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67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67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67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67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67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67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67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67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67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67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67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67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67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67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67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67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67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67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67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67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67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67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67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67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67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67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67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67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67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67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67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67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67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67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67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67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67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67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67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67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67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67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67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67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67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67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67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67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67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67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67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67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67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67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67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67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67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67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67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67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67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67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67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67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67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67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67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67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67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67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67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67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67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67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67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67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67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67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67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67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67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67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67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67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67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67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67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67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67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67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67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67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67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67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67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67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67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67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67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67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67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67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67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67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67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67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67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67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67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67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67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67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67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67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67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67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67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67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67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67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67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67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67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67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80">
      <c r="C29" s="67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67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67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67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67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67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67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67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80">
      <c r="C30" s="67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67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67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67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67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67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67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67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80">
      <c r="C31" s="67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67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67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67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67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67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67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67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80">
      <c r="C32" s="67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67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67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67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67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67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67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67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80">
      <c r="C33" s="67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67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67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67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67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67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67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67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80">
      <c r="C34" s="67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67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67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67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67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67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67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67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80">
      <c r="C35" s="67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67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67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67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67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67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67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67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80">
      <c r="C36" s="67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67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67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67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67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67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67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67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80">
      <c r="C37" s="67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67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67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67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67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67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67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67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80">
      <c r="C38" s="67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67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67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67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67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67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67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67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80">
      <c r="C39" s="67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67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67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67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67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67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67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67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80">
      <c r="C40" s="67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67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67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67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67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67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67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67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80">
      <c r="C41" s="67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67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67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67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67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67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67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67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80">
      <c r="C42" s="67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67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67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67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67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67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67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67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80">
      <c r="C43" s="67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67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67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67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67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67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67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67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80">
      <c r="C44" s="67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67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67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67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67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67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67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67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80">
      <c r="C45" s="67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67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67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67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67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67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67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67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80">
      <c r="C46" s="67">
        <f>'U.S. GDP'!A308</f>
        <v/>
      </c>
      <c r="D46" s="5">
        <f>'U.S. GDP'!B308</f>
        <v/>
      </c>
      <c r="E46" s="6">
        <f>'U.S. GDP'!C308</f>
        <v/>
      </c>
      <c r="F46" s="6">
        <f>'U.S. GDP'!E308</f>
        <v/>
      </c>
      <c r="H46" s="67">
        <f>PersonalConsumption!A308</f>
        <v/>
      </c>
      <c r="I46" s="5">
        <f>PersonalConsumption!B308</f>
        <v/>
      </c>
      <c r="J46" s="6">
        <f>PersonalConsumption!C308</f>
        <v/>
      </c>
      <c r="K46" s="6">
        <f>PersonalConsumption!E308</f>
        <v/>
      </c>
      <c r="M46" s="67">
        <f>PrivateInvestment!A308</f>
        <v/>
      </c>
      <c r="N46" s="5">
        <f>PrivateInvestment!B308</f>
        <v/>
      </c>
      <c r="O46" s="6">
        <f>PrivateInvestment!C308</f>
        <v/>
      </c>
      <c r="P46" s="6">
        <f>PrivateInvestment!E308</f>
        <v/>
      </c>
      <c r="R46" s="67">
        <f>Exports!A308</f>
        <v/>
      </c>
      <c r="S46" s="5">
        <f>Exports!B308</f>
        <v/>
      </c>
      <c r="T46" s="6">
        <f>Exports!C308</f>
        <v/>
      </c>
      <c r="U46" s="6">
        <f>Exports!E308</f>
        <v/>
      </c>
      <c r="W46" s="67">
        <f>Imports!A308</f>
        <v/>
      </c>
      <c r="X46" s="5">
        <f>Imports!B308</f>
        <v/>
      </c>
      <c r="Y46" s="6">
        <f>Imports!C308</f>
        <v/>
      </c>
      <c r="Z46" s="6">
        <f>Imports!E308</f>
        <v/>
      </c>
      <c r="AB46" s="67">
        <f>Government!A308</f>
        <v/>
      </c>
      <c r="AC46" s="5">
        <f>Government!B308</f>
        <v/>
      </c>
      <c r="AD46" s="6">
        <f>Government!C308</f>
        <v/>
      </c>
      <c r="AE46" s="6">
        <f>Government!E308</f>
        <v/>
      </c>
      <c r="AG46" s="67">
        <f>GDPPriceIndex!A308</f>
        <v/>
      </c>
      <c r="AH46" s="5">
        <f>GDPPriceIndex!B308</f>
        <v/>
      </c>
      <c r="AI46" s="6">
        <f>GDPPriceIndex!C308</f>
        <v/>
      </c>
      <c r="AJ46" s="6">
        <f>GDPPriceIndex!D308</f>
        <v/>
      </c>
      <c r="AL46" s="67">
        <f>CorePCE!A308</f>
        <v/>
      </c>
      <c r="AM46" s="5">
        <f>CorePCE!B308</f>
        <v/>
      </c>
      <c r="AN46" s="6">
        <f>CorePCE!C308</f>
        <v/>
      </c>
      <c r="AO46" s="6">
        <f>CorePCE!D308</f>
        <v/>
      </c>
    </row>
    <row r="47" customFormat="1" s="80"/>
    <row r="48" customFormat="1" s="80"/>
    <row r="49" customFormat="1" s="80"/>
    <row r="50" customFormat="1" s="80"/>
    <row r="51" customFormat="1" s="80"/>
    <row r="52" customFormat="1" s="80"/>
    <row r="53" customFormat="1" s="80"/>
    <row r="54" customFormat="1" s="80"/>
    <row r="55" customFormat="1" s="80"/>
    <row r="56" customFormat="1" s="80"/>
    <row r="57" customFormat="1" s="80"/>
    <row r="58" customFormat="1" s="80"/>
    <row r="59" customFormat="1" s="80"/>
    <row r="60" customFormat="1" s="80"/>
    <row r="61" customFormat="1" s="80"/>
    <row r="62" customFormat="1" s="80"/>
    <row r="63" customFormat="1" s="80"/>
    <row r="64" customFormat="1" s="80"/>
    <row r="65" customFormat="1" s="80"/>
    <row r="66" customFormat="1" s="80"/>
    <row r="67" customFormat="1" s="80"/>
    <row r="68" customFormat="1" s="80"/>
    <row r="69" customFormat="1" s="80"/>
    <row r="70" customFormat="1" s="80"/>
    <row r="71" customFormat="1" s="80"/>
    <row r="72" customFormat="1" s="80"/>
    <row r="73" customFormat="1" s="80"/>
    <row r="74" customFormat="1" s="80"/>
    <row r="75" customFormat="1" s="80"/>
    <row r="76" customFormat="1" s="80"/>
    <row r="77" customFormat="1" s="80"/>
    <row r="78" customFormat="1" s="80"/>
    <row r="79" customFormat="1" s="80"/>
    <row r="80" customFormat="1" s="80"/>
    <row r="81" customFormat="1" s="80"/>
    <row r="82" customFormat="1" s="80"/>
    <row r="83" customFormat="1" s="80"/>
    <row r="84" customFormat="1" s="80"/>
    <row r="85" customFormat="1" s="80"/>
    <row r="86" customFormat="1" s="80"/>
    <row r="87" customFormat="1" s="80"/>
    <row r="88" customFormat="1" s="80"/>
    <row r="89" customFormat="1" s="80"/>
    <row r="90" customFormat="1" s="80"/>
    <row r="91" customFormat="1" s="80"/>
    <row r="92" customFormat="1" s="80"/>
    <row r="93" customFormat="1" s="80"/>
    <row r="94" customFormat="1" s="80"/>
    <row r="95" customFormat="1" s="80"/>
    <row r="96" customFormat="1" s="80"/>
    <row r="97" customFormat="1" s="80"/>
    <row r="98" customFormat="1" s="80"/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  <row r="253" customFormat="1" s="80"/>
    <row r="254" customFormat="1" s="80"/>
    <row r="255" customFormat="1" s="80"/>
    <row r="256" customFormat="1" s="80"/>
    <row r="257" customFormat="1" s="80"/>
    <row r="258" customFormat="1" s="80"/>
    <row r="259" customFormat="1" s="80"/>
    <row r="260" customFormat="1" s="80"/>
    <row r="261" customFormat="1" s="80"/>
    <row r="262" customFormat="1" s="80"/>
    <row r="263" customFormat="1" s="80"/>
    <row r="264" customFormat="1" s="80"/>
    <row r="265" customFormat="1" s="80"/>
    <row r="266" customFormat="1" s="80"/>
    <row r="267" customFormat="1" s="80"/>
    <row r="268" customFormat="1" s="80"/>
    <row r="269" customFormat="1" s="80"/>
    <row r="270" customFormat="1" s="80"/>
    <row r="271" customFormat="1" s="80"/>
    <row r="272" customFormat="1" s="80"/>
    <row r="273" customFormat="1" s="80"/>
    <row r="274" customFormat="1" s="80"/>
    <row r="275" customFormat="1" s="80"/>
    <row r="276" customFormat="1" s="80"/>
    <row r="277" customFormat="1" s="80"/>
    <row r="278" customFormat="1" s="80"/>
    <row r="279" customFormat="1" s="80"/>
    <row r="280" customFormat="1" s="80"/>
    <row r="281" customFormat="1" s="80"/>
    <row r="282" customFormat="1" s="80"/>
    <row r="283" customFormat="1" s="80"/>
    <row r="284" customFormat="1" s="80"/>
    <row r="285" customFormat="1" s="80"/>
    <row r="286" customFormat="1" s="80"/>
    <row r="287" customFormat="1" s="80"/>
    <row r="288" customFormat="1" s="80"/>
    <row r="289" customFormat="1" s="80"/>
    <row r="290" customFormat="1" s="80"/>
    <row r="291" customFormat="1" s="80"/>
    <row r="292" customFormat="1" s="80"/>
    <row r="293" customFormat="1" s="80"/>
    <row r="294" customFormat="1" s="80"/>
    <row r="295" customFormat="1" s="80"/>
    <row r="296" customFormat="1" s="80"/>
    <row r="297" customFormat="1" s="80"/>
    <row r="298" customFormat="1" s="80"/>
    <row r="299" customFormat="1" s="80"/>
    <row r="300" customFormat="1" s="80"/>
    <row r="301" customFormat="1" s="80"/>
    <row r="302" customFormat="1" s="80"/>
    <row r="303" customFormat="1" s="80"/>
    <row r="304" customFormat="1" s="80"/>
    <row r="305" customFormat="1" s="80"/>
    <row r="306" customFormat="1" s="80"/>
    <row r="307" customFormat="1" s="80"/>
    <row r="308" customFormat="1" s="80"/>
    <row r="309" customFormat="1" s="80"/>
    <row r="310" customFormat="1" s="80"/>
    <row r="311" customFormat="1" s="80"/>
    <row r="312" customFormat="1" s="80"/>
    <row r="313" customFormat="1" s="80"/>
    <row r="314" customFormat="1" s="80"/>
    <row r="315" customFormat="1" s="80"/>
    <row r="316" customFormat="1" s="80"/>
    <row r="317" customFormat="1" s="80"/>
    <row r="318" customFormat="1" s="80"/>
    <row r="319" customFormat="1" s="80"/>
    <row r="320" customFormat="1" s="80"/>
    <row r="321" customFormat="1" s="80"/>
    <row r="322" customFormat="1" s="80"/>
    <row r="323" customFormat="1" s="80"/>
    <row r="324" customFormat="1" s="80"/>
    <row r="325" customFormat="1" s="80"/>
    <row r="326" customFormat="1" s="80"/>
    <row r="327" customFormat="1" s="80"/>
    <row r="328" customFormat="1" s="80"/>
    <row r="329" customFormat="1" s="80"/>
    <row r="330" customFormat="1" s="80"/>
    <row r="331" customFormat="1" s="80"/>
    <row r="332" customFormat="1" s="80"/>
    <row r="333" customFormat="1" s="80"/>
    <row r="334" customFormat="1" s="80"/>
    <row r="335" customFormat="1" s="80"/>
    <row r="336" customFormat="1" s="80"/>
    <row r="337" customFormat="1" s="80"/>
    <row r="338" customFormat="1" s="80"/>
    <row r="339" customFormat="1" s="80"/>
    <row r="340" customFormat="1" s="80"/>
    <row r="341" customFormat="1" s="80"/>
    <row r="342" customFormat="1" s="80"/>
    <row r="343" customFormat="1" s="80"/>
    <row r="344" customFormat="1" s="80"/>
    <row r="345" customFormat="1" s="80"/>
    <row r="346" customFormat="1" s="80"/>
    <row r="347" customFormat="1" s="80"/>
    <row r="348" customFormat="1" s="80"/>
    <row r="349" customFormat="1" s="80"/>
    <row r="350" customFormat="1" s="80"/>
    <row r="351" customFormat="1" s="80"/>
    <row r="352" customFormat="1" s="80"/>
    <row r="353" customFormat="1" s="80"/>
    <row r="354" customFormat="1" s="80"/>
    <row r="355" customFormat="1" s="80"/>
    <row r="356" customFormat="1" s="80"/>
    <row r="357" customFormat="1" s="80"/>
    <row r="358" customFormat="1" s="80"/>
    <row r="359" customFormat="1" s="80"/>
    <row r="360" customFormat="1" s="80"/>
    <row r="361" customFormat="1" s="80"/>
    <row r="362" customFormat="1" s="80"/>
    <row r="363" customFormat="1" s="80"/>
    <row r="364" customFormat="1" s="80"/>
    <row r="365" customFormat="1" s="80"/>
    <row r="366" customFormat="1" s="80"/>
    <row r="367" customFormat="1" s="80"/>
    <row r="368" customFormat="1" s="80"/>
    <row r="369" customFormat="1" s="80"/>
    <row r="370" customFormat="1" s="80"/>
    <row r="371" customFormat="1" s="80"/>
    <row r="372" customFormat="1" s="80"/>
    <row r="373" customFormat="1" s="80"/>
    <row r="374" customFormat="1" s="80"/>
    <row r="375" customFormat="1" s="80"/>
    <row r="376" customFormat="1" s="80"/>
    <row r="377" customFormat="1" s="80"/>
    <row r="378" customFormat="1" s="80"/>
    <row r="379" customFormat="1" s="80"/>
    <row r="380" customFormat="1" s="80"/>
    <row r="381" customFormat="1" s="80"/>
    <row r="382" customFormat="1" s="80"/>
    <row r="383" customFormat="1" s="80"/>
    <row r="384" customFormat="1" s="80"/>
    <row r="385" customFormat="1" s="80"/>
    <row r="386" customFormat="1" s="80"/>
    <row r="387" customFormat="1" s="80"/>
    <row r="388" customFormat="1" s="80"/>
    <row r="389" customFormat="1" s="80"/>
    <row r="390" customFormat="1" s="80"/>
    <row r="391" customFormat="1" s="80"/>
    <row r="392" customFormat="1" s="80"/>
    <row r="393" customFormat="1" s="80"/>
    <row r="394" customFormat="1" s="80"/>
    <row r="395" customFormat="1" s="80"/>
    <row r="396" customFormat="1" s="80"/>
    <row r="397" customFormat="1" s="80"/>
    <row r="398" customFormat="1" s="80"/>
    <row r="399" customFormat="1" s="80"/>
    <row r="400" customFormat="1" s="80"/>
    <row r="401" customFormat="1" s="80"/>
    <row r="402" customFormat="1" s="80"/>
    <row r="403" customFormat="1" s="80"/>
    <row r="404" customFormat="1" s="80"/>
    <row r="405" customFormat="1" s="80"/>
    <row r="406" customFormat="1" s="80"/>
    <row r="407" customFormat="1" s="80"/>
    <row r="408" customFormat="1" s="80"/>
    <row r="409" customFormat="1" s="80"/>
    <row r="410" customFormat="1" s="80"/>
    <row r="411" customFormat="1" s="80"/>
    <row r="412" customFormat="1" s="80"/>
    <row r="413" customFormat="1" s="80"/>
    <row r="414" customFormat="1" s="80"/>
    <row r="415" customFormat="1" s="80"/>
    <row r="416" customFormat="1" s="80"/>
    <row r="417" customFormat="1" s="80"/>
    <row r="418" customFormat="1" s="80"/>
    <row r="419" customFormat="1" s="80"/>
    <row r="420" customFormat="1" s="80"/>
    <row r="421" customFormat="1" s="80"/>
    <row r="422" customFormat="1" s="80"/>
    <row r="423" customFormat="1" s="80"/>
    <row r="424" customFormat="1" s="80"/>
    <row r="425" customFormat="1" s="80"/>
    <row r="426" customFormat="1" s="80"/>
    <row r="427" customFormat="1" s="80"/>
    <row r="428" customFormat="1" s="80"/>
    <row r="429" customFormat="1" s="80"/>
    <row r="430" customFormat="1" s="80"/>
    <row r="431" customFormat="1" s="80"/>
    <row r="432" customFormat="1" s="80"/>
    <row r="433" customFormat="1" s="80"/>
    <row r="434" customFormat="1" s="80"/>
    <row r="435" customFormat="1" s="80"/>
    <row r="436" customFormat="1" s="80"/>
    <row r="437" customFormat="1" s="80"/>
    <row r="438" customFormat="1" s="80"/>
    <row r="439" customFormat="1" s="80"/>
    <row r="440" customFormat="1" s="80"/>
    <row r="441" customFormat="1" s="80"/>
    <row r="442" customFormat="1" s="80"/>
    <row r="443" customFormat="1" s="80"/>
    <row r="444" customFormat="1" s="80"/>
    <row r="445" customFormat="1" s="80"/>
    <row r="446" customFormat="1" s="80"/>
    <row r="447" customFormat="1" s="80"/>
    <row r="448" customFormat="1" s="80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6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6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6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8"/>
  <sheetViews>
    <sheetView zoomScale="120" zoomScaleNormal="120" workbookViewId="0">
      <pane ySplit="5" topLeftCell="A299" activePane="bottomLeft" state="frozen"/>
      <selection pane="bottomLeft" activeCell="U297" sqref="U297"/>
    </sheetView>
  </sheetViews>
  <sheetFormatPr baseColWidth="8" defaultColWidth="8.81640625" defaultRowHeight="14.5"/>
  <cols>
    <col width="10.81640625" customWidth="1" style="17" min="1" max="1"/>
    <col width="10.81640625" customWidth="1" style="68" min="2" max="3"/>
    <col width="10.81640625" customWidth="1" style="18" min="4" max="4"/>
    <col width="10.81640625" customWidth="1" style="19" min="5" max="6"/>
    <col width="15.90625" bestFit="1" customWidth="1" style="19" min="7" max="7"/>
    <col width="10.81640625" customWidth="1" style="18" min="8" max="8"/>
    <col width="10.81640625" customWidth="1" style="19" min="9" max="11"/>
    <col width="13" customWidth="1" style="19" min="12" max="12"/>
    <col width="9.1796875" customWidth="1" style="80" min="13" max="14"/>
    <col width="9.1796875" customWidth="1" style="23" min="15" max="15"/>
    <col width="9.1796875" customWidth="1" style="80" min="16" max="253"/>
    <col width="10.81640625" customWidth="1" style="80" min="254" max="254"/>
    <col width="18.1796875" customWidth="1" style="80" min="255" max="255"/>
    <col width="15" customWidth="1" style="80" min="256" max="256"/>
    <col width="13" customWidth="1" style="80" min="257" max="260"/>
    <col width="17.453125" customWidth="1" style="80" min="261" max="261"/>
    <col width="9.1796875" customWidth="1" style="80" min="262" max="509"/>
    <col width="10.81640625" customWidth="1" style="80" min="510" max="510"/>
    <col width="18.1796875" customWidth="1" style="80" min="511" max="511"/>
    <col width="15" customWidth="1" style="80" min="512" max="512"/>
    <col width="13" customWidth="1" style="80" min="513" max="516"/>
    <col width="17.453125" customWidth="1" style="80" min="517" max="517"/>
    <col width="9.1796875" customWidth="1" style="80" min="518" max="765"/>
    <col width="10.81640625" customWidth="1" style="80" min="766" max="766"/>
    <col width="18.1796875" customWidth="1" style="80" min="767" max="767"/>
    <col width="15" customWidth="1" style="80" min="768" max="768"/>
    <col width="13" customWidth="1" style="80" min="769" max="772"/>
    <col width="17.453125" customWidth="1" style="80" min="773" max="773"/>
    <col width="9.1796875" customWidth="1" style="80" min="774" max="1021"/>
    <col width="10.81640625" customWidth="1" style="80" min="1022" max="1022"/>
    <col width="18.1796875" customWidth="1" style="80" min="1023" max="1023"/>
    <col width="15" customWidth="1" style="80" min="1024" max="1024"/>
    <col width="13" customWidth="1" style="80" min="1025" max="1028"/>
    <col width="17.453125" customWidth="1" style="80" min="1029" max="1029"/>
    <col width="9.1796875" customWidth="1" style="80" min="1030" max="1277"/>
    <col width="10.81640625" customWidth="1" style="80" min="1278" max="1278"/>
    <col width="18.1796875" customWidth="1" style="80" min="1279" max="1279"/>
    <col width="15" customWidth="1" style="80" min="1280" max="1280"/>
    <col width="13" customWidth="1" style="80" min="1281" max="1284"/>
    <col width="17.453125" customWidth="1" style="80" min="1285" max="1285"/>
    <col width="9.1796875" customWidth="1" style="80" min="1286" max="1533"/>
    <col width="10.81640625" customWidth="1" style="80" min="1534" max="1534"/>
    <col width="18.1796875" customWidth="1" style="80" min="1535" max="1535"/>
    <col width="15" customWidth="1" style="80" min="1536" max="1536"/>
    <col width="13" customWidth="1" style="80" min="1537" max="1540"/>
    <col width="17.453125" customWidth="1" style="80" min="1541" max="1541"/>
    <col width="9.1796875" customWidth="1" style="80" min="1542" max="1789"/>
    <col width="10.81640625" customWidth="1" style="80" min="1790" max="1790"/>
    <col width="18.1796875" customWidth="1" style="80" min="1791" max="1791"/>
    <col width="15" customWidth="1" style="80" min="1792" max="1792"/>
    <col width="13" customWidth="1" style="80" min="1793" max="1796"/>
    <col width="17.453125" customWidth="1" style="80" min="1797" max="1797"/>
    <col width="9.1796875" customWidth="1" style="80" min="1798" max="2045"/>
    <col width="10.81640625" customWidth="1" style="80" min="2046" max="2046"/>
    <col width="18.1796875" customWidth="1" style="80" min="2047" max="2047"/>
    <col width="15" customWidth="1" style="80" min="2048" max="2048"/>
    <col width="13" customWidth="1" style="80" min="2049" max="2052"/>
    <col width="17.453125" customWidth="1" style="80" min="2053" max="2053"/>
    <col width="9.1796875" customWidth="1" style="80" min="2054" max="2301"/>
    <col width="10.81640625" customWidth="1" style="80" min="2302" max="2302"/>
    <col width="18.1796875" customWidth="1" style="80" min="2303" max="2303"/>
    <col width="15" customWidth="1" style="80" min="2304" max="2304"/>
    <col width="13" customWidth="1" style="80" min="2305" max="2308"/>
    <col width="17.453125" customWidth="1" style="80" min="2309" max="2309"/>
    <col width="9.1796875" customWidth="1" style="80" min="2310" max="2557"/>
    <col width="10.81640625" customWidth="1" style="80" min="2558" max="2558"/>
    <col width="18.1796875" customWidth="1" style="80" min="2559" max="2559"/>
    <col width="15" customWidth="1" style="80" min="2560" max="2560"/>
    <col width="13" customWidth="1" style="80" min="2561" max="2564"/>
    <col width="17.453125" customWidth="1" style="80" min="2565" max="2565"/>
    <col width="9.1796875" customWidth="1" style="80" min="2566" max="2813"/>
    <col width="10.81640625" customWidth="1" style="80" min="2814" max="2814"/>
    <col width="18.1796875" customWidth="1" style="80" min="2815" max="2815"/>
    <col width="15" customWidth="1" style="80" min="2816" max="2816"/>
    <col width="13" customWidth="1" style="80" min="2817" max="2820"/>
    <col width="17.453125" customWidth="1" style="80" min="2821" max="2821"/>
    <col width="9.1796875" customWidth="1" style="80" min="2822" max="3069"/>
    <col width="10.81640625" customWidth="1" style="80" min="3070" max="3070"/>
    <col width="18.1796875" customWidth="1" style="80" min="3071" max="3071"/>
    <col width="15" customWidth="1" style="80" min="3072" max="3072"/>
    <col width="13" customWidth="1" style="80" min="3073" max="3076"/>
    <col width="17.453125" customWidth="1" style="80" min="3077" max="3077"/>
    <col width="9.1796875" customWidth="1" style="80" min="3078" max="3325"/>
    <col width="10.81640625" customWidth="1" style="80" min="3326" max="3326"/>
    <col width="18.1796875" customWidth="1" style="80" min="3327" max="3327"/>
    <col width="15" customWidth="1" style="80" min="3328" max="3328"/>
    <col width="13" customWidth="1" style="80" min="3329" max="3332"/>
    <col width="17.453125" customWidth="1" style="80" min="3333" max="3333"/>
    <col width="9.1796875" customWidth="1" style="80" min="3334" max="3581"/>
    <col width="10.81640625" customWidth="1" style="80" min="3582" max="3582"/>
    <col width="18.1796875" customWidth="1" style="80" min="3583" max="3583"/>
    <col width="15" customWidth="1" style="80" min="3584" max="3584"/>
    <col width="13" customWidth="1" style="80" min="3585" max="3588"/>
    <col width="17.453125" customWidth="1" style="80" min="3589" max="3589"/>
    <col width="9.1796875" customWidth="1" style="80" min="3590" max="3837"/>
    <col width="10.81640625" customWidth="1" style="80" min="3838" max="3838"/>
    <col width="18.1796875" customWidth="1" style="80" min="3839" max="3839"/>
    <col width="15" customWidth="1" style="80" min="3840" max="3840"/>
    <col width="13" customWidth="1" style="80" min="3841" max="3844"/>
    <col width="17.453125" customWidth="1" style="80" min="3845" max="3845"/>
    <col width="9.1796875" customWidth="1" style="80" min="3846" max="4093"/>
    <col width="10.81640625" customWidth="1" style="80" min="4094" max="4094"/>
    <col width="18.1796875" customWidth="1" style="80" min="4095" max="4095"/>
    <col width="15" customWidth="1" style="80" min="4096" max="4096"/>
    <col width="13" customWidth="1" style="80" min="4097" max="4100"/>
    <col width="17.453125" customWidth="1" style="80" min="4101" max="4101"/>
    <col width="9.1796875" customWidth="1" style="80" min="4102" max="4349"/>
    <col width="10.81640625" customWidth="1" style="80" min="4350" max="4350"/>
    <col width="18.1796875" customWidth="1" style="80" min="4351" max="4351"/>
    <col width="15" customWidth="1" style="80" min="4352" max="4352"/>
    <col width="13" customWidth="1" style="80" min="4353" max="4356"/>
    <col width="17.453125" customWidth="1" style="80" min="4357" max="4357"/>
    <col width="9.1796875" customWidth="1" style="80" min="4358" max="4605"/>
    <col width="10.81640625" customWidth="1" style="80" min="4606" max="4606"/>
    <col width="18.1796875" customWidth="1" style="80" min="4607" max="4607"/>
    <col width="15" customWidth="1" style="80" min="4608" max="4608"/>
    <col width="13" customWidth="1" style="80" min="4609" max="4612"/>
    <col width="17.453125" customWidth="1" style="80" min="4613" max="4613"/>
    <col width="9.1796875" customWidth="1" style="80" min="4614" max="4861"/>
    <col width="10.81640625" customWidth="1" style="80" min="4862" max="4862"/>
    <col width="18.1796875" customWidth="1" style="80" min="4863" max="4863"/>
    <col width="15" customWidth="1" style="80" min="4864" max="4864"/>
    <col width="13" customWidth="1" style="80" min="4865" max="4868"/>
    <col width="17.453125" customWidth="1" style="80" min="4869" max="4869"/>
    <col width="9.1796875" customWidth="1" style="80" min="4870" max="5117"/>
    <col width="10.81640625" customWidth="1" style="80" min="5118" max="5118"/>
    <col width="18.1796875" customWidth="1" style="80" min="5119" max="5119"/>
    <col width="15" customWidth="1" style="80" min="5120" max="5120"/>
    <col width="13" customWidth="1" style="80" min="5121" max="5124"/>
    <col width="17.453125" customWidth="1" style="80" min="5125" max="5125"/>
    <col width="9.1796875" customWidth="1" style="80" min="5126" max="5373"/>
    <col width="10.81640625" customWidth="1" style="80" min="5374" max="5374"/>
    <col width="18.1796875" customWidth="1" style="80" min="5375" max="5375"/>
    <col width="15" customWidth="1" style="80" min="5376" max="5376"/>
    <col width="13" customWidth="1" style="80" min="5377" max="5380"/>
    <col width="17.453125" customWidth="1" style="80" min="5381" max="5381"/>
    <col width="9.1796875" customWidth="1" style="80" min="5382" max="5629"/>
    <col width="10.81640625" customWidth="1" style="80" min="5630" max="5630"/>
    <col width="18.1796875" customWidth="1" style="80" min="5631" max="5631"/>
    <col width="15" customWidth="1" style="80" min="5632" max="5632"/>
    <col width="13" customWidth="1" style="80" min="5633" max="5636"/>
    <col width="17.453125" customWidth="1" style="80" min="5637" max="5637"/>
    <col width="9.1796875" customWidth="1" style="80" min="5638" max="5885"/>
    <col width="10.81640625" customWidth="1" style="80" min="5886" max="5886"/>
    <col width="18.1796875" customWidth="1" style="80" min="5887" max="5887"/>
    <col width="15" customWidth="1" style="80" min="5888" max="5888"/>
    <col width="13" customWidth="1" style="80" min="5889" max="5892"/>
    <col width="17.453125" customWidth="1" style="80" min="5893" max="5893"/>
    <col width="9.1796875" customWidth="1" style="80" min="5894" max="6141"/>
    <col width="10.81640625" customWidth="1" style="80" min="6142" max="6142"/>
    <col width="18.1796875" customWidth="1" style="80" min="6143" max="6143"/>
    <col width="15" customWidth="1" style="80" min="6144" max="6144"/>
    <col width="13" customWidth="1" style="80" min="6145" max="6148"/>
    <col width="17.453125" customWidth="1" style="80" min="6149" max="6149"/>
    <col width="9.1796875" customWidth="1" style="80" min="6150" max="6397"/>
    <col width="10.81640625" customWidth="1" style="80" min="6398" max="6398"/>
    <col width="18.1796875" customWidth="1" style="80" min="6399" max="6399"/>
    <col width="15" customWidth="1" style="80" min="6400" max="6400"/>
    <col width="13" customWidth="1" style="80" min="6401" max="6404"/>
    <col width="17.453125" customWidth="1" style="80" min="6405" max="6405"/>
    <col width="9.1796875" customWidth="1" style="80" min="6406" max="6653"/>
    <col width="10.81640625" customWidth="1" style="80" min="6654" max="6654"/>
    <col width="18.1796875" customWidth="1" style="80" min="6655" max="6655"/>
    <col width="15" customWidth="1" style="80" min="6656" max="6656"/>
    <col width="13" customWidth="1" style="80" min="6657" max="6660"/>
    <col width="17.453125" customWidth="1" style="80" min="6661" max="6661"/>
    <col width="9.1796875" customWidth="1" style="80" min="6662" max="6909"/>
    <col width="10.81640625" customWidth="1" style="80" min="6910" max="6910"/>
    <col width="18.1796875" customWidth="1" style="80" min="6911" max="6911"/>
    <col width="15" customWidth="1" style="80" min="6912" max="6912"/>
    <col width="13" customWidth="1" style="80" min="6913" max="6916"/>
    <col width="17.453125" customWidth="1" style="80" min="6917" max="6917"/>
    <col width="9.1796875" customWidth="1" style="80" min="6918" max="7165"/>
    <col width="10.81640625" customWidth="1" style="80" min="7166" max="7166"/>
    <col width="18.1796875" customWidth="1" style="80" min="7167" max="7167"/>
    <col width="15" customWidth="1" style="80" min="7168" max="7168"/>
    <col width="13" customWidth="1" style="80" min="7169" max="7172"/>
    <col width="17.453125" customWidth="1" style="80" min="7173" max="7173"/>
    <col width="9.1796875" customWidth="1" style="80" min="7174" max="7421"/>
    <col width="10.81640625" customWidth="1" style="80" min="7422" max="7422"/>
    <col width="18.1796875" customWidth="1" style="80" min="7423" max="7423"/>
    <col width="15" customWidth="1" style="80" min="7424" max="7424"/>
    <col width="13" customWidth="1" style="80" min="7425" max="7428"/>
    <col width="17.453125" customWidth="1" style="80" min="7429" max="7429"/>
    <col width="9.1796875" customWidth="1" style="80" min="7430" max="7677"/>
    <col width="10.81640625" customWidth="1" style="80" min="7678" max="7678"/>
    <col width="18.1796875" customWidth="1" style="80" min="7679" max="7679"/>
    <col width="15" customWidth="1" style="80" min="7680" max="7680"/>
    <col width="13" customWidth="1" style="80" min="7681" max="7684"/>
    <col width="17.453125" customWidth="1" style="80" min="7685" max="7685"/>
    <col width="9.1796875" customWidth="1" style="80" min="7686" max="7933"/>
    <col width="10.81640625" customWidth="1" style="80" min="7934" max="7934"/>
    <col width="18.1796875" customWidth="1" style="80" min="7935" max="7935"/>
    <col width="15" customWidth="1" style="80" min="7936" max="7936"/>
    <col width="13" customWidth="1" style="80" min="7937" max="7940"/>
    <col width="17.453125" customWidth="1" style="80" min="7941" max="7941"/>
    <col width="9.1796875" customWidth="1" style="80" min="7942" max="8189"/>
    <col width="10.81640625" customWidth="1" style="80" min="8190" max="8190"/>
    <col width="18.1796875" customWidth="1" style="80" min="8191" max="8191"/>
    <col width="15" customWidth="1" style="80" min="8192" max="8192"/>
    <col width="13" customWidth="1" style="80" min="8193" max="8196"/>
    <col width="17.453125" customWidth="1" style="80" min="8197" max="8197"/>
    <col width="9.1796875" customWidth="1" style="80" min="8198" max="8445"/>
    <col width="10.81640625" customWidth="1" style="80" min="8446" max="8446"/>
    <col width="18.1796875" customWidth="1" style="80" min="8447" max="8447"/>
    <col width="15" customWidth="1" style="80" min="8448" max="8448"/>
    <col width="13" customWidth="1" style="80" min="8449" max="8452"/>
    <col width="17.453125" customWidth="1" style="80" min="8453" max="8453"/>
    <col width="9.1796875" customWidth="1" style="80" min="8454" max="8701"/>
    <col width="10.81640625" customWidth="1" style="80" min="8702" max="8702"/>
    <col width="18.1796875" customWidth="1" style="80" min="8703" max="8703"/>
    <col width="15" customWidth="1" style="80" min="8704" max="8704"/>
    <col width="13" customWidth="1" style="80" min="8705" max="8708"/>
    <col width="17.453125" customWidth="1" style="80" min="8709" max="8709"/>
    <col width="9.1796875" customWidth="1" style="80" min="8710" max="8957"/>
    <col width="10.81640625" customWidth="1" style="80" min="8958" max="8958"/>
    <col width="18.1796875" customWidth="1" style="80" min="8959" max="8959"/>
    <col width="15" customWidth="1" style="80" min="8960" max="8960"/>
    <col width="13" customWidth="1" style="80" min="8961" max="8964"/>
    <col width="17.453125" customWidth="1" style="80" min="8965" max="8965"/>
    <col width="9.1796875" customWidth="1" style="80" min="8966" max="9213"/>
    <col width="10.81640625" customWidth="1" style="80" min="9214" max="9214"/>
    <col width="18.1796875" customWidth="1" style="80" min="9215" max="9215"/>
    <col width="15" customWidth="1" style="80" min="9216" max="9216"/>
    <col width="13" customWidth="1" style="80" min="9217" max="9220"/>
    <col width="17.453125" customWidth="1" style="80" min="9221" max="9221"/>
    <col width="9.1796875" customWidth="1" style="80" min="9222" max="9469"/>
    <col width="10.81640625" customWidth="1" style="80" min="9470" max="9470"/>
    <col width="18.1796875" customWidth="1" style="80" min="9471" max="9471"/>
    <col width="15" customWidth="1" style="80" min="9472" max="9472"/>
    <col width="13" customWidth="1" style="80" min="9473" max="9476"/>
    <col width="17.453125" customWidth="1" style="80" min="9477" max="9477"/>
    <col width="9.1796875" customWidth="1" style="80" min="9478" max="9725"/>
    <col width="10.81640625" customWidth="1" style="80" min="9726" max="9726"/>
    <col width="18.1796875" customWidth="1" style="80" min="9727" max="9727"/>
    <col width="15" customWidth="1" style="80" min="9728" max="9728"/>
    <col width="13" customWidth="1" style="80" min="9729" max="9732"/>
    <col width="17.453125" customWidth="1" style="80" min="9733" max="9733"/>
    <col width="9.1796875" customWidth="1" style="80" min="9734" max="9981"/>
    <col width="10.81640625" customWidth="1" style="80" min="9982" max="9982"/>
    <col width="18.1796875" customWidth="1" style="80" min="9983" max="9983"/>
    <col width="15" customWidth="1" style="80" min="9984" max="9984"/>
    <col width="13" customWidth="1" style="80" min="9985" max="9988"/>
    <col width="17.453125" customWidth="1" style="80" min="9989" max="9989"/>
    <col width="9.1796875" customWidth="1" style="80" min="9990" max="10237"/>
    <col width="10.81640625" customWidth="1" style="80" min="10238" max="10238"/>
    <col width="18.1796875" customWidth="1" style="80" min="10239" max="10239"/>
    <col width="15" customWidth="1" style="80" min="10240" max="10240"/>
    <col width="13" customWidth="1" style="80" min="10241" max="10244"/>
    <col width="17.453125" customWidth="1" style="80" min="10245" max="10245"/>
    <col width="9.1796875" customWidth="1" style="80" min="10246" max="10493"/>
    <col width="10.81640625" customWidth="1" style="80" min="10494" max="10494"/>
    <col width="18.1796875" customWidth="1" style="80" min="10495" max="10495"/>
    <col width="15" customWidth="1" style="80" min="10496" max="10496"/>
    <col width="13" customWidth="1" style="80" min="10497" max="10500"/>
    <col width="17.453125" customWidth="1" style="80" min="10501" max="10501"/>
    <col width="9.1796875" customWidth="1" style="80" min="10502" max="10749"/>
    <col width="10.81640625" customWidth="1" style="80" min="10750" max="10750"/>
    <col width="18.1796875" customWidth="1" style="80" min="10751" max="10751"/>
    <col width="15" customWidth="1" style="80" min="10752" max="10752"/>
    <col width="13" customWidth="1" style="80" min="10753" max="10756"/>
    <col width="17.453125" customWidth="1" style="80" min="10757" max="10757"/>
    <col width="9.1796875" customWidth="1" style="80" min="10758" max="11005"/>
    <col width="10.81640625" customWidth="1" style="80" min="11006" max="11006"/>
    <col width="18.1796875" customWidth="1" style="80" min="11007" max="11007"/>
    <col width="15" customWidth="1" style="80" min="11008" max="11008"/>
    <col width="13" customWidth="1" style="80" min="11009" max="11012"/>
    <col width="17.453125" customWidth="1" style="80" min="11013" max="11013"/>
    <col width="9.1796875" customWidth="1" style="80" min="11014" max="11261"/>
    <col width="10.81640625" customWidth="1" style="80" min="11262" max="11262"/>
    <col width="18.1796875" customWidth="1" style="80" min="11263" max="11263"/>
    <col width="15" customWidth="1" style="80" min="11264" max="11264"/>
    <col width="13" customWidth="1" style="80" min="11265" max="11268"/>
    <col width="17.453125" customWidth="1" style="80" min="11269" max="11269"/>
    <col width="9.1796875" customWidth="1" style="80" min="11270" max="11517"/>
    <col width="10.81640625" customWidth="1" style="80" min="11518" max="11518"/>
    <col width="18.1796875" customWidth="1" style="80" min="11519" max="11519"/>
    <col width="15" customWidth="1" style="80" min="11520" max="11520"/>
    <col width="13" customWidth="1" style="80" min="11521" max="11524"/>
    <col width="17.453125" customWidth="1" style="80" min="11525" max="11525"/>
    <col width="9.1796875" customWidth="1" style="80" min="11526" max="11773"/>
    <col width="10.81640625" customWidth="1" style="80" min="11774" max="11774"/>
    <col width="18.1796875" customWidth="1" style="80" min="11775" max="11775"/>
    <col width="15" customWidth="1" style="80" min="11776" max="11776"/>
    <col width="13" customWidth="1" style="80" min="11777" max="11780"/>
    <col width="17.453125" customWidth="1" style="80" min="11781" max="11781"/>
    <col width="9.1796875" customWidth="1" style="80" min="11782" max="12029"/>
    <col width="10.81640625" customWidth="1" style="80" min="12030" max="12030"/>
    <col width="18.1796875" customWidth="1" style="80" min="12031" max="12031"/>
    <col width="15" customWidth="1" style="80" min="12032" max="12032"/>
    <col width="13" customWidth="1" style="80" min="12033" max="12036"/>
    <col width="17.453125" customWidth="1" style="80" min="12037" max="12037"/>
    <col width="9.1796875" customWidth="1" style="80" min="12038" max="12285"/>
    <col width="10.81640625" customWidth="1" style="80" min="12286" max="12286"/>
    <col width="18.1796875" customWidth="1" style="80" min="12287" max="12287"/>
    <col width="15" customWidth="1" style="80" min="12288" max="12288"/>
    <col width="13" customWidth="1" style="80" min="12289" max="12292"/>
    <col width="17.453125" customWidth="1" style="80" min="12293" max="12293"/>
    <col width="9.1796875" customWidth="1" style="80" min="12294" max="12541"/>
    <col width="10.81640625" customWidth="1" style="80" min="12542" max="12542"/>
    <col width="18.1796875" customWidth="1" style="80" min="12543" max="12543"/>
    <col width="15" customWidth="1" style="80" min="12544" max="12544"/>
    <col width="13" customWidth="1" style="80" min="12545" max="12548"/>
    <col width="17.453125" customWidth="1" style="80" min="12549" max="12549"/>
    <col width="9.1796875" customWidth="1" style="80" min="12550" max="12797"/>
    <col width="10.81640625" customWidth="1" style="80" min="12798" max="12798"/>
    <col width="18.1796875" customWidth="1" style="80" min="12799" max="12799"/>
    <col width="15" customWidth="1" style="80" min="12800" max="12800"/>
    <col width="13" customWidth="1" style="80" min="12801" max="12804"/>
    <col width="17.453125" customWidth="1" style="80" min="12805" max="12805"/>
    <col width="9.1796875" customWidth="1" style="80" min="12806" max="13053"/>
    <col width="10.81640625" customWidth="1" style="80" min="13054" max="13054"/>
    <col width="18.1796875" customWidth="1" style="80" min="13055" max="13055"/>
    <col width="15" customWidth="1" style="80" min="13056" max="13056"/>
    <col width="13" customWidth="1" style="80" min="13057" max="13060"/>
    <col width="17.453125" customWidth="1" style="80" min="13061" max="13061"/>
    <col width="9.1796875" customWidth="1" style="80" min="13062" max="13309"/>
    <col width="10.81640625" customWidth="1" style="80" min="13310" max="13310"/>
    <col width="18.1796875" customWidth="1" style="80" min="13311" max="13311"/>
    <col width="15" customWidth="1" style="80" min="13312" max="13312"/>
    <col width="13" customWidth="1" style="80" min="13313" max="13316"/>
    <col width="17.453125" customWidth="1" style="80" min="13317" max="13317"/>
    <col width="9.1796875" customWidth="1" style="80" min="13318" max="13565"/>
    <col width="10.81640625" customWidth="1" style="80" min="13566" max="13566"/>
    <col width="18.1796875" customWidth="1" style="80" min="13567" max="13567"/>
    <col width="15" customWidth="1" style="80" min="13568" max="13568"/>
    <col width="13" customWidth="1" style="80" min="13569" max="13572"/>
    <col width="17.453125" customWidth="1" style="80" min="13573" max="13573"/>
    <col width="9.1796875" customWidth="1" style="80" min="13574" max="13821"/>
    <col width="10.81640625" customWidth="1" style="80" min="13822" max="13822"/>
    <col width="18.1796875" customWidth="1" style="80" min="13823" max="13823"/>
    <col width="15" customWidth="1" style="80" min="13824" max="13824"/>
    <col width="13" customWidth="1" style="80" min="13825" max="13828"/>
    <col width="17.453125" customWidth="1" style="80" min="13829" max="13829"/>
    <col width="9.1796875" customWidth="1" style="80" min="13830" max="14077"/>
    <col width="10.81640625" customWidth="1" style="80" min="14078" max="14078"/>
    <col width="18.1796875" customWidth="1" style="80" min="14079" max="14079"/>
    <col width="15" customWidth="1" style="80" min="14080" max="14080"/>
    <col width="13" customWidth="1" style="80" min="14081" max="14084"/>
    <col width="17.453125" customWidth="1" style="80" min="14085" max="14085"/>
    <col width="9.1796875" customWidth="1" style="80" min="14086" max="14333"/>
    <col width="10.81640625" customWidth="1" style="80" min="14334" max="14334"/>
    <col width="18.1796875" customWidth="1" style="80" min="14335" max="14335"/>
    <col width="15" customWidth="1" style="80" min="14336" max="14336"/>
    <col width="13" customWidth="1" style="80" min="14337" max="14340"/>
    <col width="17.453125" customWidth="1" style="80" min="14341" max="14341"/>
    <col width="9.1796875" customWidth="1" style="80" min="14342" max="14589"/>
    <col width="10.81640625" customWidth="1" style="80" min="14590" max="14590"/>
    <col width="18.1796875" customWidth="1" style="80" min="14591" max="14591"/>
    <col width="15" customWidth="1" style="80" min="14592" max="14592"/>
    <col width="13" customWidth="1" style="80" min="14593" max="14596"/>
    <col width="17.453125" customWidth="1" style="80" min="14597" max="14597"/>
    <col width="9.1796875" customWidth="1" style="80" min="14598" max="14845"/>
    <col width="10.81640625" customWidth="1" style="80" min="14846" max="14846"/>
    <col width="18.1796875" customWidth="1" style="80" min="14847" max="14847"/>
    <col width="15" customWidth="1" style="80" min="14848" max="14848"/>
    <col width="13" customWidth="1" style="80" min="14849" max="14852"/>
    <col width="17.453125" customWidth="1" style="80" min="14853" max="14853"/>
    <col width="9.1796875" customWidth="1" style="80" min="14854" max="15101"/>
    <col width="10.81640625" customWidth="1" style="80" min="15102" max="15102"/>
    <col width="18.1796875" customWidth="1" style="80" min="15103" max="15103"/>
    <col width="15" customWidth="1" style="80" min="15104" max="15104"/>
    <col width="13" customWidth="1" style="80" min="15105" max="15108"/>
    <col width="17.453125" customWidth="1" style="80" min="15109" max="15109"/>
    <col width="9.1796875" customWidth="1" style="80" min="15110" max="15357"/>
    <col width="10.81640625" customWidth="1" style="80" min="15358" max="15358"/>
    <col width="18.1796875" customWidth="1" style="80" min="15359" max="15359"/>
    <col width="15" customWidth="1" style="80" min="15360" max="15360"/>
    <col width="13" customWidth="1" style="80" min="15361" max="15364"/>
    <col width="17.453125" customWidth="1" style="80" min="15365" max="15365"/>
    <col width="9.1796875" customWidth="1" style="80" min="15366" max="15613"/>
    <col width="10.81640625" customWidth="1" style="80" min="15614" max="15614"/>
    <col width="18.1796875" customWidth="1" style="80" min="15615" max="15615"/>
    <col width="15" customWidth="1" style="80" min="15616" max="15616"/>
    <col width="13" customWidth="1" style="80" min="15617" max="15620"/>
    <col width="17.453125" customWidth="1" style="80" min="15621" max="15621"/>
    <col width="9.1796875" customWidth="1" style="80" min="15622" max="15869"/>
    <col width="10.81640625" customWidth="1" style="80" min="15870" max="15870"/>
    <col width="18.1796875" customWidth="1" style="80" min="15871" max="15871"/>
    <col width="15" customWidth="1" style="80" min="15872" max="15872"/>
    <col width="13" customWidth="1" style="80" min="15873" max="15876"/>
    <col width="17.453125" customWidth="1" style="80" min="15877" max="15877"/>
    <col width="9.1796875" customWidth="1" style="80" min="15878" max="16125"/>
    <col width="10.81640625" customWidth="1" style="80" min="16126" max="16126"/>
    <col width="18.1796875" customWidth="1" style="80" min="16127" max="16127"/>
    <col width="15" customWidth="1" style="80" min="16128" max="16128"/>
    <col width="13" customWidth="1" style="80" min="16129" max="16132"/>
    <col width="17.453125" customWidth="1" style="80" min="16133" max="16133"/>
    <col width="9.1796875" customWidth="1" style="80" min="16134" max="16384"/>
  </cols>
  <sheetData>
    <row r="2">
      <c r="A2" s="69" t="n"/>
      <c r="B2" s="70" t="n"/>
      <c r="C2" s="70" t="n"/>
      <c r="P2" s="70" t="n"/>
      <c r="R2" s="20" t="n"/>
    </row>
    <row r="4" ht="16" customHeight="1" thickBot="1"/>
    <row r="5" ht="23.25" customFormat="1" customHeight="1" s="79">
      <c r="A5" s="40" t="inlineStr">
        <is>
          <t>Date</t>
        </is>
      </c>
      <c r="B5" s="71" t="inlineStr">
        <is>
          <t>GDP</t>
        </is>
      </c>
      <c r="C5" s="71" t="inlineStr">
        <is>
          <t>Personal Consumption</t>
        </is>
      </c>
      <c r="D5" s="41" t="inlineStr">
        <is>
          <t>Private Investment</t>
        </is>
      </c>
      <c r="E5" s="42" t="inlineStr">
        <is>
          <t>Exports</t>
        </is>
      </c>
      <c r="F5" s="42" t="inlineStr">
        <is>
          <t>Imports</t>
        </is>
      </c>
      <c r="G5" s="43" t="inlineStr">
        <is>
          <t>Government</t>
        </is>
      </c>
      <c r="H5" s="41" t="inlineStr">
        <is>
          <t>PC%</t>
        </is>
      </c>
      <c r="I5" s="43" t="inlineStr">
        <is>
          <t>I%</t>
        </is>
      </c>
      <c r="J5" s="43" t="inlineStr">
        <is>
          <t>E%</t>
        </is>
      </c>
      <c r="K5" s="43" t="inlineStr">
        <is>
          <t>I%2</t>
        </is>
      </c>
      <c r="L5" s="44" t="inlineStr">
        <is>
          <t>G%</t>
        </is>
      </c>
      <c r="N5" s="22" t="inlineStr">
        <is>
          <t>Total</t>
        </is>
      </c>
      <c r="O5" s="24" t="inlineStr">
        <is>
          <t>Total</t>
        </is>
      </c>
    </row>
    <row r="6">
      <c r="A6" s="45" t="n">
        <v>17168</v>
      </c>
      <c r="B6" s="63">
        <f>VLOOKUP(A6,'U.S. GDP'!A:B,2,)</f>
        <v/>
      </c>
      <c r="C6" s="63">
        <f>VLOOKUP(A6,PersonalConsumption!A:B,2,)</f>
        <v/>
      </c>
      <c r="D6" s="63">
        <f>VLOOKUP(A6,PrivateInvestment!A:B,2,)</f>
        <v/>
      </c>
      <c r="E6" s="63">
        <f>VLOOKUP(A6,Exports!A:B,2,)</f>
        <v/>
      </c>
      <c r="F6" s="63">
        <f>VLOOKUP(A6,Imports!A:B,2,)</f>
        <v/>
      </c>
      <c r="G6" s="63">
        <f>VLOOKUP(A6,Government!A:B,2,)</f>
        <v/>
      </c>
      <c r="H6" s="37">
        <f>Table58[[#This Row],[Personal Consumption]]/Table58[[#This Row],[GDP]]</f>
        <v/>
      </c>
      <c r="I6" s="37">
        <f>Table58[[#This Row],[Private Investment]]/Table58[[#This Row],[GDP]]</f>
        <v/>
      </c>
      <c r="J6" s="37">
        <f>Table58[[#This Row],[Exports]]/Table58[[#This Row],[GDP]]</f>
        <v/>
      </c>
      <c r="K6" s="37">
        <f>-Table58[[#This Row],[Imports]]/Table58[[#This Row],[GDP]]</f>
        <v/>
      </c>
      <c r="L6" s="37">
        <f>Table58[[#This Row],[Government]]/Table58[[#This Row],[GDP]]</f>
        <v/>
      </c>
      <c r="N6" s="58">
        <f>SUM(Table58[[#This Row],[PC%]:[G%]])</f>
        <v/>
      </c>
      <c r="O6" s="25">
        <f>Table58[[#This Row],[Personal Consumption]]+Table58[[#This Row],[Private Investment]]+Table58[[#This Row],[Exports]]+Table58[[#This Row],[Government]]-Table58[[#This Row],[Imports]]</f>
        <v/>
      </c>
    </row>
    <row r="7">
      <c r="A7" s="45" t="n">
        <v>17258</v>
      </c>
      <c r="B7" s="63">
        <f>VLOOKUP(A7,'U.S. GDP'!A:B,2,)</f>
        <v/>
      </c>
      <c r="C7" s="63">
        <f>VLOOKUP(A7,PersonalConsumption!A:B,2,)</f>
        <v/>
      </c>
      <c r="D7" s="63">
        <f>VLOOKUP(A7,PrivateInvestment!A:B,2,)</f>
        <v/>
      </c>
      <c r="E7" s="63">
        <f>VLOOKUP(A7,Exports!A:B,2,)</f>
        <v/>
      </c>
      <c r="F7" s="63">
        <f>VLOOKUP(A7,Imports!A:B,2,)</f>
        <v/>
      </c>
      <c r="G7" s="63">
        <f>VLOOKUP(A7,Government!A:B,2,)</f>
        <v/>
      </c>
      <c r="H7" s="37">
        <f>Table58[[#This Row],[Personal Consumption]]/Table58[[#This Row],[GDP]]</f>
        <v/>
      </c>
      <c r="I7" s="37">
        <f>Table58[[#This Row],[Private Investment]]/Table58[[#This Row],[GDP]]</f>
        <v/>
      </c>
      <c r="J7" s="37">
        <f>Table58[[#This Row],[Exports]]/Table58[[#This Row],[GDP]]</f>
        <v/>
      </c>
      <c r="K7" s="37">
        <f>-Table58[[#This Row],[Imports]]/Table58[[#This Row],[GDP]]</f>
        <v/>
      </c>
      <c r="L7" s="37">
        <f>Table58[[#This Row],[Government]]/Table58[[#This Row],[GDP]]</f>
        <v/>
      </c>
      <c r="N7" s="58">
        <f>SUM(Table58[[#This Row],[PC%]:[G%]])</f>
        <v/>
      </c>
      <c r="O7" s="25">
        <f>Table58[[#This Row],[Personal Consumption]]+Table58[[#This Row],[Private Investment]]+Table58[[#This Row],[Exports]]+Table58[[#This Row],[Government]]-Table58[[#This Row],[Imports]]</f>
        <v/>
      </c>
    </row>
    <row r="8">
      <c r="A8" s="45" t="n">
        <v>17349</v>
      </c>
      <c r="B8" s="63">
        <f>VLOOKUP(A8,'U.S. GDP'!A:B,2,)</f>
        <v/>
      </c>
      <c r="C8" s="63">
        <f>VLOOKUP(A8,PersonalConsumption!A:B,2,)</f>
        <v/>
      </c>
      <c r="D8" s="63">
        <f>VLOOKUP(A8,PrivateInvestment!A:B,2,)</f>
        <v/>
      </c>
      <c r="E8" s="63">
        <f>VLOOKUP(A8,Exports!A:B,2,)</f>
        <v/>
      </c>
      <c r="F8" s="63">
        <f>VLOOKUP(A8,Imports!A:B,2,)</f>
        <v/>
      </c>
      <c r="G8" s="63">
        <f>VLOOKUP(A8,Government!A:B,2,)</f>
        <v/>
      </c>
      <c r="H8" s="37">
        <f>Table58[[#This Row],[Personal Consumption]]/Table58[[#This Row],[GDP]]</f>
        <v/>
      </c>
      <c r="I8" s="37">
        <f>Table58[[#This Row],[Private Investment]]/Table58[[#This Row],[GDP]]</f>
        <v/>
      </c>
      <c r="J8" s="37">
        <f>Table58[[#This Row],[Exports]]/Table58[[#This Row],[GDP]]</f>
        <v/>
      </c>
      <c r="K8" s="37">
        <f>-Table58[[#This Row],[Imports]]/Table58[[#This Row],[GDP]]</f>
        <v/>
      </c>
      <c r="L8" s="37">
        <f>Table58[[#This Row],[Government]]/Table58[[#This Row],[GDP]]</f>
        <v/>
      </c>
      <c r="N8" s="58">
        <f>SUM(Table58[[#This Row],[PC%]:[G%]])</f>
        <v/>
      </c>
      <c r="O8" s="25">
        <f>Table58[[#This Row],[Personal Consumption]]+Table58[[#This Row],[Private Investment]]+Table58[[#This Row],[Exports]]+Table58[[#This Row],[Government]]-Table58[[#This Row],[Imports]]</f>
        <v/>
      </c>
    </row>
    <row r="9">
      <c r="A9" s="45" t="n">
        <v>17441</v>
      </c>
      <c r="B9" s="63">
        <f>VLOOKUP(A9,'U.S. GDP'!A:B,2,)</f>
        <v/>
      </c>
      <c r="C9" s="63">
        <f>VLOOKUP(A9,PersonalConsumption!A:B,2,)</f>
        <v/>
      </c>
      <c r="D9" s="63">
        <f>VLOOKUP(A9,PrivateInvestment!A:B,2,)</f>
        <v/>
      </c>
      <c r="E9" s="63">
        <f>VLOOKUP(A9,Exports!A:B,2,)</f>
        <v/>
      </c>
      <c r="F9" s="63">
        <f>VLOOKUP(A9,Imports!A:B,2,)</f>
        <v/>
      </c>
      <c r="G9" s="63">
        <f>VLOOKUP(A9,Government!A:B,2,)</f>
        <v/>
      </c>
      <c r="H9" s="37">
        <f>Table58[[#This Row],[Personal Consumption]]/Table58[[#This Row],[GDP]]</f>
        <v/>
      </c>
      <c r="I9" s="37">
        <f>Table58[[#This Row],[Private Investment]]/Table58[[#This Row],[GDP]]</f>
        <v/>
      </c>
      <c r="J9" s="37">
        <f>Table58[[#This Row],[Exports]]/Table58[[#This Row],[GDP]]</f>
        <v/>
      </c>
      <c r="K9" s="37">
        <f>-Table58[[#This Row],[Imports]]/Table58[[#This Row],[GDP]]</f>
        <v/>
      </c>
      <c r="L9" s="37">
        <f>Table58[[#This Row],[Government]]/Table58[[#This Row],[GDP]]</f>
        <v/>
      </c>
      <c r="N9" s="58">
        <f>SUM(Table58[[#This Row],[PC%]:[G%]])</f>
        <v/>
      </c>
      <c r="O9" s="25">
        <f>Table58[[#This Row],[Personal Consumption]]+Table58[[#This Row],[Private Investment]]+Table58[[#This Row],[Exports]]+Table58[[#This Row],[Government]]-Table58[[#This Row],[Imports]]</f>
        <v/>
      </c>
    </row>
    <row r="10">
      <c r="A10" s="45" t="n">
        <v>17533</v>
      </c>
      <c r="B10" s="63">
        <f>VLOOKUP(A10,'U.S. GDP'!A:B,2,)</f>
        <v/>
      </c>
      <c r="C10" s="63">
        <f>VLOOKUP(A10,PersonalConsumption!A:B,2,)</f>
        <v/>
      </c>
      <c r="D10" s="63">
        <f>VLOOKUP(A10,PrivateInvestment!A:B,2,)</f>
        <v/>
      </c>
      <c r="E10" s="63">
        <f>VLOOKUP(A10,Exports!A:B,2,)</f>
        <v/>
      </c>
      <c r="F10" s="63">
        <f>VLOOKUP(A10,Imports!A:B,2,)</f>
        <v/>
      </c>
      <c r="G10" s="63">
        <f>VLOOKUP(A10,Government!A:B,2,)</f>
        <v/>
      </c>
      <c r="H10" s="37">
        <f>Table58[[#This Row],[Personal Consumption]]/Table58[[#This Row],[GDP]]</f>
        <v/>
      </c>
      <c r="I10" s="37">
        <f>Table58[[#This Row],[Private Investment]]/Table58[[#This Row],[GDP]]</f>
        <v/>
      </c>
      <c r="J10" s="37">
        <f>Table58[[#This Row],[Exports]]/Table58[[#This Row],[GDP]]</f>
        <v/>
      </c>
      <c r="K10" s="37">
        <f>-Table58[[#This Row],[Imports]]/Table58[[#This Row],[GDP]]</f>
        <v/>
      </c>
      <c r="L10" s="37">
        <f>Table58[[#This Row],[Government]]/Table58[[#This Row],[GDP]]</f>
        <v/>
      </c>
      <c r="N10" s="58">
        <f>SUM(Table58[[#This Row],[PC%]:[G%]])</f>
        <v/>
      </c>
      <c r="O10" s="25">
        <f>Table58[[#This Row],[Personal Consumption]]+Table58[[#This Row],[Private Investment]]+Table58[[#This Row],[Exports]]+Table58[[#This Row],[Government]]-Table58[[#This Row],[Imports]]</f>
        <v/>
      </c>
    </row>
    <row r="11">
      <c r="A11" s="45" t="n">
        <v>17624</v>
      </c>
      <c r="B11" s="63">
        <f>VLOOKUP(A11,'U.S. GDP'!A:B,2,)</f>
        <v/>
      </c>
      <c r="C11" s="63">
        <f>VLOOKUP(A11,PersonalConsumption!A:B,2,)</f>
        <v/>
      </c>
      <c r="D11" s="63">
        <f>VLOOKUP(A11,PrivateInvestment!A:B,2,)</f>
        <v/>
      </c>
      <c r="E11" s="63">
        <f>VLOOKUP(A11,Exports!A:B,2,)</f>
        <v/>
      </c>
      <c r="F11" s="63">
        <f>VLOOKUP(A11,Imports!A:B,2,)</f>
        <v/>
      </c>
      <c r="G11" s="63">
        <f>VLOOKUP(A11,Government!A:B,2,)</f>
        <v/>
      </c>
      <c r="H11" s="37">
        <f>Table58[[#This Row],[Personal Consumption]]/Table58[[#This Row],[GDP]]</f>
        <v/>
      </c>
      <c r="I11" s="37">
        <f>Table58[[#This Row],[Private Investment]]/Table58[[#This Row],[GDP]]</f>
        <v/>
      </c>
      <c r="J11" s="37">
        <f>Table58[[#This Row],[Exports]]/Table58[[#This Row],[GDP]]</f>
        <v/>
      </c>
      <c r="K11" s="37">
        <f>-Table58[[#This Row],[Imports]]/Table58[[#This Row],[GDP]]</f>
        <v/>
      </c>
      <c r="L11" s="37">
        <f>Table58[[#This Row],[Government]]/Table58[[#This Row],[GDP]]</f>
        <v/>
      </c>
      <c r="N11" s="58">
        <f>SUM(Table58[[#This Row],[PC%]:[G%]])</f>
        <v/>
      </c>
      <c r="O11" s="25">
        <f>Table58[[#This Row],[Personal Consumption]]+Table58[[#This Row],[Private Investment]]+Table58[[#This Row],[Exports]]+Table58[[#This Row],[Government]]-Table58[[#This Row],[Imports]]</f>
        <v/>
      </c>
    </row>
    <row r="12">
      <c r="A12" s="45" t="n">
        <v>17715</v>
      </c>
      <c r="B12" s="63">
        <f>VLOOKUP(A12,'U.S. GDP'!A:B,2,)</f>
        <v/>
      </c>
      <c r="C12" s="63">
        <f>VLOOKUP(A12,PersonalConsumption!A:B,2,)</f>
        <v/>
      </c>
      <c r="D12" s="63">
        <f>VLOOKUP(A12,PrivateInvestment!A:B,2,)</f>
        <v/>
      </c>
      <c r="E12" s="63">
        <f>VLOOKUP(A12,Exports!A:B,2,)</f>
        <v/>
      </c>
      <c r="F12" s="63">
        <f>VLOOKUP(A12,Imports!A:B,2,)</f>
        <v/>
      </c>
      <c r="G12" s="63">
        <f>VLOOKUP(A12,Government!A:B,2,)</f>
        <v/>
      </c>
      <c r="H12" s="37">
        <f>Table58[[#This Row],[Personal Consumption]]/Table58[[#This Row],[GDP]]</f>
        <v/>
      </c>
      <c r="I12" s="37">
        <f>Table58[[#This Row],[Private Investment]]/Table58[[#This Row],[GDP]]</f>
        <v/>
      </c>
      <c r="J12" s="37">
        <f>Table58[[#This Row],[Exports]]/Table58[[#This Row],[GDP]]</f>
        <v/>
      </c>
      <c r="K12" s="37">
        <f>-Table58[[#This Row],[Imports]]/Table58[[#This Row],[GDP]]</f>
        <v/>
      </c>
      <c r="L12" s="37">
        <f>Table58[[#This Row],[Government]]/Table58[[#This Row],[GDP]]</f>
        <v/>
      </c>
      <c r="N12" s="58">
        <f>SUM(Table58[[#This Row],[PC%]:[G%]])</f>
        <v/>
      </c>
      <c r="O12" s="25">
        <f>Table58[[#This Row],[Personal Consumption]]+Table58[[#This Row],[Private Investment]]+Table58[[#This Row],[Exports]]+Table58[[#This Row],[Government]]-Table58[[#This Row],[Imports]]</f>
        <v/>
      </c>
    </row>
    <row r="13">
      <c r="A13" s="45" t="n">
        <v>17807</v>
      </c>
      <c r="B13" s="63">
        <f>VLOOKUP(A13,'U.S. GDP'!A:B,2,)</f>
        <v/>
      </c>
      <c r="C13" s="63">
        <f>VLOOKUP(A13,PersonalConsumption!A:B,2,)</f>
        <v/>
      </c>
      <c r="D13" s="63">
        <f>VLOOKUP(A13,PrivateInvestment!A:B,2,)</f>
        <v/>
      </c>
      <c r="E13" s="63">
        <f>VLOOKUP(A13,Exports!A:B,2,)</f>
        <v/>
      </c>
      <c r="F13" s="63">
        <f>VLOOKUP(A13,Imports!A:B,2,)</f>
        <v/>
      </c>
      <c r="G13" s="63">
        <f>VLOOKUP(A13,Government!A:B,2,)</f>
        <v/>
      </c>
      <c r="H13" s="37">
        <f>Table58[[#This Row],[Personal Consumption]]/Table58[[#This Row],[GDP]]</f>
        <v/>
      </c>
      <c r="I13" s="37">
        <f>Table58[[#This Row],[Private Investment]]/Table58[[#This Row],[GDP]]</f>
        <v/>
      </c>
      <c r="J13" s="37">
        <f>Table58[[#This Row],[Exports]]/Table58[[#This Row],[GDP]]</f>
        <v/>
      </c>
      <c r="K13" s="37">
        <f>-Table58[[#This Row],[Imports]]/Table58[[#This Row],[GDP]]</f>
        <v/>
      </c>
      <c r="L13" s="37">
        <f>Table58[[#This Row],[Government]]/Table58[[#This Row],[GDP]]</f>
        <v/>
      </c>
      <c r="N13" s="58">
        <f>SUM(Table58[[#This Row],[PC%]:[G%]])</f>
        <v/>
      </c>
      <c r="O13" s="25">
        <f>Table58[[#This Row],[Personal Consumption]]+Table58[[#This Row],[Private Investment]]+Table58[[#This Row],[Exports]]+Table58[[#This Row],[Government]]-Table58[[#This Row],[Imports]]</f>
        <v/>
      </c>
    </row>
    <row r="14">
      <c r="A14" s="45" t="n">
        <v>17899</v>
      </c>
      <c r="B14" s="63">
        <f>VLOOKUP(A14,'U.S. GDP'!A:B,2,)</f>
        <v/>
      </c>
      <c r="C14" s="63">
        <f>VLOOKUP(A14,PersonalConsumption!A:B,2,)</f>
        <v/>
      </c>
      <c r="D14" s="63">
        <f>VLOOKUP(A14,PrivateInvestment!A:B,2,)</f>
        <v/>
      </c>
      <c r="E14" s="63">
        <f>VLOOKUP(A14,Exports!A:B,2,)</f>
        <v/>
      </c>
      <c r="F14" s="63">
        <f>VLOOKUP(A14,Imports!A:B,2,)</f>
        <v/>
      </c>
      <c r="G14" s="63">
        <f>VLOOKUP(A14,Government!A:B,2,)</f>
        <v/>
      </c>
      <c r="H14" s="37">
        <f>Table58[[#This Row],[Personal Consumption]]/Table58[[#This Row],[GDP]]</f>
        <v/>
      </c>
      <c r="I14" s="37">
        <f>Table58[[#This Row],[Private Investment]]/Table58[[#This Row],[GDP]]</f>
        <v/>
      </c>
      <c r="J14" s="37">
        <f>Table58[[#This Row],[Exports]]/Table58[[#This Row],[GDP]]</f>
        <v/>
      </c>
      <c r="K14" s="37">
        <f>-Table58[[#This Row],[Imports]]/Table58[[#This Row],[GDP]]</f>
        <v/>
      </c>
      <c r="L14" s="37">
        <f>Table58[[#This Row],[Government]]/Table58[[#This Row],[GDP]]</f>
        <v/>
      </c>
      <c r="N14" s="58">
        <f>SUM(Table58[[#This Row],[PC%]:[G%]])</f>
        <v/>
      </c>
      <c r="O14" s="25">
        <f>Table58[[#This Row],[Personal Consumption]]+Table58[[#This Row],[Private Investment]]+Table58[[#This Row],[Exports]]+Table58[[#This Row],[Government]]-Table58[[#This Row],[Imports]]</f>
        <v/>
      </c>
    </row>
    <row r="15">
      <c r="A15" s="45" t="n">
        <v>17989</v>
      </c>
      <c r="B15" s="63">
        <f>VLOOKUP(A15,'U.S. GDP'!A:B,2,)</f>
        <v/>
      </c>
      <c r="C15" s="63">
        <f>VLOOKUP(A15,PersonalConsumption!A:B,2,)</f>
        <v/>
      </c>
      <c r="D15" s="63">
        <f>VLOOKUP(A15,PrivateInvestment!A:B,2,)</f>
        <v/>
      </c>
      <c r="E15" s="63">
        <f>VLOOKUP(A15,Exports!A:B,2,)</f>
        <v/>
      </c>
      <c r="F15" s="63">
        <f>VLOOKUP(A15,Imports!A:B,2,)</f>
        <v/>
      </c>
      <c r="G15" s="63">
        <f>VLOOKUP(A15,Government!A:B,2,)</f>
        <v/>
      </c>
      <c r="H15" s="37">
        <f>Table58[[#This Row],[Personal Consumption]]/Table58[[#This Row],[GDP]]</f>
        <v/>
      </c>
      <c r="I15" s="37">
        <f>Table58[[#This Row],[Private Investment]]/Table58[[#This Row],[GDP]]</f>
        <v/>
      </c>
      <c r="J15" s="37">
        <f>Table58[[#This Row],[Exports]]/Table58[[#This Row],[GDP]]</f>
        <v/>
      </c>
      <c r="K15" s="37">
        <f>-Table58[[#This Row],[Imports]]/Table58[[#This Row],[GDP]]</f>
        <v/>
      </c>
      <c r="L15" s="37">
        <f>Table58[[#This Row],[Government]]/Table58[[#This Row],[GDP]]</f>
        <v/>
      </c>
      <c r="N15" s="58">
        <f>SUM(Table58[[#This Row],[PC%]:[G%]])</f>
        <v/>
      </c>
      <c r="O15" s="25">
        <f>Table58[[#This Row],[Personal Consumption]]+Table58[[#This Row],[Private Investment]]+Table58[[#This Row],[Exports]]+Table58[[#This Row],[Government]]-Table58[[#This Row],[Imports]]</f>
        <v/>
      </c>
    </row>
    <row r="16">
      <c r="A16" s="45" t="n">
        <v>18080</v>
      </c>
      <c r="B16" s="63">
        <f>VLOOKUP(A16,'U.S. GDP'!A:B,2,)</f>
        <v/>
      </c>
      <c r="C16" s="63">
        <f>VLOOKUP(A16,PersonalConsumption!A:B,2,)</f>
        <v/>
      </c>
      <c r="D16" s="63">
        <f>VLOOKUP(A16,PrivateInvestment!A:B,2,)</f>
        <v/>
      </c>
      <c r="E16" s="63">
        <f>VLOOKUP(A16,Exports!A:B,2,)</f>
        <v/>
      </c>
      <c r="F16" s="63">
        <f>VLOOKUP(A16,Imports!A:B,2,)</f>
        <v/>
      </c>
      <c r="G16" s="63">
        <f>VLOOKUP(A16,Government!A:B,2,)</f>
        <v/>
      </c>
      <c r="H16" s="37">
        <f>Table58[[#This Row],[Personal Consumption]]/Table58[[#This Row],[GDP]]</f>
        <v/>
      </c>
      <c r="I16" s="37">
        <f>Table58[[#This Row],[Private Investment]]/Table58[[#This Row],[GDP]]</f>
        <v/>
      </c>
      <c r="J16" s="37">
        <f>Table58[[#This Row],[Exports]]/Table58[[#This Row],[GDP]]</f>
        <v/>
      </c>
      <c r="K16" s="37">
        <f>-Table58[[#This Row],[Imports]]/Table58[[#This Row],[GDP]]</f>
        <v/>
      </c>
      <c r="L16" s="37">
        <f>Table58[[#This Row],[Government]]/Table58[[#This Row],[GDP]]</f>
        <v/>
      </c>
      <c r="N16" s="58">
        <f>SUM(Table58[[#This Row],[PC%]:[G%]])</f>
        <v/>
      </c>
      <c r="O16" s="25">
        <f>Table58[[#This Row],[Personal Consumption]]+Table58[[#This Row],[Private Investment]]+Table58[[#This Row],[Exports]]+Table58[[#This Row],[Government]]-Table58[[#This Row],[Imports]]</f>
        <v/>
      </c>
    </row>
    <row r="17">
      <c r="A17" s="45" t="n">
        <v>18172</v>
      </c>
      <c r="B17" s="63">
        <f>VLOOKUP(A17,'U.S. GDP'!A:B,2,)</f>
        <v/>
      </c>
      <c r="C17" s="63">
        <f>VLOOKUP(A17,PersonalConsumption!A:B,2,)</f>
        <v/>
      </c>
      <c r="D17" s="63">
        <f>VLOOKUP(A17,PrivateInvestment!A:B,2,)</f>
        <v/>
      </c>
      <c r="E17" s="63">
        <f>VLOOKUP(A17,Exports!A:B,2,)</f>
        <v/>
      </c>
      <c r="F17" s="63">
        <f>VLOOKUP(A17,Imports!A:B,2,)</f>
        <v/>
      </c>
      <c r="G17" s="63">
        <f>VLOOKUP(A17,Government!A:B,2,)</f>
        <v/>
      </c>
      <c r="H17" s="37">
        <f>Table58[[#This Row],[Personal Consumption]]/Table58[[#This Row],[GDP]]</f>
        <v/>
      </c>
      <c r="I17" s="37">
        <f>Table58[[#This Row],[Private Investment]]/Table58[[#This Row],[GDP]]</f>
        <v/>
      </c>
      <c r="J17" s="37">
        <f>Table58[[#This Row],[Exports]]/Table58[[#This Row],[GDP]]</f>
        <v/>
      </c>
      <c r="K17" s="37">
        <f>-Table58[[#This Row],[Imports]]/Table58[[#This Row],[GDP]]</f>
        <v/>
      </c>
      <c r="L17" s="37">
        <f>Table58[[#This Row],[Government]]/Table58[[#This Row],[GDP]]</f>
        <v/>
      </c>
      <c r="N17" s="58">
        <f>SUM(Table58[[#This Row],[PC%]:[G%]])</f>
        <v/>
      </c>
      <c r="O17" s="25">
        <f>Table58[[#This Row],[Personal Consumption]]+Table58[[#This Row],[Private Investment]]+Table58[[#This Row],[Exports]]+Table58[[#This Row],[Government]]-Table58[[#This Row],[Imports]]</f>
        <v/>
      </c>
    </row>
    <row r="18">
      <c r="A18" s="45" t="n">
        <v>18264</v>
      </c>
      <c r="B18" s="63">
        <f>VLOOKUP(A18,'U.S. GDP'!A:B,2,)</f>
        <v/>
      </c>
      <c r="C18" s="63">
        <f>VLOOKUP(A18,PersonalConsumption!A:B,2,)</f>
        <v/>
      </c>
      <c r="D18" s="63">
        <f>VLOOKUP(A18,PrivateInvestment!A:B,2,)</f>
        <v/>
      </c>
      <c r="E18" s="63">
        <f>VLOOKUP(A18,Exports!A:B,2,)</f>
        <v/>
      </c>
      <c r="F18" s="63">
        <f>VLOOKUP(A18,Imports!A:B,2,)</f>
        <v/>
      </c>
      <c r="G18" s="63">
        <f>VLOOKUP(A18,Government!A:B,2,)</f>
        <v/>
      </c>
      <c r="H18" s="37">
        <f>Table58[[#This Row],[Personal Consumption]]/Table58[[#This Row],[GDP]]</f>
        <v/>
      </c>
      <c r="I18" s="37">
        <f>Table58[[#This Row],[Private Investment]]/Table58[[#This Row],[GDP]]</f>
        <v/>
      </c>
      <c r="J18" s="37">
        <f>Table58[[#This Row],[Exports]]/Table58[[#This Row],[GDP]]</f>
        <v/>
      </c>
      <c r="K18" s="37">
        <f>-Table58[[#This Row],[Imports]]/Table58[[#This Row],[GDP]]</f>
        <v/>
      </c>
      <c r="L18" s="37">
        <f>Table58[[#This Row],[Government]]/Table58[[#This Row],[GDP]]</f>
        <v/>
      </c>
      <c r="N18" s="58">
        <f>SUM(Table58[[#This Row],[PC%]:[G%]])</f>
        <v/>
      </c>
      <c r="O18" s="25">
        <f>Table58[[#This Row],[Personal Consumption]]+Table58[[#This Row],[Private Investment]]+Table58[[#This Row],[Exports]]+Table58[[#This Row],[Government]]-Table58[[#This Row],[Imports]]</f>
        <v/>
      </c>
    </row>
    <row r="19">
      <c r="A19" s="45" t="n">
        <v>18354</v>
      </c>
      <c r="B19" s="63">
        <f>VLOOKUP(A19,'U.S. GDP'!A:B,2,)</f>
        <v/>
      </c>
      <c r="C19" s="63">
        <f>VLOOKUP(A19,PersonalConsumption!A:B,2,)</f>
        <v/>
      </c>
      <c r="D19" s="63">
        <f>VLOOKUP(A19,PrivateInvestment!A:B,2,)</f>
        <v/>
      </c>
      <c r="E19" s="63">
        <f>VLOOKUP(A19,Exports!A:B,2,)</f>
        <v/>
      </c>
      <c r="F19" s="63">
        <f>VLOOKUP(A19,Imports!A:B,2,)</f>
        <v/>
      </c>
      <c r="G19" s="63">
        <f>VLOOKUP(A19,Government!A:B,2,)</f>
        <v/>
      </c>
      <c r="H19" s="37">
        <f>Table58[[#This Row],[Personal Consumption]]/Table58[[#This Row],[GDP]]</f>
        <v/>
      </c>
      <c r="I19" s="37">
        <f>Table58[[#This Row],[Private Investment]]/Table58[[#This Row],[GDP]]</f>
        <v/>
      </c>
      <c r="J19" s="37">
        <f>Table58[[#This Row],[Exports]]/Table58[[#This Row],[GDP]]</f>
        <v/>
      </c>
      <c r="K19" s="37">
        <f>-Table58[[#This Row],[Imports]]/Table58[[#This Row],[GDP]]</f>
        <v/>
      </c>
      <c r="L19" s="37">
        <f>Table58[[#This Row],[Government]]/Table58[[#This Row],[GDP]]</f>
        <v/>
      </c>
      <c r="N19" s="58">
        <f>SUM(Table58[[#This Row],[PC%]:[G%]])</f>
        <v/>
      </c>
      <c r="O19" s="25">
        <f>Table58[[#This Row],[Personal Consumption]]+Table58[[#This Row],[Private Investment]]+Table58[[#This Row],[Exports]]+Table58[[#This Row],[Government]]-Table58[[#This Row],[Imports]]</f>
        <v/>
      </c>
    </row>
    <row r="20">
      <c r="A20" s="45" t="n">
        <v>18445</v>
      </c>
      <c r="B20" s="63">
        <f>VLOOKUP(A20,'U.S. GDP'!A:B,2,)</f>
        <v/>
      </c>
      <c r="C20" s="63">
        <f>VLOOKUP(A20,PersonalConsumption!A:B,2,)</f>
        <v/>
      </c>
      <c r="D20" s="63">
        <f>VLOOKUP(A20,PrivateInvestment!A:B,2,)</f>
        <v/>
      </c>
      <c r="E20" s="63">
        <f>VLOOKUP(A20,Exports!A:B,2,)</f>
        <v/>
      </c>
      <c r="F20" s="63">
        <f>VLOOKUP(A20,Imports!A:B,2,)</f>
        <v/>
      </c>
      <c r="G20" s="63">
        <f>VLOOKUP(A20,Government!A:B,2,)</f>
        <v/>
      </c>
      <c r="H20" s="37">
        <f>Table58[[#This Row],[Personal Consumption]]/Table58[[#This Row],[GDP]]</f>
        <v/>
      </c>
      <c r="I20" s="37">
        <f>Table58[[#This Row],[Private Investment]]/Table58[[#This Row],[GDP]]</f>
        <v/>
      </c>
      <c r="J20" s="37">
        <f>Table58[[#This Row],[Exports]]/Table58[[#This Row],[GDP]]</f>
        <v/>
      </c>
      <c r="K20" s="37">
        <f>-Table58[[#This Row],[Imports]]/Table58[[#This Row],[GDP]]</f>
        <v/>
      </c>
      <c r="L20" s="37">
        <f>Table58[[#This Row],[Government]]/Table58[[#This Row],[GDP]]</f>
        <v/>
      </c>
      <c r="N20" s="58">
        <f>SUM(Table58[[#This Row],[PC%]:[G%]])</f>
        <v/>
      </c>
      <c r="O20" s="25">
        <f>Table58[[#This Row],[Personal Consumption]]+Table58[[#This Row],[Private Investment]]+Table58[[#This Row],[Exports]]+Table58[[#This Row],[Government]]-Table58[[#This Row],[Imports]]</f>
        <v/>
      </c>
    </row>
    <row r="21">
      <c r="A21" s="45" t="n">
        <v>18537</v>
      </c>
      <c r="B21" s="63">
        <f>VLOOKUP(A21,'U.S. GDP'!A:B,2,)</f>
        <v/>
      </c>
      <c r="C21" s="63">
        <f>VLOOKUP(A21,PersonalConsumption!A:B,2,)</f>
        <v/>
      </c>
      <c r="D21" s="63">
        <f>VLOOKUP(A21,PrivateInvestment!A:B,2,)</f>
        <v/>
      </c>
      <c r="E21" s="63">
        <f>VLOOKUP(A21,Exports!A:B,2,)</f>
        <v/>
      </c>
      <c r="F21" s="63">
        <f>VLOOKUP(A21,Imports!A:B,2,)</f>
        <v/>
      </c>
      <c r="G21" s="63">
        <f>VLOOKUP(A21,Government!A:B,2,)</f>
        <v/>
      </c>
      <c r="H21" s="37">
        <f>Table58[[#This Row],[Personal Consumption]]/Table58[[#This Row],[GDP]]</f>
        <v/>
      </c>
      <c r="I21" s="37">
        <f>Table58[[#This Row],[Private Investment]]/Table58[[#This Row],[GDP]]</f>
        <v/>
      </c>
      <c r="J21" s="37">
        <f>Table58[[#This Row],[Exports]]/Table58[[#This Row],[GDP]]</f>
        <v/>
      </c>
      <c r="K21" s="37">
        <f>-Table58[[#This Row],[Imports]]/Table58[[#This Row],[GDP]]</f>
        <v/>
      </c>
      <c r="L21" s="37">
        <f>Table58[[#This Row],[Government]]/Table58[[#This Row],[GDP]]</f>
        <v/>
      </c>
      <c r="N21" s="58">
        <f>SUM(Table58[[#This Row],[PC%]:[G%]])</f>
        <v/>
      </c>
      <c r="O21" s="25">
        <f>Table58[[#This Row],[Personal Consumption]]+Table58[[#This Row],[Private Investment]]+Table58[[#This Row],[Exports]]+Table58[[#This Row],[Government]]-Table58[[#This Row],[Imports]]</f>
        <v/>
      </c>
    </row>
    <row r="22">
      <c r="A22" s="45" t="n">
        <v>18629</v>
      </c>
      <c r="B22" s="63">
        <f>VLOOKUP(A22,'U.S. GDP'!A:B,2,)</f>
        <v/>
      </c>
      <c r="C22" s="63">
        <f>VLOOKUP(A22,PersonalConsumption!A:B,2,)</f>
        <v/>
      </c>
      <c r="D22" s="63">
        <f>VLOOKUP(A22,PrivateInvestment!A:B,2,)</f>
        <v/>
      </c>
      <c r="E22" s="63">
        <f>VLOOKUP(A22,Exports!A:B,2,)</f>
        <v/>
      </c>
      <c r="F22" s="63">
        <f>VLOOKUP(A22,Imports!A:B,2,)</f>
        <v/>
      </c>
      <c r="G22" s="63">
        <f>VLOOKUP(A22,Government!A:B,2,)</f>
        <v/>
      </c>
      <c r="H22" s="37">
        <f>Table58[[#This Row],[Personal Consumption]]/Table58[[#This Row],[GDP]]</f>
        <v/>
      </c>
      <c r="I22" s="37">
        <f>Table58[[#This Row],[Private Investment]]/Table58[[#This Row],[GDP]]</f>
        <v/>
      </c>
      <c r="J22" s="37">
        <f>Table58[[#This Row],[Exports]]/Table58[[#This Row],[GDP]]</f>
        <v/>
      </c>
      <c r="K22" s="37">
        <f>-Table58[[#This Row],[Imports]]/Table58[[#This Row],[GDP]]</f>
        <v/>
      </c>
      <c r="L22" s="37">
        <f>Table58[[#This Row],[Government]]/Table58[[#This Row],[GDP]]</f>
        <v/>
      </c>
      <c r="N22" s="58">
        <f>SUM(Table58[[#This Row],[PC%]:[G%]])</f>
        <v/>
      </c>
      <c r="O22" s="25">
        <f>Table58[[#This Row],[Personal Consumption]]+Table58[[#This Row],[Private Investment]]+Table58[[#This Row],[Exports]]+Table58[[#This Row],[Government]]-Table58[[#This Row],[Imports]]</f>
        <v/>
      </c>
    </row>
    <row r="23">
      <c r="A23" s="45" t="n">
        <v>18719</v>
      </c>
      <c r="B23" s="63">
        <f>VLOOKUP(A23,'U.S. GDP'!A:B,2,)</f>
        <v/>
      </c>
      <c r="C23" s="63">
        <f>VLOOKUP(A23,PersonalConsumption!A:B,2,)</f>
        <v/>
      </c>
      <c r="D23" s="63">
        <f>VLOOKUP(A23,PrivateInvestment!A:B,2,)</f>
        <v/>
      </c>
      <c r="E23" s="63">
        <f>VLOOKUP(A23,Exports!A:B,2,)</f>
        <v/>
      </c>
      <c r="F23" s="63">
        <f>VLOOKUP(A23,Imports!A:B,2,)</f>
        <v/>
      </c>
      <c r="G23" s="63">
        <f>VLOOKUP(A23,Government!A:B,2,)</f>
        <v/>
      </c>
      <c r="H23" s="37">
        <f>Table58[[#This Row],[Personal Consumption]]/Table58[[#This Row],[GDP]]</f>
        <v/>
      </c>
      <c r="I23" s="37">
        <f>Table58[[#This Row],[Private Investment]]/Table58[[#This Row],[GDP]]</f>
        <v/>
      </c>
      <c r="J23" s="37">
        <f>Table58[[#This Row],[Exports]]/Table58[[#This Row],[GDP]]</f>
        <v/>
      </c>
      <c r="K23" s="37">
        <f>-Table58[[#This Row],[Imports]]/Table58[[#This Row],[GDP]]</f>
        <v/>
      </c>
      <c r="L23" s="37">
        <f>Table58[[#This Row],[Government]]/Table58[[#This Row],[GDP]]</f>
        <v/>
      </c>
      <c r="N23" s="58">
        <f>SUM(Table58[[#This Row],[PC%]:[G%]])</f>
        <v/>
      </c>
      <c r="O23" s="25">
        <f>Table58[[#This Row],[Personal Consumption]]+Table58[[#This Row],[Private Investment]]+Table58[[#This Row],[Exports]]+Table58[[#This Row],[Government]]-Table58[[#This Row],[Imports]]</f>
        <v/>
      </c>
    </row>
    <row r="24">
      <c r="A24" s="45" t="n">
        <v>18810</v>
      </c>
      <c r="B24" s="63">
        <f>VLOOKUP(A24,'U.S. GDP'!A:B,2,)</f>
        <v/>
      </c>
      <c r="C24" s="63">
        <f>VLOOKUP(A24,PersonalConsumption!A:B,2,)</f>
        <v/>
      </c>
      <c r="D24" s="63">
        <f>VLOOKUP(A24,PrivateInvestment!A:B,2,)</f>
        <v/>
      </c>
      <c r="E24" s="63">
        <f>VLOOKUP(A24,Exports!A:B,2,)</f>
        <v/>
      </c>
      <c r="F24" s="63">
        <f>VLOOKUP(A24,Imports!A:B,2,)</f>
        <v/>
      </c>
      <c r="G24" s="63">
        <f>VLOOKUP(A24,Government!A:B,2,)</f>
        <v/>
      </c>
      <c r="H24" s="37">
        <f>Table58[[#This Row],[Personal Consumption]]/Table58[[#This Row],[GDP]]</f>
        <v/>
      </c>
      <c r="I24" s="37">
        <f>Table58[[#This Row],[Private Investment]]/Table58[[#This Row],[GDP]]</f>
        <v/>
      </c>
      <c r="J24" s="37">
        <f>Table58[[#This Row],[Exports]]/Table58[[#This Row],[GDP]]</f>
        <v/>
      </c>
      <c r="K24" s="37">
        <f>-Table58[[#This Row],[Imports]]/Table58[[#This Row],[GDP]]</f>
        <v/>
      </c>
      <c r="L24" s="37">
        <f>Table58[[#This Row],[Government]]/Table58[[#This Row],[GDP]]</f>
        <v/>
      </c>
      <c r="N24" s="58">
        <f>SUM(Table58[[#This Row],[PC%]:[G%]])</f>
        <v/>
      </c>
      <c r="O24" s="25">
        <f>Table58[[#This Row],[Personal Consumption]]+Table58[[#This Row],[Private Investment]]+Table58[[#This Row],[Exports]]+Table58[[#This Row],[Government]]-Table58[[#This Row],[Imports]]</f>
        <v/>
      </c>
    </row>
    <row r="25">
      <c r="A25" s="45" t="n">
        <v>18902</v>
      </c>
      <c r="B25" s="63">
        <f>VLOOKUP(A25,'U.S. GDP'!A:B,2,)</f>
        <v/>
      </c>
      <c r="C25" s="63">
        <f>VLOOKUP(A25,PersonalConsumption!A:B,2,)</f>
        <v/>
      </c>
      <c r="D25" s="63">
        <f>VLOOKUP(A25,PrivateInvestment!A:B,2,)</f>
        <v/>
      </c>
      <c r="E25" s="63">
        <f>VLOOKUP(A25,Exports!A:B,2,)</f>
        <v/>
      </c>
      <c r="F25" s="63">
        <f>VLOOKUP(A25,Imports!A:B,2,)</f>
        <v/>
      </c>
      <c r="G25" s="63">
        <f>VLOOKUP(A25,Government!A:B,2,)</f>
        <v/>
      </c>
      <c r="H25" s="37">
        <f>Table58[[#This Row],[Personal Consumption]]/Table58[[#This Row],[GDP]]</f>
        <v/>
      </c>
      <c r="I25" s="37">
        <f>Table58[[#This Row],[Private Investment]]/Table58[[#This Row],[GDP]]</f>
        <v/>
      </c>
      <c r="J25" s="37">
        <f>Table58[[#This Row],[Exports]]/Table58[[#This Row],[GDP]]</f>
        <v/>
      </c>
      <c r="K25" s="37">
        <f>-Table58[[#This Row],[Imports]]/Table58[[#This Row],[GDP]]</f>
        <v/>
      </c>
      <c r="L25" s="37">
        <f>Table58[[#This Row],[Government]]/Table58[[#This Row],[GDP]]</f>
        <v/>
      </c>
      <c r="N25" s="58">
        <f>SUM(Table58[[#This Row],[PC%]:[G%]])</f>
        <v/>
      </c>
      <c r="O25" s="25">
        <f>Table58[[#This Row],[Personal Consumption]]+Table58[[#This Row],[Private Investment]]+Table58[[#This Row],[Exports]]+Table58[[#This Row],[Government]]-Table58[[#This Row],[Imports]]</f>
        <v/>
      </c>
    </row>
    <row r="26">
      <c r="A26" s="45" t="n">
        <v>18994</v>
      </c>
      <c r="B26" s="63">
        <f>VLOOKUP(A26,'U.S. GDP'!A:B,2,)</f>
        <v/>
      </c>
      <c r="C26" s="63">
        <f>VLOOKUP(A26,PersonalConsumption!A:B,2,)</f>
        <v/>
      </c>
      <c r="D26" s="63">
        <f>VLOOKUP(A26,PrivateInvestment!A:B,2,)</f>
        <v/>
      </c>
      <c r="E26" s="63">
        <f>VLOOKUP(A26,Exports!A:B,2,)</f>
        <v/>
      </c>
      <c r="F26" s="63">
        <f>VLOOKUP(A26,Imports!A:B,2,)</f>
        <v/>
      </c>
      <c r="G26" s="63">
        <f>VLOOKUP(A26,Government!A:B,2,)</f>
        <v/>
      </c>
      <c r="H26" s="37">
        <f>Table58[[#This Row],[Personal Consumption]]/Table58[[#This Row],[GDP]]</f>
        <v/>
      </c>
      <c r="I26" s="37">
        <f>Table58[[#This Row],[Private Investment]]/Table58[[#This Row],[GDP]]</f>
        <v/>
      </c>
      <c r="J26" s="37">
        <f>Table58[[#This Row],[Exports]]/Table58[[#This Row],[GDP]]</f>
        <v/>
      </c>
      <c r="K26" s="37">
        <f>-Table58[[#This Row],[Imports]]/Table58[[#This Row],[GDP]]</f>
        <v/>
      </c>
      <c r="L26" s="37">
        <f>Table58[[#This Row],[Government]]/Table58[[#This Row],[GDP]]</f>
        <v/>
      </c>
      <c r="N26" s="58">
        <f>SUM(Table58[[#This Row],[PC%]:[G%]])</f>
        <v/>
      </c>
      <c r="O26" s="25">
        <f>Table58[[#This Row],[Personal Consumption]]+Table58[[#This Row],[Private Investment]]+Table58[[#This Row],[Exports]]+Table58[[#This Row],[Government]]-Table58[[#This Row],[Imports]]</f>
        <v/>
      </c>
    </row>
    <row r="27">
      <c r="A27" s="45" t="n">
        <v>19085</v>
      </c>
      <c r="B27" s="63">
        <f>VLOOKUP(A27,'U.S. GDP'!A:B,2,)</f>
        <v/>
      </c>
      <c r="C27" s="63">
        <f>VLOOKUP(A27,PersonalConsumption!A:B,2,)</f>
        <v/>
      </c>
      <c r="D27" s="63">
        <f>VLOOKUP(A27,PrivateInvestment!A:B,2,)</f>
        <v/>
      </c>
      <c r="E27" s="63">
        <f>VLOOKUP(A27,Exports!A:B,2,)</f>
        <v/>
      </c>
      <c r="F27" s="63">
        <f>VLOOKUP(A27,Imports!A:B,2,)</f>
        <v/>
      </c>
      <c r="G27" s="63">
        <f>VLOOKUP(A27,Government!A:B,2,)</f>
        <v/>
      </c>
      <c r="H27" s="37">
        <f>Table58[[#This Row],[Personal Consumption]]/Table58[[#This Row],[GDP]]</f>
        <v/>
      </c>
      <c r="I27" s="37">
        <f>Table58[[#This Row],[Private Investment]]/Table58[[#This Row],[GDP]]</f>
        <v/>
      </c>
      <c r="J27" s="37">
        <f>Table58[[#This Row],[Exports]]/Table58[[#This Row],[GDP]]</f>
        <v/>
      </c>
      <c r="K27" s="37">
        <f>-Table58[[#This Row],[Imports]]/Table58[[#This Row],[GDP]]</f>
        <v/>
      </c>
      <c r="L27" s="37">
        <f>Table58[[#This Row],[Government]]/Table58[[#This Row],[GDP]]</f>
        <v/>
      </c>
      <c r="N27" s="58">
        <f>SUM(Table58[[#This Row],[PC%]:[G%]])</f>
        <v/>
      </c>
      <c r="O27" s="25">
        <f>Table58[[#This Row],[Personal Consumption]]+Table58[[#This Row],[Private Investment]]+Table58[[#This Row],[Exports]]+Table58[[#This Row],[Government]]-Table58[[#This Row],[Imports]]</f>
        <v/>
      </c>
    </row>
    <row r="28">
      <c r="A28" s="45" t="n">
        <v>19176</v>
      </c>
      <c r="B28" s="63">
        <f>VLOOKUP(A28,'U.S. GDP'!A:B,2,)</f>
        <v/>
      </c>
      <c r="C28" s="63">
        <f>VLOOKUP(A28,PersonalConsumption!A:B,2,)</f>
        <v/>
      </c>
      <c r="D28" s="63">
        <f>VLOOKUP(A28,PrivateInvestment!A:B,2,)</f>
        <v/>
      </c>
      <c r="E28" s="63">
        <f>VLOOKUP(A28,Exports!A:B,2,)</f>
        <v/>
      </c>
      <c r="F28" s="63">
        <f>VLOOKUP(A28,Imports!A:B,2,)</f>
        <v/>
      </c>
      <c r="G28" s="63">
        <f>VLOOKUP(A28,Government!A:B,2,)</f>
        <v/>
      </c>
      <c r="H28" s="37">
        <f>Table58[[#This Row],[Personal Consumption]]/Table58[[#This Row],[GDP]]</f>
        <v/>
      </c>
      <c r="I28" s="37">
        <f>Table58[[#This Row],[Private Investment]]/Table58[[#This Row],[GDP]]</f>
        <v/>
      </c>
      <c r="J28" s="37">
        <f>Table58[[#This Row],[Exports]]/Table58[[#This Row],[GDP]]</f>
        <v/>
      </c>
      <c r="K28" s="37">
        <f>-Table58[[#This Row],[Imports]]/Table58[[#This Row],[GDP]]</f>
        <v/>
      </c>
      <c r="L28" s="37">
        <f>Table58[[#This Row],[Government]]/Table58[[#This Row],[GDP]]</f>
        <v/>
      </c>
      <c r="N28" s="58">
        <f>SUM(Table58[[#This Row],[PC%]:[G%]])</f>
        <v/>
      </c>
      <c r="O28" s="25">
        <f>Table58[[#This Row],[Personal Consumption]]+Table58[[#This Row],[Private Investment]]+Table58[[#This Row],[Exports]]+Table58[[#This Row],[Government]]-Table58[[#This Row],[Imports]]</f>
        <v/>
      </c>
    </row>
    <row r="29">
      <c r="A29" s="45" t="n">
        <v>19268</v>
      </c>
      <c r="B29" s="63">
        <f>VLOOKUP(A29,'U.S. GDP'!A:B,2,)</f>
        <v/>
      </c>
      <c r="C29" s="63">
        <f>VLOOKUP(A29,PersonalConsumption!A:B,2,)</f>
        <v/>
      </c>
      <c r="D29" s="63">
        <f>VLOOKUP(A29,PrivateInvestment!A:B,2,)</f>
        <v/>
      </c>
      <c r="E29" s="63">
        <f>VLOOKUP(A29,Exports!A:B,2,)</f>
        <v/>
      </c>
      <c r="F29" s="63">
        <f>VLOOKUP(A29,Imports!A:B,2,)</f>
        <v/>
      </c>
      <c r="G29" s="63">
        <f>VLOOKUP(A29,Government!A:B,2,)</f>
        <v/>
      </c>
      <c r="H29" s="37">
        <f>Table58[[#This Row],[Personal Consumption]]/Table58[[#This Row],[GDP]]</f>
        <v/>
      </c>
      <c r="I29" s="37">
        <f>Table58[[#This Row],[Private Investment]]/Table58[[#This Row],[GDP]]</f>
        <v/>
      </c>
      <c r="J29" s="37">
        <f>Table58[[#This Row],[Exports]]/Table58[[#This Row],[GDP]]</f>
        <v/>
      </c>
      <c r="K29" s="37">
        <f>-Table58[[#This Row],[Imports]]/Table58[[#This Row],[GDP]]</f>
        <v/>
      </c>
      <c r="L29" s="37">
        <f>Table58[[#This Row],[Government]]/Table58[[#This Row],[GDP]]</f>
        <v/>
      </c>
      <c r="N29" s="58">
        <f>SUM(Table58[[#This Row],[PC%]:[G%]])</f>
        <v/>
      </c>
      <c r="O29" s="25">
        <f>Table58[[#This Row],[Personal Consumption]]+Table58[[#This Row],[Private Investment]]+Table58[[#This Row],[Exports]]+Table58[[#This Row],[Government]]-Table58[[#This Row],[Imports]]</f>
        <v/>
      </c>
    </row>
    <row r="30">
      <c r="A30" s="45" t="n">
        <v>19360</v>
      </c>
      <c r="B30" s="63">
        <f>VLOOKUP(A30,'U.S. GDP'!A:B,2,)</f>
        <v/>
      </c>
      <c r="C30" s="63">
        <f>VLOOKUP(A30,PersonalConsumption!A:B,2,)</f>
        <v/>
      </c>
      <c r="D30" s="63">
        <f>VLOOKUP(A30,PrivateInvestment!A:B,2,)</f>
        <v/>
      </c>
      <c r="E30" s="63">
        <f>VLOOKUP(A30,Exports!A:B,2,)</f>
        <v/>
      </c>
      <c r="F30" s="63">
        <f>VLOOKUP(A30,Imports!A:B,2,)</f>
        <v/>
      </c>
      <c r="G30" s="63">
        <f>VLOOKUP(A30,Government!A:B,2,)</f>
        <v/>
      </c>
      <c r="H30" s="37">
        <f>Table58[[#This Row],[Personal Consumption]]/Table58[[#This Row],[GDP]]</f>
        <v/>
      </c>
      <c r="I30" s="37">
        <f>Table58[[#This Row],[Private Investment]]/Table58[[#This Row],[GDP]]</f>
        <v/>
      </c>
      <c r="J30" s="37">
        <f>Table58[[#This Row],[Exports]]/Table58[[#This Row],[GDP]]</f>
        <v/>
      </c>
      <c r="K30" s="37">
        <f>-Table58[[#This Row],[Imports]]/Table58[[#This Row],[GDP]]</f>
        <v/>
      </c>
      <c r="L30" s="37">
        <f>Table58[[#This Row],[Government]]/Table58[[#This Row],[GDP]]</f>
        <v/>
      </c>
      <c r="N30" s="58">
        <f>SUM(Table58[[#This Row],[PC%]:[G%]])</f>
        <v/>
      </c>
      <c r="O30" s="25">
        <f>Table58[[#This Row],[Personal Consumption]]+Table58[[#This Row],[Private Investment]]+Table58[[#This Row],[Exports]]+Table58[[#This Row],[Government]]-Table58[[#This Row],[Imports]]</f>
        <v/>
      </c>
    </row>
    <row r="31">
      <c r="A31" s="45" t="n">
        <v>19450</v>
      </c>
      <c r="B31" s="63">
        <f>VLOOKUP(A31,'U.S. GDP'!A:B,2,)</f>
        <v/>
      </c>
      <c r="C31" s="63">
        <f>VLOOKUP(A31,PersonalConsumption!A:B,2,)</f>
        <v/>
      </c>
      <c r="D31" s="63">
        <f>VLOOKUP(A31,PrivateInvestment!A:B,2,)</f>
        <v/>
      </c>
      <c r="E31" s="63">
        <f>VLOOKUP(A31,Exports!A:B,2,)</f>
        <v/>
      </c>
      <c r="F31" s="63">
        <f>VLOOKUP(A31,Imports!A:B,2,)</f>
        <v/>
      </c>
      <c r="G31" s="63">
        <f>VLOOKUP(A31,Government!A:B,2,)</f>
        <v/>
      </c>
      <c r="H31" s="37">
        <f>Table58[[#This Row],[Personal Consumption]]/Table58[[#This Row],[GDP]]</f>
        <v/>
      </c>
      <c r="I31" s="37">
        <f>Table58[[#This Row],[Private Investment]]/Table58[[#This Row],[GDP]]</f>
        <v/>
      </c>
      <c r="J31" s="37">
        <f>Table58[[#This Row],[Exports]]/Table58[[#This Row],[GDP]]</f>
        <v/>
      </c>
      <c r="K31" s="37">
        <f>-Table58[[#This Row],[Imports]]/Table58[[#This Row],[GDP]]</f>
        <v/>
      </c>
      <c r="L31" s="37">
        <f>Table58[[#This Row],[Government]]/Table58[[#This Row],[GDP]]</f>
        <v/>
      </c>
      <c r="N31" s="58">
        <f>SUM(Table58[[#This Row],[PC%]:[G%]])</f>
        <v/>
      </c>
      <c r="O31" s="25">
        <f>Table58[[#This Row],[Personal Consumption]]+Table58[[#This Row],[Private Investment]]+Table58[[#This Row],[Exports]]+Table58[[#This Row],[Government]]-Table58[[#This Row],[Imports]]</f>
        <v/>
      </c>
    </row>
    <row r="32">
      <c r="A32" s="45" t="n">
        <v>19541</v>
      </c>
      <c r="B32" s="63">
        <f>VLOOKUP(A32,'U.S. GDP'!A:B,2,)</f>
        <v/>
      </c>
      <c r="C32" s="63">
        <f>VLOOKUP(A32,PersonalConsumption!A:B,2,)</f>
        <v/>
      </c>
      <c r="D32" s="63">
        <f>VLOOKUP(A32,PrivateInvestment!A:B,2,)</f>
        <v/>
      </c>
      <c r="E32" s="63">
        <f>VLOOKUP(A32,Exports!A:B,2,)</f>
        <v/>
      </c>
      <c r="F32" s="63">
        <f>VLOOKUP(A32,Imports!A:B,2,)</f>
        <v/>
      </c>
      <c r="G32" s="63">
        <f>VLOOKUP(A32,Government!A:B,2,)</f>
        <v/>
      </c>
      <c r="H32" s="37">
        <f>Table58[[#This Row],[Personal Consumption]]/Table58[[#This Row],[GDP]]</f>
        <v/>
      </c>
      <c r="I32" s="37">
        <f>Table58[[#This Row],[Private Investment]]/Table58[[#This Row],[GDP]]</f>
        <v/>
      </c>
      <c r="J32" s="37">
        <f>Table58[[#This Row],[Exports]]/Table58[[#This Row],[GDP]]</f>
        <v/>
      </c>
      <c r="K32" s="37">
        <f>-Table58[[#This Row],[Imports]]/Table58[[#This Row],[GDP]]</f>
        <v/>
      </c>
      <c r="L32" s="37">
        <f>Table58[[#This Row],[Government]]/Table58[[#This Row],[GDP]]</f>
        <v/>
      </c>
      <c r="N32" s="58">
        <f>SUM(Table58[[#This Row],[PC%]:[G%]])</f>
        <v/>
      </c>
      <c r="O32" s="25">
        <f>Table58[[#This Row],[Personal Consumption]]+Table58[[#This Row],[Private Investment]]+Table58[[#This Row],[Exports]]+Table58[[#This Row],[Government]]-Table58[[#This Row],[Imports]]</f>
        <v/>
      </c>
    </row>
    <row r="33">
      <c r="A33" s="45" t="n">
        <v>19633</v>
      </c>
      <c r="B33" s="63">
        <f>VLOOKUP(A33,'U.S. GDP'!A:B,2,)</f>
        <v/>
      </c>
      <c r="C33" s="63">
        <f>VLOOKUP(A33,PersonalConsumption!A:B,2,)</f>
        <v/>
      </c>
      <c r="D33" s="63">
        <f>VLOOKUP(A33,PrivateInvestment!A:B,2,)</f>
        <v/>
      </c>
      <c r="E33" s="63">
        <f>VLOOKUP(A33,Exports!A:B,2,)</f>
        <v/>
      </c>
      <c r="F33" s="63">
        <f>VLOOKUP(A33,Imports!A:B,2,)</f>
        <v/>
      </c>
      <c r="G33" s="63">
        <f>VLOOKUP(A33,Government!A:B,2,)</f>
        <v/>
      </c>
      <c r="H33" s="37">
        <f>Table58[[#This Row],[Personal Consumption]]/Table58[[#This Row],[GDP]]</f>
        <v/>
      </c>
      <c r="I33" s="37">
        <f>Table58[[#This Row],[Private Investment]]/Table58[[#This Row],[GDP]]</f>
        <v/>
      </c>
      <c r="J33" s="37">
        <f>Table58[[#This Row],[Exports]]/Table58[[#This Row],[GDP]]</f>
        <v/>
      </c>
      <c r="K33" s="37">
        <f>-Table58[[#This Row],[Imports]]/Table58[[#This Row],[GDP]]</f>
        <v/>
      </c>
      <c r="L33" s="37">
        <f>Table58[[#This Row],[Government]]/Table58[[#This Row],[GDP]]</f>
        <v/>
      </c>
      <c r="N33" s="58">
        <f>SUM(Table58[[#This Row],[PC%]:[G%]])</f>
        <v/>
      </c>
      <c r="O33" s="25">
        <f>Table58[[#This Row],[Personal Consumption]]+Table58[[#This Row],[Private Investment]]+Table58[[#This Row],[Exports]]+Table58[[#This Row],[Government]]-Table58[[#This Row],[Imports]]</f>
        <v/>
      </c>
    </row>
    <row r="34">
      <c r="A34" s="45" t="n">
        <v>19725</v>
      </c>
      <c r="B34" s="63">
        <f>VLOOKUP(A34,'U.S. GDP'!A:B,2,)</f>
        <v/>
      </c>
      <c r="C34" s="63">
        <f>VLOOKUP(A34,PersonalConsumption!A:B,2,)</f>
        <v/>
      </c>
      <c r="D34" s="63">
        <f>VLOOKUP(A34,PrivateInvestment!A:B,2,)</f>
        <v/>
      </c>
      <c r="E34" s="63">
        <f>VLOOKUP(A34,Exports!A:B,2,)</f>
        <v/>
      </c>
      <c r="F34" s="63">
        <f>VLOOKUP(A34,Imports!A:B,2,)</f>
        <v/>
      </c>
      <c r="G34" s="63">
        <f>VLOOKUP(A34,Government!A:B,2,)</f>
        <v/>
      </c>
      <c r="H34" s="37">
        <f>Table58[[#This Row],[Personal Consumption]]/Table58[[#This Row],[GDP]]</f>
        <v/>
      </c>
      <c r="I34" s="37">
        <f>Table58[[#This Row],[Private Investment]]/Table58[[#This Row],[GDP]]</f>
        <v/>
      </c>
      <c r="J34" s="37">
        <f>Table58[[#This Row],[Exports]]/Table58[[#This Row],[GDP]]</f>
        <v/>
      </c>
      <c r="K34" s="37">
        <f>-Table58[[#This Row],[Imports]]/Table58[[#This Row],[GDP]]</f>
        <v/>
      </c>
      <c r="L34" s="37">
        <f>Table58[[#This Row],[Government]]/Table58[[#This Row],[GDP]]</f>
        <v/>
      </c>
      <c r="N34" s="58">
        <f>SUM(Table58[[#This Row],[PC%]:[G%]])</f>
        <v/>
      </c>
      <c r="O34" s="25">
        <f>Table58[[#This Row],[Personal Consumption]]+Table58[[#This Row],[Private Investment]]+Table58[[#This Row],[Exports]]+Table58[[#This Row],[Government]]-Table58[[#This Row],[Imports]]</f>
        <v/>
      </c>
    </row>
    <row r="35">
      <c r="A35" s="45" t="n">
        <v>19815</v>
      </c>
      <c r="B35" s="63">
        <f>VLOOKUP(A35,'U.S. GDP'!A:B,2,)</f>
        <v/>
      </c>
      <c r="C35" s="63">
        <f>VLOOKUP(A35,PersonalConsumption!A:B,2,)</f>
        <v/>
      </c>
      <c r="D35" s="63">
        <f>VLOOKUP(A35,PrivateInvestment!A:B,2,)</f>
        <v/>
      </c>
      <c r="E35" s="63">
        <f>VLOOKUP(A35,Exports!A:B,2,)</f>
        <v/>
      </c>
      <c r="F35" s="63">
        <f>VLOOKUP(A35,Imports!A:B,2,)</f>
        <v/>
      </c>
      <c r="G35" s="63">
        <f>VLOOKUP(A35,Government!A:B,2,)</f>
        <v/>
      </c>
      <c r="H35" s="37">
        <f>Table58[[#This Row],[Personal Consumption]]/Table58[[#This Row],[GDP]]</f>
        <v/>
      </c>
      <c r="I35" s="37">
        <f>Table58[[#This Row],[Private Investment]]/Table58[[#This Row],[GDP]]</f>
        <v/>
      </c>
      <c r="J35" s="37">
        <f>Table58[[#This Row],[Exports]]/Table58[[#This Row],[GDP]]</f>
        <v/>
      </c>
      <c r="K35" s="37">
        <f>-Table58[[#This Row],[Imports]]/Table58[[#This Row],[GDP]]</f>
        <v/>
      </c>
      <c r="L35" s="37">
        <f>Table58[[#This Row],[Government]]/Table58[[#This Row],[GDP]]</f>
        <v/>
      </c>
      <c r="N35" s="58">
        <f>SUM(Table58[[#This Row],[PC%]:[G%]])</f>
        <v/>
      </c>
      <c r="O35" s="25">
        <f>Table58[[#This Row],[Personal Consumption]]+Table58[[#This Row],[Private Investment]]+Table58[[#This Row],[Exports]]+Table58[[#This Row],[Government]]-Table58[[#This Row],[Imports]]</f>
        <v/>
      </c>
    </row>
    <row r="36">
      <c r="A36" s="45" t="n">
        <v>19906</v>
      </c>
      <c r="B36" s="63">
        <f>VLOOKUP(A36,'U.S. GDP'!A:B,2,)</f>
        <v/>
      </c>
      <c r="C36" s="63">
        <f>VLOOKUP(A36,PersonalConsumption!A:B,2,)</f>
        <v/>
      </c>
      <c r="D36" s="63">
        <f>VLOOKUP(A36,PrivateInvestment!A:B,2,)</f>
        <v/>
      </c>
      <c r="E36" s="63">
        <f>VLOOKUP(A36,Exports!A:B,2,)</f>
        <v/>
      </c>
      <c r="F36" s="63">
        <f>VLOOKUP(A36,Imports!A:B,2,)</f>
        <v/>
      </c>
      <c r="G36" s="63">
        <f>VLOOKUP(A36,Government!A:B,2,)</f>
        <v/>
      </c>
      <c r="H36" s="37">
        <f>Table58[[#This Row],[Personal Consumption]]/Table58[[#This Row],[GDP]]</f>
        <v/>
      </c>
      <c r="I36" s="37">
        <f>Table58[[#This Row],[Private Investment]]/Table58[[#This Row],[GDP]]</f>
        <v/>
      </c>
      <c r="J36" s="37">
        <f>Table58[[#This Row],[Exports]]/Table58[[#This Row],[GDP]]</f>
        <v/>
      </c>
      <c r="K36" s="37">
        <f>-Table58[[#This Row],[Imports]]/Table58[[#This Row],[GDP]]</f>
        <v/>
      </c>
      <c r="L36" s="37">
        <f>Table58[[#This Row],[Government]]/Table58[[#This Row],[GDP]]</f>
        <v/>
      </c>
      <c r="N36" s="58">
        <f>SUM(Table58[[#This Row],[PC%]:[G%]])</f>
        <v/>
      </c>
      <c r="O36" s="25">
        <f>Table58[[#This Row],[Personal Consumption]]+Table58[[#This Row],[Private Investment]]+Table58[[#This Row],[Exports]]+Table58[[#This Row],[Government]]-Table58[[#This Row],[Imports]]</f>
        <v/>
      </c>
    </row>
    <row r="37">
      <c r="A37" s="45" t="n">
        <v>19998</v>
      </c>
      <c r="B37" s="63">
        <f>VLOOKUP(A37,'U.S. GDP'!A:B,2,)</f>
        <v/>
      </c>
      <c r="C37" s="63">
        <f>VLOOKUP(A37,PersonalConsumption!A:B,2,)</f>
        <v/>
      </c>
      <c r="D37" s="63">
        <f>VLOOKUP(A37,PrivateInvestment!A:B,2,)</f>
        <v/>
      </c>
      <c r="E37" s="63">
        <f>VLOOKUP(A37,Exports!A:B,2,)</f>
        <v/>
      </c>
      <c r="F37" s="63">
        <f>VLOOKUP(A37,Imports!A:B,2,)</f>
        <v/>
      </c>
      <c r="G37" s="63">
        <f>VLOOKUP(A37,Government!A:B,2,)</f>
        <v/>
      </c>
      <c r="H37" s="37">
        <f>Table58[[#This Row],[Personal Consumption]]/Table58[[#This Row],[GDP]]</f>
        <v/>
      </c>
      <c r="I37" s="37">
        <f>Table58[[#This Row],[Private Investment]]/Table58[[#This Row],[GDP]]</f>
        <v/>
      </c>
      <c r="J37" s="37">
        <f>Table58[[#This Row],[Exports]]/Table58[[#This Row],[GDP]]</f>
        <v/>
      </c>
      <c r="K37" s="37">
        <f>-Table58[[#This Row],[Imports]]/Table58[[#This Row],[GDP]]</f>
        <v/>
      </c>
      <c r="L37" s="37">
        <f>Table58[[#This Row],[Government]]/Table58[[#This Row],[GDP]]</f>
        <v/>
      </c>
      <c r="N37" s="58">
        <f>SUM(Table58[[#This Row],[PC%]:[G%]])</f>
        <v/>
      </c>
      <c r="O37" s="25">
        <f>Table58[[#This Row],[Personal Consumption]]+Table58[[#This Row],[Private Investment]]+Table58[[#This Row],[Exports]]+Table58[[#This Row],[Government]]-Table58[[#This Row],[Imports]]</f>
        <v/>
      </c>
    </row>
    <row r="38">
      <c r="A38" s="45" t="n">
        <v>20090</v>
      </c>
      <c r="B38" s="63">
        <f>VLOOKUP(A38,'U.S. GDP'!A:B,2,)</f>
        <v/>
      </c>
      <c r="C38" s="63">
        <f>VLOOKUP(A38,PersonalConsumption!A:B,2,)</f>
        <v/>
      </c>
      <c r="D38" s="63">
        <f>VLOOKUP(A38,PrivateInvestment!A:B,2,)</f>
        <v/>
      </c>
      <c r="E38" s="63">
        <f>VLOOKUP(A38,Exports!A:B,2,)</f>
        <v/>
      </c>
      <c r="F38" s="63">
        <f>VLOOKUP(A38,Imports!A:B,2,)</f>
        <v/>
      </c>
      <c r="G38" s="63">
        <f>VLOOKUP(A38,Government!A:B,2,)</f>
        <v/>
      </c>
      <c r="H38" s="37">
        <f>Table58[[#This Row],[Personal Consumption]]/Table58[[#This Row],[GDP]]</f>
        <v/>
      </c>
      <c r="I38" s="37">
        <f>Table58[[#This Row],[Private Investment]]/Table58[[#This Row],[GDP]]</f>
        <v/>
      </c>
      <c r="J38" s="37">
        <f>Table58[[#This Row],[Exports]]/Table58[[#This Row],[GDP]]</f>
        <v/>
      </c>
      <c r="K38" s="37">
        <f>-Table58[[#This Row],[Imports]]/Table58[[#This Row],[GDP]]</f>
        <v/>
      </c>
      <c r="L38" s="37">
        <f>Table58[[#This Row],[Government]]/Table58[[#This Row],[GDP]]</f>
        <v/>
      </c>
      <c r="N38" s="58">
        <f>SUM(Table58[[#This Row],[PC%]:[G%]])</f>
        <v/>
      </c>
      <c r="O38" s="25">
        <f>Table58[[#This Row],[Personal Consumption]]+Table58[[#This Row],[Private Investment]]+Table58[[#This Row],[Exports]]+Table58[[#This Row],[Government]]-Table58[[#This Row],[Imports]]</f>
        <v/>
      </c>
    </row>
    <row r="39">
      <c r="A39" s="45" t="n">
        <v>20180</v>
      </c>
      <c r="B39" s="63">
        <f>VLOOKUP(A39,'U.S. GDP'!A:B,2,)</f>
        <v/>
      </c>
      <c r="C39" s="63">
        <f>VLOOKUP(A39,PersonalConsumption!A:B,2,)</f>
        <v/>
      </c>
      <c r="D39" s="63">
        <f>VLOOKUP(A39,PrivateInvestment!A:B,2,)</f>
        <v/>
      </c>
      <c r="E39" s="63">
        <f>VLOOKUP(A39,Exports!A:B,2,)</f>
        <v/>
      </c>
      <c r="F39" s="63">
        <f>VLOOKUP(A39,Imports!A:B,2,)</f>
        <v/>
      </c>
      <c r="G39" s="63">
        <f>VLOOKUP(A39,Government!A:B,2,)</f>
        <v/>
      </c>
      <c r="H39" s="37">
        <f>Table58[[#This Row],[Personal Consumption]]/Table58[[#This Row],[GDP]]</f>
        <v/>
      </c>
      <c r="I39" s="37">
        <f>Table58[[#This Row],[Private Investment]]/Table58[[#This Row],[GDP]]</f>
        <v/>
      </c>
      <c r="J39" s="37">
        <f>Table58[[#This Row],[Exports]]/Table58[[#This Row],[GDP]]</f>
        <v/>
      </c>
      <c r="K39" s="37">
        <f>-Table58[[#This Row],[Imports]]/Table58[[#This Row],[GDP]]</f>
        <v/>
      </c>
      <c r="L39" s="37">
        <f>Table58[[#This Row],[Government]]/Table58[[#This Row],[GDP]]</f>
        <v/>
      </c>
      <c r="N39" s="58">
        <f>SUM(Table58[[#This Row],[PC%]:[G%]])</f>
        <v/>
      </c>
      <c r="O39" s="25">
        <f>Table58[[#This Row],[Personal Consumption]]+Table58[[#This Row],[Private Investment]]+Table58[[#This Row],[Exports]]+Table58[[#This Row],[Government]]-Table58[[#This Row],[Imports]]</f>
        <v/>
      </c>
    </row>
    <row r="40">
      <c r="A40" s="45" t="n">
        <v>20271</v>
      </c>
      <c r="B40" s="63">
        <f>VLOOKUP(A40,'U.S. GDP'!A:B,2,)</f>
        <v/>
      </c>
      <c r="C40" s="63">
        <f>VLOOKUP(A40,PersonalConsumption!A:B,2,)</f>
        <v/>
      </c>
      <c r="D40" s="63">
        <f>VLOOKUP(A40,PrivateInvestment!A:B,2,)</f>
        <v/>
      </c>
      <c r="E40" s="63">
        <f>VLOOKUP(A40,Exports!A:B,2,)</f>
        <v/>
      </c>
      <c r="F40" s="63">
        <f>VLOOKUP(A40,Imports!A:B,2,)</f>
        <v/>
      </c>
      <c r="G40" s="63">
        <f>VLOOKUP(A40,Government!A:B,2,)</f>
        <v/>
      </c>
      <c r="H40" s="37">
        <f>Table58[[#This Row],[Personal Consumption]]/Table58[[#This Row],[GDP]]</f>
        <v/>
      </c>
      <c r="I40" s="37">
        <f>Table58[[#This Row],[Private Investment]]/Table58[[#This Row],[GDP]]</f>
        <v/>
      </c>
      <c r="J40" s="37">
        <f>Table58[[#This Row],[Exports]]/Table58[[#This Row],[GDP]]</f>
        <v/>
      </c>
      <c r="K40" s="37">
        <f>-Table58[[#This Row],[Imports]]/Table58[[#This Row],[GDP]]</f>
        <v/>
      </c>
      <c r="L40" s="37">
        <f>Table58[[#This Row],[Government]]/Table58[[#This Row],[GDP]]</f>
        <v/>
      </c>
      <c r="N40" s="58">
        <f>SUM(Table58[[#This Row],[PC%]:[G%]])</f>
        <v/>
      </c>
      <c r="O40" s="25">
        <f>Table58[[#This Row],[Personal Consumption]]+Table58[[#This Row],[Private Investment]]+Table58[[#This Row],[Exports]]+Table58[[#This Row],[Government]]-Table58[[#This Row],[Imports]]</f>
        <v/>
      </c>
    </row>
    <row r="41">
      <c r="A41" s="45" t="n">
        <v>20363</v>
      </c>
      <c r="B41" s="63">
        <f>VLOOKUP(A41,'U.S. GDP'!A:B,2,)</f>
        <v/>
      </c>
      <c r="C41" s="63">
        <f>VLOOKUP(A41,PersonalConsumption!A:B,2,)</f>
        <v/>
      </c>
      <c r="D41" s="63">
        <f>VLOOKUP(A41,PrivateInvestment!A:B,2,)</f>
        <v/>
      </c>
      <c r="E41" s="63">
        <f>VLOOKUP(A41,Exports!A:B,2,)</f>
        <v/>
      </c>
      <c r="F41" s="63">
        <f>VLOOKUP(A41,Imports!A:B,2,)</f>
        <v/>
      </c>
      <c r="G41" s="63">
        <f>VLOOKUP(A41,Government!A:B,2,)</f>
        <v/>
      </c>
      <c r="H41" s="37">
        <f>Table58[[#This Row],[Personal Consumption]]/Table58[[#This Row],[GDP]]</f>
        <v/>
      </c>
      <c r="I41" s="37">
        <f>Table58[[#This Row],[Private Investment]]/Table58[[#This Row],[GDP]]</f>
        <v/>
      </c>
      <c r="J41" s="37">
        <f>Table58[[#This Row],[Exports]]/Table58[[#This Row],[GDP]]</f>
        <v/>
      </c>
      <c r="K41" s="37">
        <f>-Table58[[#This Row],[Imports]]/Table58[[#This Row],[GDP]]</f>
        <v/>
      </c>
      <c r="L41" s="37">
        <f>Table58[[#This Row],[Government]]/Table58[[#This Row],[GDP]]</f>
        <v/>
      </c>
      <c r="N41" s="58">
        <f>SUM(Table58[[#This Row],[PC%]:[G%]])</f>
        <v/>
      </c>
      <c r="O41" s="25">
        <f>Table58[[#This Row],[Personal Consumption]]+Table58[[#This Row],[Private Investment]]+Table58[[#This Row],[Exports]]+Table58[[#This Row],[Government]]-Table58[[#This Row],[Imports]]</f>
        <v/>
      </c>
    </row>
    <row r="42">
      <c r="A42" s="45" t="n">
        <v>20455</v>
      </c>
      <c r="B42" s="63">
        <f>VLOOKUP(A42,'U.S. GDP'!A:B,2,)</f>
        <v/>
      </c>
      <c r="C42" s="63">
        <f>VLOOKUP(A42,PersonalConsumption!A:B,2,)</f>
        <v/>
      </c>
      <c r="D42" s="63">
        <f>VLOOKUP(A42,PrivateInvestment!A:B,2,)</f>
        <v/>
      </c>
      <c r="E42" s="63">
        <f>VLOOKUP(A42,Exports!A:B,2,)</f>
        <v/>
      </c>
      <c r="F42" s="63">
        <f>VLOOKUP(A42,Imports!A:B,2,)</f>
        <v/>
      </c>
      <c r="G42" s="63">
        <f>VLOOKUP(A42,Government!A:B,2,)</f>
        <v/>
      </c>
      <c r="H42" s="37">
        <f>Table58[[#This Row],[Personal Consumption]]/Table58[[#This Row],[GDP]]</f>
        <v/>
      </c>
      <c r="I42" s="37">
        <f>Table58[[#This Row],[Private Investment]]/Table58[[#This Row],[GDP]]</f>
        <v/>
      </c>
      <c r="J42" s="37">
        <f>Table58[[#This Row],[Exports]]/Table58[[#This Row],[GDP]]</f>
        <v/>
      </c>
      <c r="K42" s="37">
        <f>-Table58[[#This Row],[Imports]]/Table58[[#This Row],[GDP]]</f>
        <v/>
      </c>
      <c r="L42" s="37">
        <f>Table58[[#This Row],[Government]]/Table58[[#This Row],[GDP]]</f>
        <v/>
      </c>
      <c r="N42" s="58">
        <f>SUM(Table58[[#This Row],[PC%]:[G%]])</f>
        <v/>
      </c>
      <c r="O42" s="25">
        <f>Table58[[#This Row],[Personal Consumption]]+Table58[[#This Row],[Private Investment]]+Table58[[#This Row],[Exports]]+Table58[[#This Row],[Government]]-Table58[[#This Row],[Imports]]</f>
        <v/>
      </c>
    </row>
    <row r="43">
      <c r="A43" s="45" t="n">
        <v>20546</v>
      </c>
      <c r="B43" s="63">
        <f>VLOOKUP(A43,'U.S. GDP'!A:B,2,)</f>
        <v/>
      </c>
      <c r="C43" s="63">
        <f>VLOOKUP(A43,PersonalConsumption!A:B,2,)</f>
        <v/>
      </c>
      <c r="D43" s="63">
        <f>VLOOKUP(A43,PrivateInvestment!A:B,2,)</f>
        <v/>
      </c>
      <c r="E43" s="63">
        <f>VLOOKUP(A43,Exports!A:B,2,)</f>
        <v/>
      </c>
      <c r="F43" s="63">
        <f>VLOOKUP(A43,Imports!A:B,2,)</f>
        <v/>
      </c>
      <c r="G43" s="63">
        <f>VLOOKUP(A43,Government!A:B,2,)</f>
        <v/>
      </c>
      <c r="H43" s="37">
        <f>Table58[[#This Row],[Personal Consumption]]/Table58[[#This Row],[GDP]]</f>
        <v/>
      </c>
      <c r="I43" s="37">
        <f>Table58[[#This Row],[Private Investment]]/Table58[[#This Row],[GDP]]</f>
        <v/>
      </c>
      <c r="J43" s="37">
        <f>Table58[[#This Row],[Exports]]/Table58[[#This Row],[GDP]]</f>
        <v/>
      </c>
      <c r="K43" s="37">
        <f>-Table58[[#This Row],[Imports]]/Table58[[#This Row],[GDP]]</f>
        <v/>
      </c>
      <c r="L43" s="37">
        <f>Table58[[#This Row],[Government]]/Table58[[#This Row],[GDP]]</f>
        <v/>
      </c>
      <c r="N43" s="58">
        <f>SUM(Table58[[#This Row],[PC%]:[G%]])</f>
        <v/>
      </c>
      <c r="O43" s="25">
        <f>Table58[[#This Row],[Personal Consumption]]+Table58[[#This Row],[Private Investment]]+Table58[[#This Row],[Exports]]+Table58[[#This Row],[Government]]-Table58[[#This Row],[Imports]]</f>
        <v/>
      </c>
    </row>
    <row r="44">
      <c r="A44" s="45" t="n">
        <v>20637</v>
      </c>
      <c r="B44" s="63">
        <f>VLOOKUP(A44,'U.S. GDP'!A:B,2,)</f>
        <v/>
      </c>
      <c r="C44" s="63">
        <f>VLOOKUP(A44,PersonalConsumption!A:B,2,)</f>
        <v/>
      </c>
      <c r="D44" s="63">
        <f>VLOOKUP(A44,PrivateInvestment!A:B,2,)</f>
        <v/>
      </c>
      <c r="E44" s="63">
        <f>VLOOKUP(A44,Exports!A:B,2,)</f>
        <v/>
      </c>
      <c r="F44" s="63">
        <f>VLOOKUP(A44,Imports!A:B,2,)</f>
        <v/>
      </c>
      <c r="G44" s="63">
        <f>VLOOKUP(A44,Government!A:B,2,)</f>
        <v/>
      </c>
      <c r="H44" s="37">
        <f>Table58[[#This Row],[Personal Consumption]]/Table58[[#This Row],[GDP]]</f>
        <v/>
      </c>
      <c r="I44" s="37">
        <f>Table58[[#This Row],[Private Investment]]/Table58[[#This Row],[GDP]]</f>
        <v/>
      </c>
      <c r="J44" s="37">
        <f>Table58[[#This Row],[Exports]]/Table58[[#This Row],[GDP]]</f>
        <v/>
      </c>
      <c r="K44" s="37">
        <f>-Table58[[#This Row],[Imports]]/Table58[[#This Row],[GDP]]</f>
        <v/>
      </c>
      <c r="L44" s="37">
        <f>Table58[[#This Row],[Government]]/Table58[[#This Row],[GDP]]</f>
        <v/>
      </c>
      <c r="N44" s="58">
        <f>SUM(Table58[[#This Row],[PC%]:[G%]])</f>
        <v/>
      </c>
      <c r="O44" s="25">
        <f>Table58[[#This Row],[Personal Consumption]]+Table58[[#This Row],[Private Investment]]+Table58[[#This Row],[Exports]]+Table58[[#This Row],[Government]]-Table58[[#This Row],[Imports]]</f>
        <v/>
      </c>
    </row>
    <row r="45">
      <c r="A45" s="45" t="n">
        <v>20729</v>
      </c>
      <c r="B45" s="63">
        <f>VLOOKUP(A45,'U.S. GDP'!A:B,2,)</f>
        <v/>
      </c>
      <c r="C45" s="63">
        <f>VLOOKUP(A45,PersonalConsumption!A:B,2,)</f>
        <v/>
      </c>
      <c r="D45" s="63">
        <f>VLOOKUP(A45,PrivateInvestment!A:B,2,)</f>
        <v/>
      </c>
      <c r="E45" s="63">
        <f>VLOOKUP(A45,Exports!A:B,2,)</f>
        <v/>
      </c>
      <c r="F45" s="63">
        <f>VLOOKUP(A45,Imports!A:B,2,)</f>
        <v/>
      </c>
      <c r="G45" s="63">
        <f>VLOOKUP(A45,Government!A:B,2,)</f>
        <v/>
      </c>
      <c r="H45" s="37">
        <f>Table58[[#This Row],[Personal Consumption]]/Table58[[#This Row],[GDP]]</f>
        <v/>
      </c>
      <c r="I45" s="37">
        <f>Table58[[#This Row],[Private Investment]]/Table58[[#This Row],[GDP]]</f>
        <v/>
      </c>
      <c r="J45" s="37">
        <f>Table58[[#This Row],[Exports]]/Table58[[#This Row],[GDP]]</f>
        <v/>
      </c>
      <c r="K45" s="37">
        <f>-Table58[[#This Row],[Imports]]/Table58[[#This Row],[GDP]]</f>
        <v/>
      </c>
      <c r="L45" s="37">
        <f>Table58[[#This Row],[Government]]/Table58[[#This Row],[GDP]]</f>
        <v/>
      </c>
      <c r="N45" s="58">
        <f>SUM(Table58[[#This Row],[PC%]:[G%]])</f>
        <v/>
      </c>
      <c r="O45" s="25">
        <f>Table58[[#This Row],[Personal Consumption]]+Table58[[#This Row],[Private Investment]]+Table58[[#This Row],[Exports]]+Table58[[#This Row],[Government]]-Table58[[#This Row],[Imports]]</f>
        <v/>
      </c>
    </row>
    <row r="46">
      <c r="A46" s="45" t="n">
        <v>20821</v>
      </c>
      <c r="B46" s="63">
        <f>VLOOKUP(A46,'U.S. GDP'!A:B,2,)</f>
        <v/>
      </c>
      <c r="C46" s="63">
        <f>VLOOKUP(A46,PersonalConsumption!A:B,2,)</f>
        <v/>
      </c>
      <c r="D46" s="63">
        <f>VLOOKUP(A46,PrivateInvestment!A:B,2,)</f>
        <v/>
      </c>
      <c r="E46" s="63">
        <f>VLOOKUP(A46,Exports!A:B,2,)</f>
        <v/>
      </c>
      <c r="F46" s="63">
        <f>VLOOKUP(A46,Imports!A:B,2,)</f>
        <v/>
      </c>
      <c r="G46" s="63">
        <f>VLOOKUP(A46,Government!A:B,2,)</f>
        <v/>
      </c>
      <c r="H46" s="37">
        <f>Table58[[#This Row],[Personal Consumption]]/Table58[[#This Row],[GDP]]</f>
        <v/>
      </c>
      <c r="I46" s="37">
        <f>Table58[[#This Row],[Private Investment]]/Table58[[#This Row],[GDP]]</f>
        <v/>
      </c>
      <c r="J46" s="37">
        <f>Table58[[#This Row],[Exports]]/Table58[[#This Row],[GDP]]</f>
        <v/>
      </c>
      <c r="K46" s="37">
        <f>-Table58[[#This Row],[Imports]]/Table58[[#This Row],[GDP]]</f>
        <v/>
      </c>
      <c r="L46" s="37">
        <f>Table58[[#This Row],[Government]]/Table58[[#This Row],[GDP]]</f>
        <v/>
      </c>
      <c r="N46" s="58">
        <f>SUM(Table58[[#This Row],[PC%]:[G%]])</f>
        <v/>
      </c>
      <c r="O46" s="25">
        <f>Table58[[#This Row],[Personal Consumption]]+Table58[[#This Row],[Private Investment]]+Table58[[#This Row],[Exports]]+Table58[[#This Row],[Government]]-Table58[[#This Row],[Imports]]</f>
        <v/>
      </c>
    </row>
    <row r="47">
      <c r="A47" s="45" t="n">
        <v>20911</v>
      </c>
      <c r="B47" s="63">
        <f>VLOOKUP(A47,'U.S. GDP'!A:B,2,)</f>
        <v/>
      </c>
      <c r="C47" s="63">
        <f>VLOOKUP(A47,PersonalConsumption!A:B,2,)</f>
        <v/>
      </c>
      <c r="D47" s="63">
        <f>VLOOKUP(A47,PrivateInvestment!A:B,2,)</f>
        <v/>
      </c>
      <c r="E47" s="63">
        <f>VLOOKUP(A47,Exports!A:B,2,)</f>
        <v/>
      </c>
      <c r="F47" s="63">
        <f>VLOOKUP(A47,Imports!A:B,2,)</f>
        <v/>
      </c>
      <c r="G47" s="63">
        <f>VLOOKUP(A47,Government!A:B,2,)</f>
        <v/>
      </c>
      <c r="H47" s="37">
        <f>Table58[[#This Row],[Personal Consumption]]/Table58[[#This Row],[GDP]]</f>
        <v/>
      </c>
      <c r="I47" s="37">
        <f>Table58[[#This Row],[Private Investment]]/Table58[[#This Row],[GDP]]</f>
        <v/>
      </c>
      <c r="J47" s="37">
        <f>Table58[[#This Row],[Exports]]/Table58[[#This Row],[GDP]]</f>
        <v/>
      </c>
      <c r="K47" s="37">
        <f>-Table58[[#This Row],[Imports]]/Table58[[#This Row],[GDP]]</f>
        <v/>
      </c>
      <c r="L47" s="37">
        <f>Table58[[#This Row],[Government]]/Table58[[#This Row],[GDP]]</f>
        <v/>
      </c>
      <c r="N47" s="58">
        <f>SUM(Table58[[#This Row],[PC%]:[G%]])</f>
        <v/>
      </c>
      <c r="O47" s="25">
        <f>Table58[[#This Row],[Personal Consumption]]+Table58[[#This Row],[Private Investment]]+Table58[[#This Row],[Exports]]+Table58[[#This Row],[Government]]-Table58[[#This Row],[Imports]]</f>
        <v/>
      </c>
    </row>
    <row r="48">
      <c r="A48" s="45" t="n">
        <v>21002</v>
      </c>
      <c r="B48" s="63">
        <f>VLOOKUP(A48,'U.S. GDP'!A:B,2,)</f>
        <v/>
      </c>
      <c r="C48" s="63">
        <f>VLOOKUP(A48,PersonalConsumption!A:B,2,)</f>
        <v/>
      </c>
      <c r="D48" s="63">
        <f>VLOOKUP(A48,PrivateInvestment!A:B,2,)</f>
        <v/>
      </c>
      <c r="E48" s="63">
        <f>VLOOKUP(A48,Exports!A:B,2,)</f>
        <v/>
      </c>
      <c r="F48" s="63">
        <f>VLOOKUP(A48,Imports!A:B,2,)</f>
        <v/>
      </c>
      <c r="G48" s="63">
        <f>VLOOKUP(A48,Government!A:B,2,)</f>
        <v/>
      </c>
      <c r="H48" s="37">
        <f>Table58[[#This Row],[Personal Consumption]]/Table58[[#This Row],[GDP]]</f>
        <v/>
      </c>
      <c r="I48" s="37">
        <f>Table58[[#This Row],[Private Investment]]/Table58[[#This Row],[GDP]]</f>
        <v/>
      </c>
      <c r="J48" s="37">
        <f>Table58[[#This Row],[Exports]]/Table58[[#This Row],[GDP]]</f>
        <v/>
      </c>
      <c r="K48" s="37">
        <f>-Table58[[#This Row],[Imports]]/Table58[[#This Row],[GDP]]</f>
        <v/>
      </c>
      <c r="L48" s="37">
        <f>Table58[[#This Row],[Government]]/Table58[[#This Row],[GDP]]</f>
        <v/>
      </c>
      <c r="N48" s="58">
        <f>SUM(Table58[[#This Row],[PC%]:[G%]])</f>
        <v/>
      </c>
      <c r="O48" s="25">
        <f>Table58[[#This Row],[Personal Consumption]]+Table58[[#This Row],[Private Investment]]+Table58[[#This Row],[Exports]]+Table58[[#This Row],[Government]]-Table58[[#This Row],[Imports]]</f>
        <v/>
      </c>
    </row>
    <row r="49">
      <c r="A49" s="45" t="n">
        <v>21094</v>
      </c>
      <c r="B49" s="63">
        <f>VLOOKUP(A49,'U.S. GDP'!A:B,2,)</f>
        <v/>
      </c>
      <c r="C49" s="63">
        <f>VLOOKUP(A49,PersonalConsumption!A:B,2,)</f>
        <v/>
      </c>
      <c r="D49" s="63">
        <f>VLOOKUP(A49,PrivateInvestment!A:B,2,)</f>
        <v/>
      </c>
      <c r="E49" s="63">
        <f>VLOOKUP(A49,Exports!A:B,2,)</f>
        <v/>
      </c>
      <c r="F49" s="63">
        <f>VLOOKUP(A49,Imports!A:B,2,)</f>
        <v/>
      </c>
      <c r="G49" s="63">
        <f>VLOOKUP(A49,Government!A:B,2,)</f>
        <v/>
      </c>
      <c r="H49" s="37">
        <f>Table58[[#This Row],[Personal Consumption]]/Table58[[#This Row],[GDP]]</f>
        <v/>
      </c>
      <c r="I49" s="37">
        <f>Table58[[#This Row],[Private Investment]]/Table58[[#This Row],[GDP]]</f>
        <v/>
      </c>
      <c r="J49" s="37">
        <f>Table58[[#This Row],[Exports]]/Table58[[#This Row],[GDP]]</f>
        <v/>
      </c>
      <c r="K49" s="37">
        <f>-Table58[[#This Row],[Imports]]/Table58[[#This Row],[GDP]]</f>
        <v/>
      </c>
      <c r="L49" s="37">
        <f>Table58[[#This Row],[Government]]/Table58[[#This Row],[GDP]]</f>
        <v/>
      </c>
      <c r="N49" s="58">
        <f>SUM(Table58[[#This Row],[PC%]:[G%]])</f>
        <v/>
      </c>
      <c r="O49" s="25">
        <f>Table58[[#This Row],[Personal Consumption]]+Table58[[#This Row],[Private Investment]]+Table58[[#This Row],[Exports]]+Table58[[#This Row],[Government]]-Table58[[#This Row],[Imports]]</f>
        <v/>
      </c>
    </row>
    <row r="50">
      <c r="A50" s="45" t="n">
        <v>21186</v>
      </c>
      <c r="B50" s="63">
        <f>VLOOKUP(A50,'U.S. GDP'!A:B,2,)</f>
        <v/>
      </c>
      <c r="C50" s="63">
        <f>VLOOKUP(A50,PersonalConsumption!A:B,2,)</f>
        <v/>
      </c>
      <c r="D50" s="63">
        <f>VLOOKUP(A50,PrivateInvestment!A:B,2,)</f>
        <v/>
      </c>
      <c r="E50" s="63">
        <f>VLOOKUP(A50,Exports!A:B,2,)</f>
        <v/>
      </c>
      <c r="F50" s="63">
        <f>VLOOKUP(A50,Imports!A:B,2,)</f>
        <v/>
      </c>
      <c r="G50" s="63">
        <f>VLOOKUP(A50,Government!A:B,2,)</f>
        <v/>
      </c>
      <c r="H50" s="37">
        <f>Table58[[#This Row],[Personal Consumption]]/Table58[[#This Row],[GDP]]</f>
        <v/>
      </c>
      <c r="I50" s="37">
        <f>Table58[[#This Row],[Private Investment]]/Table58[[#This Row],[GDP]]</f>
        <v/>
      </c>
      <c r="J50" s="37">
        <f>Table58[[#This Row],[Exports]]/Table58[[#This Row],[GDP]]</f>
        <v/>
      </c>
      <c r="K50" s="37">
        <f>-Table58[[#This Row],[Imports]]/Table58[[#This Row],[GDP]]</f>
        <v/>
      </c>
      <c r="L50" s="37">
        <f>Table58[[#This Row],[Government]]/Table58[[#This Row],[GDP]]</f>
        <v/>
      </c>
      <c r="N50" s="58">
        <f>SUM(Table58[[#This Row],[PC%]:[G%]])</f>
        <v/>
      </c>
      <c r="O50" s="25">
        <f>Table58[[#This Row],[Personal Consumption]]+Table58[[#This Row],[Private Investment]]+Table58[[#This Row],[Exports]]+Table58[[#This Row],[Government]]-Table58[[#This Row],[Imports]]</f>
        <v/>
      </c>
    </row>
    <row r="51">
      <c r="A51" s="45" t="n">
        <v>21276</v>
      </c>
      <c r="B51" s="63">
        <f>VLOOKUP(A51,'U.S. GDP'!A:B,2,)</f>
        <v/>
      </c>
      <c r="C51" s="63">
        <f>VLOOKUP(A51,PersonalConsumption!A:B,2,)</f>
        <v/>
      </c>
      <c r="D51" s="63">
        <f>VLOOKUP(A51,PrivateInvestment!A:B,2,)</f>
        <v/>
      </c>
      <c r="E51" s="63">
        <f>VLOOKUP(A51,Exports!A:B,2,)</f>
        <v/>
      </c>
      <c r="F51" s="63">
        <f>VLOOKUP(A51,Imports!A:B,2,)</f>
        <v/>
      </c>
      <c r="G51" s="63">
        <f>VLOOKUP(A51,Government!A:B,2,)</f>
        <v/>
      </c>
      <c r="H51" s="37">
        <f>Table58[[#This Row],[Personal Consumption]]/Table58[[#This Row],[GDP]]</f>
        <v/>
      </c>
      <c r="I51" s="37">
        <f>Table58[[#This Row],[Private Investment]]/Table58[[#This Row],[GDP]]</f>
        <v/>
      </c>
      <c r="J51" s="37">
        <f>Table58[[#This Row],[Exports]]/Table58[[#This Row],[GDP]]</f>
        <v/>
      </c>
      <c r="K51" s="37">
        <f>-Table58[[#This Row],[Imports]]/Table58[[#This Row],[GDP]]</f>
        <v/>
      </c>
      <c r="L51" s="37">
        <f>Table58[[#This Row],[Government]]/Table58[[#This Row],[GDP]]</f>
        <v/>
      </c>
      <c r="N51" s="58">
        <f>SUM(Table58[[#This Row],[PC%]:[G%]])</f>
        <v/>
      </c>
      <c r="O51" s="25">
        <f>Table58[[#This Row],[Personal Consumption]]+Table58[[#This Row],[Private Investment]]+Table58[[#This Row],[Exports]]+Table58[[#This Row],[Government]]-Table58[[#This Row],[Imports]]</f>
        <v/>
      </c>
    </row>
    <row r="52">
      <c r="A52" s="45" t="n">
        <v>21367</v>
      </c>
      <c r="B52" s="63">
        <f>VLOOKUP(A52,'U.S. GDP'!A:B,2,)</f>
        <v/>
      </c>
      <c r="C52" s="63">
        <f>VLOOKUP(A52,PersonalConsumption!A:B,2,)</f>
        <v/>
      </c>
      <c r="D52" s="63">
        <f>VLOOKUP(A52,PrivateInvestment!A:B,2,)</f>
        <v/>
      </c>
      <c r="E52" s="63">
        <f>VLOOKUP(A52,Exports!A:B,2,)</f>
        <v/>
      </c>
      <c r="F52" s="63">
        <f>VLOOKUP(A52,Imports!A:B,2,)</f>
        <v/>
      </c>
      <c r="G52" s="63">
        <f>VLOOKUP(A52,Government!A:B,2,)</f>
        <v/>
      </c>
      <c r="H52" s="37">
        <f>Table58[[#This Row],[Personal Consumption]]/Table58[[#This Row],[GDP]]</f>
        <v/>
      </c>
      <c r="I52" s="37">
        <f>Table58[[#This Row],[Private Investment]]/Table58[[#This Row],[GDP]]</f>
        <v/>
      </c>
      <c r="J52" s="37">
        <f>Table58[[#This Row],[Exports]]/Table58[[#This Row],[GDP]]</f>
        <v/>
      </c>
      <c r="K52" s="37">
        <f>-Table58[[#This Row],[Imports]]/Table58[[#This Row],[GDP]]</f>
        <v/>
      </c>
      <c r="L52" s="37">
        <f>Table58[[#This Row],[Government]]/Table58[[#This Row],[GDP]]</f>
        <v/>
      </c>
      <c r="N52" s="58">
        <f>SUM(Table58[[#This Row],[PC%]:[G%]])</f>
        <v/>
      </c>
      <c r="O52" s="25">
        <f>Table58[[#This Row],[Personal Consumption]]+Table58[[#This Row],[Private Investment]]+Table58[[#This Row],[Exports]]+Table58[[#This Row],[Government]]-Table58[[#This Row],[Imports]]</f>
        <v/>
      </c>
    </row>
    <row r="53">
      <c r="A53" s="45" t="n">
        <v>21459</v>
      </c>
      <c r="B53" s="63">
        <f>VLOOKUP(A53,'U.S. GDP'!A:B,2,)</f>
        <v/>
      </c>
      <c r="C53" s="63">
        <f>VLOOKUP(A53,PersonalConsumption!A:B,2,)</f>
        <v/>
      </c>
      <c r="D53" s="63">
        <f>VLOOKUP(A53,PrivateInvestment!A:B,2,)</f>
        <v/>
      </c>
      <c r="E53" s="63">
        <f>VLOOKUP(A53,Exports!A:B,2,)</f>
        <v/>
      </c>
      <c r="F53" s="63">
        <f>VLOOKUP(A53,Imports!A:B,2,)</f>
        <v/>
      </c>
      <c r="G53" s="63">
        <f>VLOOKUP(A53,Government!A:B,2,)</f>
        <v/>
      </c>
      <c r="H53" s="37">
        <f>Table58[[#This Row],[Personal Consumption]]/Table58[[#This Row],[GDP]]</f>
        <v/>
      </c>
      <c r="I53" s="37">
        <f>Table58[[#This Row],[Private Investment]]/Table58[[#This Row],[GDP]]</f>
        <v/>
      </c>
      <c r="J53" s="37">
        <f>Table58[[#This Row],[Exports]]/Table58[[#This Row],[GDP]]</f>
        <v/>
      </c>
      <c r="K53" s="37">
        <f>-Table58[[#This Row],[Imports]]/Table58[[#This Row],[GDP]]</f>
        <v/>
      </c>
      <c r="L53" s="37">
        <f>Table58[[#This Row],[Government]]/Table58[[#This Row],[GDP]]</f>
        <v/>
      </c>
      <c r="N53" s="58">
        <f>SUM(Table58[[#This Row],[PC%]:[G%]])</f>
        <v/>
      </c>
      <c r="O53" s="25">
        <f>Table58[[#This Row],[Personal Consumption]]+Table58[[#This Row],[Private Investment]]+Table58[[#This Row],[Exports]]+Table58[[#This Row],[Government]]-Table58[[#This Row],[Imports]]</f>
        <v/>
      </c>
    </row>
    <row r="54">
      <c r="A54" s="45" t="n">
        <v>21551</v>
      </c>
      <c r="B54" s="63">
        <f>VLOOKUP(A54,'U.S. GDP'!A:B,2,)</f>
        <v/>
      </c>
      <c r="C54" s="63">
        <f>VLOOKUP(A54,PersonalConsumption!A:B,2,)</f>
        <v/>
      </c>
      <c r="D54" s="63">
        <f>VLOOKUP(A54,PrivateInvestment!A:B,2,)</f>
        <v/>
      </c>
      <c r="E54" s="63">
        <f>VLOOKUP(A54,Exports!A:B,2,)</f>
        <v/>
      </c>
      <c r="F54" s="63">
        <f>VLOOKUP(A54,Imports!A:B,2,)</f>
        <v/>
      </c>
      <c r="G54" s="63">
        <f>VLOOKUP(A54,Government!A:B,2,)</f>
        <v/>
      </c>
      <c r="H54" s="37">
        <f>Table58[[#This Row],[Personal Consumption]]/Table58[[#This Row],[GDP]]</f>
        <v/>
      </c>
      <c r="I54" s="37">
        <f>Table58[[#This Row],[Private Investment]]/Table58[[#This Row],[GDP]]</f>
        <v/>
      </c>
      <c r="J54" s="37">
        <f>Table58[[#This Row],[Exports]]/Table58[[#This Row],[GDP]]</f>
        <v/>
      </c>
      <c r="K54" s="37">
        <f>-Table58[[#This Row],[Imports]]/Table58[[#This Row],[GDP]]</f>
        <v/>
      </c>
      <c r="L54" s="37">
        <f>Table58[[#This Row],[Government]]/Table58[[#This Row],[GDP]]</f>
        <v/>
      </c>
      <c r="N54" s="58">
        <f>SUM(Table58[[#This Row],[PC%]:[G%]])</f>
        <v/>
      </c>
      <c r="O54" s="25">
        <f>Table58[[#This Row],[Personal Consumption]]+Table58[[#This Row],[Private Investment]]+Table58[[#This Row],[Exports]]+Table58[[#This Row],[Government]]-Table58[[#This Row],[Imports]]</f>
        <v/>
      </c>
    </row>
    <row r="55">
      <c r="A55" s="45" t="n">
        <v>21641</v>
      </c>
      <c r="B55" s="63">
        <f>VLOOKUP(A55,'U.S. GDP'!A:B,2,)</f>
        <v/>
      </c>
      <c r="C55" s="63">
        <f>VLOOKUP(A55,PersonalConsumption!A:B,2,)</f>
        <v/>
      </c>
      <c r="D55" s="63">
        <f>VLOOKUP(A55,PrivateInvestment!A:B,2,)</f>
        <v/>
      </c>
      <c r="E55" s="63">
        <f>VLOOKUP(A55,Exports!A:B,2,)</f>
        <v/>
      </c>
      <c r="F55" s="63">
        <f>VLOOKUP(A55,Imports!A:B,2,)</f>
        <v/>
      </c>
      <c r="G55" s="63">
        <f>VLOOKUP(A55,Government!A:B,2,)</f>
        <v/>
      </c>
      <c r="H55" s="37">
        <f>Table58[[#This Row],[Personal Consumption]]/Table58[[#This Row],[GDP]]</f>
        <v/>
      </c>
      <c r="I55" s="37">
        <f>Table58[[#This Row],[Private Investment]]/Table58[[#This Row],[GDP]]</f>
        <v/>
      </c>
      <c r="J55" s="37">
        <f>Table58[[#This Row],[Exports]]/Table58[[#This Row],[GDP]]</f>
        <v/>
      </c>
      <c r="K55" s="37">
        <f>-Table58[[#This Row],[Imports]]/Table58[[#This Row],[GDP]]</f>
        <v/>
      </c>
      <c r="L55" s="37">
        <f>Table58[[#This Row],[Government]]/Table58[[#This Row],[GDP]]</f>
        <v/>
      </c>
      <c r="N55" s="58">
        <f>SUM(Table58[[#This Row],[PC%]:[G%]])</f>
        <v/>
      </c>
      <c r="O55" s="25">
        <f>Table58[[#This Row],[Personal Consumption]]+Table58[[#This Row],[Private Investment]]+Table58[[#This Row],[Exports]]+Table58[[#This Row],[Government]]-Table58[[#This Row],[Imports]]</f>
        <v/>
      </c>
    </row>
    <row r="56">
      <c r="A56" s="45" t="n">
        <v>21732</v>
      </c>
      <c r="B56" s="63">
        <f>VLOOKUP(A56,'U.S. GDP'!A:B,2,)</f>
        <v/>
      </c>
      <c r="C56" s="63">
        <f>VLOOKUP(A56,PersonalConsumption!A:B,2,)</f>
        <v/>
      </c>
      <c r="D56" s="63">
        <f>VLOOKUP(A56,PrivateInvestment!A:B,2,)</f>
        <v/>
      </c>
      <c r="E56" s="63">
        <f>VLOOKUP(A56,Exports!A:B,2,)</f>
        <v/>
      </c>
      <c r="F56" s="63">
        <f>VLOOKUP(A56,Imports!A:B,2,)</f>
        <v/>
      </c>
      <c r="G56" s="63">
        <f>VLOOKUP(A56,Government!A:B,2,)</f>
        <v/>
      </c>
      <c r="H56" s="37">
        <f>Table58[[#This Row],[Personal Consumption]]/Table58[[#This Row],[GDP]]</f>
        <v/>
      </c>
      <c r="I56" s="37">
        <f>Table58[[#This Row],[Private Investment]]/Table58[[#This Row],[GDP]]</f>
        <v/>
      </c>
      <c r="J56" s="37">
        <f>Table58[[#This Row],[Exports]]/Table58[[#This Row],[GDP]]</f>
        <v/>
      </c>
      <c r="K56" s="37">
        <f>-Table58[[#This Row],[Imports]]/Table58[[#This Row],[GDP]]</f>
        <v/>
      </c>
      <c r="L56" s="37">
        <f>Table58[[#This Row],[Government]]/Table58[[#This Row],[GDP]]</f>
        <v/>
      </c>
      <c r="N56" s="58">
        <f>SUM(Table58[[#This Row],[PC%]:[G%]])</f>
        <v/>
      </c>
      <c r="O56" s="25">
        <f>Table58[[#This Row],[Personal Consumption]]+Table58[[#This Row],[Private Investment]]+Table58[[#This Row],[Exports]]+Table58[[#This Row],[Government]]-Table58[[#This Row],[Imports]]</f>
        <v/>
      </c>
    </row>
    <row r="57">
      <c r="A57" s="45" t="n">
        <v>21824</v>
      </c>
      <c r="B57" s="63">
        <f>VLOOKUP(A57,'U.S. GDP'!A:B,2,)</f>
        <v/>
      </c>
      <c r="C57" s="63">
        <f>VLOOKUP(A57,PersonalConsumption!A:B,2,)</f>
        <v/>
      </c>
      <c r="D57" s="63">
        <f>VLOOKUP(A57,PrivateInvestment!A:B,2,)</f>
        <v/>
      </c>
      <c r="E57" s="63">
        <f>VLOOKUP(A57,Exports!A:B,2,)</f>
        <v/>
      </c>
      <c r="F57" s="63">
        <f>VLOOKUP(A57,Imports!A:B,2,)</f>
        <v/>
      </c>
      <c r="G57" s="63">
        <f>VLOOKUP(A57,Government!A:B,2,)</f>
        <v/>
      </c>
      <c r="H57" s="37">
        <f>Table58[[#This Row],[Personal Consumption]]/Table58[[#This Row],[GDP]]</f>
        <v/>
      </c>
      <c r="I57" s="37">
        <f>Table58[[#This Row],[Private Investment]]/Table58[[#This Row],[GDP]]</f>
        <v/>
      </c>
      <c r="J57" s="37">
        <f>Table58[[#This Row],[Exports]]/Table58[[#This Row],[GDP]]</f>
        <v/>
      </c>
      <c r="K57" s="37">
        <f>-Table58[[#This Row],[Imports]]/Table58[[#This Row],[GDP]]</f>
        <v/>
      </c>
      <c r="L57" s="37">
        <f>Table58[[#This Row],[Government]]/Table58[[#This Row],[GDP]]</f>
        <v/>
      </c>
      <c r="N57" s="58">
        <f>SUM(Table58[[#This Row],[PC%]:[G%]])</f>
        <v/>
      </c>
      <c r="O57" s="25">
        <f>Table58[[#This Row],[Personal Consumption]]+Table58[[#This Row],[Private Investment]]+Table58[[#This Row],[Exports]]+Table58[[#This Row],[Government]]-Table58[[#This Row],[Imports]]</f>
        <v/>
      </c>
    </row>
    <row r="58">
      <c r="A58" s="45" t="n">
        <v>21916</v>
      </c>
      <c r="B58" s="63">
        <f>VLOOKUP(A58,'U.S. GDP'!A:B,2,)</f>
        <v/>
      </c>
      <c r="C58" s="63">
        <f>VLOOKUP(A58,PersonalConsumption!A:B,2,)</f>
        <v/>
      </c>
      <c r="D58" s="63">
        <f>VLOOKUP(A58,PrivateInvestment!A:B,2,)</f>
        <v/>
      </c>
      <c r="E58" s="63">
        <f>VLOOKUP(A58,Exports!A:B,2,)</f>
        <v/>
      </c>
      <c r="F58" s="63">
        <f>VLOOKUP(A58,Imports!A:B,2,)</f>
        <v/>
      </c>
      <c r="G58" s="63">
        <f>VLOOKUP(A58,Government!A:B,2,)</f>
        <v/>
      </c>
      <c r="H58" s="37">
        <f>Table58[[#This Row],[Personal Consumption]]/Table58[[#This Row],[GDP]]</f>
        <v/>
      </c>
      <c r="I58" s="37">
        <f>Table58[[#This Row],[Private Investment]]/Table58[[#This Row],[GDP]]</f>
        <v/>
      </c>
      <c r="J58" s="37">
        <f>Table58[[#This Row],[Exports]]/Table58[[#This Row],[GDP]]</f>
        <v/>
      </c>
      <c r="K58" s="37">
        <f>-Table58[[#This Row],[Imports]]/Table58[[#This Row],[GDP]]</f>
        <v/>
      </c>
      <c r="L58" s="37">
        <f>Table58[[#This Row],[Government]]/Table58[[#This Row],[GDP]]</f>
        <v/>
      </c>
      <c r="N58" s="58">
        <f>SUM(Table58[[#This Row],[PC%]:[G%]])</f>
        <v/>
      </c>
      <c r="O58" s="25">
        <f>Table58[[#This Row],[Personal Consumption]]+Table58[[#This Row],[Private Investment]]+Table58[[#This Row],[Exports]]+Table58[[#This Row],[Government]]-Table58[[#This Row],[Imports]]</f>
        <v/>
      </c>
    </row>
    <row r="59">
      <c r="A59" s="45" t="n">
        <v>22007</v>
      </c>
      <c r="B59" s="63">
        <f>VLOOKUP(A59,'U.S. GDP'!A:B,2,)</f>
        <v/>
      </c>
      <c r="C59" s="63">
        <f>VLOOKUP(A59,PersonalConsumption!A:B,2,)</f>
        <v/>
      </c>
      <c r="D59" s="63">
        <f>VLOOKUP(A59,PrivateInvestment!A:B,2,)</f>
        <v/>
      </c>
      <c r="E59" s="63">
        <f>VLOOKUP(A59,Exports!A:B,2,)</f>
        <v/>
      </c>
      <c r="F59" s="63">
        <f>VLOOKUP(A59,Imports!A:B,2,)</f>
        <v/>
      </c>
      <c r="G59" s="63">
        <f>VLOOKUP(A59,Government!A:B,2,)</f>
        <v/>
      </c>
      <c r="H59" s="37">
        <f>Table58[[#This Row],[Personal Consumption]]/Table58[[#This Row],[GDP]]</f>
        <v/>
      </c>
      <c r="I59" s="37">
        <f>Table58[[#This Row],[Private Investment]]/Table58[[#This Row],[GDP]]</f>
        <v/>
      </c>
      <c r="J59" s="37">
        <f>Table58[[#This Row],[Exports]]/Table58[[#This Row],[GDP]]</f>
        <v/>
      </c>
      <c r="K59" s="37">
        <f>-Table58[[#This Row],[Imports]]/Table58[[#This Row],[GDP]]</f>
        <v/>
      </c>
      <c r="L59" s="37">
        <f>Table58[[#This Row],[Government]]/Table58[[#This Row],[GDP]]</f>
        <v/>
      </c>
      <c r="N59" s="58">
        <f>SUM(Table58[[#This Row],[PC%]:[G%]])</f>
        <v/>
      </c>
      <c r="O59" s="25">
        <f>Table58[[#This Row],[Personal Consumption]]+Table58[[#This Row],[Private Investment]]+Table58[[#This Row],[Exports]]+Table58[[#This Row],[Government]]-Table58[[#This Row],[Imports]]</f>
        <v/>
      </c>
    </row>
    <row r="60">
      <c r="A60" s="45" t="n">
        <v>22098</v>
      </c>
      <c r="B60" s="63">
        <f>VLOOKUP(A60,'U.S. GDP'!A:B,2,)</f>
        <v/>
      </c>
      <c r="C60" s="63">
        <f>VLOOKUP(A60,PersonalConsumption!A:B,2,)</f>
        <v/>
      </c>
      <c r="D60" s="63">
        <f>VLOOKUP(A60,PrivateInvestment!A:B,2,)</f>
        <v/>
      </c>
      <c r="E60" s="63">
        <f>VLOOKUP(A60,Exports!A:B,2,)</f>
        <v/>
      </c>
      <c r="F60" s="63">
        <f>VLOOKUP(A60,Imports!A:B,2,)</f>
        <v/>
      </c>
      <c r="G60" s="63">
        <f>VLOOKUP(A60,Government!A:B,2,)</f>
        <v/>
      </c>
      <c r="H60" s="37">
        <f>Table58[[#This Row],[Personal Consumption]]/Table58[[#This Row],[GDP]]</f>
        <v/>
      </c>
      <c r="I60" s="37">
        <f>Table58[[#This Row],[Private Investment]]/Table58[[#This Row],[GDP]]</f>
        <v/>
      </c>
      <c r="J60" s="37">
        <f>Table58[[#This Row],[Exports]]/Table58[[#This Row],[GDP]]</f>
        <v/>
      </c>
      <c r="K60" s="37">
        <f>-Table58[[#This Row],[Imports]]/Table58[[#This Row],[GDP]]</f>
        <v/>
      </c>
      <c r="L60" s="37">
        <f>Table58[[#This Row],[Government]]/Table58[[#This Row],[GDP]]</f>
        <v/>
      </c>
      <c r="N60" s="58">
        <f>SUM(Table58[[#This Row],[PC%]:[G%]])</f>
        <v/>
      </c>
      <c r="O60" s="25">
        <f>Table58[[#This Row],[Personal Consumption]]+Table58[[#This Row],[Private Investment]]+Table58[[#This Row],[Exports]]+Table58[[#This Row],[Government]]-Table58[[#This Row],[Imports]]</f>
        <v/>
      </c>
    </row>
    <row r="61">
      <c r="A61" s="45" t="n">
        <v>22190</v>
      </c>
      <c r="B61" s="63">
        <f>VLOOKUP(A61,'U.S. GDP'!A:B,2,)</f>
        <v/>
      </c>
      <c r="C61" s="63">
        <f>VLOOKUP(A61,PersonalConsumption!A:B,2,)</f>
        <v/>
      </c>
      <c r="D61" s="63">
        <f>VLOOKUP(A61,PrivateInvestment!A:B,2,)</f>
        <v/>
      </c>
      <c r="E61" s="63">
        <f>VLOOKUP(A61,Exports!A:B,2,)</f>
        <v/>
      </c>
      <c r="F61" s="63">
        <f>VLOOKUP(A61,Imports!A:B,2,)</f>
        <v/>
      </c>
      <c r="G61" s="63">
        <f>VLOOKUP(A61,Government!A:B,2,)</f>
        <v/>
      </c>
      <c r="H61" s="37">
        <f>Table58[[#This Row],[Personal Consumption]]/Table58[[#This Row],[GDP]]</f>
        <v/>
      </c>
      <c r="I61" s="37">
        <f>Table58[[#This Row],[Private Investment]]/Table58[[#This Row],[GDP]]</f>
        <v/>
      </c>
      <c r="J61" s="37">
        <f>Table58[[#This Row],[Exports]]/Table58[[#This Row],[GDP]]</f>
        <v/>
      </c>
      <c r="K61" s="37">
        <f>-Table58[[#This Row],[Imports]]/Table58[[#This Row],[GDP]]</f>
        <v/>
      </c>
      <c r="L61" s="37">
        <f>Table58[[#This Row],[Government]]/Table58[[#This Row],[GDP]]</f>
        <v/>
      </c>
      <c r="N61" s="58">
        <f>SUM(Table58[[#This Row],[PC%]:[G%]])</f>
        <v/>
      </c>
      <c r="O61" s="25">
        <f>Table58[[#This Row],[Personal Consumption]]+Table58[[#This Row],[Private Investment]]+Table58[[#This Row],[Exports]]+Table58[[#This Row],[Government]]-Table58[[#This Row],[Imports]]</f>
        <v/>
      </c>
    </row>
    <row r="62">
      <c r="A62" s="45" t="n">
        <v>22282</v>
      </c>
      <c r="B62" s="63">
        <f>VLOOKUP(A62,'U.S. GDP'!A:B,2,)</f>
        <v/>
      </c>
      <c r="C62" s="63">
        <f>VLOOKUP(A62,PersonalConsumption!A:B,2,)</f>
        <v/>
      </c>
      <c r="D62" s="63">
        <f>VLOOKUP(A62,PrivateInvestment!A:B,2,)</f>
        <v/>
      </c>
      <c r="E62" s="63">
        <f>VLOOKUP(A62,Exports!A:B,2,)</f>
        <v/>
      </c>
      <c r="F62" s="63">
        <f>VLOOKUP(A62,Imports!A:B,2,)</f>
        <v/>
      </c>
      <c r="G62" s="63">
        <f>VLOOKUP(A62,Government!A:B,2,)</f>
        <v/>
      </c>
      <c r="H62" s="37">
        <f>Table58[[#This Row],[Personal Consumption]]/Table58[[#This Row],[GDP]]</f>
        <v/>
      </c>
      <c r="I62" s="37">
        <f>Table58[[#This Row],[Private Investment]]/Table58[[#This Row],[GDP]]</f>
        <v/>
      </c>
      <c r="J62" s="37">
        <f>Table58[[#This Row],[Exports]]/Table58[[#This Row],[GDP]]</f>
        <v/>
      </c>
      <c r="K62" s="37">
        <f>-Table58[[#This Row],[Imports]]/Table58[[#This Row],[GDP]]</f>
        <v/>
      </c>
      <c r="L62" s="37">
        <f>Table58[[#This Row],[Government]]/Table58[[#This Row],[GDP]]</f>
        <v/>
      </c>
      <c r="N62" s="58">
        <f>SUM(Table58[[#This Row],[PC%]:[G%]])</f>
        <v/>
      </c>
      <c r="O62" s="25">
        <f>Table58[[#This Row],[Personal Consumption]]+Table58[[#This Row],[Private Investment]]+Table58[[#This Row],[Exports]]+Table58[[#This Row],[Government]]-Table58[[#This Row],[Imports]]</f>
        <v/>
      </c>
    </row>
    <row r="63">
      <c r="A63" s="45" t="n">
        <v>22372</v>
      </c>
      <c r="B63" s="63">
        <f>VLOOKUP(A63,'U.S. GDP'!A:B,2,)</f>
        <v/>
      </c>
      <c r="C63" s="63">
        <f>VLOOKUP(A63,PersonalConsumption!A:B,2,)</f>
        <v/>
      </c>
      <c r="D63" s="63">
        <f>VLOOKUP(A63,PrivateInvestment!A:B,2,)</f>
        <v/>
      </c>
      <c r="E63" s="63">
        <f>VLOOKUP(A63,Exports!A:B,2,)</f>
        <v/>
      </c>
      <c r="F63" s="63">
        <f>VLOOKUP(A63,Imports!A:B,2,)</f>
        <v/>
      </c>
      <c r="G63" s="63">
        <f>VLOOKUP(A63,Government!A:B,2,)</f>
        <v/>
      </c>
      <c r="H63" s="37">
        <f>Table58[[#This Row],[Personal Consumption]]/Table58[[#This Row],[GDP]]</f>
        <v/>
      </c>
      <c r="I63" s="37">
        <f>Table58[[#This Row],[Private Investment]]/Table58[[#This Row],[GDP]]</f>
        <v/>
      </c>
      <c r="J63" s="37">
        <f>Table58[[#This Row],[Exports]]/Table58[[#This Row],[GDP]]</f>
        <v/>
      </c>
      <c r="K63" s="37">
        <f>-Table58[[#This Row],[Imports]]/Table58[[#This Row],[GDP]]</f>
        <v/>
      </c>
      <c r="L63" s="37">
        <f>Table58[[#This Row],[Government]]/Table58[[#This Row],[GDP]]</f>
        <v/>
      </c>
      <c r="N63" s="58">
        <f>SUM(Table58[[#This Row],[PC%]:[G%]])</f>
        <v/>
      </c>
      <c r="O63" s="25">
        <f>Table58[[#This Row],[Personal Consumption]]+Table58[[#This Row],[Private Investment]]+Table58[[#This Row],[Exports]]+Table58[[#This Row],[Government]]-Table58[[#This Row],[Imports]]</f>
        <v/>
      </c>
    </row>
    <row r="64">
      <c r="A64" s="45" t="n">
        <v>22463</v>
      </c>
      <c r="B64" s="63">
        <f>VLOOKUP(A64,'U.S. GDP'!A:B,2,)</f>
        <v/>
      </c>
      <c r="C64" s="63">
        <f>VLOOKUP(A64,PersonalConsumption!A:B,2,)</f>
        <v/>
      </c>
      <c r="D64" s="63">
        <f>VLOOKUP(A64,PrivateInvestment!A:B,2,)</f>
        <v/>
      </c>
      <c r="E64" s="63">
        <f>VLOOKUP(A64,Exports!A:B,2,)</f>
        <v/>
      </c>
      <c r="F64" s="63">
        <f>VLOOKUP(A64,Imports!A:B,2,)</f>
        <v/>
      </c>
      <c r="G64" s="63">
        <f>VLOOKUP(A64,Government!A:B,2,)</f>
        <v/>
      </c>
      <c r="H64" s="37">
        <f>Table58[[#This Row],[Personal Consumption]]/Table58[[#This Row],[GDP]]</f>
        <v/>
      </c>
      <c r="I64" s="37">
        <f>Table58[[#This Row],[Private Investment]]/Table58[[#This Row],[GDP]]</f>
        <v/>
      </c>
      <c r="J64" s="37">
        <f>Table58[[#This Row],[Exports]]/Table58[[#This Row],[GDP]]</f>
        <v/>
      </c>
      <c r="K64" s="37">
        <f>-Table58[[#This Row],[Imports]]/Table58[[#This Row],[GDP]]</f>
        <v/>
      </c>
      <c r="L64" s="37">
        <f>Table58[[#This Row],[Government]]/Table58[[#This Row],[GDP]]</f>
        <v/>
      </c>
      <c r="N64" s="58">
        <f>SUM(Table58[[#This Row],[PC%]:[G%]])</f>
        <v/>
      </c>
      <c r="O64" s="25">
        <f>Table58[[#This Row],[Personal Consumption]]+Table58[[#This Row],[Private Investment]]+Table58[[#This Row],[Exports]]+Table58[[#This Row],[Government]]-Table58[[#This Row],[Imports]]</f>
        <v/>
      </c>
    </row>
    <row r="65">
      <c r="A65" s="45" t="n">
        <v>22555</v>
      </c>
      <c r="B65" s="63">
        <f>VLOOKUP(A65,'U.S. GDP'!A:B,2,)</f>
        <v/>
      </c>
      <c r="C65" s="63">
        <f>VLOOKUP(A65,PersonalConsumption!A:B,2,)</f>
        <v/>
      </c>
      <c r="D65" s="63">
        <f>VLOOKUP(A65,PrivateInvestment!A:B,2,)</f>
        <v/>
      </c>
      <c r="E65" s="63">
        <f>VLOOKUP(A65,Exports!A:B,2,)</f>
        <v/>
      </c>
      <c r="F65" s="63">
        <f>VLOOKUP(A65,Imports!A:B,2,)</f>
        <v/>
      </c>
      <c r="G65" s="63">
        <f>VLOOKUP(A65,Government!A:B,2,)</f>
        <v/>
      </c>
      <c r="H65" s="37">
        <f>Table58[[#This Row],[Personal Consumption]]/Table58[[#This Row],[GDP]]</f>
        <v/>
      </c>
      <c r="I65" s="37">
        <f>Table58[[#This Row],[Private Investment]]/Table58[[#This Row],[GDP]]</f>
        <v/>
      </c>
      <c r="J65" s="37">
        <f>Table58[[#This Row],[Exports]]/Table58[[#This Row],[GDP]]</f>
        <v/>
      </c>
      <c r="K65" s="37">
        <f>-Table58[[#This Row],[Imports]]/Table58[[#This Row],[GDP]]</f>
        <v/>
      </c>
      <c r="L65" s="37">
        <f>Table58[[#This Row],[Government]]/Table58[[#This Row],[GDP]]</f>
        <v/>
      </c>
      <c r="N65" s="58">
        <f>SUM(Table58[[#This Row],[PC%]:[G%]])</f>
        <v/>
      </c>
      <c r="O65" s="25">
        <f>Table58[[#This Row],[Personal Consumption]]+Table58[[#This Row],[Private Investment]]+Table58[[#This Row],[Exports]]+Table58[[#This Row],[Government]]-Table58[[#This Row],[Imports]]</f>
        <v/>
      </c>
    </row>
    <row r="66">
      <c r="A66" s="45" t="n">
        <v>22647</v>
      </c>
      <c r="B66" s="63">
        <f>VLOOKUP(A66,'U.S. GDP'!A:B,2,)</f>
        <v/>
      </c>
      <c r="C66" s="63">
        <f>VLOOKUP(A66,PersonalConsumption!A:B,2,)</f>
        <v/>
      </c>
      <c r="D66" s="63">
        <f>VLOOKUP(A66,PrivateInvestment!A:B,2,)</f>
        <v/>
      </c>
      <c r="E66" s="63">
        <f>VLOOKUP(A66,Exports!A:B,2,)</f>
        <v/>
      </c>
      <c r="F66" s="63">
        <f>VLOOKUP(A66,Imports!A:B,2,)</f>
        <v/>
      </c>
      <c r="G66" s="63">
        <f>VLOOKUP(A66,Government!A:B,2,)</f>
        <v/>
      </c>
      <c r="H66" s="37">
        <f>Table58[[#This Row],[Personal Consumption]]/Table58[[#This Row],[GDP]]</f>
        <v/>
      </c>
      <c r="I66" s="37">
        <f>Table58[[#This Row],[Private Investment]]/Table58[[#This Row],[GDP]]</f>
        <v/>
      </c>
      <c r="J66" s="37">
        <f>Table58[[#This Row],[Exports]]/Table58[[#This Row],[GDP]]</f>
        <v/>
      </c>
      <c r="K66" s="37">
        <f>-Table58[[#This Row],[Imports]]/Table58[[#This Row],[GDP]]</f>
        <v/>
      </c>
      <c r="L66" s="37">
        <f>Table58[[#This Row],[Government]]/Table58[[#This Row],[GDP]]</f>
        <v/>
      </c>
      <c r="N66" s="58">
        <f>SUM(Table58[[#This Row],[PC%]:[G%]])</f>
        <v/>
      </c>
      <c r="O66" s="25">
        <f>Table58[[#This Row],[Personal Consumption]]+Table58[[#This Row],[Private Investment]]+Table58[[#This Row],[Exports]]+Table58[[#This Row],[Government]]-Table58[[#This Row],[Imports]]</f>
        <v/>
      </c>
    </row>
    <row r="67">
      <c r="A67" s="45" t="n">
        <v>22737</v>
      </c>
      <c r="B67" s="63">
        <f>VLOOKUP(A67,'U.S. GDP'!A:B,2,)</f>
        <v/>
      </c>
      <c r="C67" s="63">
        <f>VLOOKUP(A67,PersonalConsumption!A:B,2,)</f>
        <v/>
      </c>
      <c r="D67" s="63">
        <f>VLOOKUP(A67,PrivateInvestment!A:B,2,)</f>
        <v/>
      </c>
      <c r="E67" s="63">
        <f>VLOOKUP(A67,Exports!A:B,2,)</f>
        <v/>
      </c>
      <c r="F67" s="63">
        <f>VLOOKUP(A67,Imports!A:B,2,)</f>
        <v/>
      </c>
      <c r="G67" s="63">
        <f>VLOOKUP(A67,Government!A:B,2,)</f>
        <v/>
      </c>
      <c r="H67" s="37">
        <f>Table58[[#This Row],[Personal Consumption]]/Table58[[#This Row],[GDP]]</f>
        <v/>
      </c>
      <c r="I67" s="37">
        <f>Table58[[#This Row],[Private Investment]]/Table58[[#This Row],[GDP]]</f>
        <v/>
      </c>
      <c r="J67" s="37">
        <f>Table58[[#This Row],[Exports]]/Table58[[#This Row],[GDP]]</f>
        <v/>
      </c>
      <c r="K67" s="37">
        <f>-Table58[[#This Row],[Imports]]/Table58[[#This Row],[GDP]]</f>
        <v/>
      </c>
      <c r="L67" s="37">
        <f>Table58[[#This Row],[Government]]/Table58[[#This Row],[GDP]]</f>
        <v/>
      </c>
      <c r="N67" s="58">
        <f>SUM(Table58[[#This Row],[PC%]:[G%]])</f>
        <v/>
      </c>
      <c r="O67" s="25">
        <f>Table58[[#This Row],[Personal Consumption]]+Table58[[#This Row],[Private Investment]]+Table58[[#This Row],[Exports]]+Table58[[#This Row],[Government]]-Table58[[#This Row],[Imports]]</f>
        <v/>
      </c>
    </row>
    <row r="68">
      <c r="A68" s="45" t="n">
        <v>22828</v>
      </c>
      <c r="B68" s="63">
        <f>VLOOKUP(A68,'U.S. GDP'!A:B,2,)</f>
        <v/>
      </c>
      <c r="C68" s="63">
        <f>VLOOKUP(A68,PersonalConsumption!A:B,2,)</f>
        <v/>
      </c>
      <c r="D68" s="63">
        <f>VLOOKUP(A68,PrivateInvestment!A:B,2,)</f>
        <v/>
      </c>
      <c r="E68" s="63">
        <f>VLOOKUP(A68,Exports!A:B,2,)</f>
        <v/>
      </c>
      <c r="F68" s="63">
        <f>VLOOKUP(A68,Imports!A:B,2,)</f>
        <v/>
      </c>
      <c r="G68" s="63">
        <f>VLOOKUP(A68,Government!A:B,2,)</f>
        <v/>
      </c>
      <c r="H68" s="37">
        <f>Table58[[#This Row],[Personal Consumption]]/Table58[[#This Row],[GDP]]</f>
        <v/>
      </c>
      <c r="I68" s="37">
        <f>Table58[[#This Row],[Private Investment]]/Table58[[#This Row],[GDP]]</f>
        <v/>
      </c>
      <c r="J68" s="37">
        <f>Table58[[#This Row],[Exports]]/Table58[[#This Row],[GDP]]</f>
        <v/>
      </c>
      <c r="K68" s="37">
        <f>-Table58[[#This Row],[Imports]]/Table58[[#This Row],[GDP]]</f>
        <v/>
      </c>
      <c r="L68" s="37">
        <f>Table58[[#This Row],[Government]]/Table58[[#This Row],[GDP]]</f>
        <v/>
      </c>
      <c r="N68" s="58">
        <f>SUM(Table58[[#This Row],[PC%]:[G%]])</f>
        <v/>
      </c>
      <c r="O68" s="25">
        <f>Table58[[#This Row],[Personal Consumption]]+Table58[[#This Row],[Private Investment]]+Table58[[#This Row],[Exports]]+Table58[[#This Row],[Government]]-Table58[[#This Row],[Imports]]</f>
        <v/>
      </c>
    </row>
    <row r="69">
      <c r="A69" s="45" t="n">
        <v>22920</v>
      </c>
      <c r="B69" s="63">
        <f>VLOOKUP(A69,'U.S. GDP'!A:B,2,)</f>
        <v/>
      </c>
      <c r="C69" s="63">
        <f>VLOOKUP(A69,PersonalConsumption!A:B,2,)</f>
        <v/>
      </c>
      <c r="D69" s="63">
        <f>VLOOKUP(A69,PrivateInvestment!A:B,2,)</f>
        <v/>
      </c>
      <c r="E69" s="63">
        <f>VLOOKUP(A69,Exports!A:B,2,)</f>
        <v/>
      </c>
      <c r="F69" s="63">
        <f>VLOOKUP(A69,Imports!A:B,2,)</f>
        <v/>
      </c>
      <c r="G69" s="63">
        <f>VLOOKUP(A69,Government!A:B,2,)</f>
        <v/>
      </c>
      <c r="H69" s="37">
        <f>Table58[[#This Row],[Personal Consumption]]/Table58[[#This Row],[GDP]]</f>
        <v/>
      </c>
      <c r="I69" s="37">
        <f>Table58[[#This Row],[Private Investment]]/Table58[[#This Row],[GDP]]</f>
        <v/>
      </c>
      <c r="J69" s="37">
        <f>Table58[[#This Row],[Exports]]/Table58[[#This Row],[GDP]]</f>
        <v/>
      </c>
      <c r="K69" s="37">
        <f>-Table58[[#This Row],[Imports]]/Table58[[#This Row],[GDP]]</f>
        <v/>
      </c>
      <c r="L69" s="37">
        <f>Table58[[#This Row],[Government]]/Table58[[#This Row],[GDP]]</f>
        <v/>
      </c>
      <c r="N69" s="58">
        <f>SUM(Table58[[#This Row],[PC%]:[G%]])</f>
        <v/>
      </c>
      <c r="O69" s="25">
        <f>Table58[[#This Row],[Personal Consumption]]+Table58[[#This Row],[Private Investment]]+Table58[[#This Row],[Exports]]+Table58[[#This Row],[Government]]-Table58[[#This Row],[Imports]]</f>
        <v/>
      </c>
    </row>
    <row r="70">
      <c r="A70" s="45" t="n">
        <v>23012</v>
      </c>
      <c r="B70" s="63">
        <f>VLOOKUP(A70,'U.S. GDP'!A:B,2,)</f>
        <v/>
      </c>
      <c r="C70" s="63">
        <f>VLOOKUP(A70,PersonalConsumption!A:B,2,)</f>
        <v/>
      </c>
      <c r="D70" s="63">
        <f>VLOOKUP(A70,PrivateInvestment!A:B,2,)</f>
        <v/>
      </c>
      <c r="E70" s="63">
        <f>VLOOKUP(A70,Exports!A:B,2,)</f>
        <v/>
      </c>
      <c r="F70" s="63">
        <f>VLOOKUP(A70,Imports!A:B,2,)</f>
        <v/>
      </c>
      <c r="G70" s="63">
        <f>VLOOKUP(A70,Government!A:B,2,)</f>
        <v/>
      </c>
      <c r="H70" s="37">
        <f>Table58[[#This Row],[Personal Consumption]]/Table58[[#This Row],[GDP]]</f>
        <v/>
      </c>
      <c r="I70" s="37">
        <f>Table58[[#This Row],[Private Investment]]/Table58[[#This Row],[GDP]]</f>
        <v/>
      </c>
      <c r="J70" s="37">
        <f>Table58[[#This Row],[Exports]]/Table58[[#This Row],[GDP]]</f>
        <v/>
      </c>
      <c r="K70" s="37">
        <f>-Table58[[#This Row],[Imports]]/Table58[[#This Row],[GDP]]</f>
        <v/>
      </c>
      <c r="L70" s="37">
        <f>Table58[[#This Row],[Government]]/Table58[[#This Row],[GDP]]</f>
        <v/>
      </c>
      <c r="N70" s="58">
        <f>SUM(Table58[[#This Row],[PC%]:[G%]])</f>
        <v/>
      </c>
      <c r="O70" s="25">
        <f>Table58[[#This Row],[Personal Consumption]]+Table58[[#This Row],[Private Investment]]+Table58[[#This Row],[Exports]]+Table58[[#This Row],[Government]]-Table58[[#This Row],[Imports]]</f>
        <v/>
      </c>
    </row>
    <row r="71">
      <c r="A71" s="45" t="n">
        <v>23102</v>
      </c>
      <c r="B71" s="63">
        <f>VLOOKUP(A71,'U.S. GDP'!A:B,2,)</f>
        <v/>
      </c>
      <c r="C71" s="63">
        <f>VLOOKUP(A71,PersonalConsumption!A:B,2,)</f>
        <v/>
      </c>
      <c r="D71" s="63">
        <f>VLOOKUP(A71,PrivateInvestment!A:B,2,)</f>
        <v/>
      </c>
      <c r="E71" s="63">
        <f>VLOOKUP(A71,Exports!A:B,2,)</f>
        <v/>
      </c>
      <c r="F71" s="63">
        <f>VLOOKUP(A71,Imports!A:B,2,)</f>
        <v/>
      </c>
      <c r="G71" s="63">
        <f>VLOOKUP(A71,Government!A:B,2,)</f>
        <v/>
      </c>
      <c r="H71" s="37">
        <f>Table58[[#This Row],[Personal Consumption]]/Table58[[#This Row],[GDP]]</f>
        <v/>
      </c>
      <c r="I71" s="37">
        <f>Table58[[#This Row],[Private Investment]]/Table58[[#This Row],[GDP]]</f>
        <v/>
      </c>
      <c r="J71" s="37">
        <f>Table58[[#This Row],[Exports]]/Table58[[#This Row],[GDP]]</f>
        <v/>
      </c>
      <c r="K71" s="37">
        <f>-Table58[[#This Row],[Imports]]/Table58[[#This Row],[GDP]]</f>
        <v/>
      </c>
      <c r="L71" s="37">
        <f>Table58[[#This Row],[Government]]/Table58[[#This Row],[GDP]]</f>
        <v/>
      </c>
      <c r="N71" s="58">
        <f>SUM(Table58[[#This Row],[PC%]:[G%]])</f>
        <v/>
      </c>
      <c r="O71" s="25">
        <f>Table58[[#This Row],[Personal Consumption]]+Table58[[#This Row],[Private Investment]]+Table58[[#This Row],[Exports]]+Table58[[#This Row],[Government]]-Table58[[#This Row],[Imports]]</f>
        <v/>
      </c>
    </row>
    <row r="72">
      <c r="A72" s="45" t="n">
        <v>23193</v>
      </c>
      <c r="B72" s="63">
        <f>VLOOKUP(A72,'U.S. GDP'!A:B,2,)</f>
        <v/>
      </c>
      <c r="C72" s="63">
        <f>VLOOKUP(A72,PersonalConsumption!A:B,2,)</f>
        <v/>
      </c>
      <c r="D72" s="63">
        <f>VLOOKUP(A72,PrivateInvestment!A:B,2,)</f>
        <v/>
      </c>
      <c r="E72" s="63">
        <f>VLOOKUP(A72,Exports!A:B,2,)</f>
        <v/>
      </c>
      <c r="F72" s="63">
        <f>VLOOKUP(A72,Imports!A:B,2,)</f>
        <v/>
      </c>
      <c r="G72" s="63">
        <f>VLOOKUP(A72,Government!A:B,2,)</f>
        <v/>
      </c>
      <c r="H72" s="37">
        <f>Table58[[#This Row],[Personal Consumption]]/Table58[[#This Row],[GDP]]</f>
        <v/>
      </c>
      <c r="I72" s="37">
        <f>Table58[[#This Row],[Private Investment]]/Table58[[#This Row],[GDP]]</f>
        <v/>
      </c>
      <c r="J72" s="37">
        <f>Table58[[#This Row],[Exports]]/Table58[[#This Row],[GDP]]</f>
        <v/>
      </c>
      <c r="K72" s="37">
        <f>-Table58[[#This Row],[Imports]]/Table58[[#This Row],[GDP]]</f>
        <v/>
      </c>
      <c r="L72" s="37">
        <f>Table58[[#This Row],[Government]]/Table58[[#This Row],[GDP]]</f>
        <v/>
      </c>
      <c r="N72" s="58">
        <f>SUM(Table58[[#This Row],[PC%]:[G%]])</f>
        <v/>
      </c>
      <c r="O72" s="25">
        <f>Table58[[#This Row],[Personal Consumption]]+Table58[[#This Row],[Private Investment]]+Table58[[#This Row],[Exports]]+Table58[[#This Row],[Government]]-Table58[[#This Row],[Imports]]</f>
        <v/>
      </c>
    </row>
    <row r="73">
      <c r="A73" s="45" t="n">
        <v>23285</v>
      </c>
      <c r="B73" s="63">
        <f>VLOOKUP(A73,'U.S. GDP'!A:B,2,)</f>
        <v/>
      </c>
      <c r="C73" s="63">
        <f>VLOOKUP(A73,PersonalConsumption!A:B,2,)</f>
        <v/>
      </c>
      <c r="D73" s="63">
        <f>VLOOKUP(A73,PrivateInvestment!A:B,2,)</f>
        <v/>
      </c>
      <c r="E73" s="63">
        <f>VLOOKUP(A73,Exports!A:B,2,)</f>
        <v/>
      </c>
      <c r="F73" s="63">
        <f>VLOOKUP(A73,Imports!A:B,2,)</f>
        <v/>
      </c>
      <c r="G73" s="63">
        <f>VLOOKUP(A73,Government!A:B,2,)</f>
        <v/>
      </c>
      <c r="H73" s="37">
        <f>Table58[[#This Row],[Personal Consumption]]/Table58[[#This Row],[GDP]]</f>
        <v/>
      </c>
      <c r="I73" s="37">
        <f>Table58[[#This Row],[Private Investment]]/Table58[[#This Row],[GDP]]</f>
        <v/>
      </c>
      <c r="J73" s="37">
        <f>Table58[[#This Row],[Exports]]/Table58[[#This Row],[GDP]]</f>
        <v/>
      </c>
      <c r="K73" s="37">
        <f>-Table58[[#This Row],[Imports]]/Table58[[#This Row],[GDP]]</f>
        <v/>
      </c>
      <c r="L73" s="37">
        <f>Table58[[#This Row],[Government]]/Table58[[#This Row],[GDP]]</f>
        <v/>
      </c>
      <c r="N73" s="58">
        <f>SUM(Table58[[#This Row],[PC%]:[G%]])</f>
        <v/>
      </c>
      <c r="O73" s="25">
        <f>Table58[[#This Row],[Personal Consumption]]+Table58[[#This Row],[Private Investment]]+Table58[[#This Row],[Exports]]+Table58[[#This Row],[Government]]-Table58[[#This Row],[Imports]]</f>
        <v/>
      </c>
    </row>
    <row r="74">
      <c r="A74" s="45" t="n">
        <v>23377</v>
      </c>
      <c r="B74" s="63">
        <f>VLOOKUP(A74,'U.S. GDP'!A:B,2,)</f>
        <v/>
      </c>
      <c r="C74" s="63">
        <f>VLOOKUP(A74,PersonalConsumption!A:B,2,)</f>
        <v/>
      </c>
      <c r="D74" s="63">
        <f>VLOOKUP(A74,PrivateInvestment!A:B,2,)</f>
        <v/>
      </c>
      <c r="E74" s="63">
        <f>VLOOKUP(A74,Exports!A:B,2,)</f>
        <v/>
      </c>
      <c r="F74" s="63">
        <f>VLOOKUP(A74,Imports!A:B,2,)</f>
        <v/>
      </c>
      <c r="G74" s="63">
        <f>VLOOKUP(A74,Government!A:B,2,)</f>
        <v/>
      </c>
      <c r="H74" s="37">
        <f>Table58[[#This Row],[Personal Consumption]]/Table58[[#This Row],[GDP]]</f>
        <v/>
      </c>
      <c r="I74" s="37">
        <f>Table58[[#This Row],[Private Investment]]/Table58[[#This Row],[GDP]]</f>
        <v/>
      </c>
      <c r="J74" s="37">
        <f>Table58[[#This Row],[Exports]]/Table58[[#This Row],[GDP]]</f>
        <v/>
      </c>
      <c r="K74" s="37">
        <f>-Table58[[#This Row],[Imports]]/Table58[[#This Row],[GDP]]</f>
        <v/>
      </c>
      <c r="L74" s="37">
        <f>Table58[[#This Row],[Government]]/Table58[[#This Row],[GDP]]</f>
        <v/>
      </c>
      <c r="N74" s="58">
        <f>SUM(Table58[[#This Row],[PC%]:[G%]])</f>
        <v/>
      </c>
      <c r="O74" s="25">
        <f>Table58[[#This Row],[Personal Consumption]]+Table58[[#This Row],[Private Investment]]+Table58[[#This Row],[Exports]]+Table58[[#This Row],[Government]]-Table58[[#This Row],[Imports]]</f>
        <v/>
      </c>
    </row>
    <row r="75">
      <c r="A75" s="45" t="n">
        <v>23468</v>
      </c>
      <c r="B75" s="63">
        <f>VLOOKUP(A75,'U.S. GDP'!A:B,2,)</f>
        <v/>
      </c>
      <c r="C75" s="63">
        <f>VLOOKUP(A75,PersonalConsumption!A:B,2,)</f>
        <v/>
      </c>
      <c r="D75" s="63">
        <f>VLOOKUP(A75,PrivateInvestment!A:B,2,)</f>
        <v/>
      </c>
      <c r="E75" s="63">
        <f>VLOOKUP(A75,Exports!A:B,2,)</f>
        <v/>
      </c>
      <c r="F75" s="63">
        <f>VLOOKUP(A75,Imports!A:B,2,)</f>
        <v/>
      </c>
      <c r="G75" s="63">
        <f>VLOOKUP(A75,Government!A:B,2,)</f>
        <v/>
      </c>
      <c r="H75" s="37">
        <f>Table58[[#This Row],[Personal Consumption]]/Table58[[#This Row],[GDP]]</f>
        <v/>
      </c>
      <c r="I75" s="37">
        <f>Table58[[#This Row],[Private Investment]]/Table58[[#This Row],[GDP]]</f>
        <v/>
      </c>
      <c r="J75" s="37">
        <f>Table58[[#This Row],[Exports]]/Table58[[#This Row],[GDP]]</f>
        <v/>
      </c>
      <c r="K75" s="37">
        <f>-Table58[[#This Row],[Imports]]/Table58[[#This Row],[GDP]]</f>
        <v/>
      </c>
      <c r="L75" s="37">
        <f>Table58[[#This Row],[Government]]/Table58[[#This Row],[GDP]]</f>
        <v/>
      </c>
      <c r="N75" s="58">
        <f>SUM(Table58[[#This Row],[PC%]:[G%]])</f>
        <v/>
      </c>
      <c r="O75" s="25">
        <f>Table58[[#This Row],[Personal Consumption]]+Table58[[#This Row],[Private Investment]]+Table58[[#This Row],[Exports]]+Table58[[#This Row],[Government]]-Table58[[#This Row],[Imports]]</f>
        <v/>
      </c>
    </row>
    <row r="76">
      <c r="A76" s="45" t="n">
        <v>23559</v>
      </c>
      <c r="B76" s="63">
        <f>VLOOKUP(A76,'U.S. GDP'!A:B,2,)</f>
        <v/>
      </c>
      <c r="C76" s="63">
        <f>VLOOKUP(A76,PersonalConsumption!A:B,2,)</f>
        <v/>
      </c>
      <c r="D76" s="63">
        <f>VLOOKUP(A76,PrivateInvestment!A:B,2,)</f>
        <v/>
      </c>
      <c r="E76" s="63">
        <f>VLOOKUP(A76,Exports!A:B,2,)</f>
        <v/>
      </c>
      <c r="F76" s="63">
        <f>VLOOKUP(A76,Imports!A:B,2,)</f>
        <v/>
      </c>
      <c r="G76" s="63">
        <f>VLOOKUP(A76,Government!A:B,2,)</f>
        <v/>
      </c>
      <c r="H76" s="37">
        <f>Table58[[#This Row],[Personal Consumption]]/Table58[[#This Row],[GDP]]</f>
        <v/>
      </c>
      <c r="I76" s="37">
        <f>Table58[[#This Row],[Private Investment]]/Table58[[#This Row],[GDP]]</f>
        <v/>
      </c>
      <c r="J76" s="37">
        <f>Table58[[#This Row],[Exports]]/Table58[[#This Row],[GDP]]</f>
        <v/>
      </c>
      <c r="K76" s="37">
        <f>-Table58[[#This Row],[Imports]]/Table58[[#This Row],[GDP]]</f>
        <v/>
      </c>
      <c r="L76" s="37">
        <f>Table58[[#This Row],[Government]]/Table58[[#This Row],[GDP]]</f>
        <v/>
      </c>
      <c r="N76" s="58">
        <f>SUM(Table58[[#This Row],[PC%]:[G%]])</f>
        <v/>
      </c>
      <c r="O76" s="25">
        <f>Table58[[#This Row],[Personal Consumption]]+Table58[[#This Row],[Private Investment]]+Table58[[#This Row],[Exports]]+Table58[[#This Row],[Government]]-Table58[[#This Row],[Imports]]</f>
        <v/>
      </c>
    </row>
    <row r="77">
      <c r="A77" s="45" t="n">
        <v>23651</v>
      </c>
      <c r="B77" s="63">
        <f>VLOOKUP(A77,'U.S. GDP'!A:B,2,)</f>
        <v/>
      </c>
      <c r="C77" s="63">
        <f>VLOOKUP(A77,PersonalConsumption!A:B,2,)</f>
        <v/>
      </c>
      <c r="D77" s="63">
        <f>VLOOKUP(A77,PrivateInvestment!A:B,2,)</f>
        <v/>
      </c>
      <c r="E77" s="63">
        <f>VLOOKUP(A77,Exports!A:B,2,)</f>
        <v/>
      </c>
      <c r="F77" s="63">
        <f>VLOOKUP(A77,Imports!A:B,2,)</f>
        <v/>
      </c>
      <c r="G77" s="63">
        <f>VLOOKUP(A77,Government!A:B,2,)</f>
        <v/>
      </c>
      <c r="H77" s="37">
        <f>Table58[[#This Row],[Personal Consumption]]/Table58[[#This Row],[GDP]]</f>
        <v/>
      </c>
      <c r="I77" s="37">
        <f>Table58[[#This Row],[Private Investment]]/Table58[[#This Row],[GDP]]</f>
        <v/>
      </c>
      <c r="J77" s="37">
        <f>Table58[[#This Row],[Exports]]/Table58[[#This Row],[GDP]]</f>
        <v/>
      </c>
      <c r="K77" s="37">
        <f>-Table58[[#This Row],[Imports]]/Table58[[#This Row],[GDP]]</f>
        <v/>
      </c>
      <c r="L77" s="37">
        <f>Table58[[#This Row],[Government]]/Table58[[#This Row],[GDP]]</f>
        <v/>
      </c>
      <c r="N77" s="58">
        <f>SUM(Table58[[#This Row],[PC%]:[G%]])</f>
        <v/>
      </c>
      <c r="O77" s="25">
        <f>Table58[[#This Row],[Personal Consumption]]+Table58[[#This Row],[Private Investment]]+Table58[[#This Row],[Exports]]+Table58[[#This Row],[Government]]-Table58[[#This Row],[Imports]]</f>
        <v/>
      </c>
    </row>
    <row r="78">
      <c r="A78" s="45" t="n">
        <v>23743</v>
      </c>
      <c r="B78" s="63">
        <f>VLOOKUP(A78,'U.S. GDP'!A:B,2,)</f>
        <v/>
      </c>
      <c r="C78" s="63">
        <f>VLOOKUP(A78,PersonalConsumption!A:B,2,)</f>
        <v/>
      </c>
      <c r="D78" s="63">
        <f>VLOOKUP(A78,PrivateInvestment!A:B,2,)</f>
        <v/>
      </c>
      <c r="E78" s="63">
        <f>VLOOKUP(A78,Exports!A:B,2,)</f>
        <v/>
      </c>
      <c r="F78" s="63">
        <f>VLOOKUP(A78,Imports!A:B,2,)</f>
        <v/>
      </c>
      <c r="G78" s="63">
        <f>VLOOKUP(A78,Government!A:B,2,)</f>
        <v/>
      </c>
      <c r="H78" s="37">
        <f>Table58[[#This Row],[Personal Consumption]]/Table58[[#This Row],[GDP]]</f>
        <v/>
      </c>
      <c r="I78" s="37">
        <f>Table58[[#This Row],[Private Investment]]/Table58[[#This Row],[GDP]]</f>
        <v/>
      </c>
      <c r="J78" s="37">
        <f>Table58[[#This Row],[Exports]]/Table58[[#This Row],[GDP]]</f>
        <v/>
      </c>
      <c r="K78" s="37">
        <f>-Table58[[#This Row],[Imports]]/Table58[[#This Row],[GDP]]</f>
        <v/>
      </c>
      <c r="L78" s="37">
        <f>Table58[[#This Row],[Government]]/Table58[[#This Row],[GDP]]</f>
        <v/>
      </c>
      <c r="N78" s="58">
        <f>SUM(Table58[[#This Row],[PC%]:[G%]])</f>
        <v/>
      </c>
      <c r="O78" s="25">
        <f>Table58[[#This Row],[Personal Consumption]]+Table58[[#This Row],[Private Investment]]+Table58[[#This Row],[Exports]]+Table58[[#This Row],[Government]]-Table58[[#This Row],[Imports]]</f>
        <v/>
      </c>
    </row>
    <row r="79">
      <c r="A79" s="45" t="n">
        <v>23833</v>
      </c>
      <c r="B79" s="63">
        <f>VLOOKUP(A79,'U.S. GDP'!A:B,2,)</f>
        <v/>
      </c>
      <c r="C79" s="63">
        <f>VLOOKUP(A79,PersonalConsumption!A:B,2,)</f>
        <v/>
      </c>
      <c r="D79" s="63">
        <f>VLOOKUP(A79,PrivateInvestment!A:B,2,)</f>
        <v/>
      </c>
      <c r="E79" s="63">
        <f>VLOOKUP(A79,Exports!A:B,2,)</f>
        <v/>
      </c>
      <c r="F79" s="63">
        <f>VLOOKUP(A79,Imports!A:B,2,)</f>
        <v/>
      </c>
      <c r="G79" s="63">
        <f>VLOOKUP(A79,Government!A:B,2,)</f>
        <v/>
      </c>
      <c r="H79" s="37">
        <f>Table58[[#This Row],[Personal Consumption]]/Table58[[#This Row],[GDP]]</f>
        <v/>
      </c>
      <c r="I79" s="37">
        <f>Table58[[#This Row],[Private Investment]]/Table58[[#This Row],[GDP]]</f>
        <v/>
      </c>
      <c r="J79" s="37">
        <f>Table58[[#This Row],[Exports]]/Table58[[#This Row],[GDP]]</f>
        <v/>
      </c>
      <c r="K79" s="37">
        <f>-Table58[[#This Row],[Imports]]/Table58[[#This Row],[GDP]]</f>
        <v/>
      </c>
      <c r="L79" s="37">
        <f>Table58[[#This Row],[Government]]/Table58[[#This Row],[GDP]]</f>
        <v/>
      </c>
      <c r="N79" s="58">
        <f>SUM(Table58[[#This Row],[PC%]:[G%]])</f>
        <v/>
      </c>
      <c r="O79" s="25">
        <f>Table58[[#This Row],[Personal Consumption]]+Table58[[#This Row],[Private Investment]]+Table58[[#This Row],[Exports]]+Table58[[#This Row],[Government]]-Table58[[#This Row],[Imports]]</f>
        <v/>
      </c>
    </row>
    <row r="80">
      <c r="A80" s="45" t="n">
        <v>23924</v>
      </c>
      <c r="B80" s="63">
        <f>VLOOKUP(A80,'U.S. GDP'!A:B,2,)</f>
        <v/>
      </c>
      <c r="C80" s="63">
        <f>VLOOKUP(A80,PersonalConsumption!A:B,2,)</f>
        <v/>
      </c>
      <c r="D80" s="63">
        <f>VLOOKUP(A80,PrivateInvestment!A:B,2,)</f>
        <v/>
      </c>
      <c r="E80" s="63">
        <f>VLOOKUP(A80,Exports!A:B,2,)</f>
        <v/>
      </c>
      <c r="F80" s="63">
        <f>VLOOKUP(A80,Imports!A:B,2,)</f>
        <v/>
      </c>
      <c r="G80" s="63">
        <f>VLOOKUP(A80,Government!A:B,2,)</f>
        <v/>
      </c>
      <c r="H80" s="37">
        <f>Table58[[#This Row],[Personal Consumption]]/Table58[[#This Row],[GDP]]</f>
        <v/>
      </c>
      <c r="I80" s="37">
        <f>Table58[[#This Row],[Private Investment]]/Table58[[#This Row],[GDP]]</f>
        <v/>
      </c>
      <c r="J80" s="37">
        <f>Table58[[#This Row],[Exports]]/Table58[[#This Row],[GDP]]</f>
        <v/>
      </c>
      <c r="K80" s="37">
        <f>-Table58[[#This Row],[Imports]]/Table58[[#This Row],[GDP]]</f>
        <v/>
      </c>
      <c r="L80" s="37">
        <f>Table58[[#This Row],[Government]]/Table58[[#This Row],[GDP]]</f>
        <v/>
      </c>
      <c r="N80" s="58">
        <f>SUM(Table58[[#This Row],[PC%]:[G%]])</f>
        <v/>
      </c>
      <c r="O80" s="25">
        <f>Table58[[#This Row],[Personal Consumption]]+Table58[[#This Row],[Private Investment]]+Table58[[#This Row],[Exports]]+Table58[[#This Row],[Government]]-Table58[[#This Row],[Imports]]</f>
        <v/>
      </c>
    </row>
    <row r="81">
      <c r="A81" s="45" t="n">
        <v>24016</v>
      </c>
      <c r="B81" s="63">
        <f>VLOOKUP(A81,'U.S. GDP'!A:B,2,)</f>
        <v/>
      </c>
      <c r="C81" s="63">
        <f>VLOOKUP(A81,PersonalConsumption!A:B,2,)</f>
        <v/>
      </c>
      <c r="D81" s="63">
        <f>VLOOKUP(A81,PrivateInvestment!A:B,2,)</f>
        <v/>
      </c>
      <c r="E81" s="63">
        <f>VLOOKUP(A81,Exports!A:B,2,)</f>
        <v/>
      </c>
      <c r="F81" s="63">
        <f>VLOOKUP(A81,Imports!A:B,2,)</f>
        <v/>
      </c>
      <c r="G81" s="63">
        <f>VLOOKUP(A81,Government!A:B,2,)</f>
        <v/>
      </c>
      <c r="H81" s="37">
        <f>Table58[[#This Row],[Personal Consumption]]/Table58[[#This Row],[GDP]]</f>
        <v/>
      </c>
      <c r="I81" s="37">
        <f>Table58[[#This Row],[Private Investment]]/Table58[[#This Row],[GDP]]</f>
        <v/>
      </c>
      <c r="J81" s="37">
        <f>Table58[[#This Row],[Exports]]/Table58[[#This Row],[GDP]]</f>
        <v/>
      </c>
      <c r="K81" s="37">
        <f>-Table58[[#This Row],[Imports]]/Table58[[#This Row],[GDP]]</f>
        <v/>
      </c>
      <c r="L81" s="37">
        <f>Table58[[#This Row],[Government]]/Table58[[#This Row],[GDP]]</f>
        <v/>
      </c>
      <c r="N81" s="58">
        <f>SUM(Table58[[#This Row],[PC%]:[G%]])</f>
        <v/>
      </c>
      <c r="O81" s="25">
        <f>Table58[[#This Row],[Personal Consumption]]+Table58[[#This Row],[Private Investment]]+Table58[[#This Row],[Exports]]+Table58[[#This Row],[Government]]-Table58[[#This Row],[Imports]]</f>
        <v/>
      </c>
    </row>
    <row r="82">
      <c r="A82" s="45" t="n">
        <v>24108</v>
      </c>
      <c r="B82" s="63">
        <f>VLOOKUP(A82,'U.S. GDP'!A:B,2,)</f>
        <v/>
      </c>
      <c r="C82" s="63">
        <f>VLOOKUP(A82,PersonalConsumption!A:B,2,)</f>
        <v/>
      </c>
      <c r="D82" s="63">
        <f>VLOOKUP(A82,PrivateInvestment!A:B,2,)</f>
        <v/>
      </c>
      <c r="E82" s="63">
        <f>VLOOKUP(A82,Exports!A:B,2,)</f>
        <v/>
      </c>
      <c r="F82" s="63">
        <f>VLOOKUP(A82,Imports!A:B,2,)</f>
        <v/>
      </c>
      <c r="G82" s="63">
        <f>VLOOKUP(A82,Government!A:B,2,)</f>
        <v/>
      </c>
      <c r="H82" s="37">
        <f>Table58[[#This Row],[Personal Consumption]]/Table58[[#This Row],[GDP]]</f>
        <v/>
      </c>
      <c r="I82" s="37">
        <f>Table58[[#This Row],[Private Investment]]/Table58[[#This Row],[GDP]]</f>
        <v/>
      </c>
      <c r="J82" s="37">
        <f>Table58[[#This Row],[Exports]]/Table58[[#This Row],[GDP]]</f>
        <v/>
      </c>
      <c r="K82" s="37">
        <f>-Table58[[#This Row],[Imports]]/Table58[[#This Row],[GDP]]</f>
        <v/>
      </c>
      <c r="L82" s="37">
        <f>Table58[[#This Row],[Government]]/Table58[[#This Row],[GDP]]</f>
        <v/>
      </c>
      <c r="N82" s="58">
        <f>SUM(Table58[[#This Row],[PC%]:[G%]])</f>
        <v/>
      </c>
      <c r="O82" s="25">
        <f>Table58[[#This Row],[Personal Consumption]]+Table58[[#This Row],[Private Investment]]+Table58[[#This Row],[Exports]]+Table58[[#This Row],[Government]]-Table58[[#This Row],[Imports]]</f>
        <v/>
      </c>
    </row>
    <row r="83">
      <c r="A83" s="45" t="n">
        <v>24198</v>
      </c>
      <c r="B83" s="63">
        <f>VLOOKUP(A83,'U.S. GDP'!A:B,2,)</f>
        <v/>
      </c>
      <c r="C83" s="63">
        <f>VLOOKUP(A83,PersonalConsumption!A:B,2,)</f>
        <v/>
      </c>
      <c r="D83" s="63">
        <f>VLOOKUP(A83,PrivateInvestment!A:B,2,)</f>
        <v/>
      </c>
      <c r="E83" s="63">
        <f>VLOOKUP(A83,Exports!A:B,2,)</f>
        <v/>
      </c>
      <c r="F83" s="63">
        <f>VLOOKUP(A83,Imports!A:B,2,)</f>
        <v/>
      </c>
      <c r="G83" s="63">
        <f>VLOOKUP(A83,Government!A:B,2,)</f>
        <v/>
      </c>
      <c r="H83" s="37">
        <f>Table58[[#This Row],[Personal Consumption]]/Table58[[#This Row],[GDP]]</f>
        <v/>
      </c>
      <c r="I83" s="37">
        <f>Table58[[#This Row],[Private Investment]]/Table58[[#This Row],[GDP]]</f>
        <v/>
      </c>
      <c r="J83" s="37">
        <f>Table58[[#This Row],[Exports]]/Table58[[#This Row],[GDP]]</f>
        <v/>
      </c>
      <c r="K83" s="37">
        <f>-Table58[[#This Row],[Imports]]/Table58[[#This Row],[GDP]]</f>
        <v/>
      </c>
      <c r="L83" s="37">
        <f>Table58[[#This Row],[Government]]/Table58[[#This Row],[GDP]]</f>
        <v/>
      </c>
      <c r="N83" s="58">
        <f>SUM(Table58[[#This Row],[PC%]:[G%]])</f>
        <v/>
      </c>
      <c r="O83" s="25">
        <f>Table58[[#This Row],[Personal Consumption]]+Table58[[#This Row],[Private Investment]]+Table58[[#This Row],[Exports]]+Table58[[#This Row],[Government]]-Table58[[#This Row],[Imports]]</f>
        <v/>
      </c>
    </row>
    <row r="84">
      <c r="A84" s="45" t="n">
        <v>24289</v>
      </c>
      <c r="B84" s="63">
        <f>VLOOKUP(A84,'U.S. GDP'!A:B,2,)</f>
        <v/>
      </c>
      <c r="C84" s="63">
        <f>VLOOKUP(A84,PersonalConsumption!A:B,2,)</f>
        <v/>
      </c>
      <c r="D84" s="63">
        <f>VLOOKUP(A84,PrivateInvestment!A:B,2,)</f>
        <v/>
      </c>
      <c r="E84" s="63">
        <f>VLOOKUP(A84,Exports!A:B,2,)</f>
        <v/>
      </c>
      <c r="F84" s="63">
        <f>VLOOKUP(A84,Imports!A:B,2,)</f>
        <v/>
      </c>
      <c r="G84" s="63">
        <f>VLOOKUP(A84,Government!A:B,2,)</f>
        <v/>
      </c>
      <c r="H84" s="37">
        <f>Table58[[#This Row],[Personal Consumption]]/Table58[[#This Row],[GDP]]</f>
        <v/>
      </c>
      <c r="I84" s="37">
        <f>Table58[[#This Row],[Private Investment]]/Table58[[#This Row],[GDP]]</f>
        <v/>
      </c>
      <c r="J84" s="37">
        <f>Table58[[#This Row],[Exports]]/Table58[[#This Row],[GDP]]</f>
        <v/>
      </c>
      <c r="K84" s="37">
        <f>-Table58[[#This Row],[Imports]]/Table58[[#This Row],[GDP]]</f>
        <v/>
      </c>
      <c r="L84" s="37">
        <f>Table58[[#This Row],[Government]]/Table58[[#This Row],[GDP]]</f>
        <v/>
      </c>
      <c r="N84" s="58">
        <f>SUM(Table58[[#This Row],[PC%]:[G%]])</f>
        <v/>
      </c>
      <c r="O84" s="25">
        <f>Table58[[#This Row],[Personal Consumption]]+Table58[[#This Row],[Private Investment]]+Table58[[#This Row],[Exports]]+Table58[[#This Row],[Government]]-Table58[[#This Row],[Imports]]</f>
        <v/>
      </c>
    </row>
    <row r="85">
      <c r="A85" s="45" t="n">
        <v>24381</v>
      </c>
      <c r="B85" s="63">
        <f>VLOOKUP(A85,'U.S. GDP'!A:B,2,)</f>
        <v/>
      </c>
      <c r="C85" s="63">
        <f>VLOOKUP(A85,PersonalConsumption!A:B,2,)</f>
        <v/>
      </c>
      <c r="D85" s="63">
        <f>VLOOKUP(A85,PrivateInvestment!A:B,2,)</f>
        <v/>
      </c>
      <c r="E85" s="63">
        <f>VLOOKUP(A85,Exports!A:B,2,)</f>
        <v/>
      </c>
      <c r="F85" s="63">
        <f>VLOOKUP(A85,Imports!A:B,2,)</f>
        <v/>
      </c>
      <c r="G85" s="63">
        <f>VLOOKUP(A85,Government!A:B,2,)</f>
        <v/>
      </c>
      <c r="H85" s="37">
        <f>Table58[[#This Row],[Personal Consumption]]/Table58[[#This Row],[GDP]]</f>
        <v/>
      </c>
      <c r="I85" s="37">
        <f>Table58[[#This Row],[Private Investment]]/Table58[[#This Row],[GDP]]</f>
        <v/>
      </c>
      <c r="J85" s="37">
        <f>Table58[[#This Row],[Exports]]/Table58[[#This Row],[GDP]]</f>
        <v/>
      </c>
      <c r="K85" s="37">
        <f>-Table58[[#This Row],[Imports]]/Table58[[#This Row],[GDP]]</f>
        <v/>
      </c>
      <c r="L85" s="37">
        <f>Table58[[#This Row],[Government]]/Table58[[#This Row],[GDP]]</f>
        <v/>
      </c>
      <c r="N85" s="58">
        <f>SUM(Table58[[#This Row],[PC%]:[G%]])</f>
        <v/>
      </c>
      <c r="O85" s="25">
        <f>Table58[[#This Row],[Personal Consumption]]+Table58[[#This Row],[Private Investment]]+Table58[[#This Row],[Exports]]+Table58[[#This Row],[Government]]-Table58[[#This Row],[Imports]]</f>
        <v/>
      </c>
    </row>
    <row r="86">
      <c r="A86" s="45" t="n">
        <v>24473</v>
      </c>
      <c r="B86" s="63">
        <f>VLOOKUP(A86,'U.S. GDP'!A:B,2,)</f>
        <v/>
      </c>
      <c r="C86" s="63">
        <f>VLOOKUP(A86,PersonalConsumption!A:B,2,)</f>
        <v/>
      </c>
      <c r="D86" s="63">
        <f>VLOOKUP(A86,PrivateInvestment!A:B,2,)</f>
        <v/>
      </c>
      <c r="E86" s="63">
        <f>VLOOKUP(A86,Exports!A:B,2,)</f>
        <v/>
      </c>
      <c r="F86" s="63">
        <f>VLOOKUP(A86,Imports!A:B,2,)</f>
        <v/>
      </c>
      <c r="G86" s="63">
        <f>VLOOKUP(A86,Government!A:B,2,)</f>
        <v/>
      </c>
      <c r="H86" s="37">
        <f>Table58[[#This Row],[Personal Consumption]]/Table58[[#This Row],[GDP]]</f>
        <v/>
      </c>
      <c r="I86" s="37">
        <f>Table58[[#This Row],[Private Investment]]/Table58[[#This Row],[GDP]]</f>
        <v/>
      </c>
      <c r="J86" s="37">
        <f>Table58[[#This Row],[Exports]]/Table58[[#This Row],[GDP]]</f>
        <v/>
      </c>
      <c r="K86" s="37">
        <f>-Table58[[#This Row],[Imports]]/Table58[[#This Row],[GDP]]</f>
        <v/>
      </c>
      <c r="L86" s="37">
        <f>Table58[[#This Row],[Government]]/Table58[[#This Row],[GDP]]</f>
        <v/>
      </c>
      <c r="N86" s="58">
        <f>SUM(Table58[[#This Row],[PC%]:[G%]])</f>
        <v/>
      </c>
      <c r="O86" s="25">
        <f>Table58[[#This Row],[Personal Consumption]]+Table58[[#This Row],[Private Investment]]+Table58[[#This Row],[Exports]]+Table58[[#This Row],[Government]]-Table58[[#This Row],[Imports]]</f>
        <v/>
      </c>
    </row>
    <row r="87">
      <c r="A87" s="45" t="n">
        <v>24563</v>
      </c>
      <c r="B87" s="63">
        <f>VLOOKUP(A87,'U.S. GDP'!A:B,2,)</f>
        <v/>
      </c>
      <c r="C87" s="63">
        <f>VLOOKUP(A87,PersonalConsumption!A:B,2,)</f>
        <v/>
      </c>
      <c r="D87" s="63">
        <f>VLOOKUP(A87,PrivateInvestment!A:B,2,)</f>
        <v/>
      </c>
      <c r="E87" s="63">
        <f>VLOOKUP(A87,Exports!A:B,2,)</f>
        <v/>
      </c>
      <c r="F87" s="63">
        <f>VLOOKUP(A87,Imports!A:B,2,)</f>
        <v/>
      </c>
      <c r="G87" s="63">
        <f>VLOOKUP(A87,Government!A:B,2,)</f>
        <v/>
      </c>
      <c r="H87" s="37">
        <f>Table58[[#This Row],[Personal Consumption]]/Table58[[#This Row],[GDP]]</f>
        <v/>
      </c>
      <c r="I87" s="37">
        <f>Table58[[#This Row],[Private Investment]]/Table58[[#This Row],[GDP]]</f>
        <v/>
      </c>
      <c r="J87" s="37">
        <f>Table58[[#This Row],[Exports]]/Table58[[#This Row],[GDP]]</f>
        <v/>
      </c>
      <c r="K87" s="37">
        <f>-Table58[[#This Row],[Imports]]/Table58[[#This Row],[GDP]]</f>
        <v/>
      </c>
      <c r="L87" s="37">
        <f>Table58[[#This Row],[Government]]/Table58[[#This Row],[GDP]]</f>
        <v/>
      </c>
      <c r="N87" s="58">
        <f>SUM(Table58[[#This Row],[PC%]:[G%]])</f>
        <v/>
      </c>
      <c r="O87" s="25">
        <f>Table58[[#This Row],[Personal Consumption]]+Table58[[#This Row],[Private Investment]]+Table58[[#This Row],[Exports]]+Table58[[#This Row],[Government]]-Table58[[#This Row],[Imports]]</f>
        <v/>
      </c>
    </row>
    <row r="88">
      <c r="A88" s="45" t="n">
        <v>24654</v>
      </c>
      <c r="B88" s="63">
        <f>VLOOKUP(A88,'U.S. GDP'!A:B,2,)</f>
        <v/>
      </c>
      <c r="C88" s="63">
        <f>VLOOKUP(A88,PersonalConsumption!A:B,2,)</f>
        <v/>
      </c>
      <c r="D88" s="63">
        <f>VLOOKUP(A88,PrivateInvestment!A:B,2,)</f>
        <v/>
      </c>
      <c r="E88" s="63">
        <f>VLOOKUP(A88,Exports!A:B,2,)</f>
        <v/>
      </c>
      <c r="F88" s="63">
        <f>VLOOKUP(A88,Imports!A:B,2,)</f>
        <v/>
      </c>
      <c r="G88" s="63">
        <f>VLOOKUP(A88,Government!A:B,2,)</f>
        <v/>
      </c>
      <c r="H88" s="37">
        <f>Table58[[#This Row],[Personal Consumption]]/Table58[[#This Row],[GDP]]</f>
        <v/>
      </c>
      <c r="I88" s="37">
        <f>Table58[[#This Row],[Private Investment]]/Table58[[#This Row],[GDP]]</f>
        <v/>
      </c>
      <c r="J88" s="37">
        <f>Table58[[#This Row],[Exports]]/Table58[[#This Row],[GDP]]</f>
        <v/>
      </c>
      <c r="K88" s="37">
        <f>-Table58[[#This Row],[Imports]]/Table58[[#This Row],[GDP]]</f>
        <v/>
      </c>
      <c r="L88" s="37">
        <f>Table58[[#This Row],[Government]]/Table58[[#This Row],[GDP]]</f>
        <v/>
      </c>
      <c r="N88" s="58">
        <f>SUM(Table58[[#This Row],[PC%]:[G%]])</f>
        <v/>
      </c>
      <c r="O88" s="25">
        <f>Table58[[#This Row],[Personal Consumption]]+Table58[[#This Row],[Private Investment]]+Table58[[#This Row],[Exports]]+Table58[[#This Row],[Government]]-Table58[[#This Row],[Imports]]</f>
        <v/>
      </c>
    </row>
    <row r="89">
      <c r="A89" s="45" t="n">
        <v>24746</v>
      </c>
      <c r="B89" s="63">
        <f>VLOOKUP(A89,'U.S. GDP'!A:B,2,)</f>
        <v/>
      </c>
      <c r="C89" s="63">
        <f>VLOOKUP(A89,PersonalConsumption!A:B,2,)</f>
        <v/>
      </c>
      <c r="D89" s="63">
        <f>VLOOKUP(A89,PrivateInvestment!A:B,2,)</f>
        <v/>
      </c>
      <c r="E89" s="63">
        <f>VLOOKUP(A89,Exports!A:B,2,)</f>
        <v/>
      </c>
      <c r="F89" s="63">
        <f>VLOOKUP(A89,Imports!A:B,2,)</f>
        <v/>
      </c>
      <c r="G89" s="63">
        <f>VLOOKUP(A89,Government!A:B,2,)</f>
        <v/>
      </c>
      <c r="H89" s="37">
        <f>Table58[[#This Row],[Personal Consumption]]/Table58[[#This Row],[GDP]]</f>
        <v/>
      </c>
      <c r="I89" s="37">
        <f>Table58[[#This Row],[Private Investment]]/Table58[[#This Row],[GDP]]</f>
        <v/>
      </c>
      <c r="J89" s="37">
        <f>Table58[[#This Row],[Exports]]/Table58[[#This Row],[GDP]]</f>
        <v/>
      </c>
      <c r="K89" s="37">
        <f>-Table58[[#This Row],[Imports]]/Table58[[#This Row],[GDP]]</f>
        <v/>
      </c>
      <c r="L89" s="37">
        <f>Table58[[#This Row],[Government]]/Table58[[#This Row],[GDP]]</f>
        <v/>
      </c>
      <c r="N89" s="58">
        <f>SUM(Table58[[#This Row],[PC%]:[G%]])</f>
        <v/>
      </c>
      <c r="O89" s="25">
        <f>Table58[[#This Row],[Personal Consumption]]+Table58[[#This Row],[Private Investment]]+Table58[[#This Row],[Exports]]+Table58[[#This Row],[Government]]-Table58[[#This Row],[Imports]]</f>
        <v/>
      </c>
    </row>
    <row r="90">
      <c r="A90" s="45" t="n">
        <v>24838</v>
      </c>
      <c r="B90" s="63">
        <f>VLOOKUP(A90,'U.S. GDP'!A:B,2,)</f>
        <v/>
      </c>
      <c r="C90" s="63">
        <f>VLOOKUP(A90,PersonalConsumption!A:B,2,)</f>
        <v/>
      </c>
      <c r="D90" s="63">
        <f>VLOOKUP(A90,PrivateInvestment!A:B,2,)</f>
        <v/>
      </c>
      <c r="E90" s="63">
        <f>VLOOKUP(A90,Exports!A:B,2,)</f>
        <v/>
      </c>
      <c r="F90" s="63">
        <f>VLOOKUP(A90,Imports!A:B,2,)</f>
        <v/>
      </c>
      <c r="G90" s="63">
        <f>VLOOKUP(A90,Government!A:B,2,)</f>
        <v/>
      </c>
      <c r="H90" s="37">
        <f>Table58[[#This Row],[Personal Consumption]]/Table58[[#This Row],[GDP]]</f>
        <v/>
      </c>
      <c r="I90" s="37">
        <f>Table58[[#This Row],[Private Investment]]/Table58[[#This Row],[GDP]]</f>
        <v/>
      </c>
      <c r="J90" s="37">
        <f>Table58[[#This Row],[Exports]]/Table58[[#This Row],[GDP]]</f>
        <v/>
      </c>
      <c r="K90" s="37">
        <f>-Table58[[#This Row],[Imports]]/Table58[[#This Row],[GDP]]</f>
        <v/>
      </c>
      <c r="L90" s="37">
        <f>Table58[[#This Row],[Government]]/Table58[[#This Row],[GDP]]</f>
        <v/>
      </c>
      <c r="N90" s="58">
        <f>SUM(Table58[[#This Row],[PC%]:[G%]])</f>
        <v/>
      </c>
      <c r="O90" s="25">
        <f>Table58[[#This Row],[Personal Consumption]]+Table58[[#This Row],[Private Investment]]+Table58[[#This Row],[Exports]]+Table58[[#This Row],[Government]]-Table58[[#This Row],[Imports]]</f>
        <v/>
      </c>
    </row>
    <row r="91">
      <c r="A91" s="45" t="n">
        <v>24929</v>
      </c>
      <c r="B91" s="63">
        <f>VLOOKUP(A91,'U.S. GDP'!A:B,2,)</f>
        <v/>
      </c>
      <c r="C91" s="63">
        <f>VLOOKUP(A91,PersonalConsumption!A:B,2,)</f>
        <v/>
      </c>
      <c r="D91" s="63">
        <f>VLOOKUP(A91,PrivateInvestment!A:B,2,)</f>
        <v/>
      </c>
      <c r="E91" s="63">
        <f>VLOOKUP(A91,Exports!A:B,2,)</f>
        <v/>
      </c>
      <c r="F91" s="63">
        <f>VLOOKUP(A91,Imports!A:B,2,)</f>
        <v/>
      </c>
      <c r="G91" s="63">
        <f>VLOOKUP(A91,Government!A:B,2,)</f>
        <v/>
      </c>
      <c r="H91" s="37">
        <f>Table58[[#This Row],[Personal Consumption]]/Table58[[#This Row],[GDP]]</f>
        <v/>
      </c>
      <c r="I91" s="37">
        <f>Table58[[#This Row],[Private Investment]]/Table58[[#This Row],[GDP]]</f>
        <v/>
      </c>
      <c r="J91" s="37">
        <f>Table58[[#This Row],[Exports]]/Table58[[#This Row],[GDP]]</f>
        <v/>
      </c>
      <c r="K91" s="37">
        <f>-Table58[[#This Row],[Imports]]/Table58[[#This Row],[GDP]]</f>
        <v/>
      </c>
      <c r="L91" s="37">
        <f>Table58[[#This Row],[Government]]/Table58[[#This Row],[GDP]]</f>
        <v/>
      </c>
      <c r="N91" s="58">
        <f>SUM(Table58[[#This Row],[PC%]:[G%]])</f>
        <v/>
      </c>
      <c r="O91" s="25">
        <f>Table58[[#This Row],[Personal Consumption]]+Table58[[#This Row],[Private Investment]]+Table58[[#This Row],[Exports]]+Table58[[#This Row],[Government]]-Table58[[#This Row],[Imports]]</f>
        <v/>
      </c>
    </row>
    <row r="92">
      <c r="A92" s="45" t="n">
        <v>25020</v>
      </c>
      <c r="B92" s="63">
        <f>VLOOKUP(A92,'U.S. GDP'!A:B,2,)</f>
        <v/>
      </c>
      <c r="C92" s="63">
        <f>VLOOKUP(A92,PersonalConsumption!A:B,2,)</f>
        <v/>
      </c>
      <c r="D92" s="63">
        <f>VLOOKUP(A92,PrivateInvestment!A:B,2,)</f>
        <v/>
      </c>
      <c r="E92" s="63">
        <f>VLOOKUP(A92,Exports!A:B,2,)</f>
        <v/>
      </c>
      <c r="F92" s="63">
        <f>VLOOKUP(A92,Imports!A:B,2,)</f>
        <v/>
      </c>
      <c r="G92" s="63">
        <f>VLOOKUP(A92,Government!A:B,2,)</f>
        <v/>
      </c>
      <c r="H92" s="37">
        <f>Table58[[#This Row],[Personal Consumption]]/Table58[[#This Row],[GDP]]</f>
        <v/>
      </c>
      <c r="I92" s="37">
        <f>Table58[[#This Row],[Private Investment]]/Table58[[#This Row],[GDP]]</f>
        <v/>
      </c>
      <c r="J92" s="37">
        <f>Table58[[#This Row],[Exports]]/Table58[[#This Row],[GDP]]</f>
        <v/>
      </c>
      <c r="K92" s="37">
        <f>-Table58[[#This Row],[Imports]]/Table58[[#This Row],[GDP]]</f>
        <v/>
      </c>
      <c r="L92" s="37">
        <f>Table58[[#This Row],[Government]]/Table58[[#This Row],[GDP]]</f>
        <v/>
      </c>
      <c r="N92" s="58">
        <f>SUM(Table58[[#This Row],[PC%]:[G%]])</f>
        <v/>
      </c>
      <c r="O92" s="25">
        <f>Table58[[#This Row],[Personal Consumption]]+Table58[[#This Row],[Private Investment]]+Table58[[#This Row],[Exports]]+Table58[[#This Row],[Government]]-Table58[[#This Row],[Imports]]</f>
        <v/>
      </c>
    </row>
    <row r="93">
      <c r="A93" s="45" t="n">
        <v>25112</v>
      </c>
      <c r="B93" s="63">
        <f>VLOOKUP(A93,'U.S. GDP'!A:B,2,)</f>
        <v/>
      </c>
      <c r="C93" s="63">
        <f>VLOOKUP(A93,PersonalConsumption!A:B,2,)</f>
        <v/>
      </c>
      <c r="D93" s="63">
        <f>VLOOKUP(A93,PrivateInvestment!A:B,2,)</f>
        <v/>
      </c>
      <c r="E93" s="63">
        <f>VLOOKUP(A93,Exports!A:B,2,)</f>
        <v/>
      </c>
      <c r="F93" s="63">
        <f>VLOOKUP(A93,Imports!A:B,2,)</f>
        <v/>
      </c>
      <c r="G93" s="63">
        <f>VLOOKUP(A93,Government!A:B,2,)</f>
        <v/>
      </c>
      <c r="H93" s="37">
        <f>Table58[[#This Row],[Personal Consumption]]/Table58[[#This Row],[GDP]]</f>
        <v/>
      </c>
      <c r="I93" s="37">
        <f>Table58[[#This Row],[Private Investment]]/Table58[[#This Row],[GDP]]</f>
        <v/>
      </c>
      <c r="J93" s="37">
        <f>Table58[[#This Row],[Exports]]/Table58[[#This Row],[GDP]]</f>
        <v/>
      </c>
      <c r="K93" s="37">
        <f>-Table58[[#This Row],[Imports]]/Table58[[#This Row],[GDP]]</f>
        <v/>
      </c>
      <c r="L93" s="37">
        <f>Table58[[#This Row],[Government]]/Table58[[#This Row],[GDP]]</f>
        <v/>
      </c>
      <c r="N93" s="58">
        <f>SUM(Table58[[#This Row],[PC%]:[G%]])</f>
        <v/>
      </c>
      <c r="O93" s="25">
        <f>Table58[[#This Row],[Personal Consumption]]+Table58[[#This Row],[Private Investment]]+Table58[[#This Row],[Exports]]+Table58[[#This Row],[Government]]-Table58[[#This Row],[Imports]]</f>
        <v/>
      </c>
    </row>
    <row r="94">
      <c r="A94" s="45" t="n">
        <v>25204</v>
      </c>
      <c r="B94" s="63">
        <f>VLOOKUP(A94,'U.S. GDP'!A:B,2,)</f>
        <v/>
      </c>
      <c r="C94" s="63">
        <f>VLOOKUP(A94,PersonalConsumption!A:B,2,)</f>
        <v/>
      </c>
      <c r="D94" s="63">
        <f>VLOOKUP(A94,PrivateInvestment!A:B,2,)</f>
        <v/>
      </c>
      <c r="E94" s="63">
        <f>VLOOKUP(A94,Exports!A:B,2,)</f>
        <v/>
      </c>
      <c r="F94" s="63">
        <f>VLOOKUP(A94,Imports!A:B,2,)</f>
        <v/>
      </c>
      <c r="G94" s="63">
        <f>VLOOKUP(A94,Government!A:B,2,)</f>
        <v/>
      </c>
      <c r="H94" s="37">
        <f>Table58[[#This Row],[Personal Consumption]]/Table58[[#This Row],[GDP]]</f>
        <v/>
      </c>
      <c r="I94" s="37">
        <f>Table58[[#This Row],[Private Investment]]/Table58[[#This Row],[GDP]]</f>
        <v/>
      </c>
      <c r="J94" s="37">
        <f>Table58[[#This Row],[Exports]]/Table58[[#This Row],[GDP]]</f>
        <v/>
      </c>
      <c r="K94" s="37">
        <f>-Table58[[#This Row],[Imports]]/Table58[[#This Row],[GDP]]</f>
        <v/>
      </c>
      <c r="L94" s="37">
        <f>Table58[[#This Row],[Government]]/Table58[[#This Row],[GDP]]</f>
        <v/>
      </c>
      <c r="N94" s="58">
        <f>SUM(Table58[[#This Row],[PC%]:[G%]])</f>
        <v/>
      </c>
      <c r="O94" s="25">
        <f>Table58[[#This Row],[Personal Consumption]]+Table58[[#This Row],[Private Investment]]+Table58[[#This Row],[Exports]]+Table58[[#This Row],[Government]]-Table58[[#This Row],[Imports]]</f>
        <v/>
      </c>
    </row>
    <row r="95">
      <c r="A95" s="45" t="n">
        <v>25294</v>
      </c>
      <c r="B95" s="63">
        <f>VLOOKUP(A95,'U.S. GDP'!A:B,2,)</f>
        <v/>
      </c>
      <c r="C95" s="63">
        <f>VLOOKUP(A95,PersonalConsumption!A:B,2,)</f>
        <v/>
      </c>
      <c r="D95" s="63">
        <f>VLOOKUP(A95,PrivateInvestment!A:B,2,)</f>
        <v/>
      </c>
      <c r="E95" s="63">
        <f>VLOOKUP(A95,Exports!A:B,2,)</f>
        <v/>
      </c>
      <c r="F95" s="63">
        <f>VLOOKUP(A95,Imports!A:B,2,)</f>
        <v/>
      </c>
      <c r="G95" s="63">
        <f>VLOOKUP(A95,Government!A:B,2,)</f>
        <v/>
      </c>
      <c r="H95" s="37">
        <f>Table58[[#This Row],[Personal Consumption]]/Table58[[#This Row],[GDP]]</f>
        <v/>
      </c>
      <c r="I95" s="37">
        <f>Table58[[#This Row],[Private Investment]]/Table58[[#This Row],[GDP]]</f>
        <v/>
      </c>
      <c r="J95" s="37">
        <f>Table58[[#This Row],[Exports]]/Table58[[#This Row],[GDP]]</f>
        <v/>
      </c>
      <c r="K95" s="37">
        <f>-Table58[[#This Row],[Imports]]/Table58[[#This Row],[GDP]]</f>
        <v/>
      </c>
      <c r="L95" s="37">
        <f>Table58[[#This Row],[Government]]/Table58[[#This Row],[GDP]]</f>
        <v/>
      </c>
      <c r="N95" s="58">
        <f>SUM(Table58[[#This Row],[PC%]:[G%]])</f>
        <v/>
      </c>
      <c r="O95" s="25">
        <f>Table58[[#This Row],[Personal Consumption]]+Table58[[#This Row],[Private Investment]]+Table58[[#This Row],[Exports]]+Table58[[#This Row],[Government]]-Table58[[#This Row],[Imports]]</f>
        <v/>
      </c>
    </row>
    <row r="96">
      <c r="A96" s="45" t="n">
        <v>25385</v>
      </c>
      <c r="B96" s="63">
        <f>VLOOKUP(A96,'U.S. GDP'!A:B,2,)</f>
        <v/>
      </c>
      <c r="C96" s="63">
        <f>VLOOKUP(A96,PersonalConsumption!A:B,2,)</f>
        <v/>
      </c>
      <c r="D96" s="63">
        <f>VLOOKUP(A96,PrivateInvestment!A:B,2,)</f>
        <v/>
      </c>
      <c r="E96" s="63">
        <f>VLOOKUP(A96,Exports!A:B,2,)</f>
        <v/>
      </c>
      <c r="F96" s="63">
        <f>VLOOKUP(A96,Imports!A:B,2,)</f>
        <v/>
      </c>
      <c r="G96" s="63">
        <f>VLOOKUP(A96,Government!A:B,2,)</f>
        <v/>
      </c>
      <c r="H96" s="37">
        <f>Table58[[#This Row],[Personal Consumption]]/Table58[[#This Row],[GDP]]</f>
        <v/>
      </c>
      <c r="I96" s="37">
        <f>Table58[[#This Row],[Private Investment]]/Table58[[#This Row],[GDP]]</f>
        <v/>
      </c>
      <c r="J96" s="37">
        <f>Table58[[#This Row],[Exports]]/Table58[[#This Row],[GDP]]</f>
        <v/>
      </c>
      <c r="K96" s="37">
        <f>-Table58[[#This Row],[Imports]]/Table58[[#This Row],[GDP]]</f>
        <v/>
      </c>
      <c r="L96" s="37">
        <f>Table58[[#This Row],[Government]]/Table58[[#This Row],[GDP]]</f>
        <v/>
      </c>
      <c r="N96" s="58">
        <f>SUM(Table58[[#This Row],[PC%]:[G%]])</f>
        <v/>
      </c>
      <c r="O96" s="25">
        <f>Table58[[#This Row],[Personal Consumption]]+Table58[[#This Row],[Private Investment]]+Table58[[#This Row],[Exports]]+Table58[[#This Row],[Government]]-Table58[[#This Row],[Imports]]</f>
        <v/>
      </c>
    </row>
    <row r="97">
      <c r="A97" s="45" t="n">
        <v>25477</v>
      </c>
      <c r="B97" s="63">
        <f>VLOOKUP(A97,'U.S. GDP'!A:B,2,)</f>
        <v/>
      </c>
      <c r="C97" s="63">
        <f>VLOOKUP(A97,PersonalConsumption!A:B,2,)</f>
        <v/>
      </c>
      <c r="D97" s="63">
        <f>VLOOKUP(A97,PrivateInvestment!A:B,2,)</f>
        <v/>
      </c>
      <c r="E97" s="63">
        <f>VLOOKUP(A97,Exports!A:B,2,)</f>
        <v/>
      </c>
      <c r="F97" s="63">
        <f>VLOOKUP(A97,Imports!A:B,2,)</f>
        <v/>
      </c>
      <c r="G97" s="63">
        <f>VLOOKUP(A97,Government!A:B,2,)</f>
        <v/>
      </c>
      <c r="H97" s="37">
        <f>Table58[[#This Row],[Personal Consumption]]/Table58[[#This Row],[GDP]]</f>
        <v/>
      </c>
      <c r="I97" s="37">
        <f>Table58[[#This Row],[Private Investment]]/Table58[[#This Row],[GDP]]</f>
        <v/>
      </c>
      <c r="J97" s="37">
        <f>Table58[[#This Row],[Exports]]/Table58[[#This Row],[GDP]]</f>
        <v/>
      </c>
      <c r="K97" s="37">
        <f>-Table58[[#This Row],[Imports]]/Table58[[#This Row],[GDP]]</f>
        <v/>
      </c>
      <c r="L97" s="37">
        <f>Table58[[#This Row],[Government]]/Table58[[#This Row],[GDP]]</f>
        <v/>
      </c>
      <c r="N97" s="58">
        <f>SUM(Table58[[#This Row],[PC%]:[G%]])</f>
        <v/>
      </c>
      <c r="O97" s="25">
        <f>Table58[[#This Row],[Personal Consumption]]+Table58[[#This Row],[Private Investment]]+Table58[[#This Row],[Exports]]+Table58[[#This Row],[Government]]-Table58[[#This Row],[Imports]]</f>
        <v/>
      </c>
    </row>
    <row r="98">
      <c r="A98" s="45" t="n">
        <v>25569</v>
      </c>
      <c r="B98" s="63">
        <f>VLOOKUP(A98,'U.S. GDP'!A:B,2,)</f>
        <v/>
      </c>
      <c r="C98" s="63">
        <f>VLOOKUP(A98,PersonalConsumption!A:B,2,)</f>
        <v/>
      </c>
      <c r="D98" s="63">
        <f>VLOOKUP(A98,PrivateInvestment!A:B,2,)</f>
        <v/>
      </c>
      <c r="E98" s="63">
        <f>VLOOKUP(A98,Exports!A:B,2,)</f>
        <v/>
      </c>
      <c r="F98" s="63">
        <f>VLOOKUP(A98,Imports!A:B,2,)</f>
        <v/>
      </c>
      <c r="G98" s="63">
        <f>VLOOKUP(A98,Government!A:B,2,)</f>
        <v/>
      </c>
      <c r="H98" s="37">
        <f>Table58[[#This Row],[Personal Consumption]]/Table58[[#This Row],[GDP]]</f>
        <v/>
      </c>
      <c r="I98" s="37">
        <f>Table58[[#This Row],[Private Investment]]/Table58[[#This Row],[GDP]]</f>
        <v/>
      </c>
      <c r="J98" s="37">
        <f>Table58[[#This Row],[Exports]]/Table58[[#This Row],[GDP]]</f>
        <v/>
      </c>
      <c r="K98" s="37">
        <f>-Table58[[#This Row],[Imports]]/Table58[[#This Row],[GDP]]</f>
        <v/>
      </c>
      <c r="L98" s="37">
        <f>Table58[[#This Row],[Government]]/Table58[[#This Row],[GDP]]</f>
        <v/>
      </c>
      <c r="N98" s="58">
        <f>SUM(Table58[[#This Row],[PC%]:[G%]])</f>
        <v/>
      </c>
      <c r="O98" s="25">
        <f>Table58[[#This Row],[Personal Consumption]]+Table58[[#This Row],[Private Investment]]+Table58[[#This Row],[Exports]]+Table58[[#This Row],[Government]]-Table58[[#This Row],[Imports]]</f>
        <v/>
      </c>
    </row>
    <row r="99">
      <c r="A99" s="45" t="n">
        <v>25659</v>
      </c>
      <c r="B99" s="63">
        <f>VLOOKUP(A99,'U.S. GDP'!A:B,2,)</f>
        <v/>
      </c>
      <c r="C99" s="63">
        <f>VLOOKUP(A99,PersonalConsumption!A:B,2,)</f>
        <v/>
      </c>
      <c r="D99" s="63">
        <f>VLOOKUP(A99,PrivateInvestment!A:B,2,)</f>
        <v/>
      </c>
      <c r="E99" s="63">
        <f>VLOOKUP(A99,Exports!A:B,2,)</f>
        <v/>
      </c>
      <c r="F99" s="63">
        <f>VLOOKUP(A99,Imports!A:B,2,)</f>
        <v/>
      </c>
      <c r="G99" s="63">
        <f>VLOOKUP(A99,Government!A:B,2,)</f>
        <v/>
      </c>
      <c r="H99" s="37">
        <f>Table58[[#This Row],[Personal Consumption]]/Table58[[#This Row],[GDP]]</f>
        <v/>
      </c>
      <c r="I99" s="37">
        <f>Table58[[#This Row],[Private Investment]]/Table58[[#This Row],[GDP]]</f>
        <v/>
      </c>
      <c r="J99" s="37">
        <f>Table58[[#This Row],[Exports]]/Table58[[#This Row],[GDP]]</f>
        <v/>
      </c>
      <c r="K99" s="37">
        <f>-Table58[[#This Row],[Imports]]/Table58[[#This Row],[GDP]]</f>
        <v/>
      </c>
      <c r="L99" s="37">
        <f>Table58[[#This Row],[Government]]/Table58[[#This Row],[GDP]]</f>
        <v/>
      </c>
      <c r="N99" s="58">
        <f>SUM(Table58[[#This Row],[PC%]:[G%]])</f>
        <v/>
      </c>
      <c r="O99" s="25">
        <f>Table58[[#This Row],[Personal Consumption]]+Table58[[#This Row],[Private Investment]]+Table58[[#This Row],[Exports]]+Table58[[#This Row],[Government]]-Table58[[#This Row],[Imports]]</f>
        <v/>
      </c>
    </row>
    <row r="100">
      <c r="A100" s="45" t="n">
        <v>25750</v>
      </c>
      <c r="B100" s="63">
        <f>VLOOKUP(A100,'U.S. GDP'!A:B,2,)</f>
        <v/>
      </c>
      <c r="C100" s="63">
        <f>VLOOKUP(A100,PersonalConsumption!A:B,2,)</f>
        <v/>
      </c>
      <c r="D100" s="63">
        <f>VLOOKUP(A100,PrivateInvestment!A:B,2,)</f>
        <v/>
      </c>
      <c r="E100" s="63">
        <f>VLOOKUP(A100,Exports!A:B,2,)</f>
        <v/>
      </c>
      <c r="F100" s="63">
        <f>VLOOKUP(A100,Imports!A:B,2,)</f>
        <v/>
      </c>
      <c r="G100" s="63">
        <f>VLOOKUP(A100,Government!A:B,2,)</f>
        <v/>
      </c>
      <c r="H100" s="37">
        <f>Table58[[#This Row],[Personal Consumption]]/Table58[[#This Row],[GDP]]</f>
        <v/>
      </c>
      <c r="I100" s="37">
        <f>Table58[[#This Row],[Private Investment]]/Table58[[#This Row],[GDP]]</f>
        <v/>
      </c>
      <c r="J100" s="37">
        <f>Table58[[#This Row],[Exports]]/Table58[[#This Row],[GDP]]</f>
        <v/>
      </c>
      <c r="K100" s="37">
        <f>-Table58[[#This Row],[Imports]]/Table58[[#This Row],[GDP]]</f>
        <v/>
      </c>
      <c r="L100" s="37">
        <f>Table58[[#This Row],[Government]]/Table58[[#This Row],[GDP]]</f>
        <v/>
      </c>
      <c r="N100" s="58">
        <f>SUM(Table58[[#This Row],[PC%]:[G%]])</f>
        <v/>
      </c>
      <c r="O100" s="25">
        <f>Table58[[#This Row],[Personal Consumption]]+Table58[[#This Row],[Private Investment]]+Table58[[#This Row],[Exports]]+Table58[[#This Row],[Government]]-Table58[[#This Row],[Imports]]</f>
        <v/>
      </c>
    </row>
    <row r="101">
      <c r="A101" s="45" t="n">
        <v>25842</v>
      </c>
      <c r="B101" s="63">
        <f>VLOOKUP(A101,'U.S. GDP'!A:B,2,)</f>
        <v/>
      </c>
      <c r="C101" s="63">
        <f>VLOOKUP(A101,PersonalConsumption!A:B,2,)</f>
        <v/>
      </c>
      <c r="D101" s="63">
        <f>VLOOKUP(A101,PrivateInvestment!A:B,2,)</f>
        <v/>
      </c>
      <c r="E101" s="63">
        <f>VLOOKUP(A101,Exports!A:B,2,)</f>
        <v/>
      </c>
      <c r="F101" s="63">
        <f>VLOOKUP(A101,Imports!A:B,2,)</f>
        <v/>
      </c>
      <c r="G101" s="63">
        <f>VLOOKUP(A101,Government!A:B,2,)</f>
        <v/>
      </c>
      <c r="H101" s="37">
        <f>Table58[[#This Row],[Personal Consumption]]/Table58[[#This Row],[GDP]]</f>
        <v/>
      </c>
      <c r="I101" s="37">
        <f>Table58[[#This Row],[Private Investment]]/Table58[[#This Row],[GDP]]</f>
        <v/>
      </c>
      <c r="J101" s="37">
        <f>Table58[[#This Row],[Exports]]/Table58[[#This Row],[GDP]]</f>
        <v/>
      </c>
      <c r="K101" s="37">
        <f>-Table58[[#This Row],[Imports]]/Table58[[#This Row],[GDP]]</f>
        <v/>
      </c>
      <c r="L101" s="37">
        <f>Table58[[#This Row],[Government]]/Table58[[#This Row],[GDP]]</f>
        <v/>
      </c>
      <c r="N101" s="58">
        <f>SUM(Table58[[#This Row],[PC%]:[G%]])</f>
        <v/>
      </c>
      <c r="O101" s="25">
        <f>Table58[[#This Row],[Personal Consumption]]+Table58[[#This Row],[Private Investment]]+Table58[[#This Row],[Exports]]+Table58[[#This Row],[Government]]-Table58[[#This Row],[Imports]]</f>
        <v/>
      </c>
    </row>
    <row r="102">
      <c r="A102" s="45" t="n">
        <v>25934</v>
      </c>
      <c r="B102" s="63">
        <f>VLOOKUP(A102,'U.S. GDP'!A:B,2,)</f>
        <v/>
      </c>
      <c r="C102" s="63">
        <f>VLOOKUP(A102,PersonalConsumption!A:B,2,)</f>
        <v/>
      </c>
      <c r="D102" s="63">
        <f>VLOOKUP(A102,PrivateInvestment!A:B,2,)</f>
        <v/>
      </c>
      <c r="E102" s="63">
        <f>VLOOKUP(A102,Exports!A:B,2,)</f>
        <v/>
      </c>
      <c r="F102" s="63">
        <f>VLOOKUP(A102,Imports!A:B,2,)</f>
        <v/>
      </c>
      <c r="G102" s="63">
        <f>VLOOKUP(A102,Government!A:B,2,)</f>
        <v/>
      </c>
      <c r="H102" s="37">
        <f>Table58[[#This Row],[Personal Consumption]]/Table58[[#This Row],[GDP]]</f>
        <v/>
      </c>
      <c r="I102" s="37">
        <f>Table58[[#This Row],[Private Investment]]/Table58[[#This Row],[GDP]]</f>
        <v/>
      </c>
      <c r="J102" s="37">
        <f>Table58[[#This Row],[Exports]]/Table58[[#This Row],[GDP]]</f>
        <v/>
      </c>
      <c r="K102" s="37">
        <f>-Table58[[#This Row],[Imports]]/Table58[[#This Row],[GDP]]</f>
        <v/>
      </c>
      <c r="L102" s="37">
        <f>Table58[[#This Row],[Government]]/Table58[[#This Row],[GDP]]</f>
        <v/>
      </c>
      <c r="N102" s="58">
        <f>SUM(Table58[[#This Row],[PC%]:[G%]])</f>
        <v/>
      </c>
      <c r="O102" s="25">
        <f>Table58[[#This Row],[Personal Consumption]]+Table58[[#This Row],[Private Investment]]+Table58[[#This Row],[Exports]]+Table58[[#This Row],[Government]]-Table58[[#This Row],[Imports]]</f>
        <v/>
      </c>
    </row>
    <row r="103">
      <c r="A103" s="45" t="n">
        <v>26024</v>
      </c>
      <c r="B103" s="63">
        <f>VLOOKUP(A103,'U.S. GDP'!A:B,2,)</f>
        <v/>
      </c>
      <c r="C103" s="63">
        <f>VLOOKUP(A103,PersonalConsumption!A:B,2,)</f>
        <v/>
      </c>
      <c r="D103" s="63">
        <f>VLOOKUP(A103,PrivateInvestment!A:B,2,)</f>
        <v/>
      </c>
      <c r="E103" s="63">
        <f>VLOOKUP(A103,Exports!A:B,2,)</f>
        <v/>
      </c>
      <c r="F103" s="63">
        <f>VLOOKUP(A103,Imports!A:B,2,)</f>
        <v/>
      </c>
      <c r="G103" s="63">
        <f>VLOOKUP(A103,Government!A:B,2,)</f>
        <v/>
      </c>
      <c r="H103" s="37">
        <f>Table58[[#This Row],[Personal Consumption]]/Table58[[#This Row],[GDP]]</f>
        <v/>
      </c>
      <c r="I103" s="37">
        <f>Table58[[#This Row],[Private Investment]]/Table58[[#This Row],[GDP]]</f>
        <v/>
      </c>
      <c r="J103" s="37">
        <f>Table58[[#This Row],[Exports]]/Table58[[#This Row],[GDP]]</f>
        <v/>
      </c>
      <c r="K103" s="37">
        <f>-Table58[[#This Row],[Imports]]/Table58[[#This Row],[GDP]]</f>
        <v/>
      </c>
      <c r="L103" s="37">
        <f>Table58[[#This Row],[Government]]/Table58[[#This Row],[GDP]]</f>
        <v/>
      </c>
      <c r="N103" s="58">
        <f>SUM(Table58[[#This Row],[PC%]:[G%]])</f>
        <v/>
      </c>
      <c r="O103" s="25">
        <f>Table58[[#This Row],[Personal Consumption]]+Table58[[#This Row],[Private Investment]]+Table58[[#This Row],[Exports]]+Table58[[#This Row],[Government]]-Table58[[#This Row],[Imports]]</f>
        <v/>
      </c>
    </row>
    <row r="104">
      <c r="A104" s="45" t="n">
        <v>26115</v>
      </c>
      <c r="B104" s="63">
        <f>VLOOKUP(A104,'U.S. GDP'!A:B,2,)</f>
        <v/>
      </c>
      <c r="C104" s="63">
        <f>VLOOKUP(A104,PersonalConsumption!A:B,2,)</f>
        <v/>
      </c>
      <c r="D104" s="63">
        <f>VLOOKUP(A104,PrivateInvestment!A:B,2,)</f>
        <v/>
      </c>
      <c r="E104" s="63">
        <f>VLOOKUP(A104,Exports!A:B,2,)</f>
        <v/>
      </c>
      <c r="F104" s="63">
        <f>VLOOKUP(A104,Imports!A:B,2,)</f>
        <v/>
      </c>
      <c r="G104" s="63">
        <f>VLOOKUP(A104,Government!A:B,2,)</f>
        <v/>
      </c>
      <c r="H104" s="37">
        <f>Table58[[#This Row],[Personal Consumption]]/Table58[[#This Row],[GDP]]</f>
        <v/>
      </c>
      <c r="I104" s="37">
        <f>Table58[[#This Row],[Private Investment]]/Table58[[#This Row],[GDP]]</f>
        <v/>
      </c>
      <c r="J104" s="37">
        <f>Table58[[#This Row],[Exports]]/Table58[[#This Row],[GDP]]</f>
        <v/>
      </c>
      <c r="K104" s="37">
        <f>-Table58[[#This Row],[Imports]]/Table58[[#This Row],[GDP]]</f>
        <v/>
      </c>
      <c r="L104" s="37">
        <f>Table58[[#This Row],[Government]]/Table58[[#This Row],[GDP]]</f>
        <v/>
      </c>
      <c r="N104" s="58">
        <f>SUM(Table58[[#This Row],[PC%]:[G%]])</f>
        <v/>
      </c>
      <c r="O104" s="25">
        <f>Table58[[#This Row],[Personal Consumption]]+Table58[[#This Row],[Private Investment]]+Table58[[#This Row],[Exports]]+Table58[[#This Row],[Government]]-Table58[[#This Row],[Imports]]</f>
        <v/>
      </c>
    </row>
    <row r="105">
      <c r="A105" s="45" t="n">
        <v>26207</v>
      </c>
      <c r="B105" s="63">
        <f>VLOOKUP(A105,'U.S. GDP'!A:B,2,)</f>
        <v/>
      </c>
      <c r="C105" s="63">
        <f>VLOOKUP(A105,PersonalConsumption!A:B,2,)</f>
        <v/>
      </c>
      <c r="D105" s="63">
        <f>VLOOKUP(A105,PrivateInvestment!A:B,2,)</f>
        <v/>
      </c>
      <c r="E105" s="63">
        <f>VLOOKUP(A105,Exports!A:B,2,)</f>
        <v/>
      </c>
      <c r="F105" s="63">
        <f>VLOOKUP(A105,Imports!A:B,2,)</f>
        <v/>
      </c>
      <c r="G105" s="63">
        <f>VLOOKUP(A105,Government!A:B,2,)</f>
        <v/>
      </c>
      <c r="H105" s="37">
        <f>Table58[[#This Row],[Personal Consumption]]/Table58[[#This Row],[GDP]]</f>
        <v/>
      </c>
      <c r="I105" s="37">
        <f>Table58[[#This Row],[Private Investment]]/Table58[[#This Row],[GDP]]</f>
        <v/>
      </c>
      <c r="J105" s="37">
        <f>Table58[[#This Row],[Exports]]/Table58[[#This Row],[GDP]]</f>
        <v/>
      </c>
      <c r="K105" s="37">
        <f>-Table58[[#This Row],[Imports]]/Table58[[#This Row],[GDP]]</f>
        <v/>
      </c>
      <c r="L105" s="37">
        <f>Table58[[#This Row],[Government]]/Table58[[#This Row],[GDP]]</f>
        <v/>
      </c>
      <c r="N105" s="58">
        <f>SUM(Table58[[#This Row],[PC%]:[G%]])</f>
        <v/>
      </c>
      <c r="O105" s="25">
        <f>Table58[[#This Row],[Personal Consumption]]+Table58[[#This Row],[Private Investment]]+Table58[[#This Row],[Exports]]+Table58[[#This Row],[Government]]-Table58[[#This Row],[Imports]]</f>
        <v/>
      </c>
    </row>
    <row r="106">
      <c r="A106" s="45" t="n">
        <v>26299</v>
      </c>
      <c r="B106" s="63">
        <f>VLOOKUP(A106,'U.S. GDP'!A:B,2,)</f>
        <v/>
      </c>
      <c r="C106" s="63">
        <f>VLOOKUP(A106,PersonalConsumption!A:B,2,)</f>
        <v/>
      </c>
      <c r="D106" s="63">
        <f>VLOOKUP(A106,PrivateInvestment!A:B,2,)</f>
        <v/>
      </c>
      <c r="E106" s="63">
        <f>VLOOKUP(A106,Exports!A:B,2,)</f>
        <v/>
      </c>
      <c r="F106" s="63">
        <f>VLOOKUP(A106,Imports!A:B,2,)</f>
        <v/>
      </c>
      <c r="G106" s="63">
        <f>VLOOKUP(A106,Government!A:B,2,)</f>
        <v/>
      </c>
      <c r="H106" s="37">
        <f>Table58[[#This Row],[Personal Consumption]]/Table58[[#This Row],[GDP]]</f>
        <v/>
      </c>
      <c r="I106" s="37">
        <f>Table58[[#This Row],[Private Investment]]/Table58[[#This Row],[GDP]]</f>
        <v/>
      </c>
      <c r="J106" s="37">
        <f>Table58[[#This Row],[Exports]]/Table58[[#This Row],[GDP]]</f>
        <v/>
      </c>
      <c r="K106" s="37">
        <f>-Table58[[#This Row],[Imports]]/Table58[[#This Row],[GDP]]</f>
        <v/>
      </c>
      <c r="L106" s="37">
        <f>Table58[[#This Row],[Government]]/Table58[[#This Row],[GDP]]</f>
        <v/>
      </c>
      <c r="N106" s="58">
        <f>SUM(Table58[[#This Row],[PC%]:[G%]])</f>
        <v/>
      </c>
      <c r="O106" s="25">
        <f>Table58[[#This Row],[Personal Consumption]]+Table58[[#This Row],[Private Investment]]+Table58[[#This Row],[Exports]]+Table58[[#This Row],[Government]]-Table58[[#This Row],[Imports]]</f>
        <v/>
      </c>
    </row>
    <row r="107">
      <c r="A107" s="45" t="n">
        <v>26390</v>
      </c>
      <c r="B107" s="63">
        <f>VLOOKUP(A107,'U.S. GDP'!A:B,2,)</f>
        <v/>
      </c>
      <c r="C107" s="63">
        <f>VLOOKUP(A107,PersonalConsumption!A:B,2,)</f>
        <v/>
      </c>
      <c r="D107" s="63">
        <f>VLOOKUP(A107,PrivateInvestment!A:B,2,)</f>
        <v/>
      </c>
      <c r="E107" s="63">
        <f>VLOOKUP(A107,Exports!A:B,2,)</f>
        <v/>
      </c>
      <c r="F107" s="63">
        <f>VLOOKUP(A107,Imports!A:B,2,)</f>
        <v/>
      </c>
      <c r="G107" s="63">
        <f>VLOOKUP(A107,Government!A:B,2,)</f>
        <v/>
      </c>
      <c r="H107" s="37">
        <f>Table58[[#This Row],[Personal Consumption]]/Table58[[#This Row],[GDP]]</f>
        <v/>
      </c>
      <c r="I107" s="37">
        <f>Table58[[#This Row],[Private Investment]]/Table58[[#This Row],[GDP]]</f>
        <v/>
      </c>
      <c r="J107" s="37">
        <f>Table58[[#This Row],[Exports]]/Table58[[#This Row],[GDP]]</f>
        <v/>
      </c>
      <c r="K107" s="37">
        <f>-Table58[[#This Row],[Imports]]/Table58[[#This Row],[GDP]]</f>
        <v/>
      </c>
      <c r="L107" s="37">
        <f>Table58[[#This Row],[Government]]/Table58[[#This Row],[GDP]]</f>
        <v/>
      </c>
      <c r="N107" s="58">
        <f>SUM(Table58[[#This Row],[PC%]:[G%]])</f>
        <v/>
      </c>
      <c r="O107" s="25">
        <f>Table58[[#This Row],[Personal Consumption]]+Table58[[#This Row],[Private Investment]]+Table58[[#This Row],[Exports]]+Table58[[#This Row],[Government]]-Table58[[#This Row],[Imports]]</f>
        <v/>
      </c>
    </row>
    <row r="108">
      <c r="A108" s="45" t="n">
        <v>26481</v>
      </c>
      <c r="B108" s="63">
        <f>VLOOKUP(A108,'U.S. GDP'!A:B,2,)</f>
        <v/>
      </c>
      <c r="C108" s="63">
        <f>VLOOKUP(A108,PersonalConsumption!A:B,2,)</f>
        <v/>
      </c>
      <c r="D108" s="63">
        <f>VLOOKUP(A108,PrivateInvestment!A:B,2,)</f>
        <v/>
      </c>
      <c r="E108" s="63">
        <f>VLOOKUP(A108,Exports!A:B,2,)</f>
        <v/>
      </c>
      <c r="F108" s="63">
        <f>VLOOKUP(A108,Imports!A:B,2,)</f>
        <v/>
      </c>
      <c r="G108" s="63">
        <f>VLOOKUP(A108,Government!A:B,2,)</f>
        <v/>
      </c>
      <c r="H108" s="37">
        <f>Table58[[#This Row],[Personal Consumption]]/Table58[[#This Row],[GDP]]</f>
        <v/>
      </c>
      <c r="I108" s="37">
        <f>Table58[[#This Row],[Private Investment]]/Table58[[#This Row],[GDP]]</f>
        <v/>
      </c>
      <c r="J108" s="37">
        <f>Table58[[#This Row],[Exports]]/Table58[[#This Row],[GDP]]</f>
        <v/>
      </c>
      <c r="K108" s="37">
        <f>-Table58[[#This Row],[Imports]]/Table58[[#This Row],[GDP]]</f>
        <v/>
      </c>
      <c r="L108" s="37">
        <f>Table58[[#This Row],[Government]]/Table58[[#This Row],[GDP]]</f>
        <v/>
      </c>
      <c r="N108" s="58">
        <f>SUM(Table58[[#This Row],[PC%]:[G%]])</f>
        <v/>
      </c>
      <c r="O108" s="25">
        <f>Table58[[#This Row],[Personal Consumption]]+Table58[[#This Row],[Private Investment]]+Table58[[#This Row],[Exports]]+Table58[[#This Row],[Government]]-Table58[[#This Row],[Imports]]</f>
        <v/>
      </c>
    </row>
    <row r="109">
      <c r="A109" s="45" t="n">
        <v>26573</v>
      </c>
      <c r="B109" s="63">
        <f>VLOOKUP(A109,'U.S. GDP'!A:B,2,)</f>
        <v/>
      </c>
      <c r="C109" s="63">
        <f>VLOOKUP(A109,PersonalConsumption!A:B,2,)</f>
        <v/>
      </c>
      <c r="D109" s="63">
        <f>VLOOKUP(A109,PrivateInvestment!A:B,2,)</f>
        <v/>
      </c>
      <c r="E109" s="63">
        <f>VLOOKUP(A109,Exports!A:B,2,)</f>
        <v/>
      </c>
      <c r="F109" s="63">
        <f>VLOOKUP(A109,Imports!A:B,2,)</f>
        <v/>
      </c>
      <c r="G109" s="63">
        <f>VLOOKUP(A109,Government!A:B,2,)</f>
        <v/>
      </c>
      <c r="H109" s="37">
        <f>Table58[[#This Row],[Personal Consumption]]/Table58[[#This Row],[GDP]]</f>
        <v/>
      </c>
      <c r="I109" s="37">
        <f>Table58[[#This Row],[Private Investment]]/Table58[[#This Row],[GDP]]</f>
        <v/>
      </c>
      <c r="J109" s="37">
        <f>Table58[[#This Row],[Exports]]/Table58[[#This Row],[GDP]]</f>
        <v/>
      </c>
      <c r="K109" s="37">
        <f>-Table58[[#This Row],[Imports]]/Table58[[#This Row],[GDP]]</f>
        <v/>
      </c>
      <c r="L109" s="37">
        <f>Table58[[#This Row],[Government]]/Table58[[#This Row],[GDP]]</f>
        <v/>
      </c>
      <c r="N109" s="58">
        <f>SUM(Table58[[#This Row],[PC%]:[G%]])</f>
        <v/>
      </c>
      <c r="O109" s="25">
        <f>Table58[[#This Row],[Personal Consumption]]+Table58[[#This Row],[Private Investment]]+Table58[[#This Row],[Exports]]+Table58[[#This Row],[Government]]-Table58[[#This Row],[Imports]]</f>
        <v/>
      </c>
    </row>
    <row r="110">
      <c r="A110" s="45" t="n">
        <v>26665</v>
      </c>
      <c r="B110" s="63">
        <f>VLOOKUP(A110,'U.S. GDP'!A:B,2,)</f>
        <v/>
      </c>
      <c r="C110" s="63">
        <f>VLOOKUP(A110,PersonalConsumption!A:B,2,)</f>
        <v/>
      </c>
      <c r="D110" s="63">
        <f>VLOOKUP(A110,PrivateInvestment!A:B,2,)</f>
        <v/>
      </c>
      <c r="E110" s="63">
        <f>VLOOKUP(A110,Exports!A:B,2,)</f>
        <v/>
      </c>
      <c r="F110" s="63">
        <f>VLOOKUP(A110,Imports!A:B,2,)</f>
        <v/>
      </c>
      <c r="G110" s="63">
        <f>VLOOKUP(A110,Government!A:B,2,)</f>
        <v/>
      </c>
      <c r="H110" s="37">
        <f>Table58[[#This Row],[Personal Consumption]]/Table58[[#This Row],[GDP]]</f>
        <v/>
      </c>
      <c r="I110" s="37">
        <f>Table58[[#This Row],[Private Investment]]/Table58[[#This Row],[GDP]]</f>
        <v/>
      </c>
      <c r="J110" s="37">
        <f>Table58[[#This Row],[Exports]]/Table58[[#This Row],[GDP]]</f>
        <v/>
      </c>
      <c r="K110" s="37">
        <f>-Table58[[#This Row],[Imports]]/Table58[[#This Row],[GDP]]</f>
        <v/>
      </c>
      <c r="L110" s="37">
        <f>Table58[[#This Row],[Government]]/Table58[[#This Row],[GDP]]</f>
        <v/>
      </c>
      <c r="N110" s="58">
        <f>SUM(Table58[[#This Row],[PC%]:[G%]])</f>
        <v/>
      </c>
      <c r="O110" s="25">
        <f>Table58[[#This Row],[Personal Consumption]]+Table58[[#This Row],[Private Investment]]+Table58[[#This Row],[Exports]]+Table58[[#This Row],[Government]]-Table58[[#This Row],[Imports]]</f>
        <v/>
      </c>
    </row>
    <row r="111">
      <c r="A111" s="45" t="n">
        <v>26755</v>
      </c>
      <c r="B111" s="63">
        <f>VLOOKUP(A111,'U.S. GDP'!A:B,2,)</f>
        <v/>
      </c>
      <c r="C111" s="63">
        <f>VLOOKUP(A111,PersonalConsumption!A:B,2,)</f>
        <v/>
      </c>
      <c r="D111" s="63">
        <f>VLOOKUP(A111,PrivateInvestment!A:B,2,)</f>
        <v/>
      </c>
      <c r="E111" s="63">
        <f>VLOOKUP(A111,Exports!A:B,2,)</f>
        <v/>
      </c>
      <c r="F111" s="63">
        <f>VLOOKUP(A111,Imports!A:B,2,)</f>
        <v/>
      </c>
      <c r="G111" s="63">
        <f>VLOOKUP(A111,Government!A:B,2,)</f>
        <v/>
      </c>
      <c r="H111" s="37">
        <f>Table58[[#This Row],[Personal Consumption]]/Table58[[#This Row],[GDP]]</f>
        <v/>
      </c>
      <c r="I111" s="37">
        <f>Table58[[#This Row],[Private Investment]]/Table58[[#This Row],[GDP]]</f>
        <v/>
      </c>
      <c r="J111" s="37">
        <f>Table58[[#This Row],[Exports]]/Table58[[#This Row],[GDP]]</f>
        <v/>
      </c>
      <c r="K111" s="37">
        <f>-Table58[[#This Row],[Imports]]/Table58[[#This Row],[GDP]]</f>
        <v/>
      </c>
      <c r="L111" s="37">
        <f>Table58[[#This Row],[Government]]/Table58[[#This Row],[GDP]]</f>
        <v/>
      </c>
      <c r="N111" s="58">
        <f>SUM(Table58[[#This Row],[PC%]:[G%]])</f>
        <v/>
      </c>
      <c r="O111" s="25">
        <f>Table58[[#This Row],[Personal Consumption]]+Table58[[#This Row],[Private Investment]]+Table58[[#This Row],[Exports]]+Table58[[#This Row],[Government]]-Table58[[#This Row],[Imports]]</f>
        <v/>
      </c>
    </row>
    <row r="112">
      <c r="A112" s="45" t="n">
        <v>26846</v>
      </c>
      <c r="B112" s="63">
        <f>VLOOKUP(A112,'U.S. GDP'!A:B,2,)</f>
        <v/>
      </c>
      <c r="C112" s="63">
        <f>VLOOKUP(A112,PersonalConsumption!A:B,2,)</f>
        <v/>
      </c>
      <c r="D112" s="63">
        <f>VLOOKUP(A112,PrivateInvestment!A:B,2,)</f>
        <v/>
      </c>
      <c r="E112" s="63">
        <f>VLOOKUP(A112,Exports!A:B,2,)</f>
        <v/>
      </c>
      <c r="F112" s="63">
        <f>VLOOKUP(A112,Imports!A:B,2,)</f>
        <v/>
      </c>
      <c r="G112" s="63">
        <f>VLOOKUP(A112,Government!A:B,2,)</f>
        <v/>
      </c>
      <c r="H112" s="37">
        <f>Table58[[#This Row],[Personal Consumption]]/Table58[[#This Row],[GDP]]</f>
        <v/>
      </c>
      <c r="I112" s="37">
        <f>Table58[[#This Row],[Private Investment]]/Table58[[#This Row],[GDP]]</f>
        <v/>
      </c>
      <c r="J112" s="37">
        <f>Table58[[#This Row],[Exports]]/Table58[[#This Row],[GDP]]</f>
        <v/>
      </c>
      <c r="K112" s="37">
        <f>-Table58[[#This Row],[Imports]]/Table58[[#This Row],[GDP]]</f>
        <v/>
      </c>
      <c r="L112" s="37">
        <f>Table58[[#This Row],[Government]]/Table58[[#This Row],[GDP]]</f>
        <v/>
      </c>
      <c r="N112" s="58">
        <f>SUM(Table58[[#This Row],[PC%]:[G%]])</f>
        <v/>
      </c>
      <c r="O112" s="25">
        <f>Table58[[#This Row],[Personal Consumption]]+Table58[[#This Row],[Private Investment]]+Table58[[#This Row],[Exports]]+Table58[[#This Row],[Government]]-Table58[[#This Row],[Imports]]</f>
        <v/>
      </c>
    </row>
    <row r="113">
      <c r="A113" s="45" t="n">
        <v>26938</v>
      </c>
      <c r="B113" s="63">
        <f>VLOOKUP(A113,'U.S. GDP'!A:B,2,)</f>
        <v/>
      </c>
      <c r="C113" s="63">
        <f>VLOOKUP(A113,PersonalConsumption!A:B,2,)</f>
        <v/>
      </c>
      <c r="D113" s="63">
        <f>VLOOKUP(A113,PrivateInvestment!A:B,2,)</f>
        <v/>
      </c>
      <c r="E113" s="63">
        <f>VLOOKUP(A113,Exports!A:B,2,)</f>
        <v/>
      </c>
      <c r="F113" s="63">
        <f>VLOOKUP(A113,Imports!A:B,2,)</f>
        <v/>
      </c>
      <c r="G113" s="63">
        <f>VLOOKUP(A113,Government!A:B,2,)</f>
        <v/>
      </c>
      <c r="H113" s="37">
        <f>Table58[[#This Row],[Personal Consumption]]/Table58[[#This Row],[GDP]]</f>
        <v/>
      </c>
      <c r="I113" s="37">
        <f>Table58[[#This Row],[Private Investment]]/Table58[[#This Row],[GDP]]</f>
        <v/>
      </c>
      <c r="J113" s="37">
        <f>Table58[[#This Row],[Exports]]/Table58[[#This Row],[GDP]]</f>
        <v/>
      </c>
      <c r="K113" s="37">
        <f>-Table58[[#This Row],[Imports]]/Table58[[#This Row],[GDP]]</f>
        <v/>
      </c>
      <c r="L113" s="37">
        <f>Table58[[#This Row],[Government]]/Table58[[#This Row],[GDP]]</f>
        <v/>
      </c>
      <c r="N113" s="58">
        <f>SUM(Table58[[#This Row],[PC%]:[G%]])</f>
        <v/>
      </c>
      <c r="O113" s="25">
        <f>Table58[[#This Row],[Personal Consumption]]+Table58[[#This Row],[Private Investment]]+Table58[[#This Row],[Exports]]+Table58[[#This Row],[Government]]-Table58[[#This Row],[Imports]]</f>
        <v/>
      </c>
    </row>
    <row r="114">
      <c r="A114" s="45" t="n">
        <v>27030</v>
      </c>
      <c r="B114" s="63">
        <f>VLOOKUP(A114,'U.S. GDP'!A:B,2,)</f>
        <v/>
      </c>
      <c r="C114" s="63">
        <f>VLOOKUP(A114,PersonalConsumption!A:B,2,)</f>
        <v/>
      </c>
      <c r="D114" s="63">
        <f>VLOOKUP(A114,PrivateInvestment!A:B,2,)</f>
        <v/>
      </c>
      <c r="E114" s="63">
        <f>VLOOKUP(A114,Exports!A:B,2,)</f>
        <v/>
      </c>
      <c r="F114" s="63">
        <f>VLOOKUP(A114,Imports!A:B,2,)</f>
        <v/>
      </c>
      <c r="G114" s="63">
        <f>VLOOKUP(A114,Government!A:B,2,)</f>
        <v/>
      </c>
      <c r="H114" s="37">
        <f>Table58[[#This Row],[Personal Consumption]]/Table58[[#This Row],[GDP]]</f>
        <v/>
      </c>
      <c r="I114" s="37">
        <f>Table58[[#This Row],[Private Investment]]/Table58[[#This Row],[GDP]]</f>
        <v/>
      </c>
      <c r="J114" s="37">
        <f>Table58[[#This Row],[Exports]]/Table58[[#This Row],[GDP]]</f>
        <v/>
      </c>
      <c r="K114" s="37">
        <f>-Table58[[#This Row],[Imports]]/Table58[[#This Row],[GDP]]</f>
        <v/>
      </c>
      <c r="L114" s="37">
        <f>Table58[[#This Row],[Government]]/Table58[[#This Row],[GDP]]</f>
        <v/>
      </c>
      <c r="N114" s="58">
        <f>SUM(Table58[[#This Row],[PC%]:[G%]])</f>
        <v/>
      </c>
      <c r="O114" s="25">
        <f>Table58[[#This Row],[Personal Consumption]]+Table58[[#This Row],[Private Investment]]+Table58[[#This Row],[Exports]]+Table58[[#This Row],[Government]]-Table58[[#This Row],[Imports]]</f>
        <v/>
      </c>
    </row>
    <row r="115">
      <c r="A115" s="45" t="n">
        <v>27120</v>
      </c>
      <c r="B115" s="63">
        <f>VLOOKUP(A115,'U.S. GDP'!A:B,2,)</f>
        <v/>
      </c>
      <c r="C115" s="63">
        <f>VLOOKUP(A115,PersonalConsumption!A:B,2,)</f>
        <v/>
      </c>
      <c r="D115" s="63">
        <f>VLOOKUP(A115,PrivateInvestment!A:B,2,)</f>
        <v/>
      </c>
      <c r="E115" s="63">
        <f>VLOOKUP(A115,Exports!A:B,2,)</f>
        <v/>
      </c>
      <c r="F115" s="63">
        <f>VLOOKUP(A115,Imports!A:B,2,)</f>
        <v/>
      </c>
      <c r="G115" s="63">
        <f>VLOOKUP(A115,Government!A:B,2,)</f>
        <v/>
      </c>
      <c r="H115" s="37">
        <f>Table58[[#This Row],[Personal Consumption]]/Table58[[#This Row],[GDP]]</f>
        <v/>
      </c>
      <c r="I115" s="37">
        <f>Table58[[#This Row],[Private Investment]]/Table58[[#This Row],[GDP]]</f>
        <v/>
      </c>
      <c r="J115" s="37">
        <f>Table58[[#This Row],[Exports]]/Table58[[#This Row],[GDP]]</f>
        <v/>
      </c>
      <c r="K115" s="37">
        <f>-Table58[[#This Row],[Imports]]/Table58[[#This Row],[GDP]]</f>
        <v/>
      </c>
      <c r="L115" s="37">
        <f>Table58[[#This Row],[Government]]/Table58[[#This Row],[GDP]]</f>
        <v/>
      </c>
      <c r="N115" s="58">
        <f>SUM(Table58[[#This Row],[PC%]:[G%]])</f>
        <v/>
      </c>
      <c r="O115" s="25">
        <f>Table58[[#This Row],[Personal Consumption]]+Table58[[#This Row],[Private Investment]]+Table58[[#This Row],[Exports]]+Table58[[#This Row],[Government]]-Table58[[#This Row],[Imports]]</f>
        <v/>
      </c>
    </row>
    <row r="116">
      <c r="A116" s="45" t="n">
        <v>27211</v>
      </c>
      <c r="B116" s="63">
        <f>VLOOKUP(A116,'U.S. GDP'!A:B,2,)</f>
        <v/>
      </c>
      <c r="C116" s="63">
        <f>VLOOKUP(A116,PersonalConsumption!A:B,2,)</f>
        <v/>
      </c>
      <c r="D116" s="63">
        <f>VLOOKUP(A116,PrivateInvestment!A:B,2,)</f>
        <v/>
      </c>
      <c r="E116" s="63">
        <f>VLOOKUP(A116,Exports!A:B,2,)</f>
        <v/>
      </c>
      <c r="F116" s="63">
        <f>VLOOKUP(A116,Imports!A:B,2,)</f>
        <v/>
      </c>
      <c r="G116" s="63">
        <f>VLOOKUP(A116,Government!A:B,2,)</f>
        <v/>
      </c>
      <c r="H116" s="37">
        <f>Table58[[#This Row],[Personal Consumption]]/Table58[[#This Row],[GDP]]</f>
        <v/>
      </c>
      <c r="I116" s="37">
        <f>Table58[[#This Row],[Private Investment]]/Table58[[#This Row],[GDP]]</f>
        <v/>
      </c>
      <c r="J116" s="37">
        <f>Table58[[#This Row],[Exports]]/Table58[[#This Row],[GDP]]</f>
        <v/>
      </c>
      <c r="K116" s="37">
        <f>-Table58[[#This Row],[Imports]]/Table58[[#This Row],[GDP]]</f>
        <v/>
      </c>
      <c r="L116" s="37">
        <f>Table58[[#This Row],[Government]]/Table58[[#This Row],[GDP]]</f>
        <v/>
      </c>
      <c r="N116" s="58">
        <f>SUM(Table58[[#This Row],[PC%]:[G%]])</f>
        <v/>
      </c>
      <c r="O116" s="25">
        <f>Table58[[#This Row],[Personal Consumption]]+Table58[[#This Row],[Private Investment]]+Table58[[#This Row],[Exports]]+Table58[[#This Row],[Government]]-Table58[[#This Row],[Imports]]</f>
        <v/>
      </c>
    </row>
    <row r="117">
      <c r="A117" s="45" t="n">
        <v>27303</v>
      </c>
      <c r="B117" s="63">
        <f>VLOOKUP(A117,'U.S. GDP'!A:B,2,)</f>
        <v/>
      </c>
      <c r="C117" s="63">
        <f>VLOOKUP(A117,PersonalConsumption!A:B,2,)</f>
        <v/>
      </c>
      <c r="D117" s="63">
        <f>VLOOKUP(A117,PrivateInvestment!A:B,2,)</f>
        <v/>
      </c>
      <c r="E117" s="63">
        <f>VLOOKUP(A117,Exports!A:B,2,)</f>
        <v/>
      </c>
      <c r="F117" s="63">
        <f>VLOOKUP(A117,Imports!A:B,2,)</f>
        <v/>
      </c>
      <c r="G117" s="63">
        <f>VLOOKUP(A117,Government!A:B,2,)</f>
        <v/>
      </c>
      <c r="H117" s="37">
        <f>Table58[[#This Row],[Personal Consumption]]/Table58[[#This Row],[GDP]]</f>
        <v/>
      </c>
      <c r="I117" s="37">
        <f>Table58[[#This Row],[Private Investment]]/Table58[[#This Row],[GDP]]</f>
        <v/>
      </c>
      <c r="J117" s="37">
        <f>Table58[[#This Row],[Exports]]/Table58[[#This Row],[GDP]]</f>
        <v/>
      </c>
      <c r="K117" s="37">
        <f>-Table58[[#This Row],[Imports]]/Table58[[#This Row],[GDP]]</f>
        <v/>
      </c>
      <c r="L117" s="37">
        <f>Table58[[#This Row],[Government]]/Table58[[#This Row],[GDP]]</f>
        <v/>
      </c>
      <c r="N117" s="58">
        <f>SUM(Table58[[#This Row],[PC%]:[G%]])</f>
        <v/>
      </c>
      <c r="O117" s="25">
        <f>Table58[[#This Row],[Personal Consumption]]+Table58[[#This Row],[Private Investment]]+Table58[[#This Row],[Exports]]+Table58[[#This Row],[Government]]-Table58[[#This Row],[Imports]]</f>
        <v/>
      </c>
    </row>
    <row r="118">
      <c r="A118" s="45" t="n">
        <v>27395</v>
      </c>
      <c r="B118" s="63">
        <f>VLOOKUP(A118,'U.S. GDP'!A:B,2,)</f>
        <v/>
      </c>
      <c r="C118" s="63">
        <f>VLOOKUP(A118,PersonalConsumption!A:B,2,)</f>
        <v/>
      </c>
      <c r="D118" s="63">
        <f>VLOOKUP(A118,PrivateInvestment!A:B,2,)</f>
        <v/>
      </c>
      <c r="E118" s="63">
        <f>VLOOKUP(A118,Exports!A:B,2,)</f>
        <v/>
      </c>
      <c r="F118" s="63">
        <f>VLOOKUP(A118,Imports!A:B,2,)</f>
        <v/>
      </c>
      <c r="G118" s="63">
        <f>VLOOKUP(A118,Government!A:B,2,)</f>
        <v/>
      </c>
      <c r="H118" s="37">
        <f>Table58[[#This Row],[Personal Consumption]]/Table58[[#This Row],[GDP]]</f>
        <v/>
      </c>
      <c r="I118" s="37">
        <f>Table58[[#This Row],[Private Investment]]/Table58[[#This Row],[GDP]]</f>
        <v/>
      </c>
      <c r="J118" s="37">
        <f>Table58[[#This Row],[Exports]]/Table58[[#This Row],[GDP]]</f>
        <v/>
      </c>
      <c r="K118" s="37">
        <f>-Table58[[#This Row],[Imports]]/Table58[[#This Row],[GDP]]</f>
        <v/>
      </c>
      <c r="L118" s="37">
        <f>Table58[[#This Row],[Government]]/Table58[[#This Row],[GDP]]</f>
        <v/>
      </c>
      <c r="N118" s="58">
        <f>SUM(Table58[[#This Row],[PC%]:[G%]])</f>
        <v/>
      </c>
      <c r="O118" s="25">
        <f>Table58[[#This Row],[Personal Consumption]]+Table58[[#This Row],[Private Investment]]+Table58[[#This Row],[Exports]]+Table58[[#This Row],[Government]]-Table58[[#This Row],[Imports]]</f>
        <v/>
      </c>
    </row>
    <row r="119">
      <c r="A119" s="45" t="n">
        <v>27485</v>
      </c>
      <c r="B119" s="63">
        <f>VLOOKUP(A119,'U.S. GDP'!A:B,2,)</f>
        <v/>
      </c>
      <c r="C119" s="63">
        <f>VLOOKUP(A119,PersonalConsumption!A:B,2,)</f>
        <v/>
      </c>
      <c r="D119" s="63">
        <f>VLOOKUP(A119,PrivateInvestment!A:B,2,)</f>
        <v/>
      </c>
      <c r="E119" s="63">
        <f>VLOOKUP(A119,Exports!A:B,2,)</f>
        <v/>
      </c>
      <c r="F119" s="63">
        <f>VLOOKUP(A119,Imports!A:B,2,)</f>
        <v/>
      </c>
      <c r="G119" s="63">
        <f>VLOOKUP(A119,Government!A:B,2,)</f>
        <v/>
      </c>
      <c r="H119" s="37">
        <f>Table58[[#This Row],[Personal Consumption]]/Table58[[#This Row],[GDP]]</f>
        <v/>
      </c>
      <c r="I119" s="37">
        <f>Table58[[#This Row],[Private Investment]]/Table58[[#This Row],[GDP]]</f>
        <v/>
      </c>
      <c r="J119" s="37">
        <f>Table58[[#This Row],[Exports]]/Table58[[#This Row],[GDP]]</f>
        <v/>
      </c>
      <c r="K119" s="37">
        <f>-Table58[[#This Row],[Imports]]/Table58[[#This Row],[GDP]]</f>
        <v/>
      </c>
      <c r="L119" s="37">
        <f>Table58[[#This Row],[Government]]/Table58[[#This Row],[GDP]]</f>
        <v/>
      </c>
      <c r="N119" s="58">
        <f>SUM(Table58[[#This Row],[PC%]:[G%]])</f>
        <v/>
      </c>
      <c r="O119" s="25">
        <f>Table58[[#This Row],[Personal Consumption]]+Table58[[#This Row],[Private Investment]]+Table58[[#This Row],[Exports]]+Table58[[#This Row],[Government]]-Table58[[#This Row],[Imports]]</f>
        <v/>
      </c>
    </row>
    <row r="120">
      <c r="A120" s="45" t="n">
        <v>27576</v>
      </c>
      <c r="B120" s="63">
        <f>VLOOKUP(A120,'U.S. GDP'!A:B,2,)</f>
        <v/>
      </c>
      <c r="C120" s="63">
        <f>VLOOKUP(A120,PersonalConsumption!A:B,2,)</f>
        <v/>
      </c>
      <c r="D120" s="63">
        <f>VLOOKUP(A120,PrivateInvestment!A:B,2,)</f>
        <v/>
      </c>
      <c r="E120" s="63">
        <f>VLOOKUP(A120,Exports!A:B,2,)</f>
        <v/>
      </c>
      <c r="F120" s="63">
        <f>VLOOKUP(A120,Imports!A:B,2,)</f>
        <v/>
      </c>
      <c r="G120" s="63">
        <f>VLOOKUP(A120,Government!A:B,2,)</f>
        <v/>
      </c>
      <c r="H120" s="37">
        <f>Table58[[#This Row],[Personal Consumption]]/Table58[[#This Row],[GDP]]</f>
        <v/>
      </c>
      <c r="I120" s="37">
        <f>Table58[[#This Row],[Private Investment]]/Table58[[#This Row],[GDP]]</f>
        <v/>
      </c>
      <c r="J120" s="37">
        <f>Table58[[#This Row],[Exports]]/Table58[[#This Row],[GDP]]</f>
        <v/>
      </c>
      <c r="K120" s="37">
        <f>-Table58[[#This Row],[Imports]]/Table58[[#This Row],[GDP]]</f>
        <v/>
      </c>
      <c r="L120" s="37">
        <f>Table58[[#This Row],[Government]]/Table58[[#This Row],[GDP]]</f>
        <v/>
      </c>
      <c r="N120" s="58">
        <f>SUM(Table58[[#This Row],[PC%]:[G%]])</f>
        <v/>
      </c>
      <c r="O120" s="25">
        <f>Table58[[#This Row],[Personal Consumption]]+Table58[[#This Row],[Private Investment]]+Table58[[#This Row],[Exports]]+Table58[[#This Row],[Government]]-Table58[[#This Row],[Imports]]</f>
        <v/>
      </c>
    </row>
    <row r="121">
      <c r="A121" s="45" t="n">
        <v>27668</v>
      </c>
      <c r="B121" s="63">
        <f>VLOOKUP(A121,'U.S. GDP'!A:B,2,)</f>
        <v/>
      </c>
      <c r="C121" s="63">
        <f>VLOOKUP(A121,PersonalConsumption!A:B,2,)</f>
        <v/>
      </c>
      <c r="D121" s="63">
        <f>VLOOKUP(A121,PrivateInvestment!A:B,2,)</f>
        <v/>
      </c>
      <c r="E121" s="63">
        <f>VLOOKUP(A121,Exports!A:B,2,)</f>
        <v/>
      </c>
      <c r="F121" s="63">
        <f>VLOOKUP(A121,Imports!A:B,2,)</f>
        <v/>
      </c>
      <c r="G121" s="63">
        <f>VLOOKUP(A121,Government!A:B,2,)</f>
        <v/>
      </c>
      <c r="H121" s="37">
        <f>Table58[[#This Row],[Personal Consumption]]/Table58[[#This Row],[GDP]]</f>
        <v/>
      </c>
      <c r="I121" s="37">
        <f>Table58[[#This Row],[Private Investment]]/Table58[[#This Row],[GDP]]</f>
        <v/>
      </c>
      <c r="J121" s="37">
        <f>Table58[[#This Row],[Exports]]/Table58[[#This Row],[GDP]]</f>
        <v/>
      </c>
      <c r="K121" s="37">
        <f>-Table58[[#This Row],[Imports]]/Table58[[#This Row],[GDP]]</f>
        <v/>
      </c>
      <c r="L121" s="37">
        <f>Table58[[#This Row],[Government]]/Table58[[#This Row],[GDP]]</f>
        <v/>
      </c>
      <c r="N121" s="58">
        <f>SUM(Table58[[#This Row],[PC%]:[G%]])</f>
        <v/>
      </c>
      <c r="O121" s="25">
        <f>Table58[[#This Row],[Personal Consumption]]+Table58[[#This Row],[Private Investment]]+Table58[[#This Row],[Exports]]+Table58[[#This Row],[Government]]-Table58[[#This Row],[Imports]]</f>
        <v/>
      </c>
    </row>
    <row r="122">
      <c r="A122" s="45" t="n">
        <v>27760</v>
      </c>
      <c r="B122" s="63">
        <f>VLOOKUP(A122,'U.S. GDP'!A:B,2,)</f>
        <v/>
      </c>
      <c r="C122" s="63">
        <f>VLOOKUP(A122,PersonalConsumption!A:B,2,)</f>
        <v/>
      </c>
      <c r="D122" s="63">
        <f>VLOOKUP(A122,PrivateInvestment!A:B,2,)</f>
        <v/>
      </c>
      <c r="E122" s="63">
        <f>VLOOKUP(A122,Exports!A:B,2,)</f>
        <v/>
      </c>
      <c r="F122" s="63">
        <f>VLOOKUP(A122,Imports!A:B,2,)</f>
        <v/>
      </c>
      <c r="G122" s="63">
        <f>VLOOKUP(A122,Government!A:B,2,)</f>
        <v/>
      </c>
      <c r="H122" s="37">
        <f>Table58[[#This Row],[Personal Consumption]]/Table58[[#This Row],[GDP]]</f>
        <v/>
      </c>
      <c r="I122" s="37">
        <f>Table58[[#This Row],[Private Investment]]/Table58[[#This Row],[GDP]]</f>
        <v/>
      </c>
      <c r="J122" s="37">
        <f>Table58[[#This Row],[Exports]]/Table58[[#This Row],[GDP]]</f>
        <v/>
      </c>
      <c r="K122" s="37">
        <f>-Table58[[#This Row],[Imports]]/Table58[[#This Row],[GDP]]</f>
        <v/>
      </c>
      <c r="L122" s="37">
        <f>Table58[[#This Row],[Government]]/Table58[[#This Row],[GDP]]</f>
        <v/>
      </c>
      <c r="N122" s="58">
        <f>SUM(Table58[[#This Row],[PC%]:[G%]])</f>
        <v/>
      </c>
      <c r="O122" s="25">
        <f>Table58[[#This Row],[Personal Consumption]]+Table58[[#This Row],[Private Investment]]+Table58[[#This Row],[Exports]]+Table58[[#This Row],[Government]]-Table58[[#This Row],[Imports]]</f>
        <v/>
      </c>
    </row>
    <row r="123">
      <c r="A123" s="45" t="n">
        <v>27851</v>
      </c>
      <c r="B123" s="63">
        <f>VLOOKUP(A123,'U.S. GDP'!A:B,2,)</f>
        <v/>
      </c>
      <c r="C123" s="63">
        <f>VLOOKUP(A123,PersonalConsumption!A:B,2,)</f>
        <v/>
      </c>
      <c r="D123" s="63">
        <f>VLOOKUP(A123,PrivateInvestment!A:B,2,)</f>
        <v/>
      </c>
      <c r="E123" s="63">
        <f>VLOOKUP(A123,Exports!A:B,2,)</f>
        <v/>
      </c>
      <c r="F123" s="63">
        <f>VLOOKUP(A123,Imports!A:B,2,)</f>
        <v/>
      </c>
      <c r="G123" s="63">
        <f>VLOOKUP(A123,Government!A:B,2,)</f>
        <v/>
      </c>
      <c r="H123" s="37">
        <f>Table58[[#This Row],[Personal Consumption]]/Table58[[#This Row],[GDP]]</f>
        <v/>
      </c>
      <c r="I123" s="37">
        <f>Table58[[#This Row],[Private Investment]]/Table58[[#This Row],[GDP]]</f>
        <v/>
      </c>
      <c r="J123" s="37">
        <f>Table58[[#This Row],[Exports]]/Table58[[#This Row],[GDP]]</f>
        <v/>
      </c>
      <c r="K123" s="37">
        <f>-Table58[[#This Row],[Imports]]/Table58[[#This Row],[GDP]]</f>
        <v/>
      </c>
      <c r="L123" s="37">
        <f>Table58[[#This Row],[Government]]/Table58[[#This Row],[GDP]]</f>
        <v/>
      </c>
      <c r="N123" s="58">
        <f>SUM(Table58[[#This Row],[PC%]:[G%]])</f>
        <v/>
      </c>
      <c r="O123" s="25">
        <f>Table58[[#This Row],[Personal Consumption]]+Table58[[#This Row],[Private Investment]]+Table58[[#This Row],[Exports]]+Table58[[#This Row],[Government]]-Table58[[#This Row],[Imports]]</f>
        <v/>
      </c>
    </row>
    <row r="124">
      <c r="A124" s="45" t="n">
        <v>27942</v>
      </c>
      <c r="B124" s="63">
        <f>VLOOKUP(A124,'U.S. GDP'!A:B,2,)</f>
        <v/>
      </c>
      <c r="C124" s="63">
        <f>VLOOKUP(A124,PersonalConsumption!A:B,2,)</f>
        <v/>
      </c>
      <c r="D124" s="63">
        <f>VLOOKUP(A124,PrivateInvestment!A:B,2,)</f>
        <v/>
      </c>
      <c r="E124" s="63">
        <f>VLOOKUP(A124,Exports!A:B,2,)</f>
        <v/>
      </c>
      <c r="F124" s="63">
        <f>VLOOKUP(A124,Imports!A:B,2,)</f>
        <v/>
      </c>
      <c r="G124" s="63">
        <f>VLOOKUP(A124,Government!A:B,2,)</f>
        <v/>
      </c>
      <c r="H124" s="37">
        <f>Table58[[#This Row],[Personal Consumption]]/Table58[[#This Row],[GDP]]</f>
        <v/>
      </c>
      <c r="I124" s="37">
        <f>Table58[[#This Row],[Private Investment]]/Table58[[#This Row],[GDP]]</f>
        <v/>
      </c>
      <c r="J124" s="37">
        <f>Table58[[#This Row],[Exports]]/Table58[[#This Row],[GDP]]</f>
        <v/>
      </c>
      <c r="K124" s="37">
        <f>-Table58[[#This Row],[Imports]]/Table58[[#This Row],[GDP]]</f>
        <v/>
      </c>
      <c r="L124" s="37">
        <f>Table58[[#This Row],[Government]]/Table58[[#This Row],[GDP]]</f>
        <v/>
      </c>
      <c r="N124" s="58">
        <f>SUM(Table58[[#This Row],[PC%]:[G%]])</f>
        <v/>
      </c>
      <c r="O124" s="25">
        <f>Table58[[#This Row],[Personal Consumption]]+Table58[[#This Row],[Private Investment]]+Table58[[#This Row],[Exports]]+Table58[[#This Row],[Government]]-Table58[[#This Row],[Imports]]</f>
        <v/>
      </c>
    </row>
    <row r="125">
      <c r="A125" s="45" t="n">
        <v>28034</v>
      </c>
      <c r="B125" s="63">
        <f>VLOOKUP(A125,'U.S. GDP'!A:B,2,)</f>
        <v/>
      </c>
      <c r="C125" s="63">
        <f>VLOOKUP(A125,PersonalConsumption!A:B,2,)</f>
        <v/>
      </c>
      <c r="D125" s="63">
        <f>VLOOKUP(A125,PrivateInvestment!A:B,2,)</f>
        <v/>
      </c>
      <c r="E125" s="63">
        <f>VLOOKUP(A125,Exports!A:B,2,)</f>
        <v/>
      </c>
      <c r="F125" s="63">
        <f>VLOOKUP(A125,Imports!A:B,2,)</f>
        <v/>
      </c>
      <c r="G125" s="63">
        <f>VLOOKUP(A125,Government!A:B,2,)</f>
        <v/>
      </c>
      <c r="H125" s="37">
        <f>Table58[[#This Row],[Personal Consumption]]/Table58[[#This Row],[GDP]]</f>
        <v/>
      </c>
      <c r="I125" s="37">
        <f>Table58[[#This Row],[Private Investment]]/Table58[[#This Row],[GDP]]</f>
        <v/>
      </c>
      <c r="J125" s="37">
        <f>Table58[[#This Row],[Exports]]/Table58[[#This Row],[GDP]]</f>
        <v/>
      </c>
      <c r="K125" s="37">
        <f>-Table58[[#This Row],[Imports]]/Table58[[#This Row],[GDP]]</f>
        <v/>
      </c>
      <c r="L125" s="37">
        <f>Table58[[#This Row],[Government]]/Table58[[#This Row],[GDP]]</f>
        <v/>
      </c>
      <c r="N125" s="58">
        <f>SUM(Table58[[#This Row],[PC%]:[G%]])</f>
        <v/>
      </c>
      <c r="O125" s="25">
        <f>Table58[[#This Row],[Personal Consumption]]+Table58[[#This Row],[Private Investment]]+Table58[[#This Row],[Exports]]+Table58[[#This Row],[Government]]-Table58[[#This Row],[Imports]]</f>
        <v/>
      </c>
    </row>
    <row r="126">
      <c r="A126" s="45" t="n">
        <v>28126</v>
      </c>
      <c r="B126" s="63">
        <f>VLOOKUP(A126,'U.S. GDP'!A:B,2,)</f>
        <v/>
      </c>
      <c r="C126" s="63">
        <f>VLOOKUP(A126,PersonalConsumption!A:B,2,)</f>
        <v/>
      </c>
      <c r="D126" s="63">
        <f>VLOOKUP(A126,PrivateInvestment!A:B,2,)</f>
        <v/>
      </c>
      <c r="E126" s="63">
        <f>VLOOKUP(A126,Exports!A:B,2,)</f>
        <v/>
      </c>
      <c r="F126" s="63">
        <f>VLOOKUP(A126,Imports!A:B,2,)</f>
        <v/>
      </c>
      <c r="G126" s="63">
        <f>VLOOKUP(A126,Government!A:B,2,)</f>
        <v/>
      </c>
      <c r="H126" s="37">
        <f>Table58[[#This Row],[Personal Consumption]]/Table58[[#This Row],[GDP]]</f>
        <v/>
      </c>
      <c r="I126" s="37">
        <f>Table58[[#This Row],[Private Investment]]/Table58[[#This Row],[GDP]]</f>
        <v/>
      </c>
      <c r="J126" s="37">
        <f>Table58[[#This Row],[Exports]]/Table58[[#This Row],[GDP]]</f>
        <v/>
      </c>
      <c r="K126" s="37">
        <f>-Table58[[#This Row],[Imports]]/Table58[[#This Row],[GDP]]</f>
        <v/>
      </c>
      <c r="L126" s="37">
        <f>Table58[[#This Row],[Government]]/Table58[[#This Row],[GDP]]</f>
        <v/>
      </c>
      <c r="N126" s="58">
        <f>SUM(Table58[[#This Row],[PC%]:[G%]])</f>
        <v/>
      </c>
      <c r="O126" s="25">
        <f>Table58[[#This Row],[Personal Consumption]]+Table58[[#This Row],[Private Investment]]+Table58[[#This Row],[Exports]]+Table58[[#This Row],[Government]]-Table58[[#This Row],[Imports]]</f>
        <v/>
      </c>
    </row>
    <row r="127">
      <c r="A127" s="45" t="n">
        <v>28216</v>
      </c>
      <c r="B127" s="63">
        <f>VLOOKUP(A127,'U.S. GDP'!A:B,2,)</f>
        <v/>
      </c>
      <c r="C127" s="63">
        <f>VLOOKUP(A127,PersonalConsumption!A:B,2,)</f>
        <v/>
      </c>
      <c r="D127" s="63">
        <f>VLOOKUP(A127,PrivateInvestment!A:B,2,)</f>
        <v/>
      </c>
      <c r="E127" s="63">
        <f>VLOOKUP(A127,Exports!A:B,2,)</f>
        <v/>
      </c>
      <c r="F127" s="63">
        <f>VLOOKUP(A127,Imports!A:B,2,)</f>
        <v/>
      </c>
      <c r="G127" s="63">
        <f>VLOOKUP(A127,Government!A:B,2,)</f>
        <v/>
      </c>
      <c r="H127" s="37">
        <f>Table58[[#This Row],[Personal Consumption]]/Table58[[#This Row],[GDP]]</f>
        <v/>
      </c>
      <c r="I127" s="37">
        <f>Table58[[#This Row],[Private Investment]]/Table58[[#This Row],[GDP]]</f>
        <v/>
      </c>
      <c r="J127" s="37">
        <f>Table58[[#This Row],[Exports]]/Table58[[#This Row],[GDP]]</f>
        <v/>
      </c>
      <c r="K127" s="37">
        <f>-Table58[[#This Row],[Imports]]/Table58[[#This Row],[GDP]]</f>
        <v/>
      </c>
      <c r="L127" s="37">
        <f>Table58[[#This Row],[Government]]/Table58[[#This Row],[GDP]]</f>
        <v/>
      </c>
      <c r="N127" s="58">
        <f>SUM(Table58[[#This Row],[PC%]:[G%]])</f>
        <v/>
      </c>
      <c r="O127" s="25">
        <f>Table58[[#This Row],[Personal Consumption]]+Table58[[#This Row],[Private Investment]]+Table58[[#This Row],[Exports]]+Table58[[#This Row],[Government]]-Table58[[#This Row],[Imports]]</f>
        <v/>
      </c>
    </row>
    <row r="128">
      <c r="A128" s="45" t="n">
        <v>28307</v>
      </c>
      <c r="B128" s="63">
        <f>VLOOKUP(A128,'U.S. GDP'!A:B,2,)</f>
        <v/>
      </c>
      <c r="C128" s="63">
        <f>VLOOKUP(A128,PersonalConsumption!A:B,2,)</f>
        <v/>
      </c>
      <c r="D128" s="63">
        <f>VLOOKUP(A128,PrivateInvestment!A:B,2,)</f>
        <v/>
      </c>
      <c r="E128" s="63">
        <f>VLOOKUP(A128,Exports!A:B,2,)</f>
        <v/>
      </c>
      <c r="F128" s="63">
        <f>VLOOKUP(A128,Imports!A:B,2,)</f>
        <v/>
      </c>
      <c r="G128" s="63">
        <f>VLOOKUP(A128,Government!A:B,2,)</f>
        <v/>
      </c>
      <c r="H128" s="37">
        <f>Table58[[#This Row],[Personal Consumption]]/Table58[[#This Row],[GDP]]</f>
        <v/>
      </c>
      <c r="I128" s="37">
        <f>Table58[[#This Row],[Private Investment]]/Table58[[#This Row],[GDP]]</f>
        <v/>
      </c>
      <c r="J128" s="37">
        <f>Table58[[#This Row],[Exports]]/Table58[[#This Row],[GDP]]</f>
        <v/>
      </c>
      <c r="K128" s="37">
        <f>-Table58[[#This Row],[Imports]]/Table58[[#This Row],[GDP]]</f>
        <v/>
      </c>
      <c r="L128" s="37">
        <f>Table58[[#This Row],[Government]]/Table58[[#This Row],[GDP]]</f>
        <v/>
      </c>
      <c r="N128" s="58">
        <f>SUM(Table58[[#This Row],[PC%]:[G%]])</f>
        <v/>
      </c>
      <c r="O128" s="25">
        <f>Table58[[#This Row],[Personal Consumption]]+Table58[[#This Row],[Private Investment]]+Table58[[#This Row],[Exports]]+Table58[[#This Row],[Government]]-Table58[[#This Row],[Imports]]</f>
        <v/>
      </c>
    </row>
    <row r="129">
      <c r="A129" s="45" t="n">
        <v>28399</v>
      </c>
      <c r="B129" s="63">
        <f>VLOOKUP(A129,'U.S. GDP'!A:B,2,)</f>
        <v/>
      </c>
      <c r="C129" s="63">
        <f>VLOOKUP(A129,PersonalConsumption!A:B,2,)</f>
        <v/>
      </c>
      <c r="D129" s="63">
        <f>VLOOKUP(A129,PrivateInvestment!A:B,2,)</f>
        <v/>
      </c>
      <c r="E129" s="63">
        <f>VLOOKUP(A129,Exports!A:B,2,)</f>
        <v/>
      </c>
      <c r="F129" s="63">
        <f>VLOOKUP(A129,Imports!A:B,2,)</f>
        <v/>
      </c>
      <c r="G129" s="63">
        <f>VLOOKUP(A129,Government!A:B,2,)</f>
        <v/>
      </c>
      <c r="H129" s="37">
        <f>Table58[[#This Row],[Personal Consumption]]/Table58[[#This Row],[GDP]]</f>
        <v/>
      </c>
      <c r="I129" s="37">
        <f>Table58[[#This Row],[Private Investment]]/Table58[[#This Row],[GDP]]</f>
        <v/>
      </c>
      <c r="J129" s="37">
        <f>Table58[[#This Row],[Exports]]/Table58[[#This Row],[GDP]]</f>
        <v/>
      </c>
      <c r="K129" s="37">
        <f>-Table58[[#This Row],[Imports]]/Table58[[#This Row],[GDP]]</f>
        <v/>
      </c>
      <c r="L129" s="37">
        <f>Table58[[#This Row],[Government]]/Table58[[#This Row],[GDP]]</f>
        <v/>
      </c>
      <c r="N129" s="58">
        <f>SUM(Table58[[#This Row],[PC%]:[G%]])</f>
        <v/>
      </c>
      <c r="O129" s="25">
        <f>Table58[[#This Row],[Personal Consumption]]+Table58[[#This Row],[Private Investment]]+Table58[[#This Row],[Exports]]+Table58[[#This Row],[Government]]-Table58[[#This Row],[Imports]]</f>
        <v/>
      </c>
    </row>
    <row r="130">
      <c r="A130" s="45" t="n">
        <v>28491</v>
      </c>
      <c r="B130" s="63">
        <f>VLOOKUP(A130,'U.S. GDP'!A:B,2,)</f>
        <v/>
      </c>
      <c r="C130" s="63">
        <f>VLOOKUP(A130,PersonalConsumption!A:B,2,)</f>
        <v/>
      </c>
      <c r="D130" s="63">
        <f>VLOOKUP(A130,PrivateInvestment!A:B,2,)</f>
        <v/>
      </c>
      <c r="E130" s="63">
        <f>VLOOKUP(A130,Exports!A:B,2,)</f>
        <v/>
      </c>
      <c r="F130" s="63">
        <f>VLOOKUP(A130,Imports!A:B,2,)</f>
        <v/>
      </c>
      <c r="G130" s="63">
        <f>VLOOKUP(A130,Government!A:B,2,)</f>
        <v/>
      </c>
      <c r="H130" s="37">
        <f>Table58[[#This Row],[Personal Consumption]]/Table58[[#This Row],[GDP]]</f>
        <v/>
      </c>
      <c r="I130" s="37">
        <f>Table58[[#This Row],[Private Investment]]/Table58[[#This Row],[GDP]]</f>
        <v/>
      </c>
      <c r="J130" s="37">
        <f>Table58[[#This Row],[Exports]]/Table58[[#This Row],[GDP]]</f>
        <v/>
      </c>
      <c r="K130" s="37">
        <f>-Table58[[#This Row],[Imports]]/Table58[[#This Row],[GDP]]</f>
        <v/>
      </c>
      <c r="L130" s="37">
        <f>Table58[[#This Row],[Government]]/Table58[[#This Row],[GDP]]</f>
        <v/>
      </c>
      <c r="N130" s="58">
        <f>SUM(Table58[[#This Row],[PC%]:[G%]])</f>
        <v/>
      </c>
      <c r="O130" s="25">
        <f>Table58[[#This Row],[Personal Consumption]]+Table58[[#This Row],[Private Investment]]+Table58[[#This Row],[Exports]]+Table58[[#This Row],[Government]]-Table58[[#This Row],[Imports]]</f>
        <v/>
      </c>
    </row>
    <row r="131">
      <c r="A131" s="45" t="n">
        <v>28581</v>
      </c>
      <c r="B131" s="63">
        <f>VLOOKUP(A131,'U.S. GDP'!A:B,2,)</f>
        <v/>
      </c>
      <c r="C131" s="63">
        <f>VLOOKUP(A131,PersonalConsumption!A:B,2,)</f>
        <v/>
      </c>
      <c r="D131" s="63">
        <f>VLOOKUP(A131,PrivateInvestment!A:B,2,)</f>
        <v/>
      </c>
      <c r="E131" s="63">
        <f>VLOOKUP(A131,Exports!A:B,2,)</f>
        <v/>
      </c>
      <c r="F131" s="63">
        <f>VLOOKUP(A131,Imports!A:B,2,)</f>
        <v/>
      </c>
      <c r="G131" s="63">
        <f>VLOOKUP(A131,Government!A:B,2,)</f>
        <v/>
      </c>
      <c r="H131" s="37">
        <f>Table58[[#This Row],[Personal Consumption]]/Table58[[#This Row],[GDP]]</f>
        <v/>
      </c>
      <c r="I131" s="37">
        <f>Table58[[#This Row],[Private Investment]]/Table58[[#This Row],[GDP]]</f>
        <v/>
      </c>
      <c r="J131" s="37">
        <f>Table58[[#This Row],[Exports]]/Table58[[#This Row],[GDP]]</f>
        <v/>
      </c>
      <c r="K131" s="37">
        <f>-Table58[[#This Row],[Imports]]/Table58[[#This Row],[GDP]]</f>
        <v/>
      </c>
      <c r="L131" s="37">
        <f>Table58[[#This Row],[Government]]/Table58[[#This Row],[GDP]]</f>
        <v/>
      </c>
      <c r="N131" s="58">
        <f>SUM(Table58[[#This Row],[PC%]:[G%]])</f>
        <v/>
      </c>
      <c r="O131" s="25">
        <f>Table58[[#This Row],[Personal Consumption]]+Table58[[#This Row],[Private Investment]]+Table58[[#This Row],[Exports]]+Table58[[#This Row],[Government]]-Table58[[#This Row],[Imports]]</f>
        <v/>
      </c>
    </row>
    <row r="132">
      <c r="A132" s="45" t="n">
        <v>28672</v>
      </c>
      <c r="B132" s="63">
        <f>VLOOKUP(A132,'U.S. GDP'!A:B,2,)</f>
        <v/>
      </c>
      <c r="C132" s="63">
        <f>VLOOKUP(A132,PersonalConsumption!A:B,2,)</f>
        <v/>
      </c>
      <c r="D132" s="63">
        <f>VLOOKUP(A132,PrivateInvestment!A:B,2,)</f>
        <v/>
      </c>
      <c r="E132" s="63">
        <f>VLOOKUP(A132,Exports!A:B,2,)</f>
        <v/>
      </c>
      <c r="F132" s="63">
        <f>VLOOKUP(A132,Imports!A:B,2,)</f>
        <v/>
      </c>
      <c r="G132" s="63">
        <f>VLOOKUP(A132,Government!A:B,2,)</f>
        <v/>
      </c>
      <c r="H132" s="37">
        <f>Table58[[#This Row],[Personal Consumption]]/Table58[[#This Row],[GDP]]</f>
        <v/>
      </c>
      <c r="I132" s="37">
        <f>Table58[[#This Row],[Private Investment]]/Table58[[#This Row],[GDP]]</f>
        <v/>
      </c>
      <c r="J132" s="37">
        <f>Table58[[#This Row],[Exports]]/Table58[[#This Row],[GDP]]</f>
        <v/>
      </c>
      <c r="K132" s="37">
        <f>-Table58[[#This Row],[Imports]]/Table58[[#This Row],[GDP]]</f>
        <v/>
      </c>
      <c r="L132" s="37">
        <f>Table58[[#This Row],[Government]]/Table58[[#This Row],[GDP]]</f>
        <v/>
      </c>
      <c r="N132" s="58">
        <f>SUM(Table58[[#This Row],[PC%]:[G%]])</f>
        <v/>
      </c>
      <c r="O132" s="25">
        <f>Table58[[#This Row],[Personal Consumption]]+Table58[[#This Row],[Private Investment]]+Table58[[#This Row],[Exports]]+Table58[[#This Row],[Government]]-Table58[[#This Row],[Imports]]</f>
        <v/>
      </c>
    </row>
    <row r="133">
      <c r="A133" s="45" t="n">
        <v>28764</v>
      </c>
      <c r="B133" s="63">
        <f>VLOOKUP(A133,'U.S. GDP'!A:B,2,)</f>
        <v/>
      </c>
      <c r="C133" s="63">
        <f>VLOOKUP(A133,PersonalConsumption!A:B,2,)</f>
        <v/>
      </c>
      <c r="D133" s="63">
        <f>VLOOKUP(A133,PrivateInvestment!A:B,2,)</f>
        <v/>
      </c>
      <c r="E133" s="63">
        <f>VLOOKUP(A133,Exports!A:B,2,)</f>
        <v/>
      </c>
      <c r="F133" s="63">
        <f>VLOOKUP(A133,Imports!A:B,2,)</f>
        <v/>
      </c>
      <c r="G133" s="63">
        <f>VLOOKUP(A133,Government!A:B,2,)</f>
        <v/>
      </c>
      <c r="H133" s="37">
        <f>Table58[[#This Row],[Personal Consumption]]/Table58[[#This Row],[GDP]]</f>
        <v/>
      </c>
      <c r="I133" s="37">
        <f>Table58[[#This Row],[Private Investment]]/Table58[[#This Row],[GDP]]</f>
        <v/>
      </c>
      <c r="J133" s="37">
        <f>Table58[[#This Row],[Exports]]/Table58[[#This Row],[GDP]]</f>
        <v/>
      </c>
      <c r="K133" s="37">
        <f>-Table58[[#This Row],[Imports]]/Table58[[#This Row],[GDP]]</f>
        <v/>
      </c>
      <c r="L133" s="37">
        <f>Table58[[#This Row],[Government]]/Table58[[#This Row],[GDP]]</f>
        <v/>
      </c>
      <c r="N133" s="58">
        <f>SUM(Table58[[#This Row],[PC%]:[G%]])</f>
        <v/>
      </c>
      <c r="O133" s="25">
        <f>Table58[[#This Row],[Personal Consumption]]+Table58[[#This Row],[Private Investment]]+Table58[[#This Row],[Exports]]+Table58[[#This Row],[Government]]-Table58[[#This Row],[Imports]]</f>
        <v/>
      </c>
    </row>
    <row r="134">
      <c r="A134" s="45" t="n">
        <v>28856</v>
      </c>
      <c r="B134" s="63">
        <f>VLOOKUP(A134,'U.S. GDP'!A:B,2,)</f>
        <v/>
      </c>
      <c r="C134" s="63">
        <f>VLOOKUP(A134,PersonalConsumption!A:B,2,)</f>
        <v/>
      </c>
      <c r="D134" s="63">
        <f>VLOOKUP(A134,PrivateInvestment!A:B,2,)</f>
        <v/>
      </c>
      <c r="E134" s="63">
        <f>VLOOKUP(A134,Exports!A:B,2,)</f>
        <v/>
      </c>
      <c r="F134" s="63">
        <f>VLOOKUP(A134,Imports!A:B,2,)</f>
        <v/>
      </c>
      <c r="G134" s="63">
        <f>VLOOKUP(A134,Government!A:B,2,)</f>
        <v/>
      </c>
      <c r="H134" s="37">
        <f>Table58[[#This Row],[Personal Consumption]]/Table58[[#This Row],[GDP]]</f>
        <v/>
      </c>
      <c r="I134" s="37">
        <f>Table58[[#This Row],[Private Investment]]/Table58[[#This Row],[GDP]]</f>
        <v/>
      </c>
      <c r="J134" s="37">
        <f>Table58[[#This Row],[Exports]]/Table58[[#This Row],[GDP]]</f>
        <v/>
      </c>
      <c r="K134" s="37">
        <f>-Table58[[#This Row],[Imports]]/Table58[[#This Row],[GDP]]</f>
        <v/>
      </c>
      <c r="L134" s="37">
        <f>Table58[[#This Row],[Government]]/Table58[[#This Row],[GDP]]</f>
        <v/>
      </c>
      <c r="N134" s="58">
        <f>SUM(Table58[[#This Row],[PC%]:[G%]])</f>
        <v/>
      </c>
      <c r="O134" s="25">
        <f>Table58[[#This Row],[Personal Consumption]]+Table58[[#This Row],[Private Investment]]+Table58[[#This Row],[Exports]]+Table58[[#This Row],[Government]]-Table58[[#This Row],[Imports]]</f>
        <v/>
      </c>
    </row>
    <row r="135">
      <c r="A135" s="45" t="n">
        <v>28946</v>
      </c>
      <c r="B135" s="63">
        <f>VLOOKUP(A135,'U.S. GDP'!A:B,2,)</f>
        <v/>
      </c>
      <c r="C135" s="63">
        <f>VLOOKUP(A135,PersonalConsumption!A:B,2,)</f>
        <v/>
      </c>
      <c r="D135" s="63">
        <f>VLOOKUP(A135,PrivateInvestment!A:B,2,)</f>
        <v/>
      </c>
      <c r="E135" s="63">
        <f>VLOOKUP(A135,Exports!A:B,2,)</f>
        <v/>
      </c>
      <c r="F135" s="63">
        <f>VLOOKUP(A135,Imports!A:B,2,)</f>
        <v/>
      </c>
      <c r="G135" s="63">
        <f>VLOOKUP(A135,Government!A:B,2,)</f>
        <v/>
      </c>
      <c r="H135" s="37">
        <f>Table58[[#This Row],[Personal Consumption]]/Table58[[#This Row],[GDP]]</f>
        <v/>
      </c>
      <c r="I135" s="37">
        <f>Table58[[#This Row],[Private Investment]]/Table58[[#This Row],[GDP]]</f>
        <v/>
      </c>
      <c r="J135" s="37">
        <f>Table58[[#This Row],[Exports]]/Table58[[#This Row],[GDP]]</f>
        <v/>
      </c>
      <c r="K135" s="37">
        <f>-Table58[[#This Row],[Imports]]/Table58[[#This Row],[GDP]]</f>
        <v/>
      </c>
      <c r="L135" s="37">
        <f>Table58[[#This Row],[Government]]/Table58[[#This Row],[GDP]]</f>
        <v/>
      </c>
      <c r="N135" s="58">
        <f>SUM(Table58[[#This Row],[PC%]:[G%]])</f>
        <v/>
      </c>
      <c r="O135" s="25">
        <f>Table58[[#This Row],[Personal Consumption]]+Table58[[#This Row],[Private Investment]]+Table58[[#This Row],[Exports]]+Table58[[#This Row],[Government]]-Table58[[#This Row],[Imports]]</f>
        <v/>
      </c>
    </row>
    <row r="136">
      <c r="A136" s="45" t="n">
        <v>29037</v>
      </c>
      <c r="B136" s="63">
        <f>VLOOKUP(A136,'U.S. GDP'!A:B,2,)</f>
        <v/>
      </c>
      <c r="C136" s="63">
        <f>VLOOKUP(A136,PersonalConsumption!A:B,2,)</f>
        <v/>
      </c>
      <c r="D136" s="63">
        <f>VLOOKUP(A136,PrivateInvestment!A:B,2,)</f>
        <v/>
      </c>
      <c r="E136" s="63">
        <f>VLOOKUP(A136,Exports!A:B,2,)</f>
        <v/>
      </c>
      <c r="F136" s="63">
        <f>VLOOKUP(A136,Imports!A:B,2,)</f>
        <v/>
      </c>
      <c r="G136" s="63">
        <f>VLOOKUP(A136,Government!A:B,2,)</f>
        <v/>
      </c>
      <c r="H136" s="37">
        <f>Table58[[#This Row],[Personal Consumption]]/Table58[[#This Row],[GDP]]</f>
        <v/>
      </c>
      <c r="I136" s="37">
        <f>Table58[[#This Row],[Private Investment]]/Table58[[#This Row],[GDP]]</f>
        <v/>
      </c>
      <c r="J136" s="37">
        <f>Table58[[#This Row],[Exports]]/Table58[[#This Row],[GDP]]</f>
        <v/>
      </c>
      <c r="K136" s="37">
        <f>-Table58[[#This Row],[Imports]]/Table58[[#This Row],[GDP]]</f>
        <v/>
      </c>
      <c r="L136" s="37">
        <f>Table58[[#This Row],[Government]]/Table58[[#This Row],[GDP]]</f>
        <v/>
      </c>
      <c r="N136" s="58">
        <f>SUM(Table58[[#This Row],[PC%]:[G%]])</f>
        <v/>
      </c>
      <c r="O136" s="25">
        <f>Table58[[#This Row],[Personal Consumption]]+Table58[[#This Row],[Private Investment]]+Table58[[#This Row],[Exports]]+Table58[[#This Row],[Government]]-Table58[[#This Row],[Imports]]</f>
        <v/>
      </c>
    </row>
    <row r="137">
      <c r="A137" s="45" t="n">
        <v>29129</v>
      </c>
      <c r="B137" s="63">
        <f>VLOOKUP(A137,'U.S. GDP'!A:B,2,)</f>
        <v/>
      </c>
      <c r="C137" s="63">
        <f>VLOOKUP(A137,PersonalConsumption!A:B,2,)</f>
        <v/>
      </c>
      <c r="D137" s="63">
        <f>VLOOKUP(A137,PrivateInvestment!A:B,2,)</f>
        <v/>
      </c>
      <c r="E137" s="63">
        <f>VLOOKUP(A137,Exports!A:B,2,)</f>
        <v/>
      </c>
      <c r="F137" s="63">
        <f>VLOOKUP(A137,Imports!A:B,2,)</f>
        <v/>
      </c>
      <c r="G137" s="63">
        <f>VLOOKUP(A137,Government!A:B,2,)</f>
        <v/>
      </c>
      <c r="H137" s="37">
        <f>Table58[[#This Row],[Personal Consumption]]/Table58[[#This Row],[GDP]]</f>
        <v/>
      </c>
      <c r="I137" s="37">
        <f>Table58[[#This Row],[Private Investment]]/Table58[[#This Row],[GDP]]</f>
        <v/>
      </c>
      <c r="J137" s="37">
        <f>Table58[[#This Row],[Exports]]/Table58[[#This Row],[GDP]]</f>
        <v/>
      </c>
      <c r="K137" s="37">
        <f>-Table58[[#This Row],[Imports]]/Table58[[#This Row],[GDP]]</f>
        <v/>
      </c>
      <c r="L137" s="37">
        <f>Table58[[#This Row],[Government]]/Table58[[#This Row],[GDP]]</f>
        <v/>
      </c>
      <c r="N137" s="58">
        <f>SUM(Table58[[#This Row],[PC%]:[G%]])</f>
        <v/>
      </c>
      <c r="O137" s="25">
        <f>Table58[[#This Row],[Personal Consumption]]+Table58[[#This Row],[Private Investment]]+Table58[[#This Row],[Exports]]+Table58[[#This Row],[Government]]-Table58[[#This Row],[Imports]]</f>
        <v/>
      </c>
    </row>
    <row r="138">
      <c r="A138" s="45" t="n">
        <v>29221</v>
      </c>
      <c r="B138" s="63">
        <f>VLOOKUP(A138,'U.S. GDP'!A:B,2,)</f>
        <v/>
      </c>
      <c r="C138" s="63">
        <f>VLOOKUP(A138,PersonalConsumption!A:B,2,)</f>
        <v/>
      </c>
      <c r="D138" s="63">
        <f>VLOOKUP(A138,PrivateInvestment!A:B,2,)</f>
        <v/>
      </c>
      <c r="E138" s="63">
        <f>VLOOKUP(A138,Exports!A:B,2,)</f>
        <v/>
      </c>
      <c r="F138" s="63">
        <f>VLOOKUP(A138,Imports!A:B,2,)</f>
        <v/>
      </c>
      <c r="G138" s="63">
        <f>VLOOKUP(A138,Government!A:B,2,)</f>
        <v/>
      </c>
      <c r="H138" s="37">
        <f>Table58[[#This Row],[Personal Consumption]]/Table58[[#This Row],[GDP]]</f>
        <v/>
      </c>
      <c r="I138" s="37">
        <f>Table58[[#This Row],[Private Investment]]/Table58[[#This Row],[GDP]]</f>
        <v/>
      </c>
      <c r="J138" s="37">
        <f>Table58[[#This Row],[Exports]]/Table58[[#This Row],[GDP]]</f>
        <v/>
      </c>
      <c r="K138" s="37">
        <f>-Table58[[#This Row],[Imports]]/Table58[[#This Row],[GDP]]</f>
        <v/>
      </c>
      <c r="L138" s="37">
        <f>Table58[[#This Row],[Government]]/Table58[[#This Row],[GDP]]</f>
        <v/>
      </c>
      <c r="N138" s="58">
        <f>SUM(Table58[[#This Row],[PC%]:[G%]])</f>
        <v/>
      </c>
      <c r="O138" s="25">
        <f>Table58[[#This Row],[Personal Consumption]]+Table58[[#This Row],[Private Investment]]+Table58[[#This Row],[Exports]]+Table58[[#This Row],[Government]]-Table58[[#This Row],[Imports]]</f>
        <v/>
      </c>
    </row>
    <row r="139">
      <c r="A139" s="45" t="n">
        <v>29312</v>
      </c>
      <c r="B139" s="63">
        <f>VLOOKUP(A139,'U.S. GDP'!A:B,2,)</f>
        <v/>
      </c>
      <c r="C139" s="63">
        <f>VLOOKUP(A139,PersonalConsumption!A:B,2,)</f>
        <v/>
      </c>
      <c r="D139" s="63">
        <f>VLOOKUP(A139,PrivateInvestment!A:B,2,)</f>
        <v/>
      </c>
      <c r="E139" s="63">
        <f>VLOOKUP(A139,Exports!A:B,2,)</f>
        <v/>
      </c>
      <c r="F139" s="63">
        <f>VLOOKUP(A139,Imports!A:B,2,)</f>
        <v/>
      </c>
      <c r="G139" s="63">
        <f>VLOOKUP(A139,Government!A:B,2,)</f>
        <v/>
      </c>
      <c r="H139" s="37">
        <f>Table58[[#This Row],[Personal Consumption]]/Table58[[#This Row],[GDP]]</f>
        <v/>
      </c>
      <c r="I139" s="37">
        <f>Table58[[#This Row],[Private Investment]]/Table58[[#This Row],[GDP]]</f>
        <v/>
      </c>
      <c r="J139" s="37">
        <f>Table58[[#This Row],[Exports]]/Table58[[#This Row],[GDP]]</f>
        <v/>
      </c>
      <c r="K139" s="37">
        <f>-Table58[[#This Row],[Imports]]/Table58[[#This Row],[GDP]]</f>
        <v/>
      </c>
      <c r="L139" s="37">
        <f>Table58[[#This Row],[Government]]/Table58[[#This Row],[GDP]]</f>
        <v/>
      </c>
      <c r="N139" s="58">
        <f>SUM(Table58[[#This Row],[PC%]:[G%]])</f>
        <v/>
      </c>
      <c r="O139" s="25">
        <f>Table58[[#This Row],[Personal Consumption]]+Table58[[#This Row],[Private Investment]]+Table58[[#This Row],[Exports]]+Table58[[#This Row],[Government]]-Table58[[#This Row],[Imports]]</f>
        <v/>
      </c>
    </row>
    <row r="140">
      <c r="A140" s="45" t="n">
        <v>29403</v>
      </c>
      <c r="B140" s="63">
        <f>VLOOKUP(A140,'U.S. GDP'!A:B,2,)</f>
        <v/>
      </c>
      <c r="C140" s="63">
        <f>VLOOKUP(A140,PersonalConsumption!A:B,2,)</f>
        <v/>
      </c>
      <c r="D140" s="63">
        <f>VLOOKUP(A140,PrivateInvestment!A:B,2,)</f>
        <v/>
      </c>
      <c r="E140" s="63">
        <f>VLOOKUP(A140,Exports!A:B,2,)</f>
        <v/>
      </c>
      <c r="F140" s="63">
        <f>VLOOKUP(A140,Imports!A:B,2,)</f>
        <v/>
      </c>
      <c r="G140" s="63">
        <f>VLOOKUP(A140,Government!A:B,2,)</f>
        <v/>
      </c>
      <c r="H140" s="37">
        <f>Table58[[#This Row],[Personal Consumption]]/Table58[[#This Row],[GDP]]</f>
        <v/>
      </c>
      <c r="I140" s="37">
        <f>Table58[[#This Row],[Private Investment]]/Table58[[#This Row],[GDP]]</f>
        <v/>
      </c>
      <c r="J140" s="37">
        <f>Table58[[#This Row],[Exports]]/Table58[[#This Row],[GDP]]</f>
        <v/>
      </c>
      <c r="K140" s="37">
        <f>-Table58[[#This Row],[Imports]]/Table58[[#This Row],[GDP]]</f>
        <v/>
      </c>
      <c r="L140" s="37">
        <f>Table58[[#This Row],[Government]]/Table58[[#This Row],[GDP]]</f>
        <v/>
      </c>
      <c r="N140" s="58">
        <f>SUM(Table58[[#This Row],[PC%]:[G%]])</f>
        <v/>
      </c>
      <c r="O140" s="25">
        <f>Table58[[#This Row],[Personal Consumption]]+Table58[[#This Row],[Private Investment]]+Table58[[#This Row],[Exports]]+Table58[[#This Row],[Government]]-Table58[[#This Row],[Imports]]</f>
        <v/>
      </c>
    </row>
    <row r="141">
      <c r="A141" s="45" t="n">
        <v>29495</v>
      </c>
      <c r="B141" s="63">
        <f>VLOOKUP(A141,'U.S. GDP'!A:B,2,)</f>
        <v/>
      </c>
      <c r="C141" s="63">
        <f>VLOOKUP(A141,PersonalConsumption!A:B,2,)</f>
        <v/>
      </c>
      <c r="D141" s="63">
        <f>VLOOKUP(A141,PrivateInvestment!A:B,2,)</f>
        <v/>
      </c>
      <c r="E141" s="63">
        <f>VLOOKUP(A141,Exports!A:B,2,)</f>
        <v/>
      </c>
      <c r="F141" s="63">
        <f>VLOOKUP(A141,Imports!A:B,2,)</f>
        <v/>
      </c>
      <c r="G141" s="63">
        <f>VLOOKUP(A141,Government!A:B,2,)</f>
        <v/>
      </c>
      <c r="H141" s="37">
        <f>Table58[[#This Row],[Personal Consumption]]/Table58[[#This Row],[GDP]]</f>
        <v/>
      </c>
      <c r="I141" s="37">
        <f>Table58[[#This Row],[Private Investment]]/Table58[[#This Row],[GDP]]</f>
        <v/>
      </c>
      <c r="J141" s="37">
        <f>Table58[[#This Row],[Exports]]/Table58[[#This Row],[GDP]]</f>
        <v/>
      </c>
      <c r="K141" s="37">
        <f>-Table58[[#This Row],[Imports]]/Table58[[#This Row],[GDP]]</f>
        <v/>
      </c>
      <c r="L141" s="37">
        <f>Table58[[#This Row],[Government]]/Table58[[#This Row],[GDP]]</f>
        <v/>
      </c>
      <c r="N141" s="58">
        <f>SUM(Table58[[#This Row],[PC%]:[G%]])</f>
        <v/>
      </c>
      <c r="O141" s="25">
        <f>Table58[[#This Row],[Personal Consumption]]+Table58[[#This Row],[Private Investment]]+Table58[[#This Row],[Exports]]+Table58[[#This Row],[Government]]-Table58[[#This Row],[Imports]]</f>
        <v/>
      </c>
    </row>
    <row r="142">
      <c r="A142" s="45" t="n">
        <v>29587</v>
      </c>
      <c r="B142" s="63">
        <f>VLOOKUP(A142,'U.S. GDP'!A:B,2,)</f>
        <v/>
      </c>
      <c r="C142" s="63">
        <f>VLOOKUP(A142,PersonalConsumption!A:B,2,)</f>
        <v/>
      </c>
      <c r="D142" s="63">
        <f>VLOOKUP(A142,PrivateInvestment!A:B,2,)</f>
        <v/>
      </c>
      <c r="E142" s="63">
        <f>VLOOKUP(A142,Exports!A:B,2,)</f>
        <v/>
      </c>
      <c r="F142" s="63">
        <f>VLOOKUP(A142,Imports!A:B,2,)</f>
        <v/>
      </c>
      <c r="G142" s="63">
        <f>VLOOKUP(A142,Government!A:B,2,)</f>
        <v/>
      </c>
      <c r="H142" s="37">
        <f>Table58[[#This Row],[Personal Consumption]]/Table58[[#This Row],[GDP]]</f>
        <v/>
      </c>
      <c r="I142" s="37">
        <f>Table58[[#This Row],[Private Investment]]/Table58[[#This Row],[GDP]]</f>
        <v/>
      </c>
      <c r="J142" s="37">
        <f>Table58[[#This Row],[Exports]]/Table58[[#This Row],[GDP]]</f>
        <v/>
      </c>
      <c r="K142" s="37">
        <f>-Table58[[#This Row],[Imports]]/Table58[[#This Row],[GDP]]</f>
        <v/>
      </c>
      <c r="L142" s="37">
        <f>Table58[[#This Row],[Government]]/Table58[[#This Row],[GDP]]</f>
        <v/>
      </c>
      <c r="N142" s="58">
        <f>SUM(Table58[[#This Row],[PC%]:[G%]])</f>
        <v/>
      </c>
      <c r="O142" s="25">
        <f>Table58[[#This Row],[Personal Consumption]]+Table58[[#This Row],[Private Investment]]+Table58[[#This Row],[Exports]]+Table58[[#This Row],[Government]]-Table58[[#This Row],[Imports]]</f>
        <v/>
      </c>
    </row>
    <row r="143">
      <c r="A143" s="45" t="n">
        <v>29677</v>
      </c>
      <c r="B143" s="63">
        <f>VLOOKUP(A143,'U.S. GDP'!A:B,2,)</f>
        <v/>
      </c>
      <c r="C143" s="63">
        <f>VLOOKUP(A143,PersonalConsumption!A:B,2,)</f>
        <v/>
      </c>
      <c r="D143" s="63">
        <f>VLOOKUP(A143,PrivateInvestment!A:B,2,)</f>
        <v/>
      </c>
      <c r="E143" s="63">
        <f>VLOOKUP(A143,Exports!A:B,2,)</f>
        <v/>
      </c>
      <c r="F143" s="63">
        <f>VLOOKUP(A143,Imports!A:B,2,)</f>
        <v/>
      </c>
      <c r="G143" s="63">
        <f>VLOOKUP(A143,Government!A:B,2,)</f>
        <v/>
      </c>
      <c r="H143" s="37">
        <f>Table58[[#This Row],[Personal Consumption]]/Table58[[#This Row],[GDP]]</f>
        <v/>
      </c>
      <c r="I143" s="37">
        <f>Table58[[#This Row],[Private Investment]]/Table58[[#This Row],[GDP]]</f>
        <v/>
      </c>
      <c r="J143" s="37">
        <f>Table58[[#This Row],[Exports]]/Table58[[#This Row],[GDP]]</f>
        <v/>
      </c>
      <c r="K143" s="37">
        <f>-Table58[[#This Row],[Imports]]/Table58[[#This Row],[GDP]]</f>
        <v/>
      </c>
      <c r="L143" s="37">
        <f>Table58[[#This Row],[Government]]/Table58[[#This Row],[GDP]]</f>
        <v/>
      </c>
      <c r="N143" s="58">
        <f>SUM(Table58[[#This Row],[PC%]:[G%]])</f>
        <v/>
      </c>
      <c r="O143" s="25">
        <f>Table58[[#This Row],[Personal Consumption]]+Table58[[#This Row],[Private Investment]]+Table58[[#This Row],[Exports]]+Table58[[#This Row],[Government]]-Table58[[#This Row],[Imports]]</f>
        <v/>
      </c>
    </row>
    <row r="144">
      <c r="A144" s="45" t="n">
        <v>29768</v>
      </c>
      <c r="B144" s="63">
        <f>VLOOKUP(A144,'U.S. GDP'!A:B,2,)</f>
        <v/>
      </c>
      <c r="C144" s="63">
        <f>VLOOKUP(A144,PersonalConsumption!A:B,2,)</f>
        <v/>
      </c>
      <c r="D144" s="63">
        <f>VLOOKUP(A144,PrivateInvestment!A:B,2,)</f>
        <v/>
      </c>
      <c r="E144" s="63">
        <f>VLOOKUP(A144,Exports!A:B,2,)</f>
        <v/>
      </c>
      <c r="F144" s="63">
        <f>VLOOKUP(A144,Imports!A:B,2,)</f>
        <v/>
      </c>
      <c r="G144" s="63">
        <f>VLOOKUP(A144,Government!A:B,2,)</f>
        <v/>
      </c>
      <c r="H144" s="37">
        <f>Table58[[#This Row],[Personal Consumption]]/Table58[[#This Row],[GDP]]</f>
        <v/>
      </c>
      <c r="I144" s="37">
        <f>Table58[[#This Row],[Private Investment]]/Table58[[#This Row],[GDP]]</f>
        <v/>
      </c>
      <c r="J144" s="37">
        <f>Table58[[#This Row],[Exports]]/Table58[[#This Row],[GDP]]</f>
        <v/>
      </c>
      <c r="K144" s="37">
        <f>-Table58[[#This Row],[Imports]]/Table58[[#This Row],[GDP]]</f>
        <v/>
      </c>
      <c r="L144" s="37">
        <f>Table58[[#This Row],[Government]]/Table58[[#This Row],[GDP]]</f>
        <v/>
      </c>
      <c r="N144" s="58">
        <f>SUM(Table58[[#This Row],[PC%]:[G%]])</f>
        <v/>
      </c>
      <c r="O144" s="25">
        <f>Table58[[#This Row],[Personal Consumption]]+Table58[[#This Row],[Private Investment]]+Table58[[#This Row],[Exports]]+Table58[[#This Row],[Government]]-Table58[[#This Row],[Imports]]</f>
        <v/>
      </c>
    </row>
    <row r="145">
      <c r="A145" s="45" t="n">
        <v>29860</v>
      </c>
      <c r="B145" s="63">
        <f>VLOOKUP(A145,'U.S. GDP'!A:B,2,)</f>
        <v/>
      </c>
      <c r="C145" s="63">
        <f>VLOOKUP(A145,PersonalConsumption!A:B,2,)</f>
        <v/>
      </c>
      <c r="D145" s="63">
        <f>VLOOKUP(A145,PrivateInvestment!A:B,2,)</f>
        <v/>
      </c>
      <c r="E145" s="63">
        <f>VLOOKUP(A145,Exports!A:B,2,)</f>
        <v/>
      </c>
      <c r="F145" s="63">
        <f>VLOOKUP(A145,Imports!A:B,2,)</f>
        <v/>
      </c>
      <c r="G145" s="63">
        <f>VLOOKUP(A145,Government!A:B,2,)</f>
        <v/>
      </c>
      <c r="H145" s="37">
        <f>Table58[[#This Row],[Personal Consumption]]/Table58[[#This Row],[GDP]]</f>
        <v/>
      </c>
      <c r="I145" s="37">
        <f>Table58[[#This Row],[Private Investment]]/Table58[[#This Row],[GDP]]</f>
        <v/>
      </c>
      <c r="J145" s="37">
        <f>Table58[[#This Row],[Exports]]/Table58[[#This Row],[GDP]]</f>
        <v/>
      </c>
      <c r="K145" s="37">
        <f>-Table58[[#This Row],[Imports]]/Table58[[#This Row],[GDP]]</f>
        <v/>
      </c>
      <c r="L145" s="37">
        <f>Table58[[#This Row],[Government]]/Table58[[#This Row],[GDP]]</f>
        <v/>
      </c>
      <c r="N145" s="58">
        <f>SUM(Table58[[#This Row],[PC%]:[G%]])</f>
        <v/>
      </c>
      <c r="O145" s="25">
        <f>Table58[[#This Row],[Personal Consumption]]+Table58[[#This Row],[Private Investment]]+Table58[[#This Row],[Exports]]+Table58[[#This Row],[Government]]-Table58[[#This Row],[Imports]]</f>
        <v/>
      </c>
    </row>
    <row r="146">
      <c r="A146" s="45" t="n">
        <v>29952</v>
      </c>
      <c r="B146" s="63">
        <f>VLOOKUP(A146,'U.S. GDP'!A:B,2,)</f>
        <v/>
      </c>
      <c r="C146" s="63">
        <f>VLOOKUP(A146,PersonalConsumption!A:B,2,)</f>
        <v/>
      </c>
      <c r="D146" s="63">
        <f>VLOOKUP(A146,PrivateInvestment!A:B,2,)</f>
        <v/>
      </c>
      <c r="E146" s="63">
        <f>VLOOKUP(A146,Exports!A:B,2,)</f>
        <v/>
      </c>
      <c r="F146" s="63">
        <f>VLOOKUP(A146,Imports!A:B,2,)</f>
        <v/>
      </c>
      <c r="G146" s="63">
        <f>VLOOKUP(A146,Government!A:B,2,)</f>
        <v/>
      </c>
      <c r="H146" s="37">
        <f>Table58[[#This Row],[Personal Consumption]]/Table58[[#This Row],[GDP]]</f>
        <v/>
      </c>
      <c r="I146" s="37">
        <f>Table58[[#This Row],[Private Investment]]/Table58[[#This Row],[GDP]]</f>
        <v/>
      </c>
      <c r="J146" s="37">
        <f>Table58[[#This Row],[Exports]]/Table58[[#This Row],[GDP]]</f>
        <v/>
      </c>
      <c r="K146" s="37">
        <f>-Table58[[#This Row],[Imports]]/Table58[[#This Row],[GDP]]</f>
        <v/>
      </c>
      <c r="L146" s="37">
        <f>Table58[[#This Row],[Government]]/Table58[[#This Row],[GDP]]</f>
        <v/>
      </c>
      <c r="N146" s="58">
        <f>SUM(Table58[[#This Row],[PC%]:[G%]])</f>
        <v/>
      </c>
      <c r="O146" s="25">
        <f>Table58[[#This Row],[Personal Consumption]]+Table58[[#This Row],[Private Investment]]+Table58[[#This Row],[Exports]]+Table58[[#This Row],[Government]]-Table58[[#This Row],[Imports]]</f>
        <v/>
      </c>
    </row>
    <row r="147">
      <c r="A147" s="45" t="n">
        <v>30042</v>
      </c>
      <c r="B147" s="63">
        <f>VLOOKUP(A147,'U.S. GDP'!A:B,2,)</f>
        <v/>
      </c>
      <c r="C147" s="63">
        <f>VLOOKUP(A147,PersonalConsumption!A:B,2,)</f>
        <v/>
      </c>
      <c r="D147" s="63">
        <f>VLOOKUP(A147,PrivateInvestment!A:B,2,)</f>
        <v/>
      </c>
      <c r="E147" s="63">
        <f>VLOOKUP(A147,Exports!A:B,2,)</f>
        <v/>
      </c>
      <c r="F147" s="63">
        <f>VLOOKUP(A147,Imports!A:B,2,)</f>
        <v/>
      </c>
      <c r="G147" s="63">
        <f>VLOOKUP(A147,Government!A:B,2,)</f>
        <v/>
      </c>
      <c r="H147" s="37">
        <f>Table58[[#This Row],[Personal Consumption]]/Table58[[#This Row],[GDP]]</f>
        <v/>
      </c>
      <c r="I147" s="37">
        <f>Table58[[#This Row],[Private Investment]]/Table58[[#This Row],[GDP]]</f>
        <v/>
      </c>
      <c r="J147" s="37">
        <f>Table58[[#This Row],[Exports]]/Table58[[#This Row],[GDP]]</f>
        <v/>
      </c>
      <c r="K147" s="37">
        <f>-Table58[[#This Row],[Imports]]/Table58[[#This Row],[GDP]]</f>
        <v/>
      </c>
      <c r="L147" s="37">
        <f>Table58[[#This Row],[Government]]/Table58[[#This Row],[GDP]]</f>
        <v/>
      </c>
      <c r="N147" s="58">
        <f>SUM(Table58[[#This Row],[PC%]:[G%]])</f>
        <v/>
      </c>
      <c r="O147" s="25">
        <f>Table58[[#This Row],[Personal Consumption]]+Table58[[#This Row],[Private Investment]]+Table58[[#This Row],[Exports]]+Table58[[#This Row],[Government]]-Table58[[#This Row],[Imports]]</f>
        <v/>
      </c>
    </row>
    <row r="148">
      <c r="A148" s="45" t="n">
        <v>30133</v>
      </c>
      <c r="B148" s="63">
        <f>VLOOKUP(A148,'U.S. GDP'!A:B,2,)</f>
        <v/>
      </c>
      <c r="C148" s="63">
        <f>VLOOKUP(A148,PersonalConsumption!A:B,2,)</f>
        <v/>
      </c>
      <c r="D148" s="63">
        <f>VLOOKUP(A148,PrivateInvestment!A:B,2,)</f>
        <v/>
      </c>
      <c r="E148" s="63">
        <f>VLOOKUP(A148,Exports!A:B,2,)</f>
        <v/>
      </c>
      <c r="F148" s="63">
        <f>VLOOKUP(A148,Imports!A:B,2,)</f>
        <v/>
      </c>
      <c r="G148" s="63">
        <f>VLOOKUP(A148,Government!A:B,2,)</f>
        <v/>
      </c>
      <c r="H148" s="37">
        <f>Table58[[#This Row],[Personal Consumption]]/Table58[[#This Row],[GDP]]</f>
        <v/>
      </c>
      <c r="I148" s="37">
        <f>Table58[[#This Row],[Private Investment]]/Table58[[#This Row],[GDP]]</f>
        <v/>
      </c>
      <c r="J148" s="37">
        <f>Table58[[#This Row],[Exports]]/Table58[[#This Row],[GDP]]</f>
        <v/>
      </c>
      <c r="K148" s="37">
        <f>-Table58[[#This Row],[Imports]]/Table58[[#This Row],[GDP]]</f>
        <v/>
      </c>
      <c r="L148" s="37">
        <f>Table58[[#This Row],[Government]]/Table58[[#This Row],[GDP]]</f>
        <v/>
      </c>
      <c r="N148" s="58">
        <f>SUM(Table58[[#This Row],[PC%]:[G%]])</f>
        <v/>
      </c>
      <c r="O148" s="25">
        <f>Table58[[#This Row],[Personal Consumption]]+Table58[[#This Row],[Private Investment]]+Table58[[#This Row],[Exports]]+Table58[[#This Row],[Government]]-Table58[[#This Row],[Imports]]</f>
        <v/>
      </c>
    </row>
    <row r="149">
      <c r="A149" s="45" t="n">
        <v>30225</v>
      </c>
      <c r="B149" s="63">
        <f>VLOOKUP(A149,'U.S. GDP'!A:B,2,)</f>
        <v/>
      </c>
      <c r="C149" s="63">
        <f>VLOOKUP(A149,PersonalConsumption!A:B,2,)</f>
        <v/>
      </c>
      <c r="D149" s="63">
        <f>VLOOKUP(A149,PrivateInvestment!A:B,2,)</f>
        <v/>
      </c>
      <c r="E149" s="63">
        <f>VLOOKUP(A149,Exports!A:B,2,)</f>
        <v/>
      </c>
      <c r="F149" s="63">
        <f>VLOOKUP(A149,Imports!A:B,2,)</f>
        <v/>
      </c>
      <c r="G149" s="63">
        <f>VLOOKUP(A149,Government!A:B,2,)</f>
        <v/>
      </c>
      <c r="H149" s="37">
        <f>Table58[[#This Row],[Personal Consumption]]/Table58[[#This Row],[GDP]]</f>
        <v/>
      </c>
      <c r="I149" s="37">
        <f>Table58[[#This Row],[Private Investment]]/Table58[[#This Row],[GDP]]</f>
        <v/>
      </c>
      <c r="J149" s="37">
        <f>Table58[[#This Row],[Exports]]/Table58[[#This Row],[GDP]]</f>
        <v/>
      </c>
      <c r="K149" s="37">
        <f>-Table58[[#This Row],[Imports]]/Table58[[#This Row],[GDP]]</f>
        <v/>
      </c>
      <c r="L149" s="37">
        <f>Table58[[#This Row],[Government]]/Table58[[#This Row],[GDP]]</f>
        <v/>
      </c>
      <c r="N149" s="58">
        <f>SUM(Table58[[#This Row],[PC%]:[G%]])</f>
        <v/>
      </c>
      <c r="O149" s="25">
        <f>Table58[[#This Row],[Personal Consumption]]+Table58[[#This Row],[Private Investment]]+Table58[[#This Row],[Exports]]+Table58[[#This Row],[Government]]-Table58[[#This Row],[Imports]]</f>
        <v/>
      </c>
    </row>
    <row r="150">
      <c r="A150" s="45" t="n">
        <v>30317</v>
      </c>
      <c r="B150" s="63">
        <f>VLOOKUP(A150,'U.S. GDP'!A:B,2,)</f>
        <v/>
      </c>
      <c r="C150" s="63">
        <f>VLOOKUP(A150,PersonalConsumption!A:B,2,)</f>
        <v/>
      </c>
      <c r="D150" s="63">
        <f>VLOOKUP(A150,PrivateInvestment!A:B,2,)</f>
        <v/>
      </c>
      <c r="E150" s="63">
        <f>VLOOKUP(A150,Exports!A:B,2,)</f>
        <v/>
      </c>
      <c r="F150" s="63">
        <f>VLOOKUP(A150,Imports!A:B,2,)</f>
        <v/>
      </c>
      <c r="G150" s="63">
        <f>VLOOKUP(A150,Government!A:B,2,)</f>
        <v/>
      </c>
      <c r="H150" s="37">
        <f>Table58[[#This Row],[Personal Consumption]]/Table58[[#This Row],[GDP]]</f>
        <v/>
      </c>
      <c r="I150" s="37">
        <f>Table58[[#This Row],[Private Investment]]/Table58[[#This Row],[GDP]]</f>
        <v/>
      </c>
      <c r="J150" s="37">
        <f>Table58[[#This Row],[Exports]]/Table58[[#This Row],[GDP]]</f>
        <v/>
      </c>
      <c r="K150" s="37">
        <f>-Table58[[#This Row],[Imports]]/Table58[[#This Row],[GDP]]</f>
        <v/>
      </c>
      <c r="L150" s="37">
        <f>Table58[[#This Row],[Government]]/Table58[[#This Row],[GDP]]</f>
        <v/>
      </c>
      <c r="N150" s="58">
        <f>SUM(Table58[[#This Row],[PC%]:[G%]])</f>
        <v/>
      </c>
      <c r="O150" s="25">
        <f>Table58[[#This Row],[Personal Consumption]]+Table58[[#This Row],[Private Investment]]+Table58[[#This Row],[Exports]]+Table58[[#This Row],[Government]]-Table58[[#This Row],[Imports]]</f>
        <v/>
      </c>
    </row>
    <row r="151">
      <c r="A151" s="45" t="n">
        <v>30407</v>
      </c>
      <c r="B151" s="63">
        <f>VLOOKUP(A151,'U.S. GDP'!A:B,2,)</f>
        <v/>
      </c>
      <c r="C151" s="63">
        <f>VLOOKUP(A151,PersonalConsumption!A:B,2,)</f>
        <v/>
      </c>
      <c r="D151" s="63">
        <f>VLOOKUP(A151,PrivateInvestment!A:B,2,)</f>
        <v/>
      </c>
      <c r="E151" s="63">
        <f>VLOOKUP(A151,Exports!A:B,2,)</f>
        <v/>
      </c>
      <c r="F151" s="63">
        <f>VLOOKUP(A151,Imports!A:B,2,)</f>
        <v/>
      </c>
      <c r="G151" s="63">
        <f>VLOOKUP(A151,Government!A:B,2,)</f>
        <v/>
      </c>
      <c r="H151" s="37">
        <f>Table58[[#This Row],[Personal Consumption]]/Table58[[#This Row],[GDP]]</f>
        <v/>
      </c>
      <c r="I151" s="37">
        <f>Table58[[#This Row],[Private Investment]]/Table58[[#This Row],[GDP]]</f>
        <v/>
      </c>
      <c r="J151" s="37">
        <f>Table58[[#This Row],[Exports]]/Table58[[#This Row],[GDP]]</f>
        <v/>
      </c>
      <c r="K151" s="37">
        <f>-Table58[[#This Row],[Imports]]/Table58[[#This Row],[GDP]]</f>
        <v/>
      </c>
      <c r="L151" s="37">
        <f>Table58[[#This Row],[Government]]/Table58[[#This Row],[GDP]]</f>
        <v/>
      </c>
      <c r="N151" s="58">
        <f>SUM(Table58[[#This Row],[PC%]:[G%]])</f>
        <v/>
      </c>
      <c r="O151" s="25">
        <f>Table58[[#This Row],[Personal Consumption]]+Table58[[#This Row],[Private Investment]]+Table58[[#This Row],[Exports]]+Table58[[#This Row],[Government]]-Table58[[#This Row],[Imports]]</f>
        <v/>
      </c>
    </row>
    <row r="152">
      <c r="A152" s="45" t="n">
        <v>30498</v>
      </c>
      <c r="B152" s="63">
        <f>VLOOKUP(A152,'U.S. GDP'!A:B,2,)</f>
        <v/>
      </c>
      <c r="C152" s="63">
        <f>VLOOKUP(A152,PersonalConsumption!A:B,2,)</f>
        <v/>
      </c>
      <c r="D152" s="63">
        <f>VLOOKUP(A152,PrivateInvestment!A:B,2,)</f>
        <v/>
      </c>
      <c r="E152" s="63">
        <f>VLOOKUP(A152,Exports!A:B,2,)</f>
        <v/>
      </c>
      <c r="F152" s="63">
        <f>VLOOKUP(A152,Imports!A:B,2,)</f>
        <v/>
      </c>
      <c r="G152" s="63">
        <f>VLOOKUP(A152,Government!A:B,2,)</f>
        <v/>
      </c>
      <c r="H152" s="37">
        <f>Table58[[#This Row],[Personal Consumption]]/Table58[[#This Row],[GDP]]</f>
        <v/>
      </c>
      <c r="I152" s="37">
        <f>Table58[[#This Row],[Private Investment]]/Table58[[#This Row],[GDP]]</f>
        <v/>
      </c>
      <c r="J152" s="37">
        <f>Table58[[#This Row],[Exports]]/Table58[[#This Row],[GDP]]</f>
        <v/>
      </c>
      <c r="K152" s="37">
        <f>-Table58[[#This Row],[Imports]]/Table58[[#This Row],[GDP]]</f>
        <v/>
      </c>
      <c r="L152" s="37">
        <f>Table58[[#This Row],[Government]]/Table58[[#This Row],[GDP]]</f>
        <v/>
      </c>
      <c r="N152" s="58">
        <f>SUM(Table58[[#This Row],[PC%]:[G%]])</f>
        <v/>
      </c>
      <c r="O152" s="25">
        <f>Table58[[#This Row],[Personal Consumption]]+Table58[[#This Row],[Private Investment]]+Table58[[#This Row],[Exports]]+Table58[[#This Row],[Government]]-Table58[[#This Row],[Imports]]</f>
        <v/>
      </c>
    </row>
    <row r="153">
      <c r="A153" s="45" t="n">
        <v>30590</v>
      </c>
      <c r="B153" s="63">
        <f>VLOOKUP(A153,'U.S. GDP'!A:B,2,)</f>
        <v/>
      </c>
      <c r="C153" s="63">
        <f>VLOOKUP(A153,PersonalConsumption!A:B,2,)</f>
        <v/>
      </c>
      <c r="D153" s="63">
        <f>VLOOKUP(A153,PrivateInvestment!A:B,2,)</f>
        <v/>
      </c>
      <c r="E153" s="63">
        <f>VLOOKUP(A153,Exports!A:B,2,)</f>
        <v/>
      </c>
      <c r="F153" s="63">
        <f>VLOOKUP(A153,Imports!A:B,2,)</f>
        <v/>
      </c>
      <c r="G153" s="63">
        <f>VLOOKUP(A153,Government!A:B,2,)</f>
        <v/>
      </c>
      <c r="H153" s="37">
        <f>Table58[[#This Row],[Personal Consumption]]/Table58[[#This Row],[GDP]]</f>
        <v/>
      </c>
      <c r="I153" s="37">
        <f>Table58[[#This Row],[Private Investment]]/Table58[[#This Row],[GDP]]</f>
        <v/>
      </c>
      <c r="J153" s="37">
        <f>Table58[[#This Row],[Exports]]/Table58[[#This Row],[GDP]]</f>
        <v/>
      </c>
      <c r="K153" s="37">
        <f>-Table58[[#This Row],[Imports]]/Table58[[#This Row],[GDP]]</f>
        <v/>
      </c>
      <c r="L153" s="37">
        <f>Table58[[#This Row],[Government]]/Table58[[#This Row],[GDP]]</f>
        <v/>
      </c>
      <c r="N153" s="58">
        <f>SUM(Table58[[#This Row],[PC%]:[G%]])</f>
        <v/>
      </c>
      <c r="O153" s="25">
        <f>Table58[[#This Row],[Personal Consumption]]+Table58[[#This Row],[Private Investment]]+Table58[[#This Row],[Exports]]+Table58[[#This Row],[Government]]-Table58[[#This Row],[Imports]]</f>
        <v/>
      </c>
    </row>
    <row r="154">
      <c r="A154" s="45" t="n">
        <v>30682</v>
      </c>
      <c r="B154" s="63">
        <f>VLOOKUP(A154,'U.S. GDP'!A:B,2,)</f>
        <v/>
      </c>
      <c r="C154" s="63">
        <f>VLOOKUP(A154,PersonalConsumption!A:B,2,)</f>
        <v/>
      </c>
      <c r="D154" s="63">
        <f>VLOOKUP(A154,PrivateInvestment!A:B,2,)</f>
        <v/>
      </c>
      <c r="E154" s="63">
        <f>VLOOKUP(A154,Exports!A:B,2,)</f>
        <v/>
      </c>
      <c r="F154" s="63">
        <f>VLOOKUP(A154,Imports!A:B,2,)</f>
        <v/>
      </c>
      <c r="G154" s="63">
        <f>VLOOKUP(A154,Government!A:B,2,)</f>
        <v/>
      </c>
      <c r="H154" s="37">
        <f>Table58[[#This Row],[Personal Consumption]]/Table58[[#This Row],[GDP]]</f>
        <v/>
      </c>
      <c r="I154" s="37">
        <f>Table58[[#This Row],[Private Investment]]/Table58[[#This Row],[GDP]]</f>
        <v/>
      </c>
      <c r="J154" s="37">
        <f>Table58[[#This Row],[Exports]]/Table58[[#This Row],[GDP]]</f>
        <v/>
      </c>
      <c r="K154" s="37">
        <f>-Table58[[#This Row],[Imports]]/Table58[[#This Row],[GDP]]</f>
        <v/>
      </c>
      <c r="L154" s="37">
        <f>Table58[[#This Row],[Government]]/Table58[[#This Row],[GDP]]</f>
        <v/>
      </c>
      <c r="N154" s="58">
        <f>SUM(Table58[[#This Row],[PC%]:[G%]])</f>
        <v/>
      </c>
      <c r="O154" s="25">
        <f>Table58[[#This Row],[Personal Consumption]]+Table58[[#This Row],[Private Investment]]+Table58[[#This Row],[Exports]]+Table58[[#This Row],[Government]]-Table58[[#This Row],[Imports]]</f>
        <v/>
      </c>
    </row>
    <row r="155">
      <c r="A155" s="45" t="n">
        <v>30773</v>
      </c>
      <c r="B155" s="63">
        <f>VLOOKUP(A155,'U.S. GDP'!A:B,2,)</f>
        <v/>
      </c>
      <c r="C155" s="63">
        <f>VLOOKUP(A155,PersonalConsumption!A:B,2,)</f>
        <v/>
      </c>
      <c r="D155" s="63">
        <f>VLOOKUP(A155,PrivateInvestment!A:B,2,)</f>
        <v/>
      </c>
      <c r="E155" s="63">
        <f>VLOOKUP(A155,Exports!A:B,2,)</f>
        <v/>
      </c>
      <c r="F155" s="63">
        <f>VLOOKUP(A155,Imports!A:B,2,)</f>
        <v/>
      </c>
      <c r="G155" s="63">
        <f>VLOOKUP(A155,Government!A:B,2,)</f>
        <v/>
      </c>
      <c r="H155" s="37">
        <f>Table58[[#This Row],[Personal Consumption]]/Table58[[#This Row],[GDP]]</f>
        <v/>
      </c>
      <c r="I155" s="37">
        <f>Table58[[#This Row],[Private Investment]]/Table58[[#This Row],[GDP]]</f>
        <v/>
      </c>
      <c r="J155" s="37">
        <f>Table58[[#This Row],[Exports]]/Table58[[#This Row],[GDP]]</f>
        <v/>
      </c>
      <c r="K155" s="37">
        <f>-Table58[[#This Row],[Imports]]/Table58[[#This Row],[GDP]]</f>
        <v/>
      </c>
      <c r="L155" s="37">
        <f>Table58[[#This Row],[Government]]/Table58[[#This Row],[GDP]]</f>
        <v/>
      </c>
      <c r="N155" s="58">
        <f>SUM(Table58[[#This Row],[PC%]:[G%]])</f>
        <v/>
      </c>
      <c r="O155" s="25">
        <f>Table58[[#This Row],[Personal Consumption]]+Table58[[#This Row],[Private Investment]]+Table58[[#This Row],[Exports]]+Table58[[#This Row],[Government]]-Table58[[#This Row],[Imports]]</f>
        <v/>
      </c>
    </row>
    <row r="156">
      <c r="A156" s="45" t="n">
        <v>30864</v>
      </c>
      <c r="B156" s="63">
        <f>VLOOKUP(A156,'U.S. GDP'!A:B,2,)</f>
        <v/>
      </c>
      <c r="C156" s="63">
        <f>VLOOKUP(A156,PersonalConsumption!A:B,2,)</f>
        <v/>
      </c>
      <c r="D156" s="63">
        <f>VLOOKUP(A156,PrivateInvestment!A:B,2,)</f>
        <v/>
      </c>
      <c r="E156" s="63">
        <f>VLOOKUP(A156,Exports!A:B,2,)</f>
        <v/>
      </c>
      <c r="F156" s="63">
        <f>VLOOKUP(A156,Imports!A:B,2,)</f>
        <v/>
      </c>
      <c r="G156" s="63">
        <f>VLOOKUP(A156,Government!A:B,2,)</f>
        <v/>
      </c>
      <c r="H156" s="37">
        <f>Table58[[#This Row],[Personal Consumption]]/Table58[[#This Row],[GDP]]</f>
        <v/>
      </c>
      <c r="I156" s="37">
        <f>Table58[[#This Row],[Private Investment]]/Table58[[#This Row],[GDP]]</f>
        <v/>
      </c>
      <c r="J156" s="37">
        <f>Table58[[#This Row],[Exports]]/Table58[[#This Row],[GDP]]</f>
        <v/>
      </c>
      <c r="K156" s="37">
        <f>-Table58[[#This Row],[Imports]]/Table58[[#This Row],[GDP]]</f>
        <v/>
      </c>
      <c r="L156" s="37">
        <f>Table58[[#This Row],[Government]]/Table58[[#This Row],[GDP]]</f>
        <v/>
      </c>
      <c r="N156" s="58">
        <f>SUM(Table58[[#This Row],[PC%]:[G%]])</f>
        <v/>
      </c>
      <c r="O156" s="25">
        <f>Table58[[#This Row],[Personal Consumption]]+Table58[[#This Row],[Private Investment]]+Table58[[#This Row],[Exports]]+Table58[[#This Row],[Government]]-Table58[[#This Row],[Imports]]</f>
        <v/>
      </c>
    </row>
    <row r="157">
      <c r="A157" s="45" t="n">
        <v>30956</v>
      </c>
      <c r="B157" s="63">
        <f>VLOOKUP(A157,'U.S. GDP'!A:B,2,)</f>
        <v/>
      </c>
      <c r="C157" s="63">
        <f>VLOOKUP(A157,PersonalConsumption!A:B,2,)</f>
        <v/>
      </c>
      <c r="D157" s="63">
        <f>VLOOKUP(A157,PrivateInvestment!A:B,2,)</f>
        <v/>
      </c>
      <c r="E157" s="63">
        <f>VLOOKUP(A157,Exports!A:B,2,)</f>
        <v/>
      </c>
      <c r="F157" s="63">
        <f>VLOOKUP(A157,Imports!A:B,2,)</f>
        <v/>
      </c>
      <c r="G157" s="63">
        <f>VLOOKUP(A157,Government!A:B,2,)</f>
        <v/>
      </c>
      <c r="H157" s="37">
        <f>Table58[[#This Row],[Personal Consumption]]/Table58[[#This Row],[GDP]]</f>
        <v/>
      </c>
      <c r="I157" s="37">
        <f>Table58[[#This Row],[Private Investment]]/Table58[[#This Row],[GDP]]</f>
        <v/>
      </c>
      <c r="J157" s="37">
        <f>Table58[[#This Row],[Exports]]/Table58[[#This Row],[GDP]]</f>
        <v/>
      </c>
      <c r="K157" s="37">
        <f>-Table58[[#This Row],[Imports]]/Table58[[#This Row],[GDP]]</f>
        <v/>
      </c>
      <c r="L157" s="37">
        <f>Table58[[#This Row],[Government]]/Table58[[#This Row],[GDP]]</f>
        <v/>
      </c>
      <c r="N157" s="58">
        <f>SUM(Table58[[#This Row],[PC%]:[G%]])</f>
        <v/>
      </c>
      <c r="O157" s="25">
        <f>Table58[[#This Row],[Personal Consumption]]+Table58[[#This Row],[Private Investment]]+Table58[[#This Row],[Exports]]+Table58[[#This Row],[Government]]-Table58[[#This Row],[Imports]]</f>
        <v/>
      </c>
    </row>
    <row r="158">
      <c r="A158" s="45" t="n">
        <v>31048</v>
      </c>
      <c r="B158" s="63">
        <f>VLOOKUP(A158,'U.S. GDP'!A:B,2,)</f>
        <v/>
      </c>
      <c r="C158" s="63">
        <f>VLOOKUP(A158,PersonalConsumption!A:B,2,)</f>
        <v/>
      </c>
      <c r="D158" s="63">
        <f>VLOOKUP(A158,PrivateInvestment!A:B,2,)</f>
        <v/>
      </c>
      <c r="E158" s="63">
        <f>VLOOKUP(A158,Exports!A:B,2,)</f>
        <v/>
      </c>
      <c r="F158" s="63">
        <f>VLOOKUP(A158,Imports!A:B,2,)</f>
        <v/>
      </c>
      <c r="G158" s="63">
        <f>VLOOKUP(A158,Government!A:B,2,)</f>
        <v/>
      </c>
      <c r="H158" s="37">
        <f>Table58[[#This Row],[Personal Consumption]]/Table58[[#This Row],[GDP]]</f>
        <v/>
      </c>
      <c r="I158" s="37">
        <f>Table58[[#This Row],[Private Investment]]/Table58[[#This Row],[GDP]]</f>
        <v/>
      </c>
      <c r="J158" s="37">
        <f>Table58[[#This Row],[Exports]]/Table58[[#This Row],[GDP]]</f>
        <v/>
      </c>
      <c r="K158" s="37">
        <f>-Table58[[#This Row],[Imports]]/Table58[[#This Row],[GDP]]</f>
        <v/>
      </c>
      <c r="L158" s="37">
        <f>Table58[[#This Row],[Government]]/Table58[[#This Row],[GDP]]</f>
        <v/>
      </c>
      <c r="N158" s="58">
        <f>SUM(Table58[[#This Row],[PC%]:[G%]])</f>
        <v/>
      </c>
      <c r="O158" s="25">
        <f>Table58[[#This Row],[Personal Consumption]]+Table58[[#This Row],[Private Investment]]+Table58[[#This Row],[Exports]]+Table58[[#This Row],[Government]]-Table58[[#This Row],[Imports]]</f>
        <v/>
      </c>
    </row>
    <row r="159">
      <c r="A159" s="45" t="n">
        <v>31138</v>
      </c>
      <c r="B159" s="63">
        <f>VLOOKUP(A159,'U.S. GDP'!A:B,2,)</f>
        <v/>
      </c>
      <c r="C159" s="63">
        <f>VLOOKUP(A159,PersonalConsumption!A:B,2,)</f>
        <v/>
      </c>
      <c r="D159" s="63">
        <f>VLOOKUP(A159,PrivateInvestment!A:B,2,)</f>
        <v/>
      </c>
      <c r="E159" s="63">
        <f>VLOOKUP(A159,Exports!A:B,2,)</f>
        <v/>
      </c>
      <c r="F159" s="63">
        <f>VLOOKUP(A159,Imports!A:B,2,)</f>
        <v/>
      </c>
      <c r="G159" s="63">
        <f>VLOOKUP(A159,Government!A:B,2,)</f>
        <v/>
      </c>
      <c r="H159" s="37">
        <f>Table58[[#This Row],[Personal Consumption]]/Table58[[#This Row],[GDP]]</f>
        <v/>
      </c>
      <c r="I159" s="37">
        <f>Table58[[#This Row],[Private Investment]]/Table58[[#This Row],[GDP]]</f>
        <v/>
      </c>
      <c r="J159" s="37">
        <f>Table58[[#This Row],[Exports]]/Table58[[#This Row],[GDP]]</f>
        <v/>
      </c>
      <c r="K159" s="37">
        <f>-Table58[[#This Row],[Imports]]/Table58[[#This Row],[GDP]]</f>
        <v/>
      </c>
      <c r="L159" s="37">
        <f>Table58[[#This Row],[Government]]/Table58[[#This Row],[GDP]]</f>
        <v/>
      </c>
      <c r="N159" s="58">
        <f>SUM(Table58[[#This Row],[PC%]:[G%]])</f>
        <v/>
      </c>
      <c r="O159" s="25">
        <f>Table58[[#This Row],[Personal Consumption]]+Table58[[#This Row],[Private Investment]]+Table58[[#This Row],[Exports]]+Table58[[#This Row],[Government]]-Table58[[#This Row],[Imports]]</f>
        <v/>
      </c>
    </row>
    <row r="160">
      <c r="A160" s="45" t="n">
        <v>31229</v>
      </c>
      <c r="B160" s="63">
        <f>VLOOKUP(A160,'U.S. GDP'!A:B,2,)</f>
        <v/>
      </c>
      <c r="C160" s="63">
        <f>VLOOKUP(A160,PersonalConsumption!A:B,2,)</f>
        <v/>
      </c>
      <c r="D160" s="63">
        <f>VLOOKUP(A160,PrivateInvestment!A:B,2,)</f>
        <v/>
      </c>
      <c r="E160" s="63">
        <f>VLOOKUP(A160,Exports!A:B,2,)</f>
        <v/>
      </c>
      <c r="F160" s="63">
        <f>VLOOKUP(A160,Imports!A:B,2,)</f>
        <v/>
      </c>
      <c r="G160" s="63">
        <f>VLOOKUP(A160,Government!A:B,2,)</f>
        <v/>
      </c>
      <c r="H160" s="37">
        <f>Table58[[#This Row],[Personal Consumption]]/Table58[[#This Row],[GDP]]</f>
        <v/>
      </c>
      <c r="I160" s="37">
        <f>Table58[[#This Row],[Private Investment]]/Table58[[#This Row],[GDP]]</f>
        <v/>
      </c>
      <c r="J160" s="37">
        <f>Table58[[#This Row],[Exports]]/Table58[[#This Row],[GDP]]</f>
        <v/>
      </c>
      <c r="K160" s="37">
        <f>-Table58[[#This Row],[Imports]]/Table58[[#This Row],[GDP]]</f>
        <v/>
      </c>
      <c r="L160" s="37">
        <f>Table58[[#This Row],[Government]]/Table58[[#This Row],[GDP]]</f>
        <v/>
      </c>
      <c r="N160" s="58">
        <f>SUM(Table58[[#This Row],[PC%]:[G%]])</f>
        <v/>
      </c>
      <c r="O160" s="25">
        <f>Table58[[#This Row],[Personal Consumption]]+Table58[[#This Row],[Private Investment]]+Table58[[#This Row],[Exports]]+Table58[[#This Row],[Government]]-Table58[[#This Row],[Imports]]</f>
        <v/>
      </c>
    </row>
    <row r="161">
      <c r="A161" s="45" t="n">
        <v>31321</v>
      </c>
      <c r="B161" s="63">
        <f>VLOOKUP(A161,'U.S. GDP'!A:B,2,)</f>
        <v/>
      </c>
      <c r="C161" s="63">
        <f>VLOOKUP(A161,PersonalConsumption!A:B,2,)</f>
        <v/>
      </c>
      <c r="D161" s="63">
        <f>VLOOKUP(A161,PrivateInvestment!A:B,2,)</f>
        <v/>
      </c>
      <c r="E161" s="63">
        <f>VLOOKUP(A161,Exports!A:B,2,)</f>
        <v/>
      </c>
      <c r="F161" s="63">
        <f>VLOOKUP(A161,Imports!A:B,2,)</f>
        <v/>
      </c>
      <c r="G161" s="63">
        <f>VLOOKUP(A161,Government!A:B,2,)</f>
        <v/>
      </c>
      <c r="H161" s="37">
        <f>Table58[[#This Row],[Personal Consumption]]/Table58[[#This Row],[GDP]]</f>
        <v/>
      </c>
      <c r="I161" s="37">
        <f>Table58[[#This Row],[Private Investment]]/Table58[[#This Row],[GDP]]</f>
        <v/>
      </c>
      <c r="J161" s="37">
        <f>Table58[[#This Row],[Exports]]/Table58[[#This Row],[GDP]]</f>
        <v/>
      </c>
      <c r="K161" s="37">
        <f>-Table58[[#This Row],[Imports]]/Table58[[#This Row],[GDP]]</f>
        <v/>
      </c>
      <c r="L161" s="37">
        <f>Table58[[#This Row],[Government]]/Table58[[#This Row],[GDP]]</f>
        <v/>
      </c>
      <c r="N161" s="58">
        <f>SUM(Table58[[#This Row],[PC%]:[G%]])</f>
        <v/>
      </c>
      <c r="O161" s="25">
        <f>Table58[[#This Row],[Personal Consumption]]+Table58[[#This Row],[Private Investment]]+Table58[[#This Row],[Exports]]+Table58[[#This Row],[Government]]-Table58[[#This Row],[Imports]]</f>
        <v/>
      </c>
    </row>
    <row r="162">
      <c r="A162" s="45" t="n">
        <v>31413</v>
      </c>
      <c r="B162" s="63">
        <f>VLOOKUP(A162,'U.S. GDP'!A:B,2,)</f>
        <v/>
      </c>
      <c r="C162" s="63">
        <f>VLOOKUP(A162,PersonalConsumption!A:B,2,)</f>
        <v/>
      </c>
      <c r="D162" s="63">
        <f>VLOOKUP(A162,PrivateInvestment!A:B,2,)</f>
        <v/>
      </c>
      <c r="E162" s="63">
        <f>VLOOKUP(A162,Exports!A:B,2,)</f>
        <v/>
      </c>
      <c r="F162" s="63">
        <f>VLOOKUP(A162,Imports!A:B,2,)</f>
        <v/>
      </c>
      <c r="G162" s="63">
        <f>VLOOKUP(A162,Government!A:B,2,)</f>
        <v/>
      </c>
      <c r="H162" s="37">
        <f>Table58[[#This Row],[Personal Consumption]]/Table58[[#This Row],[GDP]]</f>
        <v/>
      </c>
      <c r="I162" s="37">
        <f>Table58[[#This Row],[Private Investment]]/Table58[[#This Row],[GDP]]</f>
        <v/>
      </c>
      <c r="J162" s="37">
        <f>Table58[[#This Row],[Exports]]/Table58[[#This Row],[GDP]]</f>
        <v/>
      </c>
      <c r="K162" s="37">
        <f>-Table58[[#This Row],[Imports]]/Table58[[#This Row],[GDP]]</f>
        <v/>
      </c>
      <c r="L162" s="37">
        <f>Table58[[#This Row],[Government]]/Table58[[#This Row],[GDP]]</f>
        <v/>
      </c>
      <c r="N162" s="58">
        <f>SUM(Table58[[#This Row],[PC%]:[G%]])</f>
        <v/>
      </c>
      <c r="O162" s="25">
        <f>Table58[[#This Row],[Personal Consumption]]+Table58[[#This Row],[Private Investment]]+Table58[[#This Row],[Exports]]+Table58[[#This Row],[Government]]-Table58[[#This Row],[Imports]]</f>
        <v/>
      </c>
    </row>
    <row r="163">
      <c r="A163" s="45" t="n">
        <v>31503</v>
      </c>
      <c r="B163" s="63">
        <f>VLOOKUP(A163,'U.S. GDP'!A:B,2,)</f>
        <v/>
      </c>
      <c r="C163" s="63">
        <f>VLOOKUP(A163,PersonalConsumption!A:B,2,)</f>
        <v/>
      </c>
      <c r="D163" s="63">
        <f>VLOOKUP(A163,PrivateInvestment!A:B,2,)</f>
        <v/>
      </c>
      <c r="E163" s="63">
        <f>VLOOKUP(A163,Exports!A:B,2,)</f>
        <v/>
      </c>
      <c r="F163" s="63">
        <f>VLOOKUP(A163,Imports!A:B,2,)</f>
        <v/>
      </c>
      <c r="G163" s="63">
        <f>VLOOKUP(A163,Government!A:B,2,)</f>
        <v/>
      </c>
      <c r="H163" s="37">
        <f>Table58[[#This Row],[Personal Consumption]]/Table58[[#This Row],[GDP]]</f>
        <v/>
      </c>
      <c r="I163" s="37">
        <f>Table58[[#This Row],[Private Investment]]/Table58[[#This Row],[GDP]]</f>
        <v/>
      </c>
      <c r="J163" s="37">
        <f>Table58[[#This Row],[Exports]]/Table58[[#This Row],[GDP]]</f>
        <v/>
      </c>
      <c r="K163" s="37">
        <f>-Table58[[#This Row],[Imports]]/Table58[[#This Row],[GDP]]</f>
        <v/>
      </c>
      <c r="L163" s="37">
        <f>Table58[[#This Row],[Government]]/Table58[[#This Row],[GDP]]</f>
        <v/>
      </c>
      <c r="N163" s="58">
        <f>SUM(Table58[[#This Row],[PC%]:[G%]])</f>
        <v/>
      </c>
      <c r="O163" s="25">
        <f>Table58[[#This Row],[Personal Consumption]]+Table58[[#This Row],[Private Investment]]+Table58[[#This Row],[Exports]]+Table58[[#This Row],[Government]]-Table58[[#This Row],[Imports]]</f>
        <v/>
      </c>
    </row>
    <row r="164">
      <c r="A164" s="45" t="n">
        <v>31594</v>
      </c>
      <c r="B164" s="63">
        <f>VLOOKUP(A164,'U.S. GDP'!A:B,2,)</f>
        <v/>
      </c>
      <c r="C164" s="63">
        <f>VLOOKUP(A164,PersonalConsumption!A:B,2,)</f>
        <v/>
      </c>
      <c r="D164" s="63">
        <f>VLOOKUP(A164,PrivateInvestment!A:B,2,)</f>
        <v/>
      </c>
      <c r="E164" s="63">
        <f>VLOOKUP(A164,Exports!A:B,2,)</f>
        <v/>
      </c>
      <c r="F164" s="63">
        <f>VLOOKUP(A164,Imports!A:B,2,)</f>
        <v/>
      </c>
      <c r="G164" s="63">
        <f>VLOOKUP(A164,Government!A:B,2,)</f>
        <v/>
      </c>
      <c r="H164" s="37">
        <f>Table58[[#This Row],[Personal Consumption]]/Table58[[#This Row],[GDP]]</f>
        <v/>
      </c>
      <c r="I164" s="37">
        <f>Table58[[#This Row],[Private Investment]]/Table58[[#This Row],[GDP]]</f>
        <v/>
      </c>
      <c r="J164" s="37">
        <f>Table58[[#This Row],[Exports]]/Table58[[#This Row],[GDP]]</f>
        <v/>
      </c>
      <c r="K164" s="37">
        <f>-Table58[[#This Row],[Imports]]/Table58[[#This Row],[GDP]]</f>
        <v/>
      </c>
      <c r="L164" s="37">
        <f>Table58[[#This Row],[Government]]/Table58[[#This Row],[GDP]]</f>
        <v/>
      </c>
      <c r="N164" s="58">
        <f>SUM(Table58[[#This Row],[PC%]:[G%]])</f>
        <v/>
      </c>
      <c r="O164" s="25">
        <f>Table58[[#This Row],[Personal Consumption]]+Table58[[#This Row],[Private Investment]]+Table58[[#This Row],[Exports]]+Table58[[#This Row],[Government]]-Table58[[#This Row],[Imports]]</f>
        <v/>
      </c>
    </row>
    <row r="165">
      <c r="A165" s="45" t="n">
        <v>31686</v>
      </c>
      <c r="B165" s="63">
        <f>VLOOKUP(A165,'U.S. GDP'!A:B,2,)</f>
        <v/>
      </c>
      <c r="C165" s="63">
        <f>VLOOKUP(A165,PersonalConsumption!A:B,2,)</f>
        <v/>
      </c>
      <c r="D165" s="63">
        <f>VLOOKUP(A165,PrivateInvestment!A:B,2,)</f>
        <v/>
      </c>
      <c r="E165" s="63">
        <f>VLOOKUP(A165,Exports!A:B,2,)</f>
        <v/>
      </c>
      <c r="F165" s="63">
        <f>VLOOKUP(A165,Imports!A:B,2,)</f>
        <v/>
      </c>
      <c r="G165" s="63">
        <f>VLOOKUP(A165,Government!A:B,2,)</f>
        <v/>
      </c>
      <c r="H165" s="37">
        <f>Table58[[#This Row],[Personal Consumption]]/Table58[[#This Row],[GDP]]</f>
        <v/>
      </c>
      <c r="I165" s="37">
        <f>Table58[[#This Row],[Private Investment]]/Table58[[#This Row],[GDP]]</f>
        <v/>
      </c>
      <c r="J165" s="37">
        <f>Table58[[#This Row],[Exports]]/Table58[[#This Row],[GDP]]</f>
        <v/>
      </c>
      <c r="K165" s="37">
        <f>-Table58[[#This Row],[Imports]]/Table58[[#This Row],[GDP]]</f>
        <v/>
      </c>
      <c r="L165" s="37">
        <f>Table58[[#This Row],[Government]]/Table58[[#This Row],[GDP]]</f>
        <v/>
      </c>
      <c r="N165" s="58">
        <f>SUM(Table58[[#This Row],[PC%]:[G%]])</f>
        <v/>
      </c>
      <c r="O165" s="25">
        <f>Table58[[#This Row],[Personal Consumption]]+Table58[[#This Row],[Private Investment]]+Table58[[#This Row],[Exports]]+Table58[[#This Row],[Government]]-Table58[[#This Row],[Imports]]</f>
        <v/>
      </c>
    </row>
    <row r="166">
      <c r="A166" s="45" t="n">
        <v>31778</v>
      </c>
      <c r="B166" s="63">
        <f>VLOOKUP(A166,'U.S. GDP'!A:B,2,)</f>
        <v/>
      </c>
      <c r="C166" s="63">
        <f>VLOOKUP(A166,PersonalConsumption!A:B,2,)</f>
        <v/>
      </c>
      <c r="D166" s="63">
        <f>VLOOKUP(A166,PrivateInvestment!A:B,2,)</f>
        <v/>
      </c>
      <c r="E166" s="63">
        <f>VLOOKUP(A166,Exports!A:B,2,)</f>
        <v/>
      </c>
      <c r="F166" s="63">
        <f>VLOOKUP(A166,Imports!A:B,2,)</f>
        <v/>
      </c>
      <c r="G166" s="63">
        <f>VLOOKUP(A166,Government!A:B,2,)</f>
        <v/>
      </c>
      <c r="H166" s="37">
        <f>Table58[[#This Row],[Personal Consumption]]/Table58[[#This Row],[GDP]]</f>
        <v/>
      </c>
      <c r="I166" s="37">
        <f>Table58[[#This Row],[Private Investment]]/Table58[[#This Row],[GDP]]</f>
        <v/>
      </c>
      <c r="J166" s="37">
        <f>Table58[[#This Row],[Exports]]/Table58[[#This Row],[GDP]]</f>
        <v/>
      </c>
      <c r="K166" s="37">
        <f>-Table58[[#This Row],[Imports]]/Table58[[#This Row],[GDP]]</f>
        <v/>
      </c>
      <c r="L166" s="37">
        <f>Table58[[#This Row],[Government]]/Table58[[#This Row],[GDP]]</f>
        <v/>
      </c>
      <c r="N166" s="58">
        <f>SUM(Table58[[#This Row],[PC%]:[G%]])</f>
        <v/>
      </c>
      <c r="O166" s="25">
        <f>Table58[[#This Row],[Personal Consumption]]+Table58[[#This Row],[Private Investment]]+Table58[[#This Row],[Exports]]+Table58[[#This Row],[Government]]-Table58[[#This Row],[Imports]]</f>
        <v/>
      </c>
    </row>
    <row r="167">
      <c r="A167" s="45" t="n">
        <v>31868</v>
      </c>
      <c r="B167" s="63">
        <f>VLOOKUP(A167,'U.S. GDP'!A:B,2,)</f>
        <v/>
      </c>
      <c r="C167" s="63">
        <f>VLOOKUP(A167,PersonalConsumption!A:B,2,)</f>
        <v/>
      </c>
      <c r="D167" s="63">
        <f>VLOOKUP(A167,PrivateInvestment!A:B,2,)</f>
        <v/>
      </c>
      <c r="E167" s="63">
        <f>VLOOKUP(A167,Exports!A:B,2,)</f>
        <v/>
      </c>
      <c r="F167" s="63">
        <f>VLOOKUP(A167,Imports!A:B,2,)</f>
        <v/>
      </c>
      <c r="G167" s="63">
        <f>VLOOKUP(A167,Government!A:B,2,)</f>
        <v/>
      </c>
      <c r="H167" s="37">
        <f>Table58[[#This Row],[Personal Consumption]]/Table58[[#This Row],[GDP]]</f>
        <v/>
      </c>
      <c r="I167" s="37">
        <f>Table58[[#This Row],[Private Investment]]/Table58[[#This Row],[GDP]]</f>
        <v/>
      </c>
      <c r="J167" s="37">
        <f>Table58[[#This Row],[Exports]]/Table58[[#This Row],[GDP]]</f>
        <v/>
      </c>
      <c r="K167" s="37">
        <f>-Table58[[#This Row],[Imports]]/Table58[[#This Row],[GDP]]</f>
        <v/>
      </c>
      <c r="L167" s="37">
        <f>Table58[[#This Row],[Government]]/Table58[[#This Row],[GDP]]</f>
        <v/>
      </c>
      <c r="N167" s="58">
        <f>SUM(Table58[[#This Row],[PC%]:[G%]])</f>
        <v/>
      </c>
      <c r="O167" s="25">
        <f>Table58[[#This Row],[Personal Consumption]]+Table58[[#This Row],[Private Investment]]+Table58[[#This Row],[Exports]]+Table58[[#This Row],[Government]]-Table58[[#This Row],[Imports]]</f>
        <v/>
      </c>
    </row>
    <row r="168">
      <c r="A168" s="45" t="n">
        <v>31959</v>
      </c>
      <c r="B168" s="63">
        <f>VLOOKUP(A168,'U.S. GDP'!A:B,2,)</f>
        <v/>
      </c>
      <c r="C168" s="63">
        <f>VLOOKUP(A168,PersonalConsumption!A:B,2,)</f>
        <v/>
      </c>
      <c r="D168" s="63">
        <f>VLOOKUP(A168,PrivateInvestment!A:B,2,)</f>
        <v/>
      </c>
      <c r="E168" s="63">
        <f>VLOOKUP(A168,Exports!A:B,2,)</f>
        <v/>
      </c>
      <c r="F168" s="63">
        <f>VLOOKUP(A168,Imports!A:B,2,)</f>
        <v/>
      </c>
      <c r="G168" s="63">
        <f>VLOOKUP(A168,Government!A:B,2,)</f>
        <v/>
      </c>
      <c r="H168" s="37">
        <f>Table58[[#This Row],[Personal Consumption]]/Table58[[#This Row],[GDP]]</f>
        <v/>
      </c>
      <c r="I168" s="37">
        <f>Table58[[#This Row],[Private Investment]]/Table58[[#This Row],[GDP]]</f>
        <v/>
      </c>
      <c r="J168" s="37">
        <f>Table58[[#This Row],[Exports]]/Table58[[#This Row],[GDP]]</f>
        <v/>
      </c>
      <c r="K168" s="37">
        <f>-Table58[[#This Row],[Imports]]/Table58[[#This Row],[GDP]]</f>
        <v/>
      </c>
      <c r="L168" s="37">
        <f>Table58[[#This Row],[Government]]/Table58[[#This Row],[GDP]]</f>
        <v/>
      </c>
      <c r="N168" s="58">
        <f>SUM(Table58[[#This Row],[PC%]:[G%]])</f>
        <v/>
      </c>
      <c r="O168" s="25">
        <f>Table58[[#This Row],[Personal Consumption]]+Table58[[#This Row],[Private Investment]]+Table58[[#This Row],[Exports]]+Table58[[#This Row],[Government]]-Table58[[#This Row],[Imports]]</f>
        <v/>
      </c>
    </row>
    <row r="169">
      <c r="A169" s="45" t="n">
        <v>32051</v>
      </c>
      <c r="B169" s="63">
        <f>VLOOKUP(A169,'U.S. GDP'!A:B,2,)</f>
        <v/>
      </c>
      <c r="C169" s="63">
        <f>VLOOKUP(A169,PersonalConsumption!A:B,2,)</f>
        <v/>
      </c>
      <c r="D169" s="63">
        <f>VLOOKUP(A169,PrivateInvestment!A:B,2,)</f>
        <v/>
      </c>
      <c r="E169" s="63">
        <f>VLOOKUP(A169,Exports!A:B,2,)</f>
        <v/>
      </c>
      <c r="F169" s="63">
        <f>VLOOKUP(A169,Imports!A:B,2,)</f>
        <v/>
      </c>
      <c r="G169" s="63">
        <f>VLOOKUP(A169,Government!A:B,2,)</f>
        <v/>
      </c>
      <c r="H169" s="37">
        <f>Table58[[#This Row],[Personal Consumption]]/Table58[[#This Row],[GDP]]</f>
        <v/>
      </c>
      <c r="I169" s="37">
        <f>Table58[[#This Row],[Private Investment]]/Table58[[#This Row],[GDP]]</f>
        <v/>
      </c>
      <c r="J169" s="37">
        <f>Table58[[#This Row],[Exports]]/Table58[[#This Row],[GDP]]</f>
        <v/>
      </c>
      <c r="K169" s="37">
        <f>-Table58[[#This Row],[Imports]]/Table58[[#This Row],[GDP]]</f>
        <v/>
      </c>
      <c r="L169" s="37">
        <f>Table58[[#This Row],[Government]]/Table58[[#This Row],[GDP]]</f>
        <v/>
      </c>
      <c r="N169" s="58">
        <f>SUM(Table58[[#This Row],[PC%]:[G%]])</f>
        <v/>
      </c>
      <c r="O169" s="25">
        <f>Table58[[#This Row],[Personal Consumption]]+Table58[[#This Row],[Private Investment]]+Table58[[#This Row],[Exports]]+Table58[[#This Row],[Government]]-Table58[[#This Row],[Imports]]</f>
        <v/>
      </c>
    </row>
    <row r="170">
      <c r="A170" s="45" t="n">
        <v>32143</v>
      </c>
      <c r="B170" s="63">
        <f>VLOOKUP(A170,'U.S. GDP'!A:B,2,)</f>
        <v/>
      </c>
      <c r="C170" s="63">
        <f>VLOOKUP(A170,PersonalConsumption!A:B,2,)</f>
        <v/>
      </c>
      <c r="D170" s="63">
        <f>VLOOKUP(A170,PrivateInvestment!A:B,2,)</f>
        <v/>
      </c>
      <c r="E170" s="63">
        <f>VLOOKUP(A170,Exports!A:B,2,)</f>
        <v/>
      </c>
      <c r="F170" s="63">
        <f>VLOOKUP(A170,Imports!A:B,2,)</f>
        <v/>
      </c>
      <c r="G170" s="63">
        <f>VLOOKUP(A170,Government!A:B,2,)</f>
        <v/>
      </c>
      <c r="H170" s="37">
        <f>Table58[[#This Row],[Personal Consumption]]/Table58[[#This Row],[GDP]]</f>
        <v/>
      </c>
      <c r="I170" s="37">
        <f>Table58[[#This Row],[Private Investment]]/Table58[[#This Row],[GDP]]</f>
        <v/>
      </c>
      <c r="J170" s="37">
        <f>Table58[[#This Row],[Exports]]/Table58[[#This Row],[GDP]]</f>
        <v/>
      </c>
      <c r="K170" s="37">
        <f>-Table58[[#This Row],[Imports]]/Table58[[#This Row],[GDP]]</f>
        <v/>
      </c>
      <c r="L170" s="37">
        <f>Table58[[#This Row],[Government]]/Table58[[#This Row],[GDP]]</f>
        <v/>
      </c>
      <c r="N170" s="58">
        <f>SUM(Table58[[#This Row],[PC%]:[G%]])</f>
        <v/>
      </c>
      <c r="O170" s="25">
        <f>Table58[[#This Row],[Personal Consumption]]+Table58[[#This Row],[Private Investment]]+Table58[[#This Row],[Exports]]+Table58[[#This Row],[Government]]-Table58[[#This Row],[Imports]]</f>
        <v/>
      </c>
    </row>
    <row r="171">
      <c r="A171" s="45" t="n">
        <v>32234</v>
      </c>
      <c r="B171" s="63">
        <f>VLOOKUP(A171,'U.S. GDP'!A:B,2,)</f>
        <v/>
      </c>
      <c r="C171" s="63">
        <f>VLOOKUP(A171,PersonalConsumption!A:B,2,)</f>
        <v/>
      </c>
      <c r="D171" s="63">
        <f>VLOOKUP(A171,PrivateInvestment!A:B,2,)</f>
        <v/>
      </c>
      <c r="E171" s="63">
        <f>VLOOKUP(A171,Exports!A:B,2,)</f>
        <v/>
      </c>
      <c r="F171" s="63">
        <f>VLOOKUP(A171,Imports!A:B,2,)</f>
        <v/>
      </c>
      <c r="G171" s="63">
        <f>VLOOKUP(A171,Government!A:B,2,)</f>
        <v/>
      </c>
      <c r="H171" s="37">
        <f>Table58[[#This Row],[Personal Consumption]]/Table58[[#This Row],[GDP]]</f>
        <v/>
      </c>
      <c r="I171" s="37">
        <f>Table58[[#This Row],[Private Investment]]/Table58[[#This Row],[GDP]]</f>
        <v/>
      </c>
      <c r="J171" s="37">
        <f>Table58[[#This Row],[Exports]]/Table58[[#This Row],[GDP]]</f>
        <v/>
      </c>
      <c r="K171" s="37">
        <f>-Table58[[#This Row],[Imports]]/Table58[[#This Row],[GDP]]</f>
        <v/>
      </c>
      <c r="L171" s="37">
        <f>Table58[[#This Row],[Government]]/Table58[[#This Row],[GDP]]</f>
        <v/>
      </c>
      <c r="N171" s="58">
        <f>SUM(Table58[[#This Row],[PC%]:[G%]])</f>
        <v/>
      </c>
      <c r="O171" s="25">
        <f>Table58[[#This Row],[Personal Consumption]]+Table58[[#This Row],[Private Investment]]+Table58[[#This Row],[Exports]]+Table58[[#This Row],[Government]]-Table58[[#This Row],[Imports]]</f>
        <v/>
      </c>
    </row>
    <row r="172">
      <c r="A172" s="45" t="n">
        <v>32325</v>
      </c>
      <c r="B172" s="63">
        <f>VLOOKUP(A172,'U.S. GDP'!A:B,2,)</f>
        <v/>
      </c>
      <c r="C172" s="63">
        <f>VLOOKUP(A172,PersonalConsumption!A:B,2,)</f>
        <v/>
      </c>
      <c r="D172" s="63">
        <f>VLOOKUP(A172,PrivateInvestment!A:B,2,)</f>
        <v/>
      </c>
      <c r="E172" s="63">
        <f>VLOOKUP(A172,Exports!A:B,2,)</f>
        <v/>
      </c>
      <c r="F172" s="63">
        <f>VLOOKUP(A172,Imports!A:B,2,)</f>
        <v/>
      </c>
      <c r="G172" s="63">
        <f>VLOOKUP(A172,Government!A:B,2,)</f>
        <v/>
      </c>
      <c r="H172" s="37">
        <f>Table58[[#This Row],[Personal Consumption]]/Table58[[#This Row],[GDP]]</f>
        <v/>
      </c>
      <c r="I172" s="37">
        <f>Table58[[#This Row],[Private Investment]]/Table58[[#This Row],[GDP]]</f>
        <v/>
      </c>
      <c r="J172" s="37">
        <f>Table58[[#This Row],[Exports]]/Table58[[#This Row],[GDP]]</f>
        <v/>
      </c>
      <c r="K172" s="37">
        <f>-Table58[[#This Row],[Imports]]/Table58[[#This Row],[GDP]]</f>
        <v/>
      </c>
      <c r="L172" s="37">
        <f>Table58[[#This Row],[Government]]/Table58[[#This Row],[GDP]]</f>
        <v/>
      </c>
      <c r="N172" s="58">
        <f>SUM(Table58[[#This Row],[PC%]:[G%]])</f>
        <v/>
      </c>
      <c r="O172" s="25">
        <f>Table58[[#This Row],[Personal Consumption]]+Table58[[#This Row],[Private Investment]]+Table58[[#This Row],[Exports]]+Table58[[#This Row],[Government]]-Table58[[#This Row],[Imports]]</f>
        <v/>
      </c>
    </row>
    <row r="173">
      <c r="A173" s="45" t="n">
        <v>32417</v>
      </c>
      <c r="B173" s="63">
        <f>VLOOKUP(A173,'U.S. GDP'!A:B,2,)</f>
        <v/>
      </c>
      <c r="C173" s="63">
        <f>VLOOKUP(A173,PersonalConsumption!A:B,2,)</f>
        <v/>
      </c>
      <c r="D173" s="63">
        <f>VLOOKUP(A173,PrivateInvestment!A:B,2,)</f>
        <v/>
      </c>
      <c r="E173" s="63">
        <f>VLOOKUP(A173,Exports!A:B,2,)</f>
        <v/>
      </c>
      <c r="F173" s="63">
        <f>VLOOKUP(A173,Imports!A:B,2,)</f>
        <v/>
      </c>
      <c r="G173" s="63">
        <f>VLOOKUP(A173,Government!A:B,2,)</f>
        <v/>
      </c>
      <c r="H173" s="37">
        <f>Table58[[#This Row],[Personal Consumption]]/Table58[[#This Row],[GDP]]</f>
        <v/>
      </c>
      <c r="I173" s="37">
        <f>Table58[[#This Row],[Private Investment]]/Table58[[#This Row],[GDP]]</f>
        <v/>
      </c>
      <c r="J173" s="37">
        <f>Table58[[#This Row],[Exports]]/Table58[[#This Row],[GDP]]</f>
        <v/>
      </c>
      <c r="K173" s="37">
        <f>-Table58[[#This Row],[Imports]]/Table58[[#This Row],[GDP]]</f>
        <v/>
      </c>
      <c r="L173" s="37">
        <f>Table58[[#This Row],[Government]]/Table58[[#This Row],[GDP]]</f>
        <v/>
      </c>
      <c r="N173" s="58">
        <f>SUM(Table58[[#This Row],[PC%]:[G%]])</f>
        <v/>
      </c>
      <c r="O173" s="25">
        <f>Table58[[#This Row],[Personal Consumption]]+Table58[[#This Row],[Private Investment]]+Table58[[#This Row],[Exports]]+Table58[[#This Row],[Government]]-Table58[[#This Row],[Imports]]</f>
        <v/>
      </c>
    </row>
    <row r="174">
      <c r="A174" s="45" t="n">
        <v>32509</v>
      </c>
      <c r="B174" s="63">
        <f>VLOOKUP(A174,'U.S. GDP'!A:B,2,)</f>
        <v/>
      </c>
      <c r="C174" s="63">
        <f>VLOOKUP(A174,PersonalConsumption!A:B,2,)</f>
        <v/>
      </c>
      <c r="D174" s="63">
        <f>VLOOKUP(A174,PrivateInvestment!A:B,2,)</f>
        <v/>
      </c>
      <c r="E174" s="63">
        <f>VLOOKUP(A174,Exports!A:B,2,)</f>
        <v/>
      </c>
      <c r="F174" s="63">
        <f>VLOOKUP(A174,Imports!A:B,2,)</f>
        <v/>
      </c>
      <c r="G174" s="63">
        <f>VLOOKUP(A174,Government!A:B,2,)</f>
        <v/>
      </c>
      <c r="H174" s="37">
        <f>Table58[[#This Row],[Personal Consumption]]/Table58[[#This Row],[GDP]]</f>
        <v/>
      </c>
      <c r="I174" s="37">
        <f>Table58[[#This Row],[Private Investment]]/Table58[[#This Row],[GDP]]</f>
        <v/>
      </c>
      <c r="J174" s="37">
        <f>Table58[[#This Row],[Exports]]/Table58[[#This Row],[GDP]]</f>
        <v/>
      </c>
      <c r="K174" s="37">
        <f>-Table58[[#This Row],[Imports]]/Table58[[#This Row],[GDP]]</f>
        <v/>
      </c>
      <c r="L174" s="37">
        <f>Table58[[#This Row],[Government]]/Table58[[#This Row],[GDP]]</f>
        <v/>
      </c>
      <c r="N174" s="58">
        <f>SUM(Table58[[#This Row],[PC%]:[G%]])</f>
        <v/>
      </c>
      <c r="O174" s="25">
        <f>Table58[[#This Row],[Personal Consumption]]+Table58[[#This Row],[Private Investment]]+Table58[[#This Row],[Exports]]+Table58[[#This Row],[Government]]-Table58[[#This Row],[Imports]]</f>
        <v/>
      </c>
    </row>
    <row r="175">
      <c r="A175" s="45" t="n">
        <v>32599</v>
      </c>
      <c r="B175" s="63">
        <f>VLOOKUP(A175,'U.S. GDP'!A:B,2,)</f>
        <v/>
      </c>
      <c r="C175" s="63">
        <f>VLOOKUP(A175,PersonalConsumption!A:B,2,)</f>
        <v/>
      </c>
      <c r="D175" s="63">
        <f>VLOOKUP(A175,PrivateInvestment!A:B,2,)</f>
        <v/>
      </c>
      <c r="E175" s="63">
        <f>VLOOKUP(A175,Exports!A:B,2,)</f>
        <v/>
      </c>
      <c r="F175" s="63">
        <f>VLOOKUP(A175,Imports!A:B,2,)</f>
        <v/>
      </c>
      <c r="G175" s="63">
        <f>VLOOKUP(A175,Government!A:B,2,)</f>
        <v/>
      </c>
      <c r="H175" s="37">
        <f>Table58[[#This Row],[Personal Consumption]]/Table58[[#This Row],[GDP]]</f>
        <v/>
      </c>
      <c r="I175" s="37">
        <f>Table58[[#This Row],[Private Investment]]/Table58[[#This Row],[GDP]]</f>
        <v/>
      </c>
      <c r="J175" s="37">
        <f>Table58[[#This Row],[Exports]]/Table58[[#This Row],[GDP]]</f>
        <v/>
      </c>
      <c r="K175" s="37">
        <f>-Table58[[#This Row],[Imports]]/Table58[[#This Row],[GDP]]</f>
        <v/>
      </c>
      <c r="L175" s="37">
        <f>Table58[[#This Row],[Government]]/Table58[[#This Row],[GDP]]</f>
        <v/>
      </c>
      <c r="N175" s="58">
        <f>SUM(Table58[[#This Row],[PC%]:[G%]])</f>
        <v/>
      </c>
      <c r="O175" s="25">
        <f>Table58[[#This Row],[Personal Consumption]]+Table58[[#This Row],[Private Investment]]+Table58[[#This Row],[Exports]]+Table58[[#This Row],[Government]]-Table58[[#This Row],[Imports]]</f>
        <v/>
      </c>
    </row>
    <row r="176">
      <c r="A176" s="45" t="n">
        <v>32690</v>
      </c>
      <c r="B176" s="63">
        <f>VLOOKUP(A176,'U.S. GDP'!A:B,2,)</f>
        <v/>
      </c>
      <c r="C176" s="63">
        <f>VLOOKUP(A176,PersonalConsumption!A:B,2,)</f>
        <v/>
      </c>
      <c r="D176" s="63">
        <f>VLOOKUP(A176,PrivateInvestment!A:B,2,)</f>
        <v/>
      </c>
      <c r="E176" s="63">
        <f>VLOOKUP(A176,Exports!A:B,2,)</f>
        <v/>
      </c>
      <c r="F176" s="63">
        <f>VLOOKUP(A176,Imports!A:B,2,)</f>
        <v/>
      </c>
      <c r="G176" s="63">
        <f>VLOOKUP(A176,Government!A:B,2,)</f>
        <v/>
      </c>
      <c r="H176" s="37">
        <f>Table58[[#This Row],[Personal Consumption]]/Table58[[#This Row],[GDP]]</f>
        <v/>
      </c>
      <c r="I176" s="37">
        <f>Table58[[#This Row],[Private Investment]]/Table58[[#This Row],[GDP]]</f>
        <v/>
      </c>
      <c r="J176" s="37">
        <f>Table58[[#This Row],[Exports]]/Table58[[#This Row],[GDP]]</f>
        <v/>
      </c>
      <c r="K176" s="37">
        <f>-Table58[[#This Row],[Imports]]/Table58[[#This Row],[GDP]]</f>
        <v/>
      </c>
      <c r="L176" s="37">
        <f>Table58[[#This Row],[Government]]/Table58[[#This Row],[GDP]]</f>
        <v/>
      </c>
      <c r="N176" s="58">
        <f>SUM(Table58[[#This Row],[PC%]:[G%]])</f>
        <v/>
      </c>
      <c r="O176" s="25">
        <f>Table58[[#This Row],[Personal Consumption]]+Table58[[#This Row],[Private Investment]]+Table58[[#This Row],[Exports]]+Table58[[#This Row],[Government]]-Table58[[#This Row],[Imports]]</f>
        <v/>
      </c>
    </row>
    <row r="177">
      <c r="A177" s="45" t="n">
        <v>32782</v>
      </c>
      <c r="B177" s="63">
        <f>VLOOKUP(A177,'U.S. GDP'!A:B,2,)</f>
        <v/>
      </c>
      <c r="C177" s="63">
        <f>VLOOKUP(A177,PersonalConsumption!A:B,2,)</f>
        <v/>
      </c>
      <c r="D177" s="63">
        <f>VLOOKUP(A177,PrivateInvestment!A:B,2,)</f>
        <v/>
      </c>
      <c r="E177" s="63">
        <f>VLOOKUP(A177,Exports!A:B,2,)</f>
        <v/>
      </c>
      <c r="F177" s="63">
        <f>VLOOKUP(A177,Imports!A:B,2,)</f>
        <v/>
      </c>
      <c r="G177" s="63">
        <f>VLOOKUP(A177,Government!A:B,2,)</f>
        <v/>
      </c>
      <c r="H177" s="37">
        <f>Table58[[#This Row],[Personal Consumption]]/Table58[[#This Row],[GDP]]</f>
        <v/>
      </c>
      <c r="I177" s="37">
        <f>Table58[[#This Row],[Private Investment]]/Table58[[#This Row],[GDP]]</f>
        <v/>
      </c>
      <c r="J177" s="37">
        <f>Table58[[#This Row],[Exports]]/Table58[[#This Row],[GDP]]</f>
        <v/>
      </c>
      <c r="K177" s="37">
        <f>-Table58[[#This Row],[Imports]]/Table58[[#This Row],[GDP]]</f>
        <v/>
      </c>
      <c r="L177" s="37">
        <f>Table58[[#This Row],[Government]]/Table58[[#This Row],[GDP]]</f>
        <v/>
      </c>
      <c r="N177" s="58">
        <f>SUM(Table58[[#This Row],[PC%]:[G%]])</f>
        <v/>
      </c>
      <c r="O177" s="25">
        <f>Table58[[#This Row],[Personal Consumption]]+Table58[[#This Row],[Private Investment]]+Table58[[#This Row],[Exports]]+Table58[[#This Row],[Government]]-Table58[[#This Row],[Imports]]</f>
        <v/>
      </c>
    </row>
    <row r="178">
      <c r="A178" s="45" t="n">
        <v>32874</v>
      </c>
      <c r="B178" s="63">
        <f>VLOOKUP(A178,'U.S. GDP'!A:B,2,)</f>
        <v/>
      </c>
      <c r="C178" s="63">
        <f>VLOOKUP(A178,PersonalConsumption!A:B,2,)</f>
        <v/>
      </c>
      <c r="D178" s="63">
        <f>VLOOKUP(A178,PrivateInvestment!A:B,2,)</f>
        <v/>
      </c>
      <c r="E178" s="63">
        <f>VLOOKUP(A178,Exports!A:B,2,)</f>
        <v/>
      </c>
      <c r="F178" s="63">
        <f>VLOOKUP(A178,Imports!A:B,2,)</f>
        <v/>
      </c>
      <c r="G178" s="63">
        <f>VLOOKUP(A178,Government!A:B,2,)</f>
        <v/>
      </c>
      <c r="H178" s="37">
        <f>Table58[[#This Row],[Personal Consumption]]/Table58[[#This Row],[GDP]]</f>
        <v/>
      </c>
      <c r="I178" s="37">
        <f>Table58[[#This Row],[Private Investment]]/Table58[[#This Row],[GDP]]</f>
        <v/>
      </c>
      <c r="J178" s="37">
        <f>Table58[[#This Row],[Exports]]/Table58[[#This Row],[GDP]]</f>
        <v/>
      </c>
      <c r="K178" s="37">
        <f>-Table58[[#This Row],[Imports]]/Table58[[#This Row],[GDP]]</f>
        <v/>
      </c>
      <c r="L178" s="37">
        <f>Table58[[#This Row],[Government]]/Table58[[#This Row],[GDP]]</f>
        <v/>
      </c>
      <c r="N178" s="58">
        <f>SUM(Table58[[#This Row],[PC%]:[G%]])</f>
        <v/>
      </c>
      <c r="O178" s="25">
        <f>Table58[[#This Row],[Personal Consumption]]+Table58[[#This Row],[Private Investment]]+Table58[[#This Row],[Exports]]+Table58[[#This Row],[Government]]-Table58[[#This Row],[Imports]]</f>
        <v/>
      </c>
    </row>
    <row r="179">
      <c r="A179" s="45" t="n">
        <v>32964</v>
      </c>
      <c r="B179" s="63">
        <f>VLOOKUP(A179,'U.S. GDP'!A:B,2,)</f>
        <v/>
      </c>
      <c r="C179" s="63">
        <f>VLOOKUP(A179,PersonalConsumption!A:B,2,)</f>
        <v/>
      </c>
      <c r="D179" s="63">
        <f>VLOOKUP(A179,PrivateInvestment!A:B,2,)</f>
        <v/>
      </c>
      <c r="E179" s="63">
        <f>VLOOKUP(A179,Exports!A:B,2,)</f>
        <v/>
      </c>
      <c r="F179" s="63">
        <f>VLOOKUP(A179,Imports!A:B,2,)</f>
        <v/>
      </c>
      <c r="G179" s="63">
        <f>VLOOKUP(A179,Government!A:B,2,)</f>
        <v/>
      </c>
      <c r="H179" s="37">
        <f>Table58[[#This Row],[Personal Consumption]]/Table58[[#This Row],[GDP]]</f>
        <v/>
      </c>
      <c r="I179" s="37">
        <f>Table58[[#This Row],[Private Investment]]/Table58[[#This Row],[GDP]]</f>
        <v/>
      </c>
      <c r="J179" s="37">
        <f>Table58[[#This Row],[Exports]]/Table58[[#This Row],[GDP]]</f>
        <v/>
      </c>
      <c r="K179" s="37">
        <f>-Table58[[#This Row],[Imports]]/Table58[[#This Row],[GDP]]</f>
        <v/>
      </c>
      <c r="L179" s="37">
        <f>Table58[[#This Row],[Government]]/Table58[[#This Row],[GDP]]</f>
        <v/>
      </c>
      <c r="N179" s="58">
        <f>SUM(Table58[[#This Row],[PC%]:[G%]])</f>
        <v/>
      </c>
      <c r="O179" s="25">
        <f>Table58[[#This Row],[Personal Consumption]]+Table58[[#This Row],[Private Investment]]+Table58[[#This Row],[Exports]]+Table58[[#This Row],[Government]]-Table58[[#This Row],[Imports]]</f>
        <v/>
      </c>
    </row>
    <row r="180">
      <c r="A180" s="45" t="n">
        <v>33055</v>
      </c>
      <c r="B180" s="63">
        <f>VLOOKUP(A180,'U.S. GDP'!A:B,2,)</f>
        <v/>
      </c>
      <c r="C180" s="63">
        <f>VLOOKUP(A180,PersonalConsumption!A:B,2,)</f>
        <v/>
      </c>
      <c r="D180" s="63">
        <f>VLOOKUP(A180,PrivateInvestment!A:B,2,)</f>
        <v/>
      </c>
      <c r="E180" s="63">
        <f>VLOOKUP(A180,Exports!A:B,2,)</f>
        <v/>
      </c>
      <c r="F180" s="63">
        <f>VLOOKUP(A180,Imports!A:B,2,)</f>
        <v/>
      </c>
      <c r="G180" s="63">
        <f>VLOOKUP(A180,Government!A:B,2,)</f>
        <v/>
      </c>
      <c r="H180" s="37">
        <f>Table58[[#This Row],[Personal Consumption]]/Table58[[#This Row],[GDP]]</f>
        <v/>
      </c>
      <c r="I180" s="37">
        <f>Table58[[#This Row],[Private Investment]]/Table58[[#This Row],[GDP]]</f>
        <v/>
      </c>
      <c r="J180" s="37">
        <f>Table58[[#This Row],[Exports]]/Table58[[#This Row],[GDP]]</f>
        <v/>
      </c>
      <c r="K180" s="37">
        <f>-Table58[[#This Row],[Imports]]/Table58[[#This Row],[GDP]]</f>
        <v/>
      </c>
      <c r="L180" s="37">
        <f>Table58[[#This Row],[Government]]/Table58[[#This Row],[GDP]]</f>
        <v/>
      </c>
      <c r="N180" s="58">
        <f>SUM(Table58[[#This Row],[PC%]:[G%]])</f>
        <v/>
      </c>
      <c r="O180" s="25">
        <f>Table58[[#This Row],[Personal Consumption]]+Table58[[#This Row],[Private Investment]]+Table58[[#This Row],[Exports]]+Table58[[#This Row],[Government]]-Table58[[#This Row],[Imports]]</f>
        <v/>
      </c>
    </row>
    <row r="181">
      <c r="A181" s="45" t="n">
        <v>33147</v>
      </c>
      <c r="B181" s="63">
        <f>VLOOKUP(A181,'U.S. GDP'!A:B,2,)</f>
        <v/>
      </c>
      <c r="C181" s="63">
        <f>VLOOKUP(A181,PersonalConsumption!A:B,2,)</f>
        <v/>
      </c>
      <c r="D181" s="63">
        <f>VLOOKUP(A181,PrivateInvestment!A:B,2,)</f>
        <v/>
      </c>
      <c r="E181" s="63">
        <f>VLOOKUP(A181,Exports!A:B,2,)</f>
        <v/>
      </c>
      <c r="F181" s="63">
        <f>VLOOKUP(A181,Imports!A:B,2,)</f>
        <v/>
      </c>
      <c r="G181" s="63">
        <f>VLOOKUP(A181,Government!A:B,2,)</f>
        <v/>
      </c>
      <c r="H181" s="37">
        <f>Table58[[#This Row],[Personal Consumption]]/Table58[[#This Row],[GDP]]</f>
        <v/>
      </c>
      <c r="I181" s="37">
        <f>Table58[[#This Row],[Private Investment]]/Table58[[#This Row],[GDP]]</f>
        <v/>
      </c>
      <c r="J181" s="37">
        <f>Table58[[#This Row],[Exports]]/Table58[[#This Row],[GDP]]</f>
        <v/>
      </c>
      <c r="K181" s="37">
        <f>-Table58[[#This Row],[Imports]]/Table58[[#This Row],[GDP]]</f>
        <v/>
      </c>
      <c r="L181" s="37">
        <f>Table58[[#This Row],[Government]]/Table58[[#This Row],[GDP]]</f>
        <v/>
      </c>
      <c r="N181" s="58">
        <f>SUM(Table58[[#This Row],[PC%]:[G%]])</f>
        <v/>
      </c>
      <c r="O181" s="25">
        <f>Table58[[#This Row],[Personal Consumption]]+Table58[[#This Row],[Private Investment]]+Table58[[#This Row],[Exports]]+Table58[[#This Row],[Government]]-Table58[[#This Row],[Imports]]</f>
        <v/>
      </c>
    </row>
    <row r="182">
      <c r="A182" s="45" t="n">
        <v>33239</v>
      </c>
      <c r="B182" s="63">
        <f>VLOOKUP(A182,'U.S. GDP'!A:B,2,)</f>
        <v/>
      </c>
      <c r="C182" s="63">
        <f>VLOOKUP(A182,PersonalConsumption!A:B,2,)</f>
        <v/>
      </c>
      <c r="D182" s="63">
        <f>VLOOKUP(A182,PrivateInvestment!A:B,2,)</f>
        <v/>
      </c>
      <c r="E182" s="63">
        <f>VLOOKUP(A182,Exports!A:B,2,)</f>
        <v/>
      </c>
      <c r="F182" s="63">
        <f>VLOOKUP(A182,Imports!A:B,2,)</f>
        <v/>
      </c>
      <c r="G182" s="63">
        <f>VLOOKUP(A182,Government!A:B,2,)</f>
        <v/>
      </c>
      <c r="H182" s="37">
        <f>Table58[[#This Row],[Personal Consumption]]/Table58[[#This Row],[GDP]]</f>
        <v/>
      </c>
      <c r="I182" s="37">
        <f>Table58[[#This Row],[Private Investment]]/Table58[[#This Row],[GDP]]</f>
        <v/>
      </c>
      <c r="J182" s="37">
        <f>Table58[[#This Row],[Exports]]/Table58[[#This Row],[GDP]]</f>
        <v/>
      </c>
      <c r="K182" s="37">
        <f>-Table58[[#This Row],[Imports]]/Table58[[#This Row],[GDP]]</f>
        <v/>
      </c>
      <c r="L182" s="37">
        <f>Table58[[#This Row],[Government]]/Table58[[#This Row],[GDP]]</f>
        <v/>
      </c>
      <c r="N182" s="58">
        <f>SUM(Table58[[#This Row],[PC%]:[G%]])</f>
        <v/>
      </c>
      <c r="O182" s="25">
        <f>Table58[[#This Row],[Personal Consumption]]+Table58[[#This Row],[Private Investment]]+Table58[[#This Row],[Exports]]+Table58[[#This Row],[Government]]-Table58[[#This Row],[Imports]]</f>
        <v/>
      </c>
    </row>
    <row r="183">
      <c r="A183" s="45" t="n">
        <v>33329</v>
      </c>
      <c r="B183" s="63">
        <f>VLOOKUP(A183,'U.S. GDP'!A:B,2,)</f>
        <v/>
      </c>
      <c r="C183" s="63">
        <f>VLOOKUP(A183,PersonalConsumption!A:B,2,)</f>
        <v/>
      </c>
      <c r="D183" s="63">
        <f>VLOOKUP(A183,PrivateInvestment!A:B,2,)</f>
        <v/>
      </c>
      <c r="E183" s="63">
        <f>VLOOKUP(A183,Exports!A:B,2,)</f>
        <v/>
      </c>
      <c r="F183" s="63">
        <f>VLOOKUP(A183,Imports!A:B,2,)</f>
        <v/>
      </c>
      <c r="G183" s="63">
        <f>VLOOKUP(A183,Government!A:B,2,)</f>
        <v/>
      </c>
      <c r="H183" s="37">
        <f>Table58[[#This Row],[Personal Consumption]]/Table58[[#This Row],[GDP]]</f>
        <v/>
      </c>
      <c r="I183" s="37">
        <f>Table58[[#This Row],[Private Investment]]/Table58[[#This Row],[GDP]]</f>
        <v/>
      </c>
      <c r="J183" s="37">
        <f>Table58[[#This Row],[Exports]]/Table58[[#This Row],[GDP]]</f>
        <v/>
      </c>
      <c r="K183" s="37">
        <f>-Table58[[#This Row],[Imports]]/Table58[[#This Row],[GDP]]</f>
        <v/>
      </c>
      <c r="L183" s="37">
        <f>Table58[[#This Row],[Government]]/Table58[[#This Row],[GDP]]</f>
        <v/>
      </c>
      <c r="N183" s="58">
        <f>SUM(Table58[[#This Row],[PC%]:[G%]])</f>
        <v/>
      </c>
      <c r="O183" s="25">
        <f>Table58[[#This Row],[Personal Consumption]]+Table58[[#This Row],[Private Investment]]+Table58[[#This Row],[Exports]]+Table58[[#This Row],[Government]]-Table58[[#This Row],[Imports]]</f>
        <v/>
      </c>
    </row>
    <row r="184">
      <c r="A184" s="45" t="n">
        <v>33420</v>
      </c>
      <c r="B184" s="63">
        <f>VLOOKUP(A184,'U.S. GDP'!A:B,2,)</f>
        <v/>
      </c>
      <c r="C184" s="63">
        <f>VLOOKUP(A184,PersonalConsumption!A:B,2,)</f>
        <v/>
      </c>
      <c r="D184" s="63">
        <f>VLOOKUP(A184,PrivateInvestment!A:B,2,)</f>
        <v/>
      </c>
      <c r="E184" s="63">
        <f>VLOOKUP(A184,Exports!A:B,2,)</f>
        <v/>
      </c>
      <c r="F184" s="63">
        <f>VLOOKUP(A184,Imports!A:B,2,)</f>
        <v/>
      </c>
      <c r="G184" s="63">
        <f>VLOOKUP(A184,Government!A:B,2,)</f>
        <v/>
      </c>
      <c r="H184" s="37">
        <f>Table58[[#This Row],[Personal Consumption]]/Table58[[#This Row],[GDP]]</f>
        <v/>
      </c>
      <c r="I184" s="37">
        <f>Table58[[#This Row],[Private Investment]]/Table58[[#This Row],[GDP]]</f>
        <v/>
      </c>
      <c r="J184" s="37">
        <f>Table58[[#This Row],[Exports]]/Table58[[#This Row],[GDP]]</f>
        <v/>
      </c>
      <c r="K184" s="37">
        <f>-Table58[[#This Row],[Imports]]/Table58[[#This Row],[GDP]]</f>
        <v/>
      </c>
      <c r="L184" s="37">
        <f>Table58[[#This Row],[Government]]/Table58[[#This Row],[GDP]]</f>
        <v/>
      </c>
      <c r="N184" s="58">
        <f>SUM(Table58[[#This Row],[PC%]:[G%]])</f>
        <v/>
      </c>
      <c r="O184" s="25">
        <f>Table58[[#This Row],[Personal Consumption]]+Table58[[#This Row],[Private Investment]]+Table58[[#This Row],[Exports]]+Table58[[#This Row],[Government]]-Table58[[#This Row],[Imports]]</f>
        <v/>
      </c>
    </row>
    <row r="185">
      <c r="A185" s="45" t="n">
        <v>33512</v>
      </c>
      <c r="B185" s="63">
        <f>VLOOKUP(A185,'U.S. GDP'!A:B,2,)</f>
        <v/>
      </c>
      <c r="C185" s="63">
        <f>VLOOKUP(A185,PersonalConsumption!A:B,2,)</f>
        <v/>
      </c>
      <c r="D185" s="63">
        <f>VLOOKUP(A185,PrivateInvestment!A:B,2,)</f>
        <v/>
      </c>
      <c r="E185" s="63">
        <f>VLOOKUP(A185,Exports!A:B,2,)</f>
        <v/>
      </c>
      <c r="F185" s="63">
        <f>VLOOKUP(A185,Imports!A:B,2,)</f>
        <v/>
      </c>
      <c r="G185" s="63">
        <f>VLOOKUP(A185,Government!A:B,2,)</f>
        <v/>
      </c>
      <c r="H185" s="37">
        <f>Table58[[#This Row],[Personal Consumption]]/Table58[[#This Row],[GDP]]</f>
        <v/>
      </c>
      <c r="I185" s="37">
        <f>Table58[[#This Row],[Private Investment]]/Table58[[#This Row],[GDP]]</f>
        <v/>
      </c>
      <c r="J185" s="37">
        <f>Table58[[#This Row],[Exports]]/Table58[[#This Row],[GDP]]</f>
        <v/>
      </c>
      <c r="K185" s="37">
        <f>-Table58[[#This Row],[Imports]]/Table58[[#This Row],[GDP]]</f>
        <v/>
      </c>
      <c r="L185" s="37">
        <f>Table58[[#This Row],[Government]]/Table58[[#This Row],[GDP]]</f>
        <v/>
      </c>
      <c r="N185" s="58">
        <f>SUM(Table58[[#This Row],[PC%]:[G%]])</f>
        <v/>
      </c>
      <c r="O185" s="25">
        <f>Table58[[#This Row],[Personal Consumption]]+Table58[[#This Row],[Private Investment]]+Table58[[#This Row],[Exports]]+Table58[[#This Row],[Government]]-Table58[[#This Row],[Imports]]</f>
        <v/>
      </c>
    </row>
    <row r="186">
      <c r="A186" s="45" t="n">
        <v>33604</v>
      </c>
      <c r="B186" s="63">
        <f>VLOOKUP(A186,'U.S. GDP'!A:B,2,)</f>
        <v/>
      </c>
      <c r="C186" s="63">
        <f>VLOOKUP(A186,PersonalConsumption!A:B,2,)</f>
        <v/>
      </c>
      <c r="D186" s="63">
        <f>VLOOKUP(A186,PrivateInvestment!A:B,2,)</f>
        <v/>
      </c>
      <c r="E186" s="63">
        <f>VLOOKUP(A186,Exports!A:B,2,)</f>
        <v/>
      </c>
      <c r="F186" s="63">
        <f>VLOOKUP(A186,Imports!A:B,2,)</f>
        <v/>
      </c>
      <c r="G186" s="63">
        <f>VLOOKUP(A186,Government!A:B,2,)</f>
        <v/>
      </c>
      <c r="H186" s="37">
        <f>Table58[[#This Row],[Personal Consumption]]/Table58[[#This Row],[GDP]]</f>
        <v/>
      </c>
      <c r="I186" s="37">
        <f>Table58[[#This Row],[Private Investment]]/Table58[[#This Row],[GDP]]</f>
        <v/>
      </c>
      <c r="J186" s="37">
        <f>Table58[[#This Row],[Exports]]/Table58[[#This Row],[GDP]]</f>
        <v/>
      </c>
      <c r="K186" s="37">
        <f>-Table58[[#This Row],[Imports]]/Table58[[#This Row],[GDP]]</f>
        <v/>
      </c>
      <c r="L186" s="37">
        <f>Table58[[#This Row],[Government]]/Table58[[#This Row],[GDP]]</f>
        <v/>
      </c>
      <c r="N186" s="58">
        <f>SUM(Table58[[#This Row],[PC%]:[G%]])</f>
        <v/>
      </c>
      <c r="O186" s="25">
        <f>Table58[[#This Row],[Personal Consumption]]+Table58[[#This Row],[Private Investment]]+Table58[[#This Row],[Exports]]+Table58[[#This Row],[Government]]-Table58[[#This Row],[Imports]]</f>
        <v/>
      </c>
    </row>
    <row r="187">
      <c r="A187" s="45" t="n">
        <v>33695</v>
      </c>
      <c r="B187" s="63">
        <f>VLOOKUP(A187,'U.S. GDP'!A:B,2,)</f>
        <v/>
      </c>
      <c r="C187" s="63">
        <f>VLOOKUP(A187,PersonalConsumption!A:B,2,)</f>
        <v/>
      </c>
      <c r="D187" s="63">
        <f>VLOOKUP(A187,PrivateInvestment!A:B,2,)</f>
        <v/>
      </c>
      <c r="E187" s="63">
        <f>VLOOKUP(A187,Exports!A:B,2,)</f>
        <v/>
      </c>
      <c r="F187" s="63">
        <f>VLOOKUP(A187,Imports!A:B,2,)</f>
        <v/>
      </c>
      <c r="G187" s="63">
        <f>VLOOKUP(A187,Government!A:B,2,)</f>
        <v/>
      </c>
      <c r="H187" s="37">
        <f>Table58[[#This Row],[Personal Consumption]]/Table58[[#This Row],[GDP]]</f>
        <v/>
      </c>
      <c r="I187" s="37">
        <f>Table58[[#This Row],[Private Investment]]/Table58[[#This Row],[GDP]]</f>
        <v/>
      </c>
      <c r="J187" s="37">
        <f>Table58[[#This Row],[Exports]]/Table58[[#This Row],[GDP]]</f>
        <v/>
      </c>
      <c r="K187" s="37">
        <f>-Table58[[#This Row],[Imports]]/Table58[[#This Row],[GDP]]</f>
        <v/>
      </c>
      <c r="L187" s="37">
        <f>Table58[[#This Row],[Government]]/Table58[[#This Row],[GDP]]</f>
        <v/>
      </c>
      <c r="N187" s="58">
        <f>SUM(Table58[[#This Row],[PC%]:[G%]])</f>
        <v/>
      </c>
      <c r="O187" s="25">
        <f>Table58[[#This Row],[Personal Consumption]]+Table58[[#This Row],[Private Investment]]+Table58[[#This Row],[Exports]]+Table58[[#This Row],[Government]]-Table58[[#This Row],[Imports]]</f>
        <v/>
      </c>
    </row>
    <row r="188">
      <c r="A188" s="45" t="n">
        <v>33786</v>
      </c>
      <c r="B188" s="63">
        <f>VLOOKUP(A188,'U.S. GDP'!A:B,2,)</f>
        <v/>
      </c>
      <c r="C188" s="63">
        <f>VLOOKUP(A188,PersonalConsumption!A:B,2,)</f>
        <v/>
      </c>
      <c r="D188" s="63">
        <f>VLOOKUP(A188,PrivateInvestment!A:B,2,)</f>
        <v/>
      </c>
      <c r="E188" s="63">
        <f>VLOOKUP(A188,Exports!A:B,2,)</f>
        <v/>
      </c>
      <c r="F188" s="63">
        <f>VLOOKUP(A188,Imports!A:B,2,)</f>
        <v/>
      </c>
      <c r="G188" s="63">
        <f>VLOOKUP(A188,Government!A:B,2,)</f>
        <v/>
      </c>
      <c r="H188" s="37">
        <f>Table58[[#This Row],[Personal Consumption]]/Table58[[#This Row],[GDP]]</f>
        <v/>
      </c>
      <c r="I188" s="37">
        <f>Table58[[#This Row],[Private Investment]]/Table58[[#This Row],[GDP]]</f>
        <v/>
      </c>
      <c r="J188" s="37">
        <f>Table58[[#This Row],[Exports]]/Table58[[#This Row],[GDP]]</f>
        <v/>
      </c>
      <c r="K188" s="37">
        <f>-Table58[[#This Row],[Imports]]/Table58[[#This Row],[GDP]]</f>
        <v/>
      </c>
      <c r="L188" s="37">
        <f>Table58[[#This Row],[Government]]/Table58[[#This Row],[GDP]]</f>
        <v/>
      </c>
      <c r="N188" s="58">
        <f>SUM(Table58[[#This Row],[PC%]:[G%]])</f>
        <v/>
      </c>
      <c r="O188" s="25">
        <f>Table58[[#This Row],[Personal Consumption]]+Table58[[#This Row],[Private Investment]]+Table58[[#This Row],[Exports]]+Table58[[#This Row],[Government]]-Table58[[#This Row],[Imports]]</f>
        <v/>
      </c>
    </row>
    <row r="189">
      <c r="A189" s="45" t="n">
        <v>33878</v>
      </c>
      <c r="B189" s="63">
        <f>VLOOKUP(A189,'U.S. GDP'!A:B,2,)</f>
        <v/>
      </c>
      <c r="C189" s="63">
        <f>VLOOKUP(A189,PersonalConsumption!A:B,2,)</f>
        <v/>
      </c>
      <c r="D189" s="63">
        <f>VLOOKUP(A189,PrivateInvestment!A:B,2,)</f>
        <v/>
      </c>
      <c r="E189" s="63">
        <f>VLOOKUP(A189,Exports!A:B,2,)</f>
        <v/>
      </c>
      <c r="F189" s="63">
        <f>VLOOKUP(A189,Imports!A:B,2,)</f>
        <v/>
      </c>
      <c r="G189" s="63">
        <f>VLOOKUP(A189,Government!A:B,2,)</f>
        <v/>
      </c>
      <c r="H189" s="37">
        <f>Table58[[#This Row],[Personal Consumption]]/Table58[[#This Row],[GDP]]</f>
        <v/>
      </c>
      <c r="I189" s="37">
        <f>Table58[[#This Row],[Private Investment]]/Table58[[#This Row],[GDP]]</f>
        <v/>
      </c>
      <c r="J189" s="37">
        <f>Table58[[#This Row],[Exports]]/Table58[[#This Row],[GDP]]</f>
        <v/>
      </c>
      <c r="K189" s="37">
        <f>-Table58[[#This Row],[Imports]]/Table58[[#This Row],[GDP]]</f>
        <v/>
      </c>
      <c r="L189" s="37">
        <f>Table58[[#This Row],[Government]]/Table58[[#This Row],[GDP]]</f>
        <v/>
      </c>
      <c r="N189" s="58">
        <f>SUM(Table58[[#This Row],[PC%]:[G%]])</f>
        <v/>
      </c>
      <c r="O189" s="25">
        <f>Table58[[#This Row],[Personal Consumption]]+Table58[[#This Row],[Private Investment]]+Table58[[#This Row],[Exports]]+Table58[[#This Row],[Government]]-Table58[[#This Row],[Imports]]</f>
        <v/>
      </c>
    </row>
    <row r="190">
      <c r="A190" s="45" t="n">
        <v>33970</v>
      </c>
      <c r="B190" s="63">
        <f>VLOOKUP(A190,'U.S. GDP'!A:B,2,)</f>
        <v/>
      </c>
      <c r="C190" s="63">
        <f>VLOOKUP(A190,PersonalConsumption!A:B,2,)</f>
        <v/>
      </c>
      <c r="D190" s="63">
        <f>VLOOKUP(A190,PrivateInvestment!A:B,2,)</f>
        <v/>
      </c>
      <c r="E190" s="63">
        <f>VLOOKUP(A190,Exports!A:B,2,)</f>
        <v/>
      </c>
      <c r="F190" s="63">
        <f>VLOOKUP(A190,Imports!A:B,2,)</f>
        <v/>
      </c>
      <c r="G190" s="63">
        <f>VLOOKUP(A190,Government!A:B,2,)</f>
        <v/>
      </c>
      <c r="H190" s="37">
        <f>Table58[[#This Row],[Personal Consumption]]/Table58[[#This Row],[GDP]]</f>
        <v/>
      </c>
      <c r="I190" s="37">
        <f>Table58[[#This Row],[Private Investment]]/Table58[[#This Row],[GDP]]</f>
        <v/>
      </c>
      <c r="J190" s="37">
        <f>Table58[[#This Row],[Exports]]/Table58[[#This Row],[GDP]]</f>
        <v/>
      </c>
      <c r="K190" s="37">
        <f>-Table58[[#This Row],[Imports]]/Table58[[#This Row],[GDP]]</f>
        <v/>
      </c>
      <c r="L190" s="37">
        <f>Table58[[#This Row],[Government]]/Table58[[#This Row],[GDP]]</f>
        <v/>
      </c>
      <c r="N190" s="58">
        <f>SUM(Table58[[#This Row],[PC%]:[G%]])</f>
        <v/>
      </c>
      <c r="O190" s="25">
        <f>Table58[[#This Row],[Personal Consumption]]+Table58[[#This Row],[Private Investment]]+Table58[[#This Row],[Exports]]+Table58[[#This Row],[Government]]-Table58[[#This Row],[Imports]]</f>
        <v/>
      </c>
    </row>
    <row r="191">
      <c r="A191" s="45" t="n">
        <v>34060</v>
      </c>
      <c r="B191" s="63">
        <f>VLOOKUP(A191,'U.S. GDP'!A:B,2,)</f>
        <v/>
      </c>
      <c r="C191" s="63">
        <f>VLOOKUP(A191,PersonalConsumption!A:B,2,)</f>
        <v/>
      </c>
      <c r="D191" s="63">
        <f>VLOOKUP(A191,PrivateInvestment!A:B,2,)</f>
        <v/>
      </c>
      <c r="E191" s="63">
        <f>VLOOKUP(A191,Exports!A:B,2,)</f>
        <v/>
      </c>
      <c r="F191" s="63">
        <f>VLOOKUP(A191,Imports!A:B,2,)</f>
        <v/>
      </c>
      <c r="G191" s="63">
        <f>VLOOKUP(A191,Government!A:B,2,)</f>
        <v/>
      </c>
      <c r="H191" s="37">
        <f>Table58[[#This Row],[Personal Consumption]]/Table58[[#This Row],[GDP]]</f>
        <v/>
      </c>
      <c r="I191" s="37">
        <f>Table58[[#This Row],[Private Investment]]/Table58[[#This Row],[GDP]]</f>
        <v/>
      </c>
      <c r="J191" s="37">
        <f>Table58[[#This Row],[Exports]]/Table58[[#This Row],[GDP]]</f>
        <v/>
      </c>
      <c r="K191" s="37">
        <f>-Table58[[#This Row],[Imports]]/Table58[[#This Row],[GDP]]</f>
        <v/>
      </c>
      <c r="L191" s="37">
        <f>Table58[[#This Row],[Government]]/Table58[[#This Row],[GDP]]</f>
        <v/>
      </c>
      <c r="N191" s="58">
        <f>SUM(Table58[[#This Row],[PC%]:[G%]])</f>
        <v/>
      </c>
      <c r="O191" s="25">
        <f>Table58[[#This Row],[Personal Consumption]]+Table58[[#This Row],[Private Investment]]+Table58[[#This Row],[Exports]]+Table58[[#This Row],[Government]]-Table58[[#This Row],[Imports]]</f>
        <v/>
      </c>
    </row>
    <row r="192">
      <c r="A192" s="45" t="n">
        <v>34151</v>
      </c>
      <c r="B192" s="63">
        <f>VLOOKUP(A192,'U.S. GDP'!A:B,2,)</f>
        <v/>
      </c>
      <c r="C192" s="63">
        <f>VLOOKUP(A192,PersonalConsumption!A:B,2,)</f>
        <v/>
      </c>
      <c r="D192" s="63">
        <f>VLOOKUP(A192,PrivateInvestment!A:B,2,)</f>
        <v/>
      </c>
      <c r="E192" s="63">
        <f>VLOOKUP(A192,Exports!A:B,2,)</f>
        <v/>
      </c>
      <c r="F192" s="63">
        <f>VLOOKUP(A192,Imports!A:B,2,)</f>
        <v/>
      </c>
      <c r="G192" s="63">
        <f>VLOOKUP(A192,Government!A:B,2,)</f>
        <v/>
      </c>
      <c r="H192" s="37">
        <f>Table58[[#This Row],[Personal Consumption]]/Table58[[#This Row],[GDP]]</f>
        <v/>
      </c>
      <c r="I192" s="37">
        <f>Table58[[#This Row],[Private Investment]]/Table58[[#This Row],[GDP]]</f>
        <v/>
      </c>
      <c r="J192" s="37">
        <f>Table58[[#This Row],[Exports]]/Table58[[#This Row],[GDP]]</f>
        <v/>
      </c>
      <c r="K192" s="37">
        <f>-Table58[[#This Row],[Imports]]/Table58[[#This Row],[GDP]]</f>
        <v/>
      </c>
      <c r="L192" s="37">
        <f>Table58[[#This Row],[Government]]/Table58[[#This Row],[GDP]]</f>
        <v/>
      </c>
      <c r="N192" s="58">
        <f>SUM(Table58[[#This Row],[PC%]:[G%]])</f>
        <v/>
      </c>
      <c r="O192" s="25">
        <f>Table58[[#This Row],[Personal Consumption]]+Table58[[#This Row],[Private Investment]]+Table58[[#This Row],[Exports]]+Table58[[#This Row],[Government]]-Table58[[#This Row],[Imports]]</f>
        <v/>
      </c>
    </row>
    <row r="193">
      <c r="A193" s="45" t="n">
        <v>34243</v>
      </c>
      <c r="B193" s="63">
        <f>VLOOKUP(A193,'U.S. GDP'!A:B,2,)</f>
        <v/>
      </c>
      <c r="C193" s="63">
        <f>VLOOKUP(A193,PersonalConsumption!A:B,2,)</f>
        <v/>
      </c>
      <c r="D193" s="63">
        <f>VLOOKUP(A193,PrivateInvestment!A:B,2,)</f>
        <v/>
      </c>
      <c r="E193" s="63">
        <f>VLOOKUP(A193,Exports!A:B,2,)</f>
        <v/>
      </c>
      <c r="F193" s="63">
        <f>VLOOKUP(A193,Imports!A:B,2,)</f>
        <v/>
      </c>
      <c r="G193" s="63">
        <f>VLOOKUP(A193,Government!A:B,2,)</f>
        <v/>
      </c>
      <c r="H193" s="37">
        <f>Table58[[#This Row],[Personal Consumption]]/Table58[[#This Row],[GDP]]</f>
        <v/>
      </c>
      <c r="I193" s="37">
        <f>Table58[[#This Row],[Private Investment]]/Table58[[#This Row],[GDP]]</f>
        <v/>
      </c>
      <c r="J193" s="37">
        <f>Table58[[#This Row],[Exports]]/Table58[[#This Row],[GDP]]</f>
        <v/>
      </c>
      <c r="K193" s="37">
        <f>-Table58[[#This Row],[Imports]]/Table58[[#This Row],[GDP]]</f>
        <v/>
      </c>
      <c r="L193" s="37">
        <f>Table58[[#This Row],[Government]]/Table58[[#This Row],[GDP]]</f>
        <v/>
      </c>
      <c r="N193" s="58">
        <f>SUM(Table58[[#This Row],[PC%]:[G%]])</f>
        <v/>
      </c>
      <c r="O193" s="25">
        <f>Table58[[#This Row],[Personal Consumption]]+Table58[[#This Row],[Private Investment]]+Table58[[#This Row],[Exports]]+Table58[[#This Row],[Government]]-Table58[[#This Row],[Imports]]</f>
        <v/>
      </c>
    </row>
    <row r="194">
      <c r="A194" s="45" t="n">
        <v>34335</v>
      </c>
      <c r="B194" s="63">
        <f>VLOOKUP(A194,'U.S. GDP'!A:B,2,)</f>
        <v/>
      </c>
      <c r="C194" s="63">
        <f>VLOOKUP(A194,PersonalConsumption!A:B,2,)</f>
        <v/>
      </c>
      <c r="D194" s="63">
        <f>VLOOKUP(A194,PrivateInvestment!A:B,2,)</f>
        <v/>
      </c>
      <c r="E194" s="63">
        <f>VLOOKUP(A194,Exports!A:B,2,)</f>
        <v/>
      </c>
      <c r="F194" s="63">
        <f>VLOOKUP(A194,Imports!A:B,2,)</f>
        <v/>
      </c>
      <c r="G194" s="63">
        <f>VLOOKUP(A194,Government!A:B,2,)</f>
        <v/>
      </c>
      <c r="H194" s="37">
        <f>Table58[[#This Row],[Personal Consumption]]/Table58[[#This Row],[GDP]]</f>
        <v/>
      </c>
      <c r="I194" s="37">
        <f>Table58[[#This Row],[Private Investment]]/Table58[[#This Row],[GDP]]</f>
        <v/>
      </c>
      <c r="J194" s="37">
        <f>Table58[[#This Row],[Exports]]/Table58[[#This Row],[GDP]]</f>
        <v/>
      </c>
      <c r="K194" s="37">
        <f>-Table58[[#This Row],[Imports]]/Table58[[#This Row],[GDP]]</f>
        <v/>
      </c>
      <c r="L194" s="37">
        <f>Table58[[#This Row],[Government]]/Table58[[#This Row],[GDP]]</f>
        <v/>
      </c>
      <c r="N194" s="58">
        <f>SUM(Table58[[#This Row],[PC%]:[G%]])</f>
        <v/>
      </c>
      <c r="O194" s="25">
        <f>Table58[[#This Row],[Personal Consumption]]+Table58[[#This Row],[Private Investment]]+Table58[[#This Row],[Exports]]+Table58[[#This Row],[Government]]-Table58[[#This Row],[Imports]]</f>
        <v/>
      </c>
    </row>
    <row r="195">
      <c r="A195" s="45" t="n">
        <v>34425</v>
      </c>
      <c r="B195" s="63">
        <f>VLOOKUP(A195,'U.S. GDP'!A:B,2,)</f>
        <v/>
      </c>
      <c r="C195" s="63">
        <f>VLOOKUP(A195,PersonalConsumption!A:B,2,)</f>
        <v/>
      </c>
      <c r="D195" s="63">
        <f>VLOOKUP(A195,PrivateInvestment!A:B,2,)</f>
        <v/>
      </c>
      <c r="E195" s="63">
        <f>VLOOKUP(A195,Exports!A:B,2,)</f>
        <v/>
      </c>
      <c r="F195" s="63">
        <f>VLOOKUP(A195,Imports!A:B,2,)</f>
        <v/>
      </c>
      <c r="G195" s="63">
        <f>VLOOKUP(A195,Government!A:B,2,)</f>
        <v/>
      </c>
      <c r="H195" s="37">
        <f>Table58[[#This Row],[Personal Consumption]]/Table58[[#This Row],[GDP]]</f>
        <v/>
      </c>
      <c r="I195" s="37">
        <f>Table58[[#This Row],[Private Investment]]/Table58[[#This Row],[GDP]]</f>
        <v/>
      </c>
      <c r="J195" s="37">
        <f>Table58[[#This Row],[Exports]]/Table58[[#This Row],[GDP]]</f>
        <v/>
      </c>
      <c r="K195" s="37">
        <f>-Table58[[#This Row],[Imports]]/Table58[[#This Row],[GDP]]</f>
        <v/>
      </c>
      <c r="L195" s="37">
        <f>Table58[[#This Row],[Government]]/Table58[[#This Row],[GDP]]</f>
        <v/>
      </c>
      <c r="N195" s="58">
        <f>SUM(Table58[[#This Row],[PC%]:[G%]])</f>
        <v/>
      </c>
      <c r="O195" s="25">
        <f>Table58[[#This Row],[Personal Consumption]]+Table58[[#This Row],[Private Investment]]+Table58[[#This Row],[Exports]]+Table58[[#This Row],[Government]]-Table58[[#This Row],[Imports]]</f>
        <v/>
      </c>
    </row>
    <row r="196">
      <c r="A196" s="45" t="n">
        <v>34516</v>
      </c>
      <c r="B196" s="63">
        <f>VLOOKUP(A196,'U.S. GDP'!A:B,2,)</f>
        <v/>
      </c>
      <c r="C196" s="63">
        <f>VLOOKUP(A196,PersonalConsumption!A:B,2,)</f>
        <v/>
      </c>
      <c r="D196" s="63">
        <f>VLOOKUP(A196,PrivateInvestment!A:B,2,)</f>
        <v/>
      </c>
      <c r="E196" s="63">
        <f>VLOOKUP(A196,Exports!A:B,2,)</f>
        <v/>
      </c>
      <c r="F196" s="63">
        <f>VLOOKUP(A196,Imports!A:B,2,)</f>
        <v/>
      </c>
      <c r="G196" s="63">
        <f>VLOOKUP(A196,Government!A:B,2,)</f>
        <v/>
      </c>
      <c r="H196" s="37">
        <f>Table58[[#This Row],[Personal Consumption]]/Table58[[#This Row],[GDP]]</f>
        <v/>
      </c>
      <c r="I196" s="37">
        <f>Table58[[#This Row],[Private Investment]]/Table58[[#This Row],[GDP]]</f>
        <v/>
      </c>
      <c r="J196" s="37">
        <f>Table58[[#This Row],[Exports]]/Table58[[#This Row],[GDP]]</f>
        <v/>
      </c>
      <c r="K196" s="37">
        <f>-Table58[[#This Row],[Imports]]/Table58[[#This Row],[GDP]]</f>
        <v/>
      </c>
      <c r="L196" s="37">
        <f>Table58[[#This Row],[Government]]/Table58[[#This Row],[GDP]]</f>
        <v/>
      </c>
      <c r="N196" s="58">
        <f>SUM(Table58[[#This Row],[PC%]:[G%]])</f>
        <v/>
      </c>
      <c r="O196" s="25">
        <f>Table58[[#This Row],[Personal Consumption]]+Table58[[#This Row],[Private Investment]]+Table58[[#This Row],[Exports]]+Table58[[#This Row],[Government]]-Table58[[#This Row],[Imports]]</f>
        <v/>
      </c>
    </row>
    <row r="197">
      <c r="A197" s="45" t="n">
        <v>34608</v>
      </c>
      <c r="B197" s="63">
        <f>VLOOKUP(A197,'U.S. GDP'!A:B,2,)</f>
        <v/>
      </c>
      <c r="C197" s="63">
        <f>VLOOKUP(A197,PersonalConsumption!A:B,2,)</f>
        <v/>
      </c>
      <c r="D197" s="63">
        <f>VLOOKUP(A197,PrivateInvestment!A:B,2,)</f>
        <v/>
      </c>
      <c r="E197" s="63">
        <f>VLOOKUP(A197,Exports!A:B,2,)</f>
        <v/>
      </c>
      <c r="F197" s="63">
        <f>VLOOKUP(A197,Imports!A:B,2,)</f>
        <v/>
      </c>
      <c r="G197" s="63">
        <f>VLOOKUP(A197,Government!A:B,2,)</f>
        <v/>
      </c>
      <c r="H197" s="37">
        <f>Table58[[#This Row],[Personal Consumption]]/Table58[[#This Row],[GDP]]</f>
        <v/>
      </c>
      <c r="I197" s="37">
        <f>Table58[[#This Row],[Private Investment]]/Table58[[#This Row],[GDP]]</f>
        <v/>
      </c>
      <c r="J197" s="37">
        <f>Table58[[#This Row],[Exports]]/Table58[[#This Row],[GDP]]</f>
        <v/>
      </c>
      <c r="K197" s="37">
        <f>-Table58[[#This Row],[Imports]]/Table58[[#This Row],[GDP]]</f>
        <v/>
      </c>
      <c r="L197" s="37">
        <f>Table58[[#This Row],[Government]]/Table58[[#This Row],[GDP]]</f>
        <v/>
      </c>
      <c r="N197" s="58">
        <f>SUM(Table58[[#This Row],[PC%]:[G%]])</f>
        <v/>
      </c>
      <c r="O197" s="25">
        <f>Table58[[#This Row],[Personal Consumption]]+Table58[[#This Row],[Private Investment]]+Table58[[#This Row],[Exports]]+Table58[[#This Row],[Government]]-Table58[[#This Row],[Imports]]</f>
        <v/>
      </c>
    </row>
    <row r="198">
      <c r="A198" s="45" t="n">
        <v>34700</v>
      </c>
      <c r="B198" s="63">
        <f>VLOOKUP(A198,'U.S. GDP'!A:B,2,)</f>
        <v/>
      </c>
      <c r="C198" s="63">
        <f>VLOOKUP(A198,PersonalConsumption!A:B,2,)</f>
        <v/>
      </c>
      <c r="D198" s="63">
        <f>VLOOKUP(A198,PrivateInvestment!A:B,2,)</f>
        <v/>
      </c>
      <c r="E198" s="63">
        <f>VLOOKUP(A198,Exports!A:B,2,)</f>
        <v/>
      </c>
      <c r="F198" s="63">
        <f>VLOOKUP(A198,Imports!A:B,2,)</f>
        <v/>
      </c>
      <c r="G198" s="63">
        <f>VLOOKUP(A198,Government!A:B,2,)</f>
        <v/>
      </c>
      <c r="H198" s="37">
        <f>Table58[[#This Row],[Personal Consumption]]/Table58[[#This Row],[GDP]]</f>
        <v/>
      </c>
      <c r="I198" s="37">
        <f>Table58[[#This Row],[Private Investment]]/Table58[[#This Row],[GDP]]</f>
        <v/>
      </c>
      <c r="J198" s="37">
        <f>Table58[[#This Row],[Exports]]/Table58[[#This Row],[GDP]]</f>
        <v/>
      </c>
      <c r="K198" s="37">
        <f>-Table58[[#This Row],[Imports]]/Table58[[#This Row],[GDP]]</f>
        <v/>
      </c>
      <c r="L198" s="37">
        <f>Table58[[#This Row],[Government]]/Table58[[#This Row],[GDP]]</f>
        <v/>
      </c>
      <c r="N198" s="58">
        <f>SUM(Table58[[#This Row],[PC%]:[G%]])</f>
        <v/>
      </c>
      <c r="O198" s="25">
        <f>Table58[[#This Row],[Personal Consumption]]+Table58[[#This Row],[Private Investment]]+Table58[[#This Row],[Exports]]+Table58[[#This Row],[Government]]-Table58[[#This Row],[Imports]]</f>
        <v/>
      </c>
    </row>
    <row r="199">
      <c r="A199" s="45" t="n">
        <v>34790</v>
      </c>
      <c r="B199" s="63">
        <f>VLOOKUP(A199,'U.S. GDP'!A:B,2,)</f>
        <v/>
      </c>
      <c r="C199" s="63">
        <f>VLOOKUP(A199,PersonalConsumption!A:B,2,)</f>
        <v/>
      </c>
      <c r="D199" s="63">
        <f>VLOOKUP(A199,PrivateInvestment!A:B,2,)</f>
        <v/>
      </c>
      <c r="E199" s="63">
        <f>VLOOKUP(A199,Exports!A:B,2,)</f>
        <v/>
      </c>
      <c r="F199" s="63">
        <f>VLOOKUP(A199,Imports!A:B,2,)</f>
        <v/>
      </c>
      <c r="G199" s="63">
        <f>VLOOKUP(A199,Government!A:B,2,)</f>
        <v/>
      </c>
      <c r="H199" s="37">
        <f>Table58[[#This Row],[Personal Consumption]]/Table58[[#This Row],[GDP]]</f>
        <v/>
      </c>
      <c r="I199" s="37">
        <f>Table58[[#This Row],[Private Investment]]/Table58[[#This Row],[GDP]]</f>
        <v/>
      </c>
      <c r="J199" s="37">
        <f>Table58[[#This Row],[Exports]]/Table58[[#This Row],[GDP]]</f>
        <v/>
      </c>
      <c r="K199" s="37">
        <f>-Table58[[#This Row],[Imports]]/Table58[[#This Row],[GDP]]</f>
        <v/>
      </c>
      <c r="L199" s="37">
        <f>Table58[[#This Row],[Government]]/Table58[[#This Row],[GDP]]</f>
        <v/>
      </c>
      <c r="N199" s="58">
        <f>SUM(Table58[[#This Row],[PC%]:[G%]])</f>
        <v/>
      </c>
      <c r="O199" s="25">
        <f>Table58[[#This Row],[Personal Consumption]]+Table58[[#This Row],[Private Investment]]+Table58[[#This Row],[Exports]]+Table58[[#This Row],[Government]]-Table58[[#This Row],[Imports]]</f>
        <v/>
      </c>
    </row>
    <row r="200">
      <c r="A200" s="45" t="n">
        <v>34881</v>
      </c>
      <c r="B200" s="63">
        <f>VLOOKUP(A200,'U.S. GDP'!A:B,2,)</f>
        <v/>
      </c>
      <c r="C200" s="63">
        <f>VLOOKUP(A200,PersonalConsumption!A:B,2,)</f>
        <v/>
      </c>
      <c r="D200" s="63">
        <f>VLOOKUP(A200,PrivateInvestment!A:B,2,)</f>
        <v/>
      </c>
      <c r="E200" s="63">
        <f>VLOOKUP(A200,Exports!A:B,2,)</f>
        <v/>
      </c>
      <c r="F200" s="63">
        <f>VLOOKUP(A200,Imports!A:B,2,)</f>
        <v/>
      </c>
      <c r="G200" s="63">
        <f>VLOOKUP(A200,Government!A:B,2,)</f>
        <v/>
      </c>
      <c r="H200" s="37">
        <f>Table58[[#This Row],[Personal Consumption]]/Table58[[#This Row],[GDP]]</f>
        <v/>
      </c>
      <c r="I200" s="37">
        <f>Table58[[#This Row],[Private Investment]]/Table58[[#This Row],[GDP]]</f>
        <v/>
      </c>
      <c r="J200" s="37">
        <f>Table58[[#This Row],[Exports]]/Table58[[#This Row],[GDP]]</f>
        <v/>
      </c>
      <c r="K200" s="37">
        <f>-Table58[[#This Row],[Imports]]/Table58[[#This Row],[GDP]]</f>
        <v/>
      </c>
      <c r="L200" s="37">
        <f>Table58[[#This Row],[Government]]/Table58[[#This Row],[GDP]]</f>
        <v/>
      </c>
      <c r="N200" s="58">
        <f>SUM(Table58[[#This Row],[PC%]:[G%]])</f>
        <v/>
      </c>
      <c r="O200" s="25">
        <f>Table58[[#This Row],[Personal Consumption]]+Table58[[#This Row],[Private Investment]]+Table58[[#This Row],[Exports]]+Table58[[#This Row],[Government]]-Table58[[#This Row],[Imports]]</f>
        <v/>
      </c>
    </row>
    <row r="201">
      <c r="A201" s="45" t="n">
        <v>34973</v>
      </c>
      <c r="B201" s="63">
        <f>VLOOKUP(A201,'U.S. GDP'!A:B,2,)</f>
        <v/>
      </c>
      <c r="C201" s="63">
        <f>VLOOKUP(A201,PersonalConsumption!A:B,2,)</f>
        <v/>
      </c>
      <c r="D201" s="63">
        <f>VLOOKUP(A201,PrivateInvestment!A:B,2,)</f>
        <v/>
      </c>
      <c r="E201" s="63">
        <f>VLOOKUP(A201,Exports!A:B,2,)</f>
        <v/>
      </c>
      <c r="F201" s="63">
        <f>VLOOKUP(A201,Imports!A:B,2,)</f>
        <v/>
      </c>
      <c r="G201" s="63">
        <f>VLOOKUP(A201,Government!A:B,2,)</f>
        <v/>
      </c>
      <c r="H201" s="37">
        <f>Table58[[#This Row],[Personal Consumption]]/Table58[[#This Row],[GDP]]</f>
        <v/>
      </c>
      <c r="I201" s="37">
        <f>Table58[[#This Row],[Private Investment]]/Table58[[#This Row],[GDP]]</f>
        <v/>
      </c>
      <c r="J201" s="37">
        <f>Table58[[#This Row],[Exports]]/Table58[[#This Row],[GDP]]</f>
        <v/>
      </c>
      <c r="K201" s="37">
        <f>-Table58[[#This Row],[Imports]]/Table58[[#This Row],[GDP]]</f>
        <v/>
      </c>
      <c r="L201" s="37">
        <f>Table58[[#This Row],[Government]]/Table58[[#This Row],[GDP]]</f>
        <v/>
      </c>
      <c r="N201" s="58">
        <f>SUM(Table58[[#This Row],[PC%]:[G%]])</f>
        <v/>
      </c>
      <c r="O201" s="25">
        <f>Table58[[#This Row],[Personal Consumption]]+Table58[[#This Row],[Private Investment]]+Table58[[#This Row],[Exports]]+Table58[[#This Row],[Government]]-Table58[[#This Row],[Imports]]</f>
        <v/>
      </c>
    </row>
    <row r="202">
      <c r="A202" s="45" t="n">
        <v>35065</v>
      </c>
      <c r="B202" s="63">
        <f>VLOOKUP(A202,'U.S. GDP'!A:B,2,)</f>
        <v/>
      </c>
      <c r="C202" s="63">
        <f>VLOOKUP(A202,PersonalConsumption!A:B,2,)</f>
        <v/>
      </c>
      <c r="D202" s="63">
        <f>VLOOKUP(A202,PrivateInvestment!A:B,2,)</f>
        <v/>
      </c>
      <c r="E202" s="63">
        <f>VLOOKUP(A202,Exports!A:B,2,)</f>
        <v/>
      </c>
      <c r="F202" s="63">
        <f>VLOOKUP(A202,Imports!A:B,2,)</f>
        <v/>
      </c>
      <c r="G202" s="63">
        <f>VLOOKUP(A202,Government!A:B,2,)</f>
        <v/>
      </c>
      <c r="H202" s="37">
        <f>Table58[[#This Row],[Personal Consumption]]/Table58[[#This Row],[GDP]]</f>
        <v/>
      </c>
      <c r="I202" s="37">
        <f>Table58[[#This Row],[Private Investment]]/Table58[[#This Row],[GDP]]</f>
        <v/>
      </c>
      <c r="J202" s="37">
        <f>Table58[[#This Row],[Exports]]/Table58[[#This Row],[GDP]]</f>
        <v/>
      </c>
      <c r="K202" s="37">
        <f>-Table58[[#This Row],[Imports]]/Table58[[#This Row],[GDP]]</f>
        <v/>
      </c>
      <c r="L202" s="37">
        <f>Table58[[#This Row],[Government]]/Table58[[#This Row],[GDP]]</f>
        <v/>
      </c>
      <c r="N202" s="58">
        <f>SUM(Table58[[#This Row],[PC%]:[G%]])</f>
        <v/>
      </c>
      <c r="O202" s="25">
        <f>Table58[[#This Row],[Personal Consumption]]+Table58[[#This Row],[Private Investment]]+Table58[[#This Row],[Exports]]+Table58[[#This Row],[Government]]-Table58[[#This Row],[Imports]]</f>
        <v/>
      </c>
    </row>
    <row r="203">
      <c r="A203" s="45" t="n">
        <v>35156</v>
      </c>
      <c r="B203" s="63">
        <f>VLOOKUP(A203,'U.S. GDP'!A:B,2,)</f>
        <v/>
      </c>
      <c r="C203" s="63">
        <f>VLOOKUP(A203,PersonalConsumption!A:B,2,)</f>
        <v/>
      </c>
      <c r="D203" s="63">
        <f>VLOOKUP(A203,PrivateInvestment!A:B,2,)</f>
        <v/>
      </c>
      <c r="E203" s="63">
        <f>VLOOKUP(A203,Exports!A:B,2,)</f>
        <v/>
      </c>
      <c r="F203" s="63">
        <f>VLOOKUP(A203,Imports!A:B,2,)</f>
        <v/>
      </c>
      <c r="G203" s="63">
        <f>VLOOKUP(A203,Government!A:B,2,)</f>
        <v/>
      </c>
      <c r="H203" s="37">
        <f>Table58[[#This Row],[Personal Consumption]]/Table58[[#This Row],[GDP]]</f>
        <v/>
      </c>
      <c r="I203" s="37">
        <f>Table58[[#This Row],[Private Investment]]/Table58[[#This Row],[GDP]]</f>
        <v/>
      </c>
      <c r="J203" s="37">
        <f>Table58[[#This Row],[Exports]]/Table58[[#This Row],[GDP]]</f>
        <v/>
      </c>
      <c r="K203" s="37">
        <f>-Table58[[#This Row],[Imports]]/Table58[[#This Row],[GDP]]</f>
        <v/>
      </c>
      <c r="L203" s="37">
        <f>Table58[[#This Row],[Government]]/Table58[[#This Row],[GDP]]</f>
        <v/>
      </c>
      <c r="N203" s="58">
        <f>SUM(Table58[[#This Row],[PC%]:[G%]])</f>
        <v/>
      </c>
      <c r="O203" s="25">
        <f>Table58[[#This Row],[Personal Consumption]]+Table58[[#This Row],[Private Investment]]+Table58[[#This Row],[Exports]]+Table58[[#This Row],[Government]]-Table58[[#This Row],[Imports]]</f>
        <v/>
      </c>
    </row>
    <row r="204">
      <c r="A204" s="45" t="n">
        <v>35247</v>
      </c>
      <c r="B204" s="63">
        <f>VLOOKUP(A204,'U.S. GDP'!A:B,2,)</f>
        <v/>
      </c>
      <c r="C204" s="63">
        <f>VLOOKUP(A204,PersonalConsumption!A:B,2,)</f>
        <v/>
      </c>
      <c r="D204" s="63">
        <f>VLOOKUP(A204,PrivateInvestment!A:B,2,)</f>
        <v/>
      </c>
      <c r="E204" s="63">
        <f>VLOOKUP(A204,Exports!A:B,2,)</f>
        <v/>
      </c>
      <c r="F204" s="63">
        <f>VLOOKUP(A204,Imports!A:B,2,)</f>
        <v/>
      </c>
      <c r="G204" s="63">
        <f>VLOOKUP(A204,Government!A:B,2,)</f>
        <v/>
      </c>
      <c r="H204" s="37">
        <f>Table58[[#This Row],[Personal Consumption]]/Table58[[#This Row],[GDP]]</f>
        <v/>
      </c>
      <c r="I204" s="37">
        <f>Table58[[#This Row],[Private Investment]]/Table58[[#This Row],[GDP]]</f>
        <v/>
      </c>
      <c r="J204" s="37">
        <f>Table58[[#This Row],[Exports]]/Table58[[#This Row],[GDP]]</f>
        <v/>
      </c>
      <c r="K204" s="37">
        <f>-Table58[[#This Row],[Imports]]/Table58[[#This Row],[GDP]]</f>
        <v/>
      </c>
      <c r="L204" s="37">
        <f>Table58[[#This Row],[Government]]/Table58[[#This Row],[GDP]]</f>
        <v/>
      </c>
      <c r="N204" s="58">
        <f>SUM(Table58[[#This Row],[PC%]:[G%]])</f>
        <v/>
      </c>
      <c r="O204" s="25">
        <f>Table58[[#This Row],[Personal Consumption]]+Table58[[#This Row],[Private Investment]]+Table58[[#This Row],[Exports]]+Table58[[#This Row],[Government]]-Table58[[#This Row],[Imports]]</f>
        <v/>
      </c>
    </row>
    <row r="205">
      <c r="A205" s="45" t="n">
        <v>35339</v>
      </c>
      <c r="B205" s="63">
        <f>VLOOKUP(A205,'U.S. GDP'!A:B,2,)</f>
        <v/>
      </c>
      <c r="C205" s="63">
        <f>VLOOKUP(A205,PersonalConsumption!A:B,2,)</f>
        <v/>
      </c>
      <c r="D205" s="63">
        <f>VLOOKUP(A205,PrivateInvestment!A:B,2,)</f>
        <v/>
      </c>
      <c r="E205" s="63">
        <f>VLOOKUP(A205,Exports!A:B,2,)</f>
        <v/>
      </c>
      <c r="F205" s="63">
        <f>VLOOKUP(A205,Imports!A:B,2,)</f>
        <v/>
      </c>
      <c r="G205" s="63">
        <f>VLOOKUP(A205,Government!A:B,2,)</f>
        <v/>
      </c>
      <c r="H205" s="37">
        <f>Table58[[#This Row],[Personal Consumption]]/Table58[[#This Row],[GDP]]</f>
        <v/>
      </c>
      <c r="I205" s="37">
        <f>Table58[[#This Row],[Private Investment]]/Table58[[#This Row],[GDP]]</f>
        <v/>
      </c>
      <c r="J205" s="37">
        <f>Table58[[#This Row],[Exports]]/Table58[[#This Row],[GDP]]</f>
        <v/>
      </c>
      <c r="K205" s="37">
        <f>-Table58[[#This Row],[Imports]]/Table58[[#This Row],[GDP]]</f>
        <v/>
      </c>
      <c r="L205" s="37">
        <f>Table58[[#This Row],[Government]]/Table58[[#This Row],[GDP]]</f>
        <v/>
      </c>
      <c r="N205" s="58">
        <f>SUM(Table58[[#This Row],[PC%]:[G%]])</f>
        <v/>
      </c>
      <c r="O205" s="25">
        <f>Table58[[#This Row],[Personal Consumption]]+Table58[[#This Row],[Private Investment]]+Table58[[#This Row],[Exports]]+Table58[[#This Row],[Government]]-Table58[[#This Row],[Imports]]</f>
        <v/>
      </c>
    </row>
    <row r="206">
      <c r="A206" s="45" t="n">
        <v>35431</v>
      </c>
      <c r="B206" s="63">
        <f>VLOOKUP(A206,'U.S. GDP'!A:B,2,)</f>
        <v/>
      </c>
      <c r="C206" s="63">
        <f>VLOOKUP(A206,PersonalConsumption!A:B,2,)</f>
        <v/>
      </c>
      <c r="D206" s="63">
        <f>VLOOKUP(A206,PrivateInvestment!A:B,2,)</f>
        <v/>
      </c>
      <c r="E206" s="63">
        <f>VLOOKUP(A206,Exports!A:B,2,)</f>
        <v/>
      </c>
      <c r="F206" s="63">
        <f>VLOOKUP(A206,Imports!A:B,2,)</f>
        <v/>
      </c>
      <c r="G206" s="63">
        <f>VLOOKUP(A206,Government!A:B,2,)</f>
        <v/>
      </c>
      <c r="H206" s="37">
        <f>Table58[[#This Row],[Personal Consumption]]/Table58[[#This Row],[GDP]]</f>
        <v/>
      </c>
      <c r="I206" s="37">
        <f>Table58[[#This Row],[Private Investment]]/Table58[[#This Row],[GDP]]</f>
        <v/>
      </c>
      <c r="J206" s="37">
        <f>Table58[[#This Row],[Exports]]/Table58[[#This Row],[GDP]]</f>
        <v/>
      </c>
      <c r="K206" s="37">
        <f>-Table58[[#This Row],[Imports]]/Table58[[#This Row],[GDP]]</f>
        <v/>
      </c>
      <c r="L206" s="37">
        <f>Table58[[#This Row],[Government]]/Table58[[#This Row],[GDP]]</f>
        <v/>
      </c>
      <c r="N206" s="58">
        <f>SUM(Table58[[#This Row],[PC%]:[G%]])</f>
        <v/>
      </c>
      <c r="O206" s="25">
        <f>Table58[[#This Row],[Personal Consumption]]+Table58[[#This Row],[Private Investment]]+Table58[[#This Row],[Exports]]+Table58[[#This Row],[Government]]-Table58[[#This Row],[Imports]]</f>
        <v/>
      </c>
    </row>
    <row r="207">
      <c r="A207" s="45" t="n">
        <v>35521</v>
      </c>
      <c r="B207" s="63">
        <f>VLOOKUP(A207,'U.S. GDP'!A:B,2,)</f>
        <v/>
      </c>
      <c r="C207" s="63">
        <f>VLOOKUP(A207,PersonalConsumption!A:B,2,)</f>
        <v/>
      </c>
      <c r="D207" s="63">
        <f>VLOOKUP(A207,PrivateInvestment!A:B,2,)</f>
        <v/>
      </c>
      <c r="E207" s="63">
        <f>VLOOKUP(A207,Exports!A:B,2,)</f>
        <v/>
      </c>
      <c r="F207" s="63">
        <f>VLOOKUP(A207,Imports!A:B,2,)</f>
        <v/>
      </c>
      <c r="G207" s="63">
        <f>VLOOKUP(A207,Government!A:B,2,)</f>
        <v/>
      </c>
      <c r="H207" s="37">
        <f>Table58[[#This Row],[Personal Consumption]]/Table58[[#This Row],[GDP]]</f>
        <v/>
      </c>
      <c r="I207" s="37">
        <f>Table58[[#This Row],[Private Investment]]/Table58[[#This Row],[GDP]]</f>
        <v/>
      </c>
      <c r="J207" s="37">
        <f>Table58[[#This Row],[Exports]]/Table58[[#This Row],[GDP]]</f>
        <v/>
      </c>
      <c r="K207" s="37">
        <f>-Table58[[#This Row],[Imports]]/Table58[[#This Row],[GDP]]</f>
        <v/>
      </c>
      <c r="L207" s="37">
        <f>Table58[[#This Row],[Government]]/Table58[[#This Row],[GDP]]</f>
        <v/>
      </c>
      <c r="N207" s="58">
        <f>SUM(Table58[[#This Row],[PC%]:[G%]])</f>
        <v/>
      </c>
      <c r="O207" s="25">
        <f>Table58[[#This Row],[Personal Consumption]]+Table58[[#This Row],[Private Investment]]+Table58[[#This Row],[Exports]]+Table58[[#This Row],[Government]]-Table58[[#This Row],[Imports]]</f>
        <v/>
      </c>
    </row>
    <row r="208">
      <c r="A208" s="45" t="n">
        <v>35612</v>
      </c>
      <c r="B208" s="63">
        <f>VLOOKUP(A208,'U.S. GDP'!A:B,2,)</f>
        <v/>
      </c>
      <c r="C208" s="63">
        <f>VLOOKUP(A208,PersonalConsumption!A:B,2,)</f>
        <v/>
      </c>
      <c r="D208" s="63">
        <f>VLOOKUP(A208,PrivateInvestment!A:B,2,)</f>
        <v/>
      </c>
      <c r="E208" s="63">
        <f>VLOOKUP(A208,Exports!A:B,2,)</f>
        <v/>
      </c>
      <c r="F208" s="63">
        <f>VLOOKUP(A208,Imports!A:B,2,)</f>
        <v/>
      </c>
      <c r="G208" s="63">
        <f>VLOOKUP(A208,Government!A:B,2,)</f>
        <v/>
      </c>
      <c r="H208" s="37">
        <f>Table58[[#This Row],[Personal Consumption]]/Table58[[#This Row],[GDP]]</f>
        <v/>
      </c>
      <c r="I208" s="37">
        <f>Table58[[#This Row],[Private Investment]]/Table58[[#This Row],[GDP]]</f>
        <v/>
      </c>
      <c r="J208" s="37">
        <f>Table58[[#This Row],[Exports]]/Table58[[#This Row],[GDP]]</f>
        <v/>
      </c>
      <c r="K208" s="37">
        <f>-Table58[[#This Row],[Imports]]/Table58[[#This Row],[GDP]]</f>
        <v/>
      </c>
      <c r="L208" s="37">
        <f>Table58[[#This Row],[Government]]/Table58[[#This Row],[GDP]]</f>
        <v/>
      </c>
      <c r="N208" s="58">
        <f>SUM(Table58[[#This Row],[PC%]:[G%]])</f>
        <v/>
      </c>
      <c r="O208" s="25">
        <f>Table58[[#This Row],[Personal Consumption]]+Table58[[#This Row],[Private Investment]]+Table58[[#This Row],[Exports]]+Table58[[#This Row],[Government]]-Table58[[#This Row],[Imports]]</f>
        <v/>
      </c>
    </row>
    <row r="209">
      <c r="A209" s="45" t="n">
        <v>35704</v>
      </c>
      <c r="B209" s="63">
        <f>VLOOKUP(A209,'U.S. GDP'!A:B,2,)</f>
        <v/>
      </c>
      <c r="C209" s="63">
        <f>VLOOKUP(A209,PersonalConsumption!A:B,2,)</f>
        <v/>
      </c>
      <c r="D209" s="63">
        <f>VLOOKUP(A209,PrivateInvestment!A:B,2,)</f>
        <v/>
      </c>
      <c r="E209" s="63">
        <f>VLOOKUP(A209,Exports!A:B,2,)</f>
        <v/>
      </c>
      <c r="F209" s="63">
        <f>VLOOKUP(A209,Imports!A:B,2,)</f>
        <v/>
      </c>
      <c r="G209" s="63">
        <f>VLOOKUP(A209,Government!A:B,2,)</f>
        <v/>
      </c>
      <c r="H209" s="37">
        <f>Table58[[#This Row],[Personal Consumption]]/Table58[[#This Row],[GDP]]</f>
        <v/>
      </c>
      <c r="I209" s="37">
        <f>Table58[[#This Row],[Private Investment]]/Table58[[#This Row],[GDP]]</f>
        <v/>
      </c>
      <c r="J209" s="37">
        <f>Table58[[#This Row],[Exports]]/Table58[[#This Row],[GDP]]</f>
        <v/>
      </c>
      <c r="K209" s="37">
        <f>-Table58[[#This Row],[Imports]]/Table58[[#This Row],[GDP]]</f>
        <v/>
      </c>
      <c r="L209" s="37">
        <f>Table58[[#This Row],[Government]]/Table58[[#This Row],[GDP]]</f>
        <v/>
      </c>
      <c r="N209" s="58">
        <f>SUM(Table58[[#This Row],[PC%]:[G%]])</f>
        <v/>
      </c>
      <c r="O209" s="25">
        <f>Table58[[#This Row],[Personal Consumption]]+Table58[[#This Row],[Private Investment]]+Table58[[#This Row],[Exports]]+Table58[[#This Row],[Government]]-Table58[[#This Row],[Imports]]</f>
        <v/>
      </c>
    </row>
    <row r="210">
      <c r="A210" s="45" t="n">
        <v>35796</v>
      </c>
      <c r="B210" s="63">
        <f>VLOOKUP(A210,'U.S. GDP'!A:B,2,)</f>
        <v/>
      </c>
      <c r="C210" s="63">
        <f>VLOOKUP(A210,PersonalConsumption!A:B,2,)</f>
        <v/>
      </c>
      <c r="D210" s="63">
        <f>VLOOKUP(A210,PrivateInvestment!A:B,2,)</f>
        <v/>
      </c>
      <c r="E210" s="63">
        <f>VLOOKUP(A210,Exports!A:B,2,)</f>
        <v/>
      </c>
      <c r="F210" s="63">
        <f>VLOOKUP(A210,Imports!A:B,2,)</f>
        <v/>
      </c>
      <c r="G210" s="63">
        <f>VLOOKUP(A210,Government!A:B,2,)</f>
        <v/>
      </c>
      <c r="H210" s="37">
        <f>Table58[[#This Row],[Personal Consumption]]/Table58[[#This Row],[GDP]]</f>
        <v/>
      </c>
      <c r="I210" s="37">
        <f>Table58[[#This Row],[Private Investment]]/Table58[[#This Row],[GDP]]</f>
        <v/>
      </c>
      <c r="J210" s="37">
        <f>Table58[[#This Row],[Exports]]/Table58[[#This Row],[GDP]]</f>
        <v/>
      </c>
      <c r="K210" s="37">
        <f>-Table58[[#This Row],[Imports]]/Table58[[#This Row],[GDP]]</f>
        <v/>
      </c>
      <c r="L210" s="37">
        <f>Table58[[#This Row],[Government]]/Table58[[#This Row],[GDP]]</f>
        <v/>
      </c>
      <c r="N210" s="58">
        <f>SUM(Table58[[#This Row],[PC%]:[G%]])</f>
        <v/>
      </c>
      <c r="O210" s="25">
        <f>Table58[[#This Row],[Personal Consumption]]+Table58[[#This Row],[Private Investment]]+Table58[[#This Row],[Exports]]+Table58[[#This Row],[Government]]-Table58[[#This Row],[Imports]]</f>
        <v/>
      </c>
    </row>
    <row r="211">
      <c r="A211" s="45" t="n">
        <v>35886</v>
      </c>
      <c r="B211" s="63">
        <f>VLOOKUP(A211,'U.S. GDP'!A:B,2,)</f>
        <v/>
      </c>
      <c r="C211" s="63">
        <f>VLOOKUP(A211,PersonalConsumption!A:B,2,)</f>
        <v/>
      </c>
      <c r="D211" s="63">
        <f>VLOOKUP(A211,PrivateInvestment!A:B,2,)</f>
        <v/>
      </c>
      <c r="E211" s="63">
        <f>VLOOKUP(A211,Exports!A:B,2,)</f>
        <v/>
      </c>
      <c r="F211" s="63">
        <f>VLOOKUP(A211,Imports!A:B,2,)</f>
        <v/>
      </c>
      <c r="G211" s="63">
        <f>VLOOKUP(A211,Government!A:B,2,)</f>
        <v/>
      </c>
      <c r="H211" s="37">
        <f>Table58[[#This Row],[Personal Consumption]]/Table58[[#This Row],[GDP]]</f>
        <v/>
      </c>
      <c r="I211" s="37">
        <f>Table58[[#This Row],[Private Investment]]/Table58[[#This Row],[GDP]]</f>
        <v/>
      </c>
      <c r="J211" s="37">
        <f>Table58[[#This Row],[Exports]]/Table58[[#This Row],[GDP]]</f>
        <v/>
      </c>
      <c r="K211" s="37">
        <f>-Table58[[#This Row],[Imports]]/Table58[[#This Row],[GDP]]</f>
        <v/>
      </c>
      <c r="L211" s="37">
        <f>Table58[[#This Row],[Government]]/Table58[[#This Row],[GDP]]</f>
        <v/>
      </c>
      <c r="N211" s="58">
        <f>SUM(Table58[[#This Row],[PC%]:[G%]])</f>
        <v/>
      </c>
      <c r="O211" s="25">
        <f>Table58[[#This Row],[Personal Consumption]]+Table58[[#This Row],[Private Investment]]+Table58[[#This Row],[Exports]]+Table58[[#This Row],[Government]]-Table58[[#This Row],[Imports]]</f>
        <v/>
      </c>
    </row>
    <row r="212">
      <c r="A212" s="45" t="n">
        <v>35977</v>
      </c>
      <c r="B212" s="63">
        <f>VLOOKUP(A212,'U.S. GDP'!A:B,2,)</f>
        <v/>
      </c>
      <c r="C212" s="63">
        <f>VLOOKUP(A212,PersonalConsumption!A:B,2,)</f>
        <v/>
      </c>
      <c r="D212" s="63">
        <f>VLOOKUP(A212,PrivateInvestment!A:B,2,)</f>
        <v/>
      </c>
      <c r="E212" s="63">
        <f>VLOOKUP(A212,Exports!A:B,2,)</f>
        <v/>
      </c>
      <c r="F212" s="63">
        <f>VLOOKUP(A212,Imports!A:B,2,)</f>
        <v/>
      </c>
      <c r="G212" s="63">
        <f>VLOOKUP(A212,Government!A:B,2,)</f>
        <v/>
      </c>
      <c r="H212" s="37">
        <f>Table58[[#This Row],[Personal Consumption]]/Table58[[#This Row],[GDP]]</f>
        <v/>
      </c>
      <c r="I212" s="37">
        <f>Table58[[#This Row],[Private Investment]]/Table58[[#This Row],[GDP]]</f>
        <v/>
      </c>
      <c r="J212" s="37">
        <f>Table58[[#This Row],[Exports]]/Table58[[#This Row],[GDP]]</f>
        <v/>
      </c>
      <c r="K212" s="37">
        <f>-Table58[[#This Row],[Imports]]/Table58[[#This Row],[GDP]]</f>
        <v/>
      </c>
      <c r="L212" s="37">
        <f>Table58[[#This Row],[Government]]/Table58[[#This Row],[GDP]]</f>
        <v/>
      </c>
      <c r="N212" s="58">
        <f>SUM(Table58[[#This Row],[PC%]:[G%]])</f>
        <v/>
      </c>
      <c r="O212" s="25">
        <f>Table58[[#This Row],[Personal Consumption]]+Table58[[#This Row],[Private Investment]]+Table58[[#This Row],[Exports]]+Table58[[#This Row],[Government]]-Table58[[#This Row],[Imports]]</f>
        <v/>
      </c>
    </row>
    <row r="213">
      <c r="A213" s="45" t="n">
        <v>36069</v>
      </c>
      <c r="B213" s="63">
        <f>VLOOKUP(A213,'U.S. GDP'!A:B,2,)</f>
        <v/>
      </c>
      <c r="C213" s="63">
        <f>VLOOKUP(A213,PersonalConsumption!A:B,2,)</f>
        <v/>
      </c>
      <c r="D213" s="63">
        <f>VLOOKUP(A213,PrivateInvestment!A:B,2,)</f>
        <v/>
      </c>
      <c r="E213" s="63">
        <f>VLOOKUP(A213,Exports!A:B,2,)</f>
        <v/>
      </c>
      <c r="F213" s="63">
        <f>VLOOKUP(A213,Imports!A:B,2,)</f>
        <v/>
      </c>
      <c r="G213" s="63">
        <f>VLOOKUP(A213,Government!A:B,2,)</f>
        <v/>
      </c>
      <c r="H213" s="37">
        <f>Table58[[#This Row],[Personal Consumption]]/Table58[[#This Row],[GDP]]</f>
        <v/>
      </c>
      <c r="I213" s="37">
        <f>Table58[[#This Row],[Private Investment]]/Table58[[#This Row],[GDP]]</f>
        <v/>
      </c>
      <c r="J213" s="37">
        <f>Table58[[#This Row],[Exports]]/Table58[[#This Row],[GDP]]</f>
        <v/>
      </c>
      <c r="K213" s="37">
        <f>-Table58[[#This Row],[Imports]]/Table58[[#This Row],[GDP]]</f>
        <v/>
      </c>
      <c r="L213" s="37">
        <f>Table58[[#This Row],[Government]]/Table58[[#This Row],[GDP]]</f>
        <v/>
      </c>
      <c r="N213" s="58">
        <f>SUM(Table58[[#This Row],[PC%]:[G%]])</f>
        <v/>
      </c>
      <c r="O213" s="25">
        <f>Table58[[#This Row],[Personal Consumption]]+Table58[[#This Row],[Private Investment]]+Table58[[#This Row],[Exports]]+Table58[[#This Row],[Government]]-Table58[[#This Row],[Imports]]</f>
        <v/>
      </c>
    </row>
    <row r="214">
      <c r="A214" s="45" t="n">
        <v>36161</v>
      </c>
      <c r="B214" s="63">
        <f>VLOOKUP(A214,'U.S. GDP'!A:B,2,)</f>
        <v/>
      </c>
      <c r="C214" s="63">
        <f>VLOOKUP(A214,PersonalConsumption!A:B,2,)</f>
        <v/>
      </c>
      <c r="D214" s="63">
        <f>VLOOKUP(A214,PrivateInvestment!A:B,2,)</f>
        <v/>
      </c>
      <c r="E214" s="63">
        <f>VLOOKUP(A214,Exports!A:B,2,)</f>
        <v/>
      </c>
      <c r="F214" s="63">
        <f>VLOOKUP(A214,Imports!A:B,2,)</f>
        <v/>
      </c>
      <c r="G214" s="63">
        <f>VLOOKUP(A214,Government!A:B,2,)</f>
        <v/>
      </c>
      <c r="H214" s="37">
        <f>Table58[[#This Row],[Personal Consumption]]/Table58[[#This Row],[GDP]]</f>
        <v/>
      </c>
      <c r="I214" s="37">
        <f>Table58[[#This Row],[Private Investment]]/Table58[[#This Row],[GDP]]</f>
        <v/>
      </c>
      <c r="J214" s="37">
        <f>Table58[[#This Row],[Exports]]/Table58[[#This Row],[GDP]]</f>
        <v/>
      </c>
      <c r="K214" s="37">
        <f>-Table58[[#This Row],[Imports]]/Table58[[#This Row],[GDP]]</f>
        <v/>
      </c>
      <c r="L214" s="37">
        <f>Table58[[#This Row],[Government]]/Table58[[#This Row],[GDP]]</f>
        <v/>
      </c>
      <c r="N214" s="58">
        <f>SUM(Table58[[#This Row],[PC%]:[G%]])</f>
        <v/>
      </c>
      <c r="O214" s="25">
        <f>Table58[[#This Row],[Personal Consumption]]+Table58[[#This Row],[Private Investment]]+Table58[[#This Row],[Exports]]+Table58[[#This Row],[Government]]-Table58[[#This Row],[Imports]]</f>
        <v/>
      </c>
    </row>
    <row r="215">
      <c r="A215" s="45" t="n">
        <v>36251</v>
      </c>
      <c r="B215" s="63">
        <f>VLOOKUP(A215,'U.S. GDP'!A:B,2,)</f>
        <v/>
      </c>
      <c r="C215" s="63">
        <f>VLOOKUP(A215,PersonalConsumption!A:B,2,)</f>
        <v/>
      </c>
      <c r="D215" s="63">
        <f>VLOOKUP(A215,PrivateInvestment!A:B,2,)</f>
        <v/>
      </c>
      <c r="E215" s="63">
        <f>VLOOKUP(A215,Exports!A:B,2,)</f>
        <v/>
      </c>
      <c r="F215" s="63">
        <f>VLOOKUP(A215,Imports!A:B,2,)</f>
        <v/>
      </c>
      <c r="G215" s="63">
        <f>VLOOKUP(A215,Government!A:B,2,)</f>
        <v/>
      </c>
      <c r="H215" s="37">
        <f>Table58[[#This Row],[Personal Consumption]]/Table58[[#This Row],[GDP]]</f>
        <v/>
      </c>
      <c r="I215" s="37">
        <f>Table58[[#This Row],[Private Investment]]/Table58[[#This Row],[GDP]]</f>
        <v/>
      </c>
      <c r="J215" s="37">
        <f>Table58[[#This Row],[Exports]]/Table58[[#This Row],[GDP]]</f>
        <v/>
      </c>
      <c r="K215" s="37">
        <f>-Table58[[#This Row],[Imports]]/Table58[[#This Row],[GDP]]</f>
        <v/>
      </c>
      <c r="L215" s="37">
        <f>Table58[[#This Row],[Government]]/Table58[[#This Row],[GDP]]</f>
        <v/>
      </c>
      <c r="N215" s="58">
        <f>SUM(Table58[[#This Row],[PC%]:[G%]])</f>
        <v/>
      </c>
      <c r="O215" s="25">
        <f>Table58[[#This Row],[Personal Consumption]]+Table58[[#This Row],[Private Investment]]+Table58[[#This Row],[Exports]]+Table58[[#This Row],[Government]]-Table58[[#This Row],[Imports]]</f>
        <v/>
      </c>
    </row>
    <row r="216">
      <c r="A216" s="45" t="n">
        <v>36342</v>
      </c>
      <c r="B216" s="63">
        <f>VLOOKUP(A216,'U.S. GDP'!A:B,2,)</f>
        <v/>
      </c>
      <c r="C216" s="63">
        <f>VLOOKUP(A216,PersonalConsumption!A:B,2,)</f>
        <v/>
      </c>
      <c r="D216" s="63">
        <f>VLOOKUP(A216,PrivateInvestment!A:B,2,)</f>
        <v/>
      </c>
      <c r="E216" s="63">
        <f>VLOOKUP(A216,Exports!A:B,2,)</f>
        <v/>
      </c>
      <c r="F216" s="63">
        <f>VLOOKUP(A216,Imports!A:B,2,)</f>
        <v/>
      </c>
      <c r="G216" s="63">
        <f>VLOOKUP(A216,Government!A:B,2,)</f>
        <v/>
      </c>
      <c r="H216" s="37">
        <f>Table58[[#This Row],[Personal Consumption]]/Table58[[#This Row],[GDP]]</f>
        <v/>
      </c>
      <c r="I216" s="37">
        <f>Table58[[#This Row],[Private Investment]]/Table58[[#This Row],[GDP]]</f>
        <v/>
      </c>
      <c r="J216" s="37">
        <f>Table58[[#This Row],[Exports]]/Table58[[#This Row],[GDP]]</f>
        <v/>
      </c>
      <c r="K216" s="37">
        <f>-Table58[[#This Row],[Imports]]/Table58[[#This Row],[GDP]]</f>
        <v/>
      </c>
      <c r="L216" s="37">
        <f>Table58[[#This Row],[Government]]/Table58[[#This Row],[GDP]]</f>
        <v/>
      </c>
      <c r="N216" s="58">
        <f>SUM(Table58[[#This Row],[PC%]:[G%]])</f>
        <v/>
      </c>
      <c r="O216" s="25">
        <f>Table58[[#This Row],[Personal Consumption]]+Table58[[#This Row],[Private Investment]]+Table58[[#This Row],[Exports]]+Table58[[#This Row],[Government]]-Table58[[#This Row],[Imports]]</f>
        <v/>
      </c>
    </row>
    <row r="217">
      <c r="A217" s="45" t="n">
        <v>36434</v>
      </c>
      <c r="B217" s="63">
        <f>VLOOKUP(A217,'U.S. GDP'!A:B,2,)</f>
        <v/>
      </c>
      <c r="C217" s="63">
        <f>VLOOKUP(A217,PersonalConsumption!A:B,2,)</f>
        <v/>
      </c>
      <c r="D217" s="63">
        <f>VLOOKUP(A217,PrivateInvestment!A:B,2,)</f>
        <v/>
      </c>
      <c r="E217" s="63">
        <f>VLOOKUP(A217,Exports!A:B,2,)</f>
        <v/>
      </c>
      <c r="F217" s="63">
        <f>VLOOKUP(A217,Imports!A:B,2,)</f>
        <v/>
      </c>
      <c r="G217" s="63">
        <f>VLOOKUP(A217,Government!A:B,2,)</f>
        <v/>
      </c>
      <c r="H217" s="37">
        <f>Table58[[#This Row],[Personal Consumption]]/Table58[[#This Row],[GDP]]</f>
        <v/>
      </c>
      <c r="I217" s="37">
        <f>Table58[[#This Row],[Private Investment]]/Table58[[#This Row],[GDP]]</f>
        <v/>
      </c>
      <c r="J217" s="37">
        <f>Table58[[#This Row],[Exports]]/Table58[[#This Row],[GDP]]</f>
        <v/>
      </c>
      <c r="K217" s="37">
        <f>-Table58[[#This Row],[Imports]]/Table58[[#This Row],[GDP]]</f>
        <v/>
      </c>
      <c r="L217" s="37">
        <f>Table58[[#This Row],[Government]]/Table58[[#This Row],[GDP]]</f>
        <v/>
      </c>
      <c r="N217" s="58">
        <f>SUM(Table58[[#This Row],[PC%]:[G%]])</f>
        <v/>
      </c>
      <c r="O217" s="25">
        <f>Table58[[#This Row],[Personal Consumption]]+Table58[[#This Row],[Private Investment]]+Table58[[#This Row],[Exports]]+Table58[[#This Row],[Government]]-Table58[[#This Row],[Imports]]</f>
        <v/>
      </c>
    </row>
    <row r="218">
      <c r="A218" s="45" t="n">
        <v>36526</v>
      </c>
      <c r="B218" s="63">
        <f>VLOOKUP(A218,'U.S. GDP'!A:B,2,)</f>
        <v/>
      </c>
      <c r="C218" s="63">
        <f>VLOOKUP(A218,PersonalConsumption!A:B,2,)</f>
        <v/>
      </c>
      <c r="D218" s="63">
        <f>VLOOKUP(A218,PrivateInvestment!A:B,2,)</f>
        <v/>
      </c>
      <c r="E218" s="63">
        <f>VLOOKUP(A218,Exports!A:B,2,)</f>
        <v/>
      </c>
      <c r="F218" s="63">
        <f>VLOOKUP(A218,Imports!A:B,2,)</f>
        <v/>
      </c>
      <c r="G218" s="63">
        <f>VLOOKUP(A218,Government!A:B,2,)</f>
        <v/>
      </c>
      <c r="H218" s="37">
        <f>Table58[[#This Row],[Personal Consumption]]/Table58[[#This Row],[GDP]]</f>
        <v/>
      </c>
      <c r="I218" s="37">
        <f>Table58[[#This Row],[Private Investment]]/Table58[[#This Row],[GDP]]</f>
        <v/>
      </c>
      <c r="J218" s="37">
        <f>Table58[[#This Row],[Exports]]/Table58[[#This Row],[GDP]]</f>
        <v/>
      </c>
      <c r="K218" s="37">
        <f>-Table58[[#This Row],[Imports]]/Table58[[#This Row],[GDP]]</f>
        <v/>
      </c>
      <c r="L218" s="37">
        <f>Table58[[#This Row],[Government]]/Table58[[#This Row],[GDP]]</f>
        <v/>
      </c>
      <c r="N218" s="58">
        <f>SUM(Table58[[#This Row],[PC%]:[G%]])</f>
        <v/>
      </c>
      <c r="O218" s="25">
        <f>Table58[[#This Row],[Personal Consumption]]+Table58[[#This Row],[Private Investment]]+Table58[[#This Row],[Exports]]+Table58[[#This Row],[Government]]-Table58[[#This Row],[Imports]]</f>
        <v/>
      </c>
    </row>
    <row r="219">
      <c r="A219" s="45" t="n">
        <v>36617</v>
      </c>
      <c r="B219" s="63">
        <f>VLOOKUP(A219,'U.S. GDP'!A:B,2,)</f>
        <v/>
      </c>
      <c r="C219" s="63">
        <f>VLOOKUP(A219,PersonalConsumption!A:B,2,)</f>
        <v/>
      </c>
      <c r="D219" s="63">
        <f>VLOOKUP(A219,PrivateInvestment!A:B,2,)</f>
        <v/>
      </c>
      <c r="E219" s="63">
        <f>VLOOKUP(A219,Exports!A:B,2,)</f>
        <v/>
      </c>
      <c r="F219" s="63">
        <f>VLOOKUP(A219,Imports!A:B,2,)</f>
        <v/>
      </c>
      <c r="G219" s="63">
        <f>VLOOKUP(A219,Government!A:B,2,)</f>
        <v/>
      </c>
      <c r="H219" s="37">
        <f>Table58[[#This Row],[Personal Consumption]]/Table58[[#This Row],[GDP]]</f>
        <v/>
      </c>
      <c r="I219" s="37">
        <f>Table58[[#This Row],[Private Investment]]/Table58[[#This Row],[GDP]]</f>
        <v/>
      </c>
      <c r="J219" s="37">
        <f>Table58[[#This Row],[Exports]]/Table58[[#This Row],[GDP]]</f>
        <v/>
      </c>
      <c r="K219" s="37">
        <f>-Table58[[#This Row],[Imports]]/Table58[[#This Row],[GDP]]</f>
        <v/>
      </c>
      <c r="L219" s="37">
        <f>Table58[[#This Row],[Government]]/Table58[[#This Row],[GDP]]</f>
        <v/>
      </c>
      <c r="N219" s="58">
        <f>SUM(Table58[[#This Row],[PC%]:[G%]])</f>
        <v/>
      </c>
      <c r="O219" s="25">
        <f>Table58[[#This Row],[Personal Consumption]]+Table58[[#This Row],[Private Investment]]+Table58[[#This Row],[Exports]]+Table58[[#This Row],[Government]]-Table58[[#This Row],[Imports]]</f>
        <v/>
      </c>
    </row>
    <row r="220">
      <c r="A220" s="45" t="n">
        <v>36708</v>
      </c>
      <c r="B220" s="63">
        <f>VLOOKUP(A220,'U.S. GDP'!A:B,2,)</f>
        <v/>
      </c>
      <c r="C220" s="63">
        <f>VLOOKUP(A220,PersonalConsumption!A:B,2,)</f>
        <v/>
      </c>
      <c r="D220" s="63">
        <f>VLOOKUP(A220,PrivateInvestment!A:B,2,)</f>
        <v/>
      </c>
      <c r="E220" s="63">
        <f>VLOOKUP(A220,Exports!A:B,2,)</f>
        <v/>
      </c>
      <c r="F220" s="63">
        <f>VLOOKUP(A220,Imports!A:B,2,)</f>
        <v/>
      </c>
      <c r="G220" s="63">
        <f>VLOOKUP(A220,Government!A:B,2,)</f>
        <v/>
      </c>
      <c r="H220" s="37">
        <f>Table58[[#This Row],[Personal Consumption]]/Table58[[#This Row],[GDP]]</f>
        <v/>
      </c>
      <c r="I220" s="37">
        <f>Table58[[#This Row],[Private Investment]]/Table58[[#This Row],[GDP]]</f>
        <v/>
      </c>
      <c r="J220" s="37">
        <f>Table58[[#This Row],[Exports]]/Table58[[#This Row],[GDP]]</f>
        <v/>
      </c>
      <c r="K220" s="37">
        <f>-Table58[[#This Row],[Imports]]/Table58[[#This Row],[GDP]]</f>
        <v/>
      </c>
      <c r="L220" s="37">
        <f>Table58[[#This Row],[Government]]/Table58[[#This Row],[GDP]]</f>
        <v/>
      </c>
      <c r="N220" s="58">
        <f>SUM(Table58[[#This Row],[PC%]:[G%]])</f>
        <v/>
      </c>
      <c r="O220" s="25">
        <f>Table58[[#This Row],[Personal Consumption]]+Table58[[#This Row],[Private Investment]]+Table58[[#This Row],[Exports]]+Table58[[#This Row],[Government]]-Table58[[#This Row],[Imports]]</f>
        <v/>
      </c>
    </row>
    <row r="221">
      <c r="A221" s="45" t="n">
        <v>36800</v>
      </c>
      <c r="B221" s="63">
        <f>VLOOKUP(A221,'U.S. GDP'!A:B,2,)</f>
        <v/>
      </c>
      <c r="C221" s="63">
        <f>VLOOKUP(A221,PersonalConsumption!A:B,2,)</f>
        <v/>
      </c>
      <c r="D221" s="63">
        <f>VLOOKUP(A221,PrivateInvestment!A:B,2,)</f>
        <v/>
      </c>
      <c r="E221" s="63">
        <f>VLOOKUP(A221,Exports!A:B,2,)</f>
        <v/>
      </c>
      <c r="F221" s="63">
        <f>VLOOKUP(A221,Imports!A:B,2,)</f>
        <v/>
      </c>
      <c r="G221" s="63">
        <f>VLOOKUP(A221,Government!A:B,2,)</f>
        <v/>
      </c>
      <c r="H221" s="37">
        <f>Table58[[#This Row],[Personal Consumption]]/Table58[[#This Row],[GDP]]</f>
        <v/>
      </c>
      <c r="I221" s="37">
        <f>Table58[[#This Row],[Private Investment]]/Table58[[#This Row],[GDP]]</f>
        <v/>
      </c>
      <c r="J221" s="37">
        <f>Table58[[#This Row],[Exports]]/Table58[[#This Row],[GDP]]</f>
        <v/>
      </c>
      <c r="K221" s="37">
        <f>-Table58[[#This Row],[Imports]]/Table58[[#This Row],[GDP]]</f>
        <v/>
      </c>
      <c r="L221" s="37">
        <f>Table58[[#This Row],[Government]]/Table58[[#This Row],[GDP]]</f>
        <v/>
      </c>
      <c r="N221" s="58">
        <f>SUM(Table58[[#This Row],[PC%]:[G%]])</f>
        <v/>
      </c>
      <c r="O221" s="25">
        <f>Table58[[#This Row],[Personal Consumption]]+Table58[[#This Row],[Private Investment]]+Table58[[#This Row],[Exports]]+Table58[[#This Row],[Government]]-Table58[[#This Row],[Imports]]</f>
        <v/>
      </c>
    </row>
    <row r="222">
      <c r="A222" s="45" t="n">
        <v>36892</v>
      </c>
      <c r="B222" s="63">
        <f>VLOOKUP(A222,'U.S. GDP'!A:B,2,)</f>
        <v/>
      </c>
      <c r="C222" s="63">
        <f>VLOOKUP(A222,PersonalConsumption!A:B,2,)</f>
        <v/>
      </c>
      <c r="D222" s="63">
        <f>VLOOKUP(A222,PrivateInvestment!A:B,2,)</f>
        <v/>
      </c>
      <c r="E222" s="63">
        <f>VLOOKUP(A222,Exports!A:B,2,)</f>
        <v/>
      </c>
      <c r="F222" s="63">
        <f>VLOOKUP(A222,Imports!A:B,2,)</f>
        <v/>
      </c>
      <c r="G222" s="63">
        <f>VLOOKUP(A222,Government!A:B,2,)</f>
        <v/>
      </c>
      <c r="H222" s="37">
        <f>Table58[[#This Row],[Personal Consumption]]/Table58[[#This Row],[GDP]]</f>
        <v/>
      </c>
      <c r="I222" s="37">
        <f>Table58[[#This Row],[Private Investment]]/Table58[[#This Row],[GDP]]</f>
        <v/>
      </c>
      <c r="J222" s="37">
        <f>Table58[[#This Row],[Exports]]/Table58[[#This Row],[GDP]]</f>
        <v/>
      </c>
      <c r="K222" s="37">
        <f>-Table58[[#This Row],[Imports]]/Table58[[#This Row],[GDP]]</f>
        <v/>
      </c>
      <c r="L222" s="37">
        <f>Table58[[#This Row],[Government]]/Table58[[#This Row],[GDP]]</f>
        <v/>
      </c>
      <c r="N222" s="58">
        <f>SUM(Table58[[#This Row],[PC%]:[G%]])</f>
        <v/>
      </c>
      <c r="O222" s="25">
        <f>Table58[[#This Row],[Personal Consumption]]+Table58[[#This Row],[Private Investment]]+Table58[[#This Row],[Exports]]+Table58[[#This Row],[Government]]-Table58[[#This Row],[Imports]]</f>
        <v/>
      </c>
    </row>
    <row r="223">
      <c r="A223" s="45" t="n">
        <v>36982</v>
      </c>
      <c r="B223" s="63">
        <f>VLOOKUP(A223,'U.S. GDP'!A:B,2,)</f>
        <v/>
      </c>
      <c r="C223" s="63">
        <f>VLOOKUP(A223,PersonalConsumption!A:B,2,)</f>
        <v/>
      </c>
      <c r="D223" s="63">
        <f>VLOOKUP(A223,PrivateInvestment!A:B,2,)</f>
        <v/>
      </c>
      <c r="E223" s="63">
        <f>VLOOKUP(A223,Exports!A:B,2,)</f>
        <v/>
      </c>
      <c r="F223" s="63">
        <f>VLOOKUP(A223,Imports!A:B,2,)</f>
        <v/>
      </c>
      <c r="G223" s="63">
        <f>VLOOKUP(A223,Government!A:B,2,)</f>
        <v/>
      </c>
      <c r="H223" s="37">
        <f>Table58[[#This Row],[Personal Consumption]]/Table58[[#This Row],[GDP]]</f>
        <v/>
      </c>
      <c r="I223" s="37">
        <f>Table58[[#This Row],[Private Investment]]/Table58[[#This Row],[GDP]]</f>
        <v/>
      </c>
      <c r="J223" s="37">
        <f>Table58[[#This Row],[Exports]]/Table58[[#This Row],[GDP]]</f>
        <v/>
      </c>
      <c r="K223" s="37">
        <f>-Table58[[#This Row],[Imports]]/Table58[[#This Row],[GDP]]</f>
        <v/>
      </c>
      <c r="L223" s="37">
        <f>Table58[[#This Row],[Government]]/Table58[[#This Row],[GDP]]</f>
        <v/>
      </c>
      <c r="N223" s="58">
        <f>SUM(Table58[[#This Row],[PC%]:[G%]])</f>
        <v/>
      </c>
      <c r="O223" s="25">
        <f>Table58[[#This Row],[Personal Consumption]]+Table58[[#This Row],[Private Investment]]+Table58[[#This Row],[Exports]]+Table58[[#This Row],[Government]]-Table58[[#This Row],[Imports]]</f>
        <v/>
      </c>
    </row>
    <row r="224">
      <c r="A224" s="45" t="n">
        <v>37073</v>
      </c>
      <c r="B224" s="63">
        <f>VLOOKUP(A224,'U.S. GDP'!A:B,2,)</f>
        <v/>
      </c>
      <c r="C224" s="63">
        <f>VLOOKUP(A224,PersonalConsumption!A:B,2,)</f>
        <v/>
      </c>
      <c r="D224" s="63">
        <f>VLOOKUP(A224,PrivateInvestment!A:B,2,)</f>
        <v/>
      </c>
      <c r="E224" s="63">
        <f>VLOOKUP(A224,Exports!A:B,2,)</f>
        <v/>
      </c>
      <c r="F224" s="63">
        <f>VLOOKUP(A224,Imports!A:B,2,)</f>
        <v/>
      </c>
      <c r="G224" s="63">
        <f>VLOOKUP(A224,Government!A:B,2,)</f>
        <v/>
      </c>
      <c r="H224" s="37">
        <f>Table58[[#This Row],[Personal Consumption]]/Table58[[#This Row],[GDP]]</f>
        <v/>
      </c>
      <c r="I224" s="37">
        <f>Table58[[#This Row],[Private Investment]]/Table58[[#This Row],[GDP]]</f>
        <v/>
      </c>
      <c r="J224" s="37">
        <f>Table58[[#This Row],[Exports]]/Table58[[#This Row],[GDP]]</f>
        <v/>
      </c>
      <c r="K224" s="37">
        <f>-Table58[[#This Row],[Imports]]/Table58[[#This Row],[GDP]]</f>
        <v/>
      </c>
      <c r="L224" s="37">
        <f>Table58[[#This Row],[Government]]/Table58[[#This Row],[GDP]]</f>
        <v/>
      </c>
      <c r="N224" s="58">
        <f>SUM(Table58[[#This Row],[PC%]:[G%]])</f>
        <v/>
      </c>
      <c r="O224" s="25">
        <f>Table58[[#This Row],[Personal Consumption]]+Table58[[#This Row],[Private Investment]]+Table58[[#This Row],[Exports]]+Table58[[#This Row],[Government]]-Table58[[#This Row],[Imports]]</f>
        <v/>
      </c>
    </row>
    <row r="225">
      <c r="A225" s="45" t="n">
        <v>37165</v>
      </c>
      <c r="B225" s="63">
        <f>VLOOKUP(A225,'U.S. GDP'!A:B,2,)</f>
        <v/>
      </c>
      <c r="C225" s="63">
        <f>VLOOKUP(A225,PersonalConsumption!A:B,2,)</f>
        <v/>
      </c>
      <c r="D225" s="63">
        <f>VLOOKUP(A225,PrivateInvestment!A:B,2,)</f>
        <v/>
      </c>
      <c r="E225" s="63">
        <f>VLOOKUP(A225,Exports!A:B,2,)</f>
        <v/>
      </c>
      <c r="F225" s="63">
        <f>VLOOKUP(A225,Imports!A:B,2,)</f>
        <v/>
      </c>
      <c r="G225" s="63">
        <f>VLOOKUP(A225,Government!A:B,2,)</f>
        <v/>
      </c>
      <c r="H225" s="37">
        <f>Table58[[#This Row],[Personal Consumption]]/Table58[[#This Row],[GDP]]</f>
        <v/>
      </c>
      <c r="I225" s="37">
        <f>Table58[[#This Row],[Private Investment]]/Table58[[#This Row],[GDP]]</f>
        <v/>
      </c>
      <c r="J225" s="37">
        <f>Table58[[#This Row],[Exports]]/Table58[[#This Row],[GDP]]</f>
        <v/>
      </c>
      <c r="K225" s="37">
        <f>-Table58[[#This Row],[Imports]]/Table58[[#This Row],[GDP]]</f>
        <v/>
      </c>
      <c r="L225" s="37">
        <f>Table58[[#This Row],[Government]]/Table58[[#This Row],[GDP]]</f>
        <v/>
      </c>
      <c r="N225" s="58">
        <f>SUM(Table58[[#This Row],[PC%]:[G%]])</f>
        <v/>
      </c>
      <c r="O225" s="25">
        <f>Table58[[#This Row],[Personal Consumption]]+Table58[[#This Row],[Private Investment]]+Table58[[#This Row],[Exports]]+Table58[[#This Row],[Government]]-Table58[[#This Row],[Imports]]</f>
        <v/>
      </c>
    </row>
    <row r="226">
      <c r="A226" s="45" t="n">
        <v>37257</v>
      </c>
      <c r="B226" s="63">
        <f>VLOOKUP(A226,'U.S. GDP'!A:B,2,)</f>
        <v/>
      </c>
      <c r="C226" s="63">
        <f>VLOOKUP(A226,PersonalConsumption!A:B,2,)</f>
        <v/>
      </c>
      <c r="D226" s="63">
        <f>VLOOKUP(A226,PrivateInvestment!A:B,2,)</f>
        <v/>
      </c>
      <c r="E226" s="63">
        <f>VLOOKUP(A226,Exports!A:B,2,)</f>
        <v/>
      </c>
      <c r="F226" s="63">
        <f>VLOOKUP(A226,Imports!A:B,2,)</f>
        <v/>
      </c>
      <c r="G226" s="63">
        <f>VLOOKUP(A226,Government!A:B,2,)</f>
        <v/>
      </c>
      <c r="H226" s="37">
        <f>Table58[[#This Row],[Personal Consumption]]/Table58[[#This Row],[GDP]]</f>
        <v/>
      </c>
      <c r="I226" s="37">
        <f>Table58[[#This Row],[Private Investment]]/Table58[[#This Row],[GDP]]</f>
        <v/>
      </c>
      <c r="J226" s="37">
        <f>Table58[[#This Row],[Exports]]/Table58[[#This Row],[GDP]]</f>
        <v/>
      </c>
      <c r="K226" s="37">
        <f>-Table58[[#This Row],[Imports]]/Table58[[#This Row],[GDP]]</f>
        <v/>
      </c>
      <c r="L226" s="37">
        <f>Table58[[#This Row],[Government]]/Table58[[#This Row],[GDP]]</f>
        <v/>
      </c>
      <c r="N226" s="58">
        <f>SUM(Table58[[#This Row],[PC%]:[G%]])</f>
        <v/>
      </c>
      <c r="O226" s="25">
        <f>Table58[[#This Row],[Personal Consumption]]+Table58[[#This Row],[Private Investment]]+Table58[[#This Row],[Exports]]+Table58[[#This Row],[Government]]-Table58[[#This Row],[Imports]]</f>
        <v/>
      </c>
    </row>
    <row r="227">
      <c r="A227" s="45" t="n">
        <v>37347</v>
      </c>
      <c r="B227" s="63">
        <f>VLOOKUP(A227,'U.S. GDP'!A:B,2,)</f>
        <v/>
      </c>
      <c r="C227" s="63">
        <f>VLOOKUP(A227,PersonalConsumption!A:B,2,)</f>
        <v/>
      </c>
      <c r="D227" s="63">
        <f>VLOOKUP(A227,PrivateInvestment!A:B,2,)</f>
        <v/>
      </c>
      <c r="E227" s="63">
        <f>VLOOKUP(A227,Exports!A:B,2,)</f>
        <v/>
      </c>
      <c r="F227" s="63">
        <f>VLOOKUP(A227,Imports!A:B,2,)</f>
        <v/>
      </c>
      <c r="G227" s="63">
        <f>VLOOKUP(A227,Government!A:B,2,)</f>
        <v/>
      </c>
      <c r="H227" s="37">
        <f>Table58[[#This Row],[Personal Consumption]]/Table58[[#This Row],[GDP]]</f>
        <v/>
      </c>
      <c r="I227" s="37">
        <f>Table58[[#This Row],[Private Investment]]/Table58[[#This Row],[GDP]]</f>
        <v/>
      </c>
      <c r="J227" s="37">
        <f>Table58[[#This Row],[Exports]]/Table58[[#This Row],[GDP]]</f>
        <v/>
      </c>
      <c r="K227" s="37">
        <f>-Table58[[#This Row],[Imports]]/Table58[[#This Row],[GDP]]</f>
        <v/>
      </c>
      <c r="L227" s="37">
        <f>Table58[[#This Row],[Government]]/Table58[[#This Row],[GDP]]</f>
        <v/>
      </c>
      <c r="N227" s="58">
        <f>SUM(Table58[[#This Row],[PC%]:[G%]])</f>
        <v/>
      </c>
      <c r="O227" s="25">
        <f>Table58[[#This Row],[Personal Consumption]]+Table58[[#This Row],[Private Investment]]+Table58[[#This Row],[Exports]]+Table58[[#This Row],[Government]]-Table58[[#This Row],[Imports]]</f>
        <v/>
      </c>
    </row>
    <row r="228">
      <c r="A228" s="45" t="n">
        <v>37438</v>
      </c>
      <c r="B228" s="63">
        <f>VLOOKUP(A228,'U.S. GDP'!A:B,2,)</f>
        <v/>
      </c>
      <c r="C228" s="63">
        <f>VLOOKUP(A228,PersonalConsumption!A:B,2,)</f>
        <v/>
      </c>
      <c r="D228" s="63">
        <f>VLOOKUP(A228,PrivateInvestment!A:B,2,)</f>
        <v/>
      </c>
      <c r="E228" s="63">
        <f>VLOOKUP(A228,Exports!A:B,2,)</f>
        <v/>
      </c>
      <c r="F228" s="63">
        <f>VLOOKUP(A228,Imports!A:B,2,)</f>
        <v/>
      </c>
      <c r="G228" s="63">
        <f>VLOOKUP(A228,Government!A:B,2,)</f>
        <v/>
      </c>
      <c r="H228" s="37">
        <f>Table58[[#This Row],[Personal Consumption]]/Table58[[#This Row],[GDP]]</f>
        <v/>
      </c>
      <c r="I228" s="37">
        <f>Table58[[#This Row],[Private Investment]]/Table58[[#This Row],[GDP]]</f>
        <v/>
      </c>
      <c r="J228" s="37">
        <f>Table58[[#This Row],[Exports]]/Table58[[#This Row],[GDP]]</f>
        <v/>
      </c>
      <c r="K228" s="37">
        <f>-Table58[[#This Row],[Imports]]/Table58[[#This Row],[GDP]]</f>
        <v/>
      </c>
      <c r="L228" s="37">
        <f>Table58[[#This Row],[Government]]/Table58[[#This Row],[GDP]]</f>
        <v/>
      </c>
      <c r="N228" s="58">
        <f>SUM(Table58[[#This Row],[PC%]:[G%]])</f>
        <v/>
      </c>
      <c r="O228" s="25">
        <f>Table58[[#This Row],[Personal Consumption]]+Table58[[#This Row],[Private Investment]]+Table58[[#This Row],[Exports]]+Table58[[#This Row],[Government]]-Table58[[#This Row],[Imports]]</f>
        <v/>
      </c>
    </row>
    <row r="229">
      <c r="A229" s="45" t="n">
        <v>37530</v>
      </c>
      <c r="B229" s="63">
        <f>VLOOKUP(A229,'U.S. GDP'!A:B,2,)</f>
        <v/>
      </c>
      <c r="C229" s="63">
        <f>VLOOKUP(A229,PersonalConsumption!A:B,2,)</f>
        <v/>
      </c>
      <c r="D229" s="63">
        <f>VLOOKUP(A229,PrivateInvestment!A:B,2,)</f>
        <v/>
      </c>
      <c r="E229" s="63">
        <f>VLOOKUP(A229,Exports!A:B,2,)</f>
        <v/>
      </c>
      <c r="F229" s="63">
        <f>VLOOKUP(A229,Imports!A:B,2,)</f>
        <v/>
      </c>
      <c r="G229" s="63">
        <f>VLOOKUP(A229,Government!A:B,2,)</f>
        <v/>
      </c>
      <c r="H229" s="37">
        <f>Table58[[#This Row],[Personal Consumption]]/Table58[[#This Row],[GDP]]</f>
        <v/>
      </c>
      <c r="I229" s="37">
        <f>Table58[[#This Row],[Private Investment]]/Table58[[#This Row],[GDP]]</f>
        <v/>
      </c>
      <c r="J229" s="37">
        <f>Table58[[#This Row],[Exports]]/Table58[[#This Row],[GDP]]</f>
        <v/>
      </c>
      <c r="K229" s="37">
        <f>-Table58[[#This Row],[Imports]]/Table58[[#This Row],[GDP]]</f>
        <v/>
      </c>
      <c r="L229" s="37">
        <f>Table58[[#This Row],[Government]]/Table58[[#This Row],[GDP]]</f>
        <v/>
      </c>
      <c r="N229" s="58">
        <f>SUM(Table58[[#This Row],[PC%]:[G%]])</f>
        <v/>
      </c>
      <c r="O229" s="25">
        <f>Table58[[#This Row],[Personal Consumption]]+Table58[[#This Row],[Private Investment]]+Table58[[#This Row],[Exports]]+Table58[[#This Row],[Government]]-Table58[[#This Row],[Imports]]</f>
        <v/>
      </c>
    </row>
    <row r="230">
      <c r="A230" s="45" t="n">
        <v>37622</v>
      </c>
      <c r="B230" s="63">
        <f>VLOOKUP(A230,'U.S. GDP'!A:B,2,)</f>
        <v/>
      </c>
      <c r="C230" s="63">
        <f>VLOOKUP(A230,PersonalConsumption!A:B,2,)</f>
        <v/>
      </c>
      <c r="D230" s="63">
        <f>VLOOKUP(A230,PrivateInvestment!A:B,2,)</f>
        <v/>
      </c>
      <c r="E230" s="63">
        <f>VLOOKUP(A230,Exports!A:B,2,)</f>
        <v/>
      </c>
      <c r="F230" s="63">
        <f>VLOOKUP(A230,Imports!A:B,2,)</f>
        <v/>
      </c>
      <c r="G230" s="63">
        <f>VLOOKUP(A230,Government!A:B,2,)</f>
        <v/>
      </c>
      <c r="H230" s="37">
        <f>Table58[[#This Row],[Personal Consumption]]/Table58[[#This Row],[GDP]]</f>
        <v/>
      </c>
      <c r="I230" s="37">
        <f>Table58[[#This Row],[Private Investment]]/Table58[[#This Row],[GDP]]</f>
        <v/>
      </c>
      <c r="J230" s="37">
        <f>Table58[[#This Row],[Exports]]/Table58[[#This Row],[GDP]]</f>
        <v/>
      </c>
      <c r="K230" s="37">
        <f>-Table58[[#This Row],[Imports]]/Table58[[#This Row],[GDP]]</f>
        <v/>
      </c>
      <c r="L230" s="37">
        <f>Table58[[#This Row],[Government]]/Table58[[#This Row],[GDP]]</f>
        <v/>
      </c>
      <c r="N230" s="58">
        <f>SUM(Table58[[#This Row],[PC%]:[G%]])</f>
        <v/>
      </c>
      <c r="O230" s="25">
        <f>Table58[[#This Row],[Personal Consumption]]+Table58[[#This Row],[Private Investment]]+Table58[[#This Row],[Exports]]+Table58[[#This Row],[Government]]-Table58[[#This Row],[Imports]]</f>
        <v/>
      </c>
    </row>
    <row r="231">
      <c r="A231" s="45" t="n">
        <v>37712</v>
      </c>
      <c r="B231" s="63">
        <f>VLOOKUP(A231,'U.S. GDP'!A:B,2,)</f>
        <v/>
      </c>
      <c r="C231" s="63">
        <f>VLOOKUP(A231,PersonalConsumption!A:B,2,)</f>
        <v/>
      </c>
      <c r="D231" s="63">
        <f>VLOOKUP(A231,PrivateInvestment!A:B,2,)</f>
        <v/>
      </c>
      <c r="E231" s="63">
        <f>VLOOKUP(A231,Exports!A:B,2,)</f>
        <v/>
      </c>
      <c r="F231" s="63">
        <f>VLOOKUP(A231,Imports!A:B,2,)</f>
        <v/>
      </c>
      <c r="G231" s="63">
        <f>VLOOKUP(A231,Government!A:B,2,)</f>
        <v/>
      </c>
      <c r="H231" s="37">
        <f>Table58[[#This Row],[Personal Consumption]]/Table58[[#This Row],[GDP]]</f>
        <v/>
      </c>
      <c r="I231" s="37">
        <f>Table58[[#This Row],[Private Investment]]/Table58[[#This Row],[GDP]]</f>
        <v/>
      </c>
      <c r="J231" s="37">
        <f>Table58[[#This Row],[Exports]]/Table58[[#This Row],[GDP]]</f>
        <v/>
      </c>
      <c r="K231" s="37">
        <f>-Table58[[#This Row],[Imports]]/Table58[[#This Row],[GDP]]</f>
        <v/>
      </c>
      <c r="L231" s="37">
        <f>Table58[[#This Row],[Government]]/Table58[[#This Row],[GDP]]</f>
        <v/>
      </c>
      <c r="N231" s="58">
        <f>SUM(Table58[[#This Row],[PC%]:[G%]])</f>
        <v/>
      </c>
      <c r="O231" s="25">
        <f>Table58[[#This Row],[Personal Consumption]]+Table58[[#This Row],[Private Investment]]+Table58[[#This Row],[Exports]]+Table58[[#This Row],[Government]]-Table58[[#This Row],[Imports]]</f>
        <v/>
      </c>
    </row>
    <row r="232">
      <c r="A232" s="45" t="n">
        <v>37803</v>
      </c>
      <c r="B232" s="63">
        <f>VLOOKUP(A232,'U.S. GDP'!A:B,2,)</f>
        <v/>
      </c>
      <c r="C232" s="63">
        <f>VLOOKUP(A232,PersonalConsumption!A:B,2,)</f>
        <v/>
      </c>
      <c r="D232" s="63">
        <f>VLOOKUP(A232,PrivateInvestment!A:B,2,)</f>
        <v/>
      </c>
      <c r="E232" s="63">
        <f>VLOOKUP(A232,Exports!A:B,2,)</f>
        <v/>
      </c>
      <c r="F232" s="63">
        <f>VLOOKUP(A232,Imports!A:B,2,)</f>
        <v/>
      </c>
      <c r="G232" s="63">
        <f>VLOOKUP(A232,Government!A:B,2,)</f>
        <v/>
      </c>
      <c r="H232" s="37">
        <f>Table58[[#This Row],[Personal Consumption]]/Table58[[#This Row],[GDP]]</f>
        <v/>
      </c>
      <c r="I232" s="37">
        <f>Table58[[#This Row],[Private Investment]]/Table58[[#This Row],[GDP]]</f>
        <v/>
      </c>
      <c r="J232" s="37">
        <f>Table58[[#This Row],[Exports]]/Table58[[#This Row],[GDP]]</f>
        <v/>
      </c>
      <c r="K232" s="37">
        <f>-Table58[[#This Row],[Imports]]/Table58[[#This Row],[GDP]]</f>
        <v/>
      </c>
      <c r="L232" s="37">
        <f>Table58[[#This Row],[Government]]/Table58[[#This Row],[GDP]]</f>
        <v/>
      </c>
      <c r="N232" s="58">
        <f>SUM(Table58[[#This Row],[PC%]:[G%]])</f>
        <v/>
      </c>
      <c r="O232" s="25">
        <f>Table58[[#This Row],[Personal Consumption]]+Table58[[#This Row],[Private Investment]]+Table58[[#This Row],[Exports]]+Table58[[#This Row],[Government]]-Table58[[#This Row],[Imports]]</f>
        <v/>
      </c>
    </row>
    <row r="233">
      <c r="A233" s="45" t="n">
        <v>37895</v>
      </c>
      <c r="B233" s="63">
        <f>VLOOKUP(A233,'U.S. GDP'!A:B,2,)</f>
        <v/>
      </c>
      <c r="C233" s="63">
        <f>VLOOKUP(A233,PersonalConsumption!A:B,2,)</f>
        <v/>
      </c>
      <c r="D233" s="63">
        <f>VLOOKUP(A233,PrivateInvestment!A:B,2,)</f>
        <v/>
      </c>
      <c r="E233" s="63">
        <f>VLOOKUP(A233,Exports!A:B,2,)</f>
        <v/>
      </c>
      <c r="F233" s="63">
        <f>VLOOKUP(A233,Imports!A:B,2,)</f>
        <v/>
      </c>
      <c r="G233" s="63">
        <f>VLOOKUP(A233,Government!A:B,2,)</f>
        <v/>
      </c>
      <c r="H233" s="37">
        <f>Table58[[#This Row],[Personal Consumption]]/Table58[[#This Row],[GDP]]</f>
        <v/>
      </c>
      <c r="I233" s="37">
        <f>Table58[[#This Row],[Private Investment]]/Table58[[#This Row],[GDP]]</f>
        <v/>
      </c>
      <c r="J233" s="37">
        <f>Table58[[#This Row],[Exports]]/Table58[[#This Row],[GDP]]</f>
        <v/>
      </c>
      <c r="K233" s="37">
        <f>-Table58[[#This Row],[Imports]]/Table58[[#This Row],[GDP]]</f>
        <v/>
      </c>
      <c r="L233" s="37">
        <f>Table58[[#This Row],[Government]]/Table58[[#This Row],[GDP]]</f>
        <v/>
      </c>
      <c r="N233" s="58">
        <f>SUM(Table58[[#This Row],[PC%]:[G%]])</f>
        <v/>
      </c>
      <c r="O233" s="25">
        <f>Table58[[#This Row],[Personal Consumption]]+Table58[[#This Row],[Private Investment]]+Table58[[#This Row],[Exports]]+Table58[[#This Row],[Government]]-Table58[[#This Row],[Imports]]</f>
        <v/>
      </c>
    </row>
    <row r="234">
      <c r="A234" s="45" t="n">
        <v>37987</v>
      </c>
      <c r="B234" s="63">
        <f>VLOOKUP(A234,'U.S. GDP'!A:B,2,)</f>
        <v/>
      </c>
      <c r="C234" s="63">
        <f>VLOOKUP(A234,PersonalConsumption!A:B,2,)</f>
        <v/>
      </c>
      <c r="D234" s="63">
        <f>VLOOKUP(A234,PrivateInvestment!A:B,2,)</f>
        <v/>
      </c>
      <c r="E234" s="63">
        <f>VLOOKUP(A234,Exports!A:B,2,)</f>
        <v/>
      </c>
      <c r="F234" s="63">
        <f>VLOOKUP(A234,Imports!A:B,2,)</f>
        <v/>
      </c>
      <c r="G234" s="63">
        <f>VLOOKUP(A234,Government!A:B,2,)</f>
        <v/>
      </c>
      <c r="H234" s="37">
        <f>Table58[[#This Row],[Personal Consumption]]/Table58[[#This Row],[GDP]]</f>
        <v/>
      </c>
      <c r="I234" s="37">
        <f>Table58[[#This Row],[Private Investment]]/Table58[[#This Row],[GDP]]</f>
        <v/>
      </c>
      <c r="J234" s="37">
        <f>Table58[[#This Row],[Exports]]/Table58[[#This Row],[GDP]]</f>
        <v/>
      </c>
      <c r="K234" s="37">
        <f>-Table58[[#This Row],[Imports]]/Table58[[#This Row],[GDP]]</f>
        <v/>
      </c>
      <c r="L234" s="37">
        <f>Table58[[#This Row],[Government]]/Table58[[#This Row],[GDP]]</f>
        <v/>
      </c>
      <c r="N234" s="58">
        <f>SUM(Table58[[#This Row],[PC%]:[G%]])</f>
        <v/>
      </c>
      <c r="O234" s="25">
        <f>Table58[[#This Row],[Personal Consumption]]+Table58[[#This Row],[Private Investment]]+Table58[[#This Row],[Exports]]+Table58[[#This Row],[Government]]-Table58[[#This Row],[Imports]]</f>
        <v/>
      </c>
    </row>
    <row r="235">
      <c r="A235" s="45" t="n">
        <v>38078</v>
      </c>
      <c r="B235" s="63">
        <f>VLOOKUP(A235,'U.S. GDP'!A:B,2,)</f>
        <v/>
      </c>
      <c r="C235" s="63">
        <f>VLOOKUP(A235,PersonalConsumption!A:B,2,)</f>
        <v/>
      </c>
      <c r="D235" s="63">
        <f>VLOOKUP(A235,PrivateInvestment!A:B,2,)</f>
        <v/>
      </c>
      <c r="E235" s="63">
        <f>VLOOKUP(A235,Exports!A:B,2,)</f>
        <v/>
      </c>
      <c r="F235" s="63">
        <f>VLOOKUP(A235,Imports!A:B,2,)</f>
        <v/>
      </c>
      <c r="G235" s="63">
        <f>VLOOKUP(A235,Government!A:B,2,)</f>
        <v/>
      </c>
      <c r="H235" s="37">
        <f>Table58[[#This Row],[Personal Consumption]]/Table58[[#This Row],[GDP]]</f>
        <v/>
      </c>
      <c r="I235" s="37">
        <f>Table58[[#This Row],[Private Investment]]/Table58[[#This Row],[GDP]]</f>
        <v/>
      </c>
      <c r="J235" s="37">
        <f>Table58[[#This Row],[Exports]]/Table58[[#This Row],[GDP]]</f>
        <v/>
      </c>
      <c r="K235" s="37">
        <f>-Table58[[#This Row],[Imports]]/Table58[[#This Row],[GDP]]</f>
        <v/>
      </c>
      <c r="L235" s="37">
        <f>Table58[[#This Row],[Government]]/Table58[[#This Row],[GDP]]</f>
        <v/>
      </c>
      <c r="N235" s="58">
        <f>SUM(Table58[[#This Row],[PC%]:[G%]])</f>
        <v/>
      </c>
      <c r="O235" s="25">
        <f>Table58[[#This Row],[Personal Consumption]]+Table58[[#This Row],[Private Investment]]+Table58[[#This Row],[Exports]]+Table58[[#This Row],[Government]]-Table58[[#This Row],[Imports]]</f>
        <v/>
      </c>
    </row>
    <row r="236">
      <c r="A236" s="45" t="n">
        <v>38169</v>
      </c>
      <c r="B236" s="63">
        <f>VLOOKUP(A236,'U.S. GDP'!A:B,2,)</f>
        <v/>
      </c>
      <c r="C236" s="63">
        <f>VLOOKUP(A236,PersonalConsumption!A:B,2,)</f>
        <v/>
      </c>
      <c r="D236" s="63">
        <f>VLOOKUP(A236,PrivateInvestment!A:B,2,)</f>
        <v/>
      </c>
      <c r="E236" s="63">
        <f>VLOOKUP(A236,Exports!A:B,2,)</f>
        <v/>
      </c>
      <c r="F236" s="63">
        <f>VLOOKUP(A236,Imports!A:B,2,)</f>
        <v/>
      </c>
      <c r="G236" s="63">
        <f>VLOOKUP(A236,Government!A:B,2,)</f>
        <v/>
      </c>
      <c r="H236" s="37">
        <f>Table58[[#This Row],[Personal Consumption]]/Table58[[#This Row],[GDP]]</f>
        <v/>
      </c>
      <c r="I236" s="37">
        <f>Table58[[#This Row],[Private Investment]]/Table58[[#This Row],[GDP]]</f>
        <v/>
      </c>
      <c r="J236" s="37">
        <f>Table58[[#This Row],[Exports]]/Table58[[#This Row],[GDP]]</f>
        <v/>
      </c>
      <c r="K236" s="37">
        <f>-Table58[[#This Row],[Imports]]/Table58[[#This Row],[GDP]]</f>
        <v/>
      </c>
      <c r="L236" s="37">
        <f>Table58[[#This Row],[Government]]/Table58[[#This Row],[GDP]]</f>
        <v/>
      </c>
      <c r="N236" s="58">
        <f>SUM(Table58[[#This Row],[PC%]:[G%]])</f>
        <v/>
      </c>
      <c r="O236" s="25">
        <f>Table58[[#This Row],[Personal Consumption]]+Table58[[#This Row],[Private Investment]]+Table58[[#This Row],[Exports]]+Table58[[#This Row],[Government]]-Table58[[#This Row],[Imports]]</f>
        <v/>
      </c>
    </row>
    <row r="237">
      <c r="A237" s="45" t="n">
        <v>38261</v>
      </c>
      <c r="B237" s="63">
        <f>VLOOKUP(A237,'U.S. GDP'!A:B,2,)</f>
        <v/>
      </c>
      <c r="C237" s="63">
        <f>VLOOKUP(A237,PersonalConsumption!A:B,2,)</f>
        <v/>
      </c>
      <c r="D237" s="63">
        <f>VLOOKUP(A237,PrivateInvestment!A:B,2,)</f>
        <v/>
      </c>
      <c r="E237" s="63">
        <f>VLOOKUP(A237,Exports!A:B,2,)</f>
        <v/>
      </c>
      <c r="F237" s="63">
        <f>VLOOKUP(A237,Imports!A:B,2,)</f>
        <v/>
      </c>
      <c r="G237" s="63">
        <f>VLOOKUP(A237,Government!A:B,2,)</f>
        <v/>
      </c>
      <c r="H237" s="37">
        <f>Table58[[#This Row],[Personal Consumption]]/Table58[[#This Row],[GDP]]</f>
        <v/>
      </c>
      <c r="I237" s="37">
        <f>Table58[[#This Row],[Private Investment]]/Table58[[#This Row],[GDP]]</f>
        <v/>
      </c>
      <c r="J237" s="37">
        <f>Table58[[#This Row],[Exports]]/Table58[[#This Row],[GDP]]</f>
        <v/>
      </c>
      <c r="K237" s="37">
        <f>-Table58[[#This Row],[Imports]]/Table58[[#This Row],[GDP]]</f>
        <v/>
      </c>
      <c r="L237" s="37">
        <f>Table58[[#This Row],[Government]]/Table58[[#This Row],[GDP]]</f>
        <v/>
      </c>
      <c r="N237" s="58">
        <f>SUM(Table58[[#This Row],[PC%]:[G%]])</f>
        <v/>
      </c>
      <c r="O237" s="25">
        <f>Table58[[#This Row],[Personal Consumption]]+Table58[[#This Row],[Private Investment]]+Table58[[#This Row],[Exports]]+Table58[[#This Row],[Government]]-Table58[[#This Row],[Imports]]</f>
        <v/>
      </c>
    </row>
    <row r="238">
      <c r="A238" s="45" t="n">
        <v>38353</v>
      </c>
      <c r="B238" s="63">
        <f>VLOOKUP(A238,'U.S. GDP'!A:B,2,)</f>
        <v/>
      </c>
      <c r="C238" s="63">
        <f>VLOOKUP(A238,PersonalConsumption!A:B,2,)</f>
        <v/>
      </c>
      <c r="D238" s="63">
        <f>VLOOKUP(A238,PrivateInvestment!A:B,2,)</f>
        <v/>
      </c>
      <c r="E238" s="63">
        <f>VLOOKUP(A238,Exports!A:B,2,)</f>
        <v/>
      </c>
      <c r="F238" s="63">
        <f>VLOOKUP(A238,Imports!A:B,2,)</f>
        <v/>
      </c>
      <c r="G238" s="63">
        <f>VLOOKUP(A238,Government!A:B,2,)</f>
        <v/>
      </c>
      <c r="H238" s="37">
        <f>Table58[[#This Row],[Personal Consumption]]/Table58[[#This Row],[GDP]]</f>
        <v/>
      </c>
      <c r="I238" s="37">
        <f>Table58[[#This Row],[Private Investment]]/Table58[[#This Row],[GDP]]</f>
        <v/>
      </c>
      <c r="J238" s="37">
        <f>Table58[[#This Row],[Exports]]/Table58[[#This Row],[GDP]]</f>
        <v/>
      </c>
      <c r="K238" s="37">
        <f>-Table58[[#This Row],[Imports]]/Table58[[#This Row],[GDP]]</f>
        <v/>
      </c>
      <c r="L238" s="37">
        <f>Table58[[#This Row],[Government]]/Table58[[#This Row],[GDP]]</f>
        <v/>
      </c>
      <c r="N238" s="58">
        <f>SUM(Table58[[#This Row],[PC%]:[G%]])</f>
        <v/>
      </c>
      <c r="O238" s="25">
        <f>Table58[[#This Row],[Personal Consumption]]+Table58[[#This Row],[Private Investment]]+Table58[[#This Row],[Exports]]+Table58[[#This Row],[Government]]-Table58[[#This Row],[Imports]]</f>
        <v/>
      </c>
    </row>
    <row r="239">
      <c r="A239" s="45" t="n">
        <v>38443</v>
      </c>
      <c r="B239" s="63">
        <f>VLOOKUP(A239,'U.S. GDP'!A:B,2,)</f>
        <v/>
      </c>
      <c r="C239" s="63">
        <f>VLOOKUP(A239,PersonalConsumption!A:B,2,)</f>
        <v/>
      </c>
      <c r="D239" s="63">
        <f>VLOOKUP(A239,PrivateInvestment!A:B,2,)</f>
        <v/>
      </c>
      <c r="E239" s="63">
        <f>VLOOKUP(A239,Exports!A:B,2,)</f>
        <v/>
      </c>
      <c r="F239" s="63">
        <f>VLOOKUP(A239,Imports!A:B,2,)</f>
        <v/>
      </c>
      <c r="G239" s="63">
        <f>VLOOKUP(A239,Government!A:B,2,)</f>
        <v/>
      </c>
      <c r="H239" s="37">
        <f>Table58[[#This Row],[Personal Consumption]]/Table58[[#This Row],[GDP]]</f>
        <v/>
      </c>
      <c r="I239" s="37">
        <f>Table58[[#This Row],[Private Investment]]/Table58[[#This Row],[GDP]]</f>
        <v/>
      </c>
      <c r="J239" s="37">
        <f>Table58[[#This Row],[Exports]]/Table58[[#This Row],[GDP]]</f>
        <v/>
      </c>
      <c r="K239" s="37">
        <f>-Table58[[#This Row],[Imports]]/Table58[[#This Row],[GDP]]</f>
        <v/>
      </c>
      <c r="L239" s="37">
        <f>Table58[[#This Row],[Government]]/Table58[[#This Row],[GDP]]</f>
        <v/>
      </c>
      <c r="N239" s="58">
        <f>SUM(Table58[[#This Row],[PC%]:[G%]])</f>
        <v/>
      </c>
      <c r="O239" s="25">
        <f>Table58[[#This Row],[Personal Consumption]]+Table58[[#This Row],[Private Investment]]+Table58[[#This Row],[Exports]]+Table58[[#This Row],[Government]]-Table58[[#This Row],[Imports]]</f>
        <v/>
      </c>
    </row>
    <row r="240">
      <c r="A240" s="45" t="n">
        <v>38534</v>
      </c>
      <c r="B240" s="63">
        <f>VLOOKUP(A240,'U.S. GDP'!A:B,2,)</f>
        <v/>
      </c>
      <c r="C240" s="63">
        <f>VLOOKUP(A240,PersonalConsumption!A:B,2,)</f>
        <v/>
      </c>
      <c r="D240" s="63">
        <f>VLOOKUP(A240,PrivateInvestment!A:B,2,)</f>
        <v/>
      </c>
      <c r="E240" s="63">
        <f>VLOOKUP(A240,Exports!A:B,2,)</f>
        <v/>
      </c>
      <c r="F240" s="63">
        <f>VLOOKUP(A240,Imports!A:B,2,)</f>
        <v/>
      </c>
      <c r="G240" s="63">
        <f>VLOOKUP(A240,Government!A:B,2,)</f>
        <v/>
      </c>
      <c r="H240" s="37">
        <f>Table58[[#This Row],[Personal Consumption]]/Table58[[#This Row],[GDP]]</f>
        <v/>
      </c>
      <c r="I240" s="37">
        <f>Table58[[#This Row],[Private Investment]]/Table58[[#This Row],[GDP]]</f>
        <v/>
      </c>
      <c r="J240" s="37">
        <f>Table58[[#This Row],[Exports]]/Table58[[#This Row],[GDP]]</f>
        <v/>
      </c>
      <c r="K240" s="37">
        <f>-Table58[[#This Row],[Imports]]/Table58[[#This Row],[GDP]]</f>
        <v/>
      </c>
      <c r="L240" s="37">
        <f>Table58[[#This Row],[Government]]/Table58[[#This Row],[GDP]]</f>
        <v/>
      </c>
      <c r="N240" s="58">
        <f>SUM(Table58[[#This Row],[PC%]:[G%]])</f>
        <v/>
      </c>
      <c r="O240" s="25">
        <f>Table58[[#This Row],[Personal Consumption]]+Table58[[#This Row],[Private Investment]]+Table58[[#This Row],[Exports]]+Table58[[#This Row],[Government]]-Table58[[#This Row],[Imports]]</f>
        <v/>
      </c>
    </row>
    <row r="241">
      <c r="A241" s="45" t="n">
        <v>38626</v>
      </c>
      <c r="B241" s="63">
        <f>VLOOKUP(A241,'U.S. GDP'!A:B,2,)</f>
        <v/>
      </c>
      <c r="C241" s="63">
        <f>VLOOKUP(A241,PersonalConsumption!A:B,2,)</f>
        <v/>
      </c>
      <c r="D241" s="63">
        <f>VLOOKUP(A241,PrivateInvestment!A:B,2,)</f>
        <v/>
      </c>
      <c r="E241" s="63">
        <f>VLOOKUP(A241,Exports!A:B,2,)</f>
        <v/>
      </c>
      <c r="F241" s="63">
        <f>VLOOKUP(A241,Imports!A:B,2,)</f>
        <v/>
      </c>
      <c r="G241" s="63">
        <f>VLOOKUP(A241,Government!A:B,2,)</f>
        <v/>
      </c>
      <c r="H241" s="37">
        <f>Table58[[#This Row],[Personal Consumption]]/Table58[[#This Row],[GDP]]</f>
        <v/>
      </c>
      <c r="I241" s="37">
        <f>Table58[[#This Row],[Private Investment]]/Table58[[#This Row],[GDP]]</f>
        <v/>
      </c>
      <c r="J241" s="37">
        <f>Table58[[#This Row],[Exports]]/Table58[[#This Row],[GDP]]</f>
        <v/>
      </c>
      <c r="K241" s="37">
        <f>-Table58[[#This Row],[Imports]]/Table58[[#This Row],[GDP]]</f>
        <v/>
      </c>
      <c r="L241" s="37">
        <f>Table58[[#This Row],[Government]]/Table58[[#This Row],[GDP]]</f>
        <v/>
      </c>
      <c r="N241" s="58">
        <f>SUM(Table58[[#This Row],[PC%]:[G%]])</f>
        <v/>
      </c>
      <c r="O241" s="25">
        <f>Table58[[#This Row],[Personal Consumption]]+Table58[[#This Row],[Private Investment]]+Table58[[#This Row],[Exports]]+Table58[[#This Row],[Government]]-Table58[[#This Row],[Imports]]</f>
        <v/>
      </c>
    </row>
    <row r="242">
      <c r="A242" s="45" t="n">
        <v>38718</v>
      </c>
      <c r="B242" s="63">
        <f>VLOOKUP(A242,'U.S. GDP'!A:B,2,)</f>
        <v/>
      </c>
      <c r="C242" s="63">
        <f>VLOOKUP(A242,PersonalConsumption!A:B,2,)</f>
        <v/>
      </c>
      <c r="D242" s="63">
        <f>VLOOKUP(A242,PrivateInvestment!A:B,2,)</f>
        <v/>
      </c>
      <c r="E242" s="63">
        <f>VLOOKUP(A242,Exports!A:B,2,)</f>
        <v/>
      </c>
      <c r="F242" s="63">
        <f>VLOOKUP(A242,Imports!A:B,2,)</f>
        <v/>
      </c>
      <c r="G242" s="63">
        <f>VLOOKUP(A242,Government!A:B,2,)</f>
        <v/>
      </c>
      <c r="H242" s="37">
        <f>Table58[[#This Row],[Personal Consumption]]/Table58[[#This Row],[GDP]]</f>
        <v/>
      </c>
      <c r="I242" s="37">
        <f>Table58[[#This Row],[Private Investment]]/Table58[[#This Row],[GDP]]</f>
        <v/>
      </c>
      <c r="J242" s="37">
        <f>Table58[[#This Row],[Exports]]/Table58[[#This Row],[GDP]]</f>
        <v/>
      </c>
      <c r="K242" s="37">
        <f>-Table58[[#This Row],[Imports]]/Table58[[#This Row],[GDP]]</f>
        <v/>
      </c>
      <c r="L242" s="37">
        <f>Table58[[#This Row],[Government]]/Table58[[#This Row],[GDP]]</f>
        <v/>
      </c>
      <c r="N242" s="58">
        <f>SUM(Table58[[#This Row],[PC%]:[G%]])</f>
        <v/>
      </c>
      <c r="O242" s="25">
        <f>Table58[[#This Row],[Personal Consumption]]+Table58[[#This Row],[Private Investment]]+Table58[[#This Row],[Exports]]+Table58[[#This Row],[Government]]-Table58[[#This Row],[Imports]]</f>
        <v/>
      </c>
    </row>
    <row r="243">
      <c r="A243" s="45" t="n">
        <v>38808</v>
      </c>
      <c r="B243" s="63">
        <f>VLOOKUP(A243,'U.S. GDP'!A:B,2,)</f>
        <v/>
      </c>
      <c r="C243" s="63">
        <f>VLOOKUP(A243,PersonalConsumption!A:B,2,)</f>
        <v/>
      </c>
      <c r="D243" s="63">
        <f>VLOOKUP(A243,PrivateInvestment!A:B,2,)</f>
        <v/>
      </c>
      <c r="E243" s="63">
        <f>VLOOKUP(A243,Exports!A:B,2,)</f>
        <v/>
      </c>
      <c r="F243" s="63">
        <f>VLOOKUP(A243,Imports!A:B,2,)</f>
        <v/>
      </c>
      <c r="G243" s="63">
        <f>VLOOKUP(A243,Government!A:B,2,)</f>
        <v/>
      </c>
      <c r="H243" s="37">
        <f>Table58[[#This Row],[Personal Consumption]]/Table58[[#This Row],[GDP]]</f>
        <v/>
      </c>
      <c r="I243" s="37">
        <f>Table58[[#This Row],[Private Investment]]/Table58[[#This Row],[GDP]]</f>
        <v/>
      </c>
      <c r="J243" s="37">
        <f>Table58[[#This Row],[Exports]]/Table58[[#This Row],[GDP]]</f>
        <v/>
      </c>
      <c r="K243" s="37">
        <f>-Table58[[#This Row],[Imports]]/Table58[[#This Row],[GDP]]</f>
        <v/>
      </c>
      <c r="L243" s="37">
        <f>Table58[[#This Row],[Government]]/Table58[[#This Row],[GDP]]</f>
        <v/>
      </c>
      <c r="N243" s="58">
        <f>SUM(Table58[[#This Row],[PC%]:[G%]])</f>
        <v/>
      </c>
      <c r="O243" s="25">
        <f>Table58[[#This Row],[Personal Consumption]]+Table58[[#This Row],[Private Investment]]+Table58[[#This Row],[Exports]]+Table58[[#This Row],[Government]]-Table58[[#This Row],[Imports]]</f>
        <v/>
      </c>
    </row>
    <row r="244">
      <c r="A244" s="45" t="n">
        <v>38899</v>
      </c>
      <c r="B244" s="63">
        <f>VLOOKUP(A244,'U.S. GDP'!A:B,2,)</f>
        <v/>
      </c>
      <c r="C244" s="63">
        <f>VLOOKUP(A244,PersonalConsumption!A:B,2,)</f>
        <v/>
      </c>
      <c r="D244" s="63">
        <f>VLOOKUP(A244,PrivateInvestment!A:B,2,)</f>
        <v/>
      </c>
      <c r="E244" s="63">
        <f>VLOOKUP(A244,Exports!A:B,2,)</f>
        <v/>
      </c>
      <c r="F244" s="63">
        <f>VLOOKUP(A244,Imports!A:B,2,)</f>
        <v/>
      </c>
      <c r="G244" s="63">
        <f>VLOOKUP(A244,Government!A:B,2,)</f>
        <v/>
      </c>
      <c r="H244" s="37">
        <f>Table58[[#This Row],[Personal Consumption]]/Table58[[#This Row],[GDP]]</f>
        <v/>
      </c>
      <c r="I244" s="37">
        <f>Table58[[#This Row],[Private Investment]]/Table58[[#This Row],[GDP]]</f>
        <v/>
      </c>
      <c r="J244" s="37">
        <f>Table58[[#This Row],[Exports]]/Table58[[#This Row],[GDP]]</f>
        <v/>
      </c>
      <c r="K244" s="37">
        <f>-Table58[[#This Row],[Imports]]/Table58[[#This Row],[GDP]]</f>
        <v/>
      </c>
      <c r="L244" s="37">
        <f>Table58[[#This Row],[Government]]/Table58[[#This Row],[GDP]]</f>
        <v/>
      </c>
      <c r="N244" s="58">
        <f>SUM(Table58[[#This Row],[PC%]:[G%]])</f>
        <v/>
      </c>
      <c r="O244" s="25">
        <f>Table58[[#This Row],[Personal Consumption]]+Table58[[#This Row],[Private Investment]]+Table58[[#This Row],[Exports]]+Table58[[#This Row],[Government]]-Table58[[#This Row],[Imports]]</f>
        <v/>
      </c>
    </row>
    <row r="245">
      <c r="A245" s="45" t="n">
        <v>38991</v>
      </c>
      <c r="B245" s="63">
        <f>VLOOKUP(A245,'U.S. GDP'!A:B,2,)</f>
        <v/>
      </c>
      <c r="C245" s="63">
        <f>VLOOKUP(A245,PersonalConsumption!A:B,2,)</f>
        <v/>
      </c>
      <c r="D245" s="63">
        <f>VLOOKUP(A245,PrivateInvestment!A:B,2,)</f>
        <v/>
      </c>
      <c r="E245" s="63">
        <f>VLOOKUP(A245,Exports!A:B,2,)</f>
        <v/>
      </c>
      <c r="F245" s="63">
        <f>VLOOKUP(A245,Imports!A:B,2,)</f>
        <v/>
      </c>
      <c r="G245" s="63">
        <f>VLOOKUP(A245,Government!A:B,2,)</f>
        <v/>
      </c>
      <c r="H245" s="37">
        <f>Table58[[#This Row],[Personal Consumption]]/Table58[[#This Row],[GDP]]</f>
        <v/>
      </c>
      <c r="I245" s="37">
        <f>Table58[[#This Row],[Private Investment]]/Table58[[#This Row],[GDP]]</f>
        <v/>
      </c>
      <c r="J245" s="37">
        <f>Table58[[#This Row],[Exports]]/Table58[[#This Row],[GDP]]</f>
        <v/>
      </c>
      <c r="K245" s="37">
        <f>-Table58[[#This Row],[Imports]]/Table58[[#This Row],[GDP]]</f>
        <v/>
      </c>
      <c r="L245" s="37">
        <f>Table58[[#This Row],[Government]]/Table58[[#This Row],[GDP]]</f>
        <v/>
      </c>
      <c r="N245" s="58">
        <f>SUM(Table58[[#This Row],[PC%]:[G%]])</f>
        <v/>
      </c>
      <c r="O245" s="25">
        <f>Table58[[#This Row],[Personal Consumption]]+Table58[[#This Row],[Private Investment]]+Table58[[#This Row],[Exports]]+Table58[[#This Row],[Government]]-Table58[[#This Row],[Imports]]</f>
        <v/>
      </c>
    </row>
    <row r="246">
      <c r="A246" s="45" t="n">
        <v>39083</v>
      </c>
      <c r="B246" s="63">
        <f>VLOOKUP(A246,'U.S. GDP'!A:B,2,)</f>
        <v/>
      </c>
      <c r="C246" s="63">
        <f>VLOOKUP(A246,PersonalConsumption!A:B,2,)</f>
        <v/>
      </c>
      <c r="D246" s="63">
        <f>VLOOKUP(A246,PrivateInvestment!A:B,2,)</f>
        <v/>
      </c>
      <c r="E246" s="63">
        <f>VLOOKUP(A246,Exports!A:B,2,)</f>
        <v/>
      </c>
      <c r="F246" s="63">
        <f>VLOOKUP(A246,Imports!A:B,2,)</f>
        <v/>
      </c>
      <c r="G246" s="63">
        <f>VLOOKUP(A246,Government!A:B,2,)</f>
        <v/>
      </c>
      <c r="H246" s="37">
        <f>Table58[[#This Row],[Personal Consumption]]/Table58[[#This Row],[GDP]]</f>
        <v/>
      </c>
      <c r="I246" s="37">
        <f>Table58[[#This Row],[Private Investment]]/Table58[[#This Row],[GDP]]</f>
        <v/>
      </c>
      <c r="J246" s="37">
        <f>Table58[[#This Row],[Exports]]/Table58[[#This Row],[GDP]]</f>
        <v/>
      </c>
      <c r="K246" s="37">
        <f>-Table58[[#This Row],[Imports]]/Table58[[#This Row],[GDP]]</f>
        <v/>
      </c>
      <c r="L246" s="37">
        <f>Table58[[#This Row],[Government]]/Table58[[#This Row],[GDP]]</f>
        <v/>
      </c>
      <c r="N246" s="58">
        <f>SUM(Table58[[#This Row],[PC%]:[G%]])</f>
        <v/>
      </c>
      <c r="O246" s="25">
        <f>Table58[[#This Row],[Personal Consumption]]+Table58[[#This Row],[Private Investment]]+Table58[[#This Row],[Exports]]+Table58[[#This Row],[Government]]-Table58[[#This Row],[Imports]]</f>
        <v/>
      </c>
    </row>
    <row r="247">
      <c r="A247" s="45" t="n">
        <v>39173</v>
      </c>
      <c r="B247" s="63">
        <f>VLOOKUP(A247,'U.S. GDP'!A:B,2,)</f>
        <v/>
      </c>
      <c r="C247" s="63">
        <f>VLOOKUP(A247,PersonalConsumption!A:B,2,)</f>
        <v/>
      </c>
      <c r="D247" s="63">
        <f>VLOOKUP(A247,PrivateInvestment!A:B,2,)</f>
        <v/>
      </c>
      <c r="E247" s="63">
        <f>VLOOKUP(A247,Exports!A:B,2,)</f>
        <v/>
      </c>
      <c r="F247" s="63">
        <f>VLOOKUP(A247,Imports!A:B,2,)</f>
        <v/>
      </c>
      <c r="G247" s="63">
        <f>VLOOKUP(A247,Government!A:B,2,)</f>
        <v/>
      </c>
      <c r="H247" s="37">
        <f>Table58[[#This Row],[Personal Consumption]]/Table58[[#This Row],[GDP]]</f>
        <v/>
      </c>
      <c r="I247" s="37">
        <f>Table58[[#This Row],[Private Investment]]/Table58[[#This Row],[GDP]]</f>
        <v/>
      </c>
      <c r="J247" s="37">
        <f>Table58[[#This Row],[Exports]]/Table58[[#This Row],[GDP]]</f>
        <v/>
      </c>
      <c r="K247" s="37">
        <f>-Table58[[#This Row],[Imports]]/Table58[[#This Row],[GDP]]</f>
        <v/>
      </c>
      <c r="L247" s="37">
        <f>Table58[[#This Row],[Government]]/Table58[[#This Row],[GDP]]</f>
        <v/>
      </c>
      <c r="N247" s="58">
        <f>SUM(Table58[[#This Row],[PC%]:[G%]])</f>
        <v/>
      </c>
      <c r="O247" s="25">
        <f>Table58[[#This Row],[Personal Consumption]]+Table58[[#This Row],[Private Investment]]+Table58[[#This Row],[Exports]]+Table58[[#This Row],[Government]]-Table58[[#This Row],[Imports]]</f>
        <v/>
      </c>
    </row>
    <row r="248">
      <c r="A248" s="45" t="n">
        <v>39264</v>
      </c>
      <c r="B248" s="63">
        <f>VLOOKUP(A248,'U.S. GDP'!A:B,2,)</f>
        <v/>
      </c>
      <c r="C248" s="63">
        <f>VLOOKUP(A248,PersonalConsumption!A:B,2,)</f>
        <v/>
      </c>
      <c r="D248" s="63">
        <f>VLOOKUP(A248,PrivateInvestment!A:B,2,)</f>
        <v/>
      </c>
      <c r="E248" s="63">
        <f>VLOOKUP(A248,Exports!A:B,2,)</f>
        <v/>
      </c>
      <c r="F248" s="63">
        <f>VLOOKUP(A248,Imports!A:B,2,)</f>
        <v/>
      </c>
      <c r="G248" s="63">
        <f>VLOOKUP(A248,Government!A:B,2,)</f>
        <v/>
      </c>
      <c r="H248" s="37">
        <f>Table58[[#This Row],[Personal Consumption]]/Table58[[#This Row],[GDP]]</f>
        <v/>
      </c>
      <c r="I248" s="37">
        <f>Table58[[#This Row],[Private Investment]]/Table58[[#This Row],[GDP]]</f>
        <v/>
      </c>
      <c r="J248" s="37">
        <f>Table58[[#This Row],[Exports]]/Table58[[#This Row],[GDP]]</f>
        <v/>
      </c>
      <c r="K248" s="37">
        <f>-Table58[[#This Row],[Imports]]/Table58[[#This Row],[GDP]]</f>
        <v/>
      </c>
      <c r="L248" s="37">
        <f>Table58[[#This Row],[Government]]/Table58[[#This Row],[GDP]]</f>
        <v/>
      </c>
      <c r="N248" s="58">
        <f>SUM(Table58[[#This Row],[PC%]:[G%]])</f>
        <v/>
      </c>
      <c r="O248" s="25">
        <f>Table58[[#This Row],[Personal Consumption]]+Table58[[#This Row],[Private Investment]]+Table58[[#This Row],[Exports]]+Table58[[#This Row],[Government]]-Table58[[#This Row],[Imports]]</f>
        <v/>
      </c>
    </row>
    <row r="249">
      <c r="A249" s="45" t="n">
        <v>39356</v>
      </c>
      <c r="B249" s="63">
        <f>VLOOKUP(A249,'U.S. GDP'!A:B,2,)</f>
        <v/>
      </c>
      <c r="C249" s="63">
        <f>VLOOKUP(A249,PersonalConsumption!A:B,2,)</f>
        <v/>
      </c>
      <c r="D249" s="63">
        <f>VLOOKUP(A249,PrivateInvestment!A:B,2,)</f>
        <v/>
      </c>
      <c r="E249" s="63">
        <f>VLOOKUP(A249,Exports!A:B,2,)</f>
        <v/>
      </c>
      <c r="F249" s="63">
        <f>VLOOKUP(A249,Imports!A:B,2,)</f>
        <v/>
      </c>
      <c r="G249" s="63">
        <f>VLOOKUP(A249,Government!A:B,2,)</f>
        <v/>
      </c>
      <c r="H249" s="37">
        <f>Table58[[#This Row],[Personal Consumption]]/Table58[[#This Row],[GDP]]</f>
        <v/>
      </c>
      <c r="I249" s="37">
        <f>Table58[[#This Row],[Private Investment]]/Table58[[#This Row],[GDP]]</f>
        <v/>
      </c>
      <c r="J249" s="37">
        <f>Table58[[#This Row],[Exports]]/Table58[[#This Row],[GDP]]</f>
        <v/>
      </c>
      <c r="K249" s="37">
        <f>-Table58[[#This Row],[Imports]]/Table58[[#This Row],[GDP]]</f>
        <v/>
      </c>
      <c r="L249" s="37">
        <f>Table58[[#This Row],[Government]]/Table58[[#This Row],[GDP]]</f>
        <v/>
      </c>
      <c r="N249" s="58">
        <f>SUM(Table58[[#This Row],[PC%]:[G%]])</f>
        <v/>
      </c>
      <c r="O249" s="25">
        <f>Table58[[#This Row],[Personal Consumption]]+Table58[[#This Row],[Private Investment]]+Table58[[#This Row],[Exports]]+Table58[[#This Row],[Government]]-Table58[[#This Row],[Imports]]</f>
        <v/>
      </c>
    </row>
    <row r="250">
      <c r="A250" s="45" t="n">
        <v>39448</v>
      </c>
      <c r="B250" s="63">
        <f>VLOOKUP(A250,'U.S. GDP'!A:B,2,)</f>
        <v/>
      </c>
      <c r="C250" s="63">
        <f>VLOOKUP(A250,PersonalConsumption!A:B,2,)</f>
        <v/>
      </c>
      <c r="D250" s="63">
        <f>VLOOKUP(A250,PrivateInvestment!A:B,2,)</f>
        <v/>
      </c>
      <c r="E250" s="63">
        <f>VLOOKUP(A250,Exports!A:B,2,)</f>
        <v/>
      </c>
      <c r="F250" s="63">
        <f>VLOOKUP(A250,Imports!A:B,2,)</f>
        <v/>
      </c>
      <c r="G250" s="63">
        <f>VLOOKUP(A250,Government!A:B,2,)</f>
        <v/>
      </c>
      <c r="H250" s="37">
        <f>Table58[[#This Row],[Personal Consumption]]/Table58[[#This Row],[GDP]]</f>
        <v/>
      </c>
      <c r="I250" s="37">
        <f>Table58[[#This Row],[Private Investment]]/Table58[[#This Row],[GDP]]</f>
        <v/>
      </c>
      <c r="J250" s="37">
        <f>Table58[[#This Row],[Exports]]/Table58[[#This Row],[GDP]]</f>
        <v/>
      </c>
      <c r="K250" s="37">
        <f>-Table58[[#This Row],[Imports]]/Table58[[#This Row],[GDP]]</f>
        <v/>
      </c>
      <c r="L250" s="37">
        <f>Table58[[#This Row],[Government]]/Table58[[#This Row],[GDP]]</f>
        <v/>
      </c>
      <c r="N250" s="58">
        <f>SUM(Table58[[#This Row],[PC%]:[G%]])</f>
        <v/>
      </c>
      <c r="O250" s="25">
        <f>Table58[[#This Row],[Personal Consumption]]+Table58[[#This Row],[Private Investment]]+Table58[[#This Row],[Exports]]+Table58[[#This Row],[Government]]-Table58[[#This Row],[Imports]]</f>
        <v/>
      </c>
    </row>
    <row r="251">
      <c r="A251" s="45" t="n">
        <v>39539</v>
      </c>
      <c r="B251" s="63">
        <f>VLOOKUP(A251,'U.S. GDP'!A:B,2,)</f>
        <v/>
      </c>
      <c r="C251" s="63">
        <f>VLOOKUP(A251,PersonalConsumption!A:B,2,)</f>
        <v/>
      </c>
      <c r="D251" s="63">
        <f>VLOOKUP(A251,PrivateInvestment!A:B,2,)</f>
        <v/>
      </c>
      <c r="E251" s="63">
        <f>VLOOKUP(A251,Exports!A:B,2,)</f>
        <v/>
      </c>
      <c r="F251" s="63">
        <f>VLOOKUP(A251,Imports!A:B,2,)</f>
        <v/>
      </c>
      <c r="G251" s="63">
        <f>VLOOKUP(A251,Government!A:B,2,)</f>
        <v/>
      </c>
      <c r="H251" s="37">
        <f>Table58[[#This Row],[Personal Consumption]]/Table58[[#This Row],[GDP]]</f>
        <v/>
      </c>
      <c r="I251" s="37">
        <f>Table58[[#This Row],[Private Investment]]/Table58[[#This Row],[GDP]]</f>
        <v/>
      </c>
      <c r="J251" s="37">
        <f>Table58[[#This Row],[Exports]]/Table58[[#This Row],[GDP]]</f>
        <v/>
      </c>
      <c r="K251" s="37">
        <f>-Table58[[#This Row],[Imports]]/Table58[[#This Row],[GDP]]</f>
        <v/>
      </c>
      <c r="L251" s="37">
        <f>Table58[[#This Row],[Government]]/Table58[[#This Row],[GDP]]</f>
        <v/>
      </c>
      <c r="N251" s="58">
        <f>SUM(Table58[[#This Row],[PC%]:[G%]])</f>
        <v/>
      </c>
      <c r="O251" s="25">
        <f>Table58[[#This Row],[Personal Consumption]]+Table58[[#This Row],[Private Investment]]+Table58[[#This Row],[Exports]]+Table58[[#This Row],[Government]]-Table58[[#This Row],[Imports]]</f>
        <v/>
      </c>
    </row>
    <row r="252">
      <c r="A252" s="45" t="n">
        <v>39630</v>
      </c>
      <c r="B252" s="63">
        <f>VLOOKUP(A252,'U.S. GDP'!A:B,2,)</f>
        <v/>
      </c>
      <c r="C252" s="63">
        <f>VLOOKUP(A252,PersonalConsumption!A:B,2,)</f>
        <v/>
      </c>
      <c r="D252" s="63">
        <f>VLOOKUP(A252,PrivateInvestment!A:B,2,)</f>
        <v/>
      </c>
      <c r="E252" s="63">
        <f>VLOOKUP(A252,Exports!A:B,2,)</f>
        <v/>
      </c>
      <c r="F252" s="63">
        <f>VLOOKUP(A252,Imports!A:B,2,)</f>
        <v/>
      </c>
      <c r="G252" s="63">
        <f>VLOOKUP(A252,Government!A:B,2,)</f>
        <v/>
      </c>
      <c r="H252" s="37">
        <f>Table58[[#This Row],[Personal Consumption]]/Table58[[#This Row],[GDP]]</f>
        <v/>
      </c>
      <c r="I252" s="37">
        <f>Table58[[#This Row],[Private Investment]]/Table58[[#This Row],[GDP]]</f>
        <v/>
      </c>
      <c r="J252" s="37">
        <f>Table58[[#This Row],[Exports]]/Table58[[#This Row],[GDP]]</f>
        <v/>
      </c>
      <c r="K252" s="37">
        <f>-Table58[[#This Row],[Imports]]/Table58[[#This Row],[GDP]]</f>
        <v/>
      </c>
      <c r="L252" s="37">
        <f>Table58[[#This Row],[Government]]/Table58[[#This Row],[GDP]]</f>
        <v/>
      </c>
      <c r="N252" s="58">
        <f>SUM(Table58[[#This Row],[PC%]:[G%]])</f>
        <v/>
      </c>
      <c r="O252" s="25">
        <f>Table58[[#This Row],[Personal Consumption]]+Table58[[#This Row],[Private Investment]]+Table58[[#This Row],[Exports]]+Table58[[#This Row],[Government]]-Table58[[#This Row],[Imports]]</f>
        <v/>
      </c>
    </row>
    <row r="253">
      <c r="A253" s="45" t="n">
        <v>39722</v>
      </c>
      <c r="B253" s="63">
        <f>VLOOKUP(A253,'U.S. GDP'!A:B,2,)</f>
        <v/>
      </c>
      <c r="C253" s="63">
        <f>VLOOKUP(A253,PersonalConsumption!A:B,2,)</f>
        <v/>
      </c>
      <c r="D253" s="63">
        <f>VLOOKUP(A253,PrivateInvestment!A:B,2,)</f>
        <v/>
      </c>
      <c r="E253" s="63">
        <f>VLOOKUP(A253,Exports!A:B,2,)</f>
        <v/>
      </c>
      <c r="F253" s="63">
        <f>VLOOKUP(A253,Imports!A:B,2,)</f>
        <v/>
      </c>
      <c r="G253" s="63">
        <f>VLOOKUP(A253,Government!A:B,2,)</f>
        <v/>
      </c>
      <c r="H253" s="37">
        <f>Table58[[#This Row],[Personal Consumption]]/Table58[[#This Row],[GDP]]</f>
        <v/>
      </c>
      <c r="I253" s="37">
        <f>Table58[[#This Row],[Private Investment]]/Table58[[#This Row],[GDP]]</f>
        <v/>
      </c>
      <c r="J253" s="37">
        <f>Table58[[#This Row],[Exports]]/Table58[[#This Row],[GDP]]</f>
        <v/>
      </c>
      <c r="K253" s="37">
        <f>-Table58[[#This Row],[Imports]]/Table58[[#This Row],[GDP]]</f>
        <v/>
      </c>
      <c r="L253" s="37">
        <f>Table58[[#This Row],[Government]]/Table58[[#This Row],[GDP]]</f>
        <v/>
      </c>
      <c r="N253" s="58">
        <f>SUM(Table58[[#This Row],[PC%]:[G%]])</f>
        <v/>
      </c>
      <c r="O253" s="25">
        <f>Table58[[#This Row],[Personal Consumption]]+Table58[[#This Row],[Private Investment]]+Table58[[#This Row],[Exports]]+Table58[[#This Row],[Government]]-Table58[[#This Row],[Imports]]</f>
        <v/>
      </c>
    </row>
    <row r="254">
      <c r="A254" s="45" t="n">
        <v>39814</v>
      </c>
      <c r="B254" s="63">
        <f>VLOOKUP(A254,'U.S. GDP'!A:B,2,)</f>
        <v/>
      </c>
      <c r="C254" s="63">
        <f>VLOOKUP(A254,PersonalConsumption!A:B,2,)</f>
        <v/>
      </c>
      <c r="D254" s="63">
        <f>VLOOKUP(A254,PrivateInvestment!A:B,2,)</f>
        <v/>
      </c>
      <c r="E254" s="63">
        <f>VLOOKUP(A254,Exports!A:B,2,)</f>
        <v/>
      </c>
      <c r="F254" s="63">
        <f>VLOOKUP(A254,Imports!A:B,2,)</f>
        <v/>
      </c>
      <c r="G254" s="63">
        <f>VLOOKUP(A254,Government!A:B,2,)</f>
        <v/>
      </c>
      <c r="H254" s="37">
        <f>Table58[[#This Row],[Personal Consumption]]/Table58[[#This Row],[GDP]]</f>
        <v/>
      </c>
      <c r="I254" s="37">
        <f>Table58[[#This Row],[Private Investment]]/Table58[[#This Row],[GDP]]</f>
        <v/>
      </c>
      <c r="J254" s="37">
        <f>Table58[[#This Row],[Exports]]/Table58[[#This Row],[GDP]]</f>
        <v/>
      </c>
      <c r="K254" s="37">
        <f>-Table58[[#This Row],[Imports]]/Table58[[#This Row],[GDP]]</f>
        <v/>
      </c>
      <c r="L254" s="37">
        <f>Table58[[#This Row],[Government]]/Table58[[#This Row],[GDP]]</f>
        <v/>
      </c>
      <c r="N254" s="58">
        <f>SUM(Table58[[#This Row],[PC%]:[G%]])</f>
        <v/>
      </c>
      <c r="O254" s="25">
        <f>Table58[[#This Row],[Personal Consumption]]+Table58[[#This Row],[Private Investment]]+Table58[[#This Row],[Exports]]+Table58[[#This Row],[Government]]-Table58[[#This Row],[Imports]]</f>
        <v/>
      </c>
    </row>
    <row r="255">
      <c r="A255" s="45" t="n">
        <v>39904</v>
      </c>
      <c r="B255" s="63">
        <f>VLOOKUP(A255,'U.S. GDP'!A:B,2,)</f>
        <v/>
      </c>
      <c r="C255" s="63">
        <f>VLOOKUP(A255,PersonalConsumption!A:B,2,)</f>
        <v/>
      </c>
      <c r="D255" s="63">
        <f>VLOOKUP(A255,PrivateInvestment!A:B,2,)</f>
        <v/>
      </c>
      <c r="E255" s="63">
        <f>VLOOKUP(A255,Exports!A:B,2,)</f>
        <v/>
      </c>
      <c r="F255" s="63">
        <f>VLOOKUP(A255,Imports!A:B,2,)</f>
        <v/>
      </c>
      <c r="G255" s="63">
        <f>VLOOKUP(A255,Government!A:B,2,)</f>
        <v/>
      </c>
      <c r="H255" s="37">
        <f>Table58[[#This Row],[Personal Consumption]]/Table58[[#This Row],[GDP]]</f>
        <v/>
      </c>
      <c r="I255" s="37">
        <f>Table58[[#This Row],[Private Investment]]/Table58[[#This Row],[GDP]]</f>
        <v/>
      </c>
      <c r="J255" s="37">
        <f>Table58[[#This Row],[Exports]]/Table58[[#This Row],[GDP]]</f>
        <v/>
      </c>
      <c r="K255" s="37">
        <f>-Table58[[#This Row],[Imports]]/Table58[[#This Row],[GDP]]</f>
        <v/>
      </c>
      <c r="L255" s="37">
        <f>Table58[[#This Row],[Government]]/Table58[[#This Row],[GDP]]</f>
        <v/>
      </c>
      <c r="N255" s="58">
        <f>SUM(Table58[[#This Row],[PC%]:[G%]])</f>
        <v/>
      </c>
      <c r="O255" s="25">
        <f>Table58[[#This Row],[Personal Consumption]]+Table58[[#This Row],[Private Investment]]+Table58[[#This Row],[Exports]]+Table58[[#This Row],[Government]]-Table58[[#This Row],[Imports]]</f>
        <v/>
      </c>
    </row>
    <row r="256">
      <c r="A256" s="45" t="n">
        <v>39995</v>
      </c>
      <c r="B256" s="63">
        <f>VLOOKUP(A256,'U.S. GDP'!A:B,2,)</f>
        <v/>
      </c>
      <c r="C256" s="63">
        <f>VLOOKUP(A256,PersonalConsumption!A:B,2,)</f>
        <v/>
      </c>
      <c r="D256" s="63">
        <f>VLOOKUP(A256,PrivateInvestment!A:B,2,)</f>
        <v/>
      </c>
      <c r="E256" s="63">
        <f>VLOOKUP(A256,Exports!A:B,2,)</f>
        <v/>
      </c>
      <c r="F256" s="63">
        <f>VLOOKUP(A256,Imports!A:B,2,)</f>
        <v/>
      </c>
      <c r="G256" s="63">
        <f>VLOOKUP(A256,Government!A:B,2,)</f>
        <v/>
      </c>
      <c r="H256" s="37">
        <f>Table58[[#This Row],[Personal Consumption]]/Table58[[#This Row],[GDP]]</f>
        <v/>
      </c>
      <c r="I256" s="37">
        <f>Table58[[#This Row],[Private Investment]]/Table58[[#This Row],[GDP]]</f>
        <v/>
      </c>
      <c r="J256" s="37">
        <f>Table58[[#This Row],[Exports]]/Table58[[#This Row],[GDP]]</f>
        <v/>
      </c>
      <c r="K256" s="37">
        <f>-Table58[[#This Row],[Imports]]/Table58[[#This Row],[GDP]]</f>
        <v/>
      </c>
      <c r="L256" s="37">
        <f>Table58[[#This Row],[Government]]/Table58[[#This Row],[GDP]]</f>
        <v/>
      </c>
      <c r="N256" s="58">
        <f>SUM(Table58[[#This Row],[PC%]:[G%]])</f>
        <v/>
      </c>
      <c r="O256" s="25">
        <f>Table58[[#This Row],[Personal Consumption]]+Table58[[#This Row],[Private Investment]]+Table58[[#This Row],[Exports]]+Table58[[#This Row],[Government]]-Table58[[#This Row],[Imports]]</f>
        <v/>
      </c>
    </row>
    <row r="257">
      <c r="A257" s="45" t="n">
        <v>40087</v>
      </c>
      <c r="B257" s="63">
        <f>VLOOKUP(A257,'U.S. GDP'!A:B,2,)</f>
        <v/>
      </c>
      <c r="C257" s="63">
        <f>VLOOKUP(A257,PersonalConsumption!A:B,2,)</f>
        <v/>
      </c>
      <c r="D257" s="63">
        <f>VLOOKUP(A257,PrivateInvestment!A:B,2,)</f>
        <v/>
      </c>
      <c r="E257" s="63">
        <f>VLOOKUP(A257,Exports!A:B,2,)</f>
        <v/>
      </c>
      <c r="F257" s="63">
        <f>VLOOKUP(A257,Imports!A:B,2,)</f>
        <v/>
      </c>
      <c r="G257" s="63">
        <f>VLOOKUP(A257,Government!A:B,2,)</f>
        <v/>
      </c>
      <c r="H257" s="37">
        <f>Table58[[#This Row],[Personal Consumption]]/Table58[[#This Row],[GDP]]</f>
        <v/>
      </c>
      <c r="I257" s="37">
        <f>Table58[[#This Row],[Private Investment]]/Table58[[#This Row],[GDP]]</f>
        <v/>
      </c>
      <c r="J257" s="37">
        <f>Table58[[#This Row],[Exports]]/Table58[[#This Row],[GDP]]</f>
        <v/>
      </c>
      <c r="K257" s="37">
        <f>-Table58[[#This Row],[Imports]]/Table58[[#This Row],[GDP]]</f>
        <v/>
      </c>
      <c r="L257" s="37">
        <f>Table58[[#This Row],[Government]]/Table58[[#This Row],[GDP]]</f>
        <v/>
      </c>
      <c r="N257" s="58">
        <f>SUM(Table58[[#This Row],[PC%]:[G%]])</f>
        <v/>
      </c>
      <c r="O257" s="25">
        <f>Table58[[#This Row],[Personal Consumption]]+Table58[[#This Row],[Private Investment]]+Table58[[#This Row],[Exports]]+Table58[[#This Row],[Government]]-Table58[[#This Row],[Imports]]</f>
        <v/>
      </c>
    </row>
    <row r="258">
      <c r="A258" s="45" t="n">
        <v>40179</v>
      </c>
      <c r="B258" s="63">
        <f>VLOOKUP(A258,'U.S. GDP'!A:B,2,)</f>
        <v/>
      </c>
      <c r="C258" s="63">
        <f>VLOOKUP(A258,PersonalConsumption!A:B,2,)</f>
        <v/>
      </c>
      <c r="D258" s="63">
        <f>VLOOKUP(A258,PrivateInvestment!A:B,2,)</f>
        <v/>
      </c>
      <c r="E258" s="63">
        <f>VLOOKUP(A258,Exports!A:B,2,)</f>
        <v/>
      </c>
      <c r="F258" s="63">
        <f>VLOOKUP(A258,Imports!A:B,2,)</f>
        <v/>
      </c>
      <c r="G258" s="63">
        <f>VLOOKUP(A258,Government!A:B,2,)</f>
        <v/>
      </c>
      <c r="H258" s="37">
        <f>Table58[[#This Row],[Personal Consumption]]/Table58[[#This Row],[GDP]]</f>
        <v/>
      </c>
      <c r="I258" s="37">
        <f>Table58[[#This Row],[Private Investment]]/Table58[[#This Row],[GDP]]</f>
        <v/>
      </c>
      <c r="J258" s="37">
        <f>Table58[[#This Row],[Exports]]/Table58[[#This Row],[GDP]]</f>
        <v/>
      </c>
      <c r="K258" s="37">
        <f>-Table58[[#This Row],[Imports]]/Table58[[#This Row],[GDP]]</f>
        <v/>
      </c>
      <c r="L258" s="37">
        <f>Table58[[#This Row],[Government]]/Table58[[#This Row],[GDP]]</f>
        <v/>
      </c>
      <c r="N258" s="58">
        <f>SUM(Table58[[#This Row],[PC%]:[G%]])</f>
        <v/>
      </c>
      <c r="O258" s="25">
        <f>Table58[[#This Row],[Personal Consumption]]+Table58[[#This Row],[Private Investment]]+Table58[[#This Row],[Exports]]+Table58[[#This Row],[Government]]-Table58[[#This Row],[Imports]]</f>
        <v/>
      </c>
    </row>
    <row r="259">
      <c r="A259" s="45" t="n">
        <v>40269</v>
      </c>
      <c r="B259" s="63">
        <f>VLOOKUP(A259,'U.S. GDP'!A:B,2,)</f>
        <v/>
      </c>
      <c r="C259" s="63">
        <f>VLOOKUP(A259,PersonalConsumption!A:B,2,)</f>
        <v/>
      </c>
      <c r="D259" s="63">
        <f>VLOOKUP(A259,PrivateInvestment!A:B,2,)</f>
        <v/>
      </c>
      <c r="E259" s="63">
        <f>VLOOKUP(A259,Exports!A:B,2,)</f>
        <v/>
      </c>
      <c r="F259" s="63">
        <f>VLOOKUP(A259,Imports!A:B,2,)</f>
        <v/>
      </c>
      <c r="G259" s="63">
        <f>VLOOKUP(A259,Government!A:B,2,)</f>
        <v/>
      </c>
      <c r="H259" s="37">
        <f>Table58[[#This Row],[Personal Consumption]]/Table58[[#This Row],[GDP]]</f>
        <v/>
      </c>
      <c r="I259" s="37">
        <f>Table58[[#This Row],[Private Investment]]/Table58[[#This Row],[GDP]]</f>
        <v/>
      </c>
      <c r="J259" s="37">
        <f>Table58[[#This Row],[Exports]]/Table58[[#This Row],[GDP]]</f>
        <v/>
      </c>
      <c r="K259" s="37">
        <f>-Table58[[#This Row],[Imports]]/Table58[[#This Row],[GDP]]</f>
        <v/>
      </c>
      <c r="L259" s="37">
        <f>Table58[[#This Row],[Government]]/Table58[[#This Row],[GDP]]</f>
        <v/>
      </c>
      <c r="N259" s="58">
        <f>SUM(Table58[[#This Row],[PC%]:[G%]])</f>
        <v/>
      </c>
      <c r="O259" s="25">
        <f>Table58[[#This Row],[Personal Consumption]]+Table58[[#This Row],[Private Investment]]+Table58[[#This Row],[Exports]]+Table58[[#This Row],[Government]]-Table58[[#This Row],[Imports]]</f>
        <v/>
      </c>
    </row>
    <row r="260">
      <c r="A260" s="45" t="n">
        <v>40360</v>
      </c>
      <c r="B260" s="63">
        <f>VLOOKUP(A260,'U.S. GDP'!A:B,2,)</f>
        <v/>
      </c>
      <c r="C260" s="63">
        <f>VLOOKUP(A260,PersonalConsumption!A:B,2,)</f>
        <v/>
      </c>
      <c r="D260" s="63">
        <f>VLOOKUP(A260,PrivateInvestment!A:B,2,)</f>
        <v/>
      </c>
      <c r="E260" s="63">
        <f>VLOOKUP(A260,Exports!A:B,2,)</f>
        <v/>
      </c>
      <c r="F260" s="63">
        <f>VLOOKUP(A260,Imports!A:B,2,)</f>
        <v/>
      </c>
      <c r="G260" s="63">
        <f>VLOOKUP(A260,Government!A:B,2,)</f>
        <v/>
      </c>
      <c r="H260" s="37">
        <f>Table58[[#This Row],[Personal Consumption]]/Table58[[#This Row],[GDP]]</f>
        <v/>
      </c>
      <c r="I260" s="37">
        <f>Table58[[#This Row],[Private Investment]]/Table58[[#This Row],[GDP]]</f>
        <v/>
      </c>
      <c r="J260" s="37">
        <f>Table58[[#This Row],[Exports]]/Table58[[#This Row],[GDP]]</f>
        <v/>
      </c>
      <c r="K260" s="37">
        <f>-Table58[[#This Row],[Imports]]/Table58[[#This Row],[GDP]]</f>
        <v/>
      </c>
      <c r="L260" s="37">
        <f>Table58[[#This Row],[Government]]/Table58[[#This Row],[GDP]]</f>
        <v/>
      </c>
      <c r="N260" s="58">
        <f>SUM(Table58[[#This Row],[PC%]:[G%]])</f>
        <v/>
      </c>
      <c r="O260" s="25">
        <f>Table58[[#This Row],[Personal Consumption]]+Table58[[#This Row],[Private Investment]]+Table58[[#This Row],[Exports]]+Table58[[#This Row],[Government]]-Table58[[#This Row],[Imports]]</f>
        <v/>
      </c>
    </row>
    <row r="261">
      <c r="A261" s="45" t="n">
        <v>40452</v>
      </c>
      <c r="B261" s="63">
        <f>VLOOKUP(A261,'U.S. GDP'!A:B,2,)</f>
        <v/>
      </c>
      <c r="C261" s="63">
        <f>VLOOKUP(A261,PersonalConsumption!A:B,2,)</f>
        <v/>
      </c>
      <c r="D261" s="63">
        <f>VLOOKUP(A261,PrivateInvestment!A:B,2,)</f>
        <v/>
      </c>
      <c r="E261" s="63">
        <f>VLOOKUP(A261,Exports!A:B,2,)</f>
        <v/>
      </c>
      <c r="F261" s="63">
        <f>VLOOKUP(A261,Imports!A:B,2,)</f>
        <v/>
      </c>
      <c r="G261" s="63">
        <f>VLOOKUP(A261,Government!A:B,2,)</f>
        <v/>
      </c>
      <c r="H261" s="37">
        <f>Table58[[#This Row],[Personal Consumption]]/Table58[[#This Row],[GDP]]</f>
        <v/>
      </c>
      <c r="I261" s="37">
        <f>Table58[[#This Row],[Private Investment]]/Table58[[#This Row],[GDP]]</f>
        <v/>
      </c>
      <c r="J261" s="37">
        <f>Table58[[#This Row],[Exports]]/Table58[[#This Row],[GDP]]</f>
        <v/>
      </c>
      <c r="K261" s="37">
        <f>-Table58[[#This Row],[Imports]]/Table58[[#This Row],[GDP]]</f>
        <v/>
      </c>
      <c r="L261" s="37">
        <f>Table58[[#This Row],[Government]]/Table58[[#This Row],[GDP]]</f>
        <v/>
      </c>
      <c r="N261" s="58">
        <f>SUM(Table58[[#This Row],[PC%]:[G%]])</f>
        <v/>
      </c>
      <c r="O261" s="25">
        <f>Table58[[#This Row],[Personal Consumption]]+Table58[[#This Row],[Private Investment]]+Table58[[#This Row],[Exports]]+Table58[[#This Row],[Government]]-Table58[[#This Row],[Imports]]</f>
        <v/>
      </c>
    </row>
    <row r="262">
      <c r="A262" s="45" t="n">
        <v>40544</v>
      </c>
      <c r="B262" s="63">
        <f>VLOOKUP(A262,'U.S. GDP'!A:B,2,)</f>
        <v/>
      </c>
      <c r="C262" s="63">
        <f>VLOOKUP(A262,PersonalConsumption!A:B,2,)</f>
        <v/>
      </c>
      <c r="D262" s="63">
        <f>VLOOKUP(A262,PrivateInvestment!A:B,2,)</f>
        <v/>
      </c>
      <c r="E262" s="63">
        <f>VLOOKUP(A262,Exports!A:B,2,)</f>
        <v/>
      </c>
      <c r="F262" s="63">
        <f>VLOOKUP(A262,Imports!A:B,2,)</f>
        <v/>
      </c>
      <c r="G262" s="63">
        <f>VLOOKUP(A262,Government!A:B,2,)</f>
        <v/>
      </c>
      <c r="H262" s="37">
        <f>Table58[[#This Row],[Personal Consumption]]/Table58[[#This Row],[GDP]]</f>
        <v/>
      </c>
      <c r="I262" s="37">
        <f>Table58[[#This Row],[Private Investment]]/Table58[[#This Row],[GDP]]</f>
        <v/>
      </c>
      <c r="J262" s="37">
        <f>Table58[[#This Row],[Exports]]/Table58[[#This Row],[GDP]]</f>
        <v/>
      </c>
      <c r="K262" s="37">
        <f>-Table58[[#This Row],[Imports]]/Table58[[#This Row],[GDP]]</f>
        <v/>
      </c>
      <c r="L262" s="37">
        <f>Table58[[#This Row],[Government]]/Table58[[#This Row],[GDP]]</f>
        <v/>
      </c>
      <c r="N262" s="58">
        <f>SUM(Table58[[#This Row],[PC%]:[G%]])</f>
        <v/>
      </c>
      <c r="O262" s="25">
        <f>Table58[[#This Row],[Personal Consumption]]+Table58[[#This Row],[Private Investment]]+Table58[[#This Row],[Exports]]+Table58[[#This Row],[Government]]-Table58[[#This Row],[Imports]]</f>
        <v/>
      </c>
    </row>
    <row r="263">
      <c r="A263" s="45" t="n">
        <v>40634</v>
      </c>
      <c r="B263" s="63">
        <f>VLOOKUP(A263,'U.S. GDP'!A:B,2,)</f>
        <v/>
      </c>
      <c r="C263" s="63">
        <f>VLOOKUP(A263,PersonalConsumption!A:B,2,)</f>
        <v/>
      </c>
      <c r="D263" s="63">
        <f>VLOOKUP(A263,PrivateInvestment!A:B,2,)</f>
        <v/>
      </c>
      <c r="E263" s="63">
        <f>VLOOKUP(A263,Exports!A:B,2,)</f>
        <v/>
      </c>
      <c r="F263" s="63">
        <f>VLOOKUP(A263,Imports!A:B,2,)</f>
        <v/>
      </c>
      <c r="G263" s="63">
        <f>VLOOKUP(A263,Government!A:B,2,)</f>
        <v/>
      </c>
      <c r="H263" s="37">
        <f>Table58[[#This Row],[Personal Consumption]]/Table58[[#This Row],[GDP]]</f>
        <v/>
      </c>
      <c r="I263" s="37">
        <f>Table58[[#This Row],[Private Investment]]/Table58[[#This Row],[GDP]]</f>
        <v/>
      </c>
      <c r="J263" s="37">
        <f>Table58[[#This Row],[Exports]]/Table58[[#This Row],[GDP]]</f>
        <v/>
      </c>
      <c r="K263" s="37">
        <f>-Table58[[#This Row],[Imports]]/Table58[[#This Row],[GDP]]</f>
        <v/>
      </c>
      <c r="L263" s="37">
        <f>Table58[[#This Row],[Government]]/Table58[[#This Row],[GDP]]</f>
        <v/>
      </c>
      <c r="N263" s="58">
        <f>SUM(Table58[[#This Row],[PC%]:[G%]])</f>
        <v/>
      </c>
      <c r="O263" s="25">
        <f>Table58[[#This Row],[Personal Consumption]]+Table58[[#This Row],[Private Investment]]+Table58[[#This Row],[Exports]]+Table58[[#This Row],[Government]]-Table58[[#This Row],[Imports]]</f>
        <v/>
      </c>
    </row>
    <row r="264">
      <c r="A264" s="45" t="n">
        <v>40725</v>
      </c>
      <c r="B264" s="63">
        <f>VLOOKUP(A264,'U.S. GDP'!A:B,2,)</f>
        <v/>
      </c>
      <c r="C264" s="63">
        <f>VLOOKUP(A264,PersonalConsumption!A:B,2,)</f>
        <v/>
      </c>
      <c r="D264" s="63">
        <f>VLOOKUP(A264,PrivateInvestment!A:B,2,)</f>
        <v/>
      </c>
      <c r="E264" s="63">
        <f>VLOOKUP(A264,Exports!A:B,2,)</f>
        <v/>
      </c>
      <c r="F264" s="63">
        <f>VLOOKUP(A264,Imports!A:B,2,)</f>
        <v/>
      </c>
      <c r="G264" s="63">
        <f>VLOOKUP(A264,Government!A:B,2,)</f>
        <v/>
      </c>
      <c r="H264" s="37">
        <f>Table58[[#This Row],[Personal Consumption]]/Table58[[#This Row],[GDP]]</f>
        <v/>
      </c>
      <c r="I264" s="37">
        <f>Table58[[#This Row],[Private Investment]]/Table58[[#This Row],[GDP]]</f>
        <v/>
      </c>
      <c r="J264" s="37">
        <f>Table58[[#This Row],[Exports]]/Table58[[#This Row],[GDP]]</f>
        <v/>
      </c>
      <c r="K264" s="37">
        <f>-Table58[[#This Row],[Imports]]/Table58[[#This Row],[GDP]]</f>
        <v/>
      </c>
      <c r="L264" s="37">
        <f>Table58[[#This Row],[Government]]/Table58[[#This Row],[GDP]]</f>
        <v/>
      </c>
      <c r="N264" s="58">
        <f>SUM(Table58[[#This Row],[PC%]:[G%]])</f>
        <v/>
      </c>
      <c r="O264" s="25">
        <f>Table58[[#This Row],[Personal Consumption]]+Table58[[#This Row],[Private Investment]]+Table58[[#This Row],[Exports]]+Table58[[#This Row],[Government]]-Table58[[#This Row],[Imports]]</f>
        <v/>
      </c>
    </row>
    <row r="265">
      <c r="A265" s="45" t="n">
        <v>40817</v>
      </c>
      <c r="B265" s="63">
        <f>VLOOKUP(A265,'U.S. GDP'!A:B,2,)</f>
        <v/>
      </c>
      <c r="C265" s="63">
        <f>VLOOKUP(A265,PersonalConsumption!A:B,2,)</f>
        <v/>
      </c>
      <c r="D265" s="63">
        <f>VLOOKUP(A265,PrivateInvestment!A:B,2,)</f>
        <v/>
      </c>
      <c r="E265" s="63">
        <f>VLOOKUP(A265,Exports!A:B,2,)</f>
        <v/>
      </c>
      <c r="F265" s="63">
        <f>VLOOKUP(A265,Imports!A:B,2,)</f>
        <v/>
      </c>
      <c r="G265" s="63">
        <f>VLOOKUP(A265,Government!A:B,2,)</f>
        <v/>
      </c>
      <c r="H265" s="37">
        <f>Table58[[#This Row],[Personal Consumption]]/Table58[[#This Row],[GDP]]</f>
        <v/>
      </c>
      <c r="I265" s="37">
        <f>Table58[[#This Row],[Private Investment]]/Table58[[#This Row],[GDP]]</f>
        <v/>
      </c>
      <c r="J265" s="37">
        <f>Table58[[#This Row],[Exports]]/Table58[[#This Row],[GDP]]</f>
        <v/>
      </c>
      <c r="K265" s="37">
        <f>-Table58[[#This Row],[Imports]]/Table58[[#This Row],[GDP]]</f>
        <v/>
      </c>
      <c r="L265" s="37">
        <f>Table58[[#This Row],[Government]]/Table58[[#This Row],[GDP]]</f>
        <v/>
      </c>
      <c r="N265" s="58">
        <f>SUM(Table58[[#This Row],[PC%]:[G%]])</f>
        <v/>
      </c>
      <c r="O265" s="25">
        <f>Table58[[#This Row],[Personal Consumption]]+Table58[[#This Row],[Private Investment]]+Table58[[#This Row],[Exports]]+Table58[[#This Row],[Government]]-Table58[[#This Row],[Imports]]</f>
        <v/>
      </c>
    </row>
    <row r="266">
      <c r="A266" s="45" t="n">
        <v>40909</v>
      </c>
      <c r="B266" s="63">
        <f>VLOOKUP(A266,'U.S. GDP'!A:B,2,)</f>
        <v/>
      </c>
      <c r="C266" s="63">
        <f>VLOOKUP(A266,PersonalConsumption!A:B,2,)</f>
        <v/>
      </c>
      <c r="D266" s="63">
        <f>VLOOKUP(A266,PrivateInvestment!A:B,2,)</f>
        <v/>
      </c>
      <c r="E266" s="63">
        <f>VLOOKUP(A266,Exports!A:B,2,)</f>
        <v/>
      </c>
      <c r="F266" s="63">
        <f>VLOOKUP(A266,Imports!A:B,2,)</f>
        <v/>
      </c>
      <c r="G266" s="63">
        <f>VLOOKUP(A266,Government!A:B,2,)</f>
        <v/>
      </c>
      <c r="H266" s="37">
        <f>Table58[[#This Row],[Personal Consumption]]/Table58[[#This Row],[GDP]]</f>
        <v/>
      </c>
      <c r="I266" s="37">
        <f>Table58[[#This Row],[Private Investment]]/Table58[[#This Row],[GDP]]</f>
        <v/>
      </c>
      <c r="J266" s="37">
        <f>Table58[[#This Row],[Exports]]/Table58[[#This Row],[GDP]]</f>
        <v/>
      </c>
      <c r="K266" s="37">
        <f>-Table58[[#This Row],[Imports]]/Table58[[#This Row],[GDP]]</f>
        <v/>
      </c>
      <c r="L266" s="37">
        <f>Table58[[#This Row],[Government]]/Table58[[#This Row],[GDP]]</f>
        <v/>
      </c>
      <c r="N266" s="58">
        <f>SUM(Table58[[#This Row],[PC%]:[G%]])</f>
        <v/>
      </c>
      <c r="O266" s="25">
        <f>Table58[[#This Row],[Personal Consumption]]+Table58[[#This Row],[Private Investment]]+Table58[[#This Row],[Exports]]+Table58[[#This Row],[Government]]-Table58[[#This Row],[Imports]]</f>
        <v/>
      </c>
    </row>
    <row r="267">
      <c r="A267" s="45" t="n">
        <v>41000</v>
      </c>
      <c r="B267" s="63">
        <f>VLOOKUP(A267,'U.S. GDP'!A:B,2,)</f>
        <v/>
      </c>
      <c r="C267" s="63">
        <f>VLOOKUP(A267,PersonalConsumption!A:B,2,)</f>
        <v/>
      </c>
      <c r="D267" s="63">
        <f>VLOOKUP(A267,PrivateInvestment!A:B,2,)</f>
        <v/>
      </c>
      <c r="E267" s="63">
        <f>VLOOKUP(A267,Exports!A:B,2,)</f>
        <v/>
      </c>
      <c r="F267" s="63">
        <f>VLOOKUP(A267,Imports!A:B,2,)</f>
        <v/>
      </c>
      <c r="G267" s="63">
        <f>VLOOKUP(A267,Government!A:B,2,)</f>
        <v/>
      </c>
      <c r="H267" s="37">
        <f>Table58[[#This Row],[Personal Consumption]]/Table58[[#This Row],[GDP]]</f>
        <v/>
      </c>
      <c r="I267" s="37">
        <f>Table58[[#This Row],[Private Investment]]/Table58[[#This Row],[GDP]]</f>
        <v/>
      </c>
      <c r="J267" s="37">
        <f>Table58[[#This Row],[Exports]]/Table58[[#This Row],[GDP]]</f>
        <v/>
      </c>
      <c r="K267" s="37">
        <f>-Table58[[#This Row],[Imports]]/Table58[[#This Row],[GDP]]</f>
        <v/>
      </c>
      <c r="L267" s="37">
        <f>Table58[[#This Row],[Government]]/Table58[[#This Row],[GDP]]</f>
        <v/>
      </c>
      <c r="N267" s="58">
        <f>SUM(Table58[[#This Row],[PC%]:[G%]])</f>
        <v/>
      </c>
      <c r="O267" s="25">
        <f>Table58[[#This Row],[Personal Consumption]]+Table58[[#This Row],[Private Investment]]+Table58[[#This Row],[Exports]]+Table58[[#This Row],[Government]]-Table58[[#This Row],[Imports]]</f>
        <v/>
      </c>
    </row>
    <row r="268">
      <c r="A268" s="45" t="n">
        <v>41091</v>
      </c>
      <c r="B268" s="63">
        <f>VLOOKUP(A268,'U.S. GDP'!A:B,2,)</f>
        <v/>
      </c>
      <c r="C268" s="63">
        <f>VLOOKUP(A268,PersonalConsumption!A:B,2,)</f>
        <v/>
      </c>
      <c r="D268" s="63">
        <f>VLOOKUP(A268,PrivateInvestment!A:B,2,)</f>
        <v/>
      </c>
      <c r="E268" s="63">
        <f>VLOOKUP(A268,Exports!A:B,2,)</f>
        <v/>
      </c>
      <c r="F268" s="63">
        <f>VLOOKUP(A268,Imports!A:B,2,)</f>
        <v/>
      </c>
      <c r="G268" s="63">
        <f>VLOOKUP(A268,Government!A:B,2,)</f>
        <v/>
      </c>
      <c r="H268" s="37">
        <f>Table58[[#This Row],[Personal Consumption]]/Table58[[#This Row],[GDP]]</f>
        <v/>
      </c>
      <c r="I268" s="37">
        <f>Table58[[#This Row],[Private Investment]]/Table58[[#This Row],[GDP]]</f>
        <v/>
      </c>
      <c r="J268" s="37">
        <f>Table58[[#This Row],[Exports]]/Table58[[#This Row],[GDP]]</f>
        <v/>
      </c>
      <c r="K268" s="37">
        <f>-Table58[[#This Row],[Imports]]/Table58[[#This Row],[GDP]]</f>
        <v/>
      </c>
      <c r="L268" s="37">
        <f>Table58[[#This Row],[Government]]/Table58[[#This Row],[GDP]]</f>
        <v/>
      </c>
      <c r="N268" s="58">
        <f>SUM(Table58[[#This Row],[PC%]:[G%]])</f>
        <v/>
      </c>
      <c r="O268" s="25">
        <f>Table58[[#This Row],[Personal Consumption]]+Table58[[#This Row],[Private Investment]]+Table58[[#This Row],[Exports]]+Table58[[#This Row],[Government]]-Table58[[#This Row],[Imports]]</f>
        <v/>
      </c>
    </row>
    <row r="269">
      <c r="A269" s="45" t="n">
        <v>41183</v>
      </c>
      <c r="B269" s="63">
        <f>VLOOKUP(A269,'U.S. GDP'!A:B,2,)</f>
        <v/>
      </c>
      <c r="C269" s="63">
        <f>VLOOKUP(A269,PersonalConsumption!A:B,2,)</f>
        <v/>
      </c>
      <c r="D269" s="63">
        <f>VLOOKUP(A269,PrivateInvestment!A:B,2,)</f>
        <v/>
      </c>
      <c r="E269" s="63">
        <f>VLOOKUP(A269,Exports!A:B,2,)</f>
        <v/>
      </c>
      <c r="F269" s="63">
        <f>VLOOKUP(A269,Imports!A:B,2,)</f>
        <v/>
      </c>
      <c r="G269" s="63">
        <f>VLOOKUP(A269,Government!A:B,2,)</f>
        <v/>
      </c>
      <c r="H269" s="37">
        <f>Table58[[#This Row],[Personal Consumption]]/Table58[[#This Row],[GDP]]</f>
        <v/>
      </c>
      <c r="I269" s="37">
        <f>Table58[[#This Row],[Private Investment]]/Table58[[#This Row],[GDP]]</f>
        <v/>
      </c>
      <c r="J269" s="37">
        <f>Table58[[#This Row],[Exports]]/Table58[[#This Row],[GDP]]</f>
        <v/>
      </c>
      <c r="K269" s="37">
        <f>-Table58[[#This Row],[Imports]]/Table58[[#This Row],[GDP]]</f>
        <v/>
      </c>
      <c r="L269" s="37">
        <f>Table58[[#This Row],[Government]]/Table58[[#This Row],[GDP]]</f>
        <v/>
      </c>
      <c r="N269" s="58">
        <f>SUM(Table58[[#This Row],[PC%]:[G%]])</f>
        <v/>
      </c>
      <c r="O269" s="25">
        <f>Table58[[#This Row],[Personal Consumption]]+Table58[[#This Row],[Private Investment]]+Table58[[#This Row],[Exports]]+Table58[[#This Row],[Government]]-Table58[[#This Row],[Imports]]</f>
        <v/>
      </c>
    </row>
    <row r="270">
      <c r="A270" s="45" t="n">
        <v>41275</v>
      </c>
      <c r="B270" s="63">
        <f>VLOOKUP(A270,'U.S. GDP'!A:B,2,)</f>
        <v/>
      </c>
      <c r="C270" s="63">
        <f>VLOOKUP(A270,PersonalConsumption!A:B,2,)</f>
        <v/>
      </c>
      <c r="D270" s="63">
        <f>VLOOKUP(A270,PrivateInvestment!A:B,2,)</f>
        <v/>
      </c>
      <c r="E270" s="63">
        <f>VLOOKUP(A270,Exports!A:B,2,)</f>
        <v/>
      </c>
      <c r="F270" s="63">
        <f>VLOOKUP(A270,Imports!A:B,2,)</f>
        <v/>
      </c>
      <c r="G270" s="63">
        <f>VLOOKUP(A270,Government!A:B,2,)</f>
        <v/>
      </c>
      <c r="H270" s="37">
        <f>Table58[[#This Row],[Personal Consumption]]/Table58[[#This Row],[GDP]]</f>
        <v/>
      </c>
      <c r="I270" s="37">
        <f>Table58[[#This Row],[Private Investment]]/Table58[[#This Row],[GDP]]</f>
        <v/>
      </c>
      <c r="J270" s="37">
        <f>Table58[[#This Row],[Exports]]/Table58[[#This Row],[GDP]]</f>
        <v/>
      </c>
      <c r="K270" s="37">
        <f>-Table58[[#This Row],[Imports]]/Table58[[#This Row],[GDP]]</f>
        <v/>
      </c>
      <c r="L270" s="37">
        <f>Table58[[#This Row],[Government]]/Table58[[#This Row],[GDP]]</f>
        <v/>
      </c>
      <c r="N270" s="58">
        <f>SUM(Table58[[#This Row],[PC%]:[G%]])</f>
        <v/>
      </c>
      <c r="O270" s="25">
        <f>Table58[[#This Row],[Personal Consumption]]+Table58[[#This Row],[Private Investment]]+Table58[[#This Row],[Exports]]+Table58[[#This Row],[Government]]-Table58[[#This Row],[Imports]]</f>
        <v/>
      </c>
    </row>
    <row r="271">
      <c r="A271" s="45" t="n">
        <v>41365</v>
      </c>
      <c r="B271" s="63">
        <f>VLOOKUP(A271,'U.S. GDP'!A:B,2,)</f>
        <v/>
      </c>
      <c r="C271" s="63">
        <f>VLOOKUP(A271,PersonalConsumption!A:B,2,)</f>
        <v/>
      </c>
      <c r="D271" s="63">
        <f>VLOOKUP(A271,PrivateInvestment!A:B,2,)</f>
        <v/>
      </c>
      <c r="E271" s="63">
        <f>VLOOKUP(A271,Exports!A:B,2,)</f>
        <v/>
      </c>
      <c r="F271" s="63">
        <f>VLOOKUP(A271,Imports!A:B,2,)</f>
        <v/>
      </c>
      <c r="G271" s="63">
        <f>VLOOKUP(A271,Government!A:B,2,)</f>
        <v/>
      </c>
      <c r="H271" s="37">
        <f>Table58[[#This Row],[Personal Consumption]]/Table58[[#This Row],[GDP]]</f>
        <v/>
      </c>
      <c r="I271" s="37">
        <f>Table58[[#This Row],[Private Investment]]/Table58[[#This Row],[GDP]]</f>
        <v/>
      </c>
      <c r="J271" s="37">
        <f>Table58[[#This Row],[Exports]]/Table58[[#This Row],[GDP]]</f>
        <v/>
      </c>
      <c r="K271" s="37">
        <f>-Table58[[#This Row],[Imports]]/Table58[[#This Row],[GDP]]</f>
        <v/>
      </c>
      <c r="L271" s="37">
        <f>Table58[[#This Row],[Government]]/Table58[[#This Row],[GDP]]</f>
        <v/>
      </c>
      <c r="N271" s="58">
        <f>SUM(Table58[[#This Row],[PC%]:[G%]])</f>
        <v/>
      </c>
      <c r="O271" s="25">
        <f>Table58[[#This Row],[Personal Consumption]]+Table58[[#This Row],[Private Investment]]+Table58[[#This Row],[Exports]]+Table58[[#This Row],[Government]]-Table58[[#This Row],[Imports]]</f>
        <v/>
      </c>
    </row>
    <row r="272">
      <c r="A272" s="45" t="n">
        <v>41456</v>
      </c>
      <c r="B272" s="63">
        <f>VLOOKUP(A272,'U.S. GDP'!A:B,2,)</f>
        <v/>
      </c>
      <c r="C272" s="63">
        <f>VLOOKUP(A272,PersonalConsumption!A:B,2,)</f>
        <v/>
      </c>
      <c r="D272" s="63">
        <f>VLOOKUP(A272,PrivateInvestment!A:B,2,)</f>
        <v/>
      </c>
      <c r="E272" s="63">
        <f>VLOOKUP(A272,Exports!A:B,2,)</f>
        <v/>
      </c>
      <c r="F272" s="63">
        <f>VLOOKUP(A272,Imports!A:B,2,)</f>
        <v/>
      </c>
      <c r="G272" s="63">
        <f>VLOOKUP(A272,Government!A:B,2,)</f>
        <v/>
      </c>
      <c r="H272" s="37">
        <f>Table58[[#This Row],[Personal Consumption]]/Table58[[#This Row],[GDP]]</f>
        <v/>
      </c>
      <c r="I272" s="37">
        <f>Table58[[#This Row],[Private Investment]]/Table58[[#This Row],[GDP]]</f>
        <v/>
      </c>
      <c r="J272" s="37">
        <f>Table58[[#This Row],[Exports]]/Table58[[#This Row],[GDP]]</f>
        <v/>
      </c>
      <c r="K272" s="37">
        <f>-Table58[[#This Row],[Imports]]/Table58[[#This Row],[GDP]]</f>
        <v/>
      </c>
      <c r="L272" s="37">
        <f>Table58[[#This Row],[Government]]/Table58[[#This Row],[GDP]]</f>
        <v/>
      </c>
      <c r="N272" s="58">
        <f>SUM(Table58[[#This Row],[PC%]:[G%]])</f>
        <v/>
      </c>
      <c r="O272" s="25">
        <f>Table58[[#This Row],[Personal Consumption]]+Table58[[#This Row],[Private Investment]]+Table58[[#This Row],[Exports]]+Table58[[#This Row],[Government]]-Table58[[#This Row],[Imports]]</f>
        <v/>
      </c>
    </row>
    <row r="273">
      <c r="A273" s="45" t="n">
        <v>41548</v>
      </c>
      <c r="B273" s="63">
        <f>VLOOKUP(A273,'U.S. GDP'!A:B,2,)</f>
        <v/>
      </c>
      <c r="C273" s="63">
        <f>VLOOKUP(A273,PersonalConsumption!A:B,2,)</f>
        <v/>
      </c>
      <c r="D273" s="63">
        <f>VLOOKUP(A273,PrivateInvestment!A:B,2,)</f>
        <v/>
      </c>
      <c r="E273" s="63">
        <f>VLOOKUP(A273,Exports!A:B,2,)</f>
        <v/>
      </c>
      <c r="F273" s="63">
        <f>VLOOKUP(A273,Imports!A:B,2,)</f>
        <v/>
      </c>
      <c r="G273" s="63">
        <f>VLOOKUP(A273,Government!A:B,2,)</f>
        <v/>
      </c>
      <c r="H273" s="37">
        <f>Table58[[#This Row],[Personal Consumption]]/Table58[[#This Row],[GDP]]</f>
        <v/>
      </c>
      <c r="I273" s="37">
        <f>Table58[[#This Row],[Private Investment]]/Table58[[#This Row],[GDP]]</f>
        <v/>
      </c>
      <c r="J273" s="37">
        <f>Table58[[#This Row],[Exports]]/Table58[[#This Row],[GDP]]</f>
        <v/>
      </c>
      <c r="K273" s="37">
        <f>-Table58[[#This Row],[Imports]]/Table58[[#This Row],[GDP]]</f>
        <v/>
      </c>
      <c r="L273" s="37">
        <f>Table58[[#This Row],[Government]]/Table58[[#This Row],[GDP]]</f>
        <v/>
      </c>
      <c r="N273" s="58">
        <f>SUM(Table58[[#This Row],[PC%]:[G%]])</f>
        <v/>
      </c>
      <c r="O273" s="25">
        <f>Table58[[#This Row],[Personal Consumption]]+Table58[[#This Row],[Private Investment]]+Table58[[#This Row],[Exports]]+Table58[[#This Row],[Government]]-Table58[[#This Row],[Imports]]</f>
        <v/>
      </c>
    </row>
    <row r="274">
      <c r="A274" s="45" t="n">
        <v>41640</v>
      </c>
      <c r="B274" s="63">
        <f>VLOOKUP(A274,'U.S. GDP'!A:B,2,)</f>
        <v/>
      </c>
      <c r="C274" s="63">
        <f>VLOOKUP(A274,PersonalConsumption!A:B,2,)</f>
        <v/>
      </c>
      <c r="D274" s="63">
        <f>VLOOKUP(A274,PrivateInvestment!A:B,2,)</f>
        <v/>
      </c>
      <c r="E274" s="63">
        <f>VLOOKUP(A274,Exports!A:B,2,)</f>
        <v/>
      </c>
      <c r="F274" s="63">
        <f>VLOOKUP(A274,Imports!A:B,2,)</f>
        <v/>
      </c>
      <c r="G274" s="63">
        <f>VLOOKUP(A274,Government!A:B,2,)</f>
        <v/>
      </c>
      <c r="H274" s="37">
        <f>Table58[[#This Row],[Personal Consumption]]/Table58[[#This Row],[GDP]]</f>
        <v/>
      </c>
      <c r="I274" s="37">
        <f>Table58[[#This Row],[Private Investment]]/Table58[[#This Row],[GDP]]</f>
        <v/>
      </c>
      <c r="J274" s="37">
        <f>Table58[[#This Row],[Exports]]/Table58[[#This Row],[GDP]]</f>
        <v/>
      </c>
      <c r="K274" s="37">
        <f>-Table58[[#This Row],[Imports]]/Table58[[#This Row],[GDP]]</f>
        <v/>
      </c>
      <c r="L274" s="37">
        <f>Table58[[#This Row],[Government]]/Table58[[#This Row],[GDP]]</f>
        <v/>
      </c>
      <c r="N274" s="58">
        <f>SUM(Table58[[#This Row],[PC%]:[G%]])</f>
        <v/>
      </c>
      <c r="O274" s="25">
        <f>Table58[[#This Row],[Personal Consumption]]+Table58[[#This Row],[Private Investment]]+Table58[[#This Row],[Exports]]+Table58[[#This Row],[Government]]-Table58[[#This Row],[Imports]]</f>
        <v/>
      </c>
    </row>
    <row r="275">
      <c r="A275" s="45" t="n">
        <v>41730</v>
      </c>
      <c r="B275" s="63">
        <f>VLOOKUP(A275,'U.S. GDP'!A:B,2,)</f>
        <v/>
      </c>
      <c r="C275" s="63">
        <f>VLOOKUP(A275,PersonalConsumption!A:B,2,)</f>
        <v/>
      </c>
      <c r="D275" s="63">
        <f>VLOOKUP(A275,PrivateInvestment!A:B,2,)</f>
        <v/>
      </c>
      <c r="E275" s="63">
        <f>VLOOKUP(A275,Exports!A:B,2,)</f>
        <v/>
      </c>
      <c r="F275" s="63">
        <f>VLOOKUP(A275,Imports!A:B,2,)</f>
        <v/>
      </c>
      <c r="G275" s="63">
        <f>VLOOKUP(A275,Government!A:B,2,)</f>
        <v/>
      </c>
      <c r="H275" s="37">
        <f>Table58[[#This Row],[Personal Consumption]]/Table58[[#This Row],[GDP]]</f>
        <v/>
      </c>
      <c r="I275" s="37">
        <f>Table58[[#This Row],[Private Investment]]/Table58[[#This Row],[GDP]]</f>
        <v/>
      </c>
      <c r="J275" s="37">
        <f>Table58[[#This Row],[Exports]]/Table58[[#This Row],[GDP]]</f>
        <v/>
      </c>
      <c r="K275" s="37">
        <f>-Table58[[#This Row],[Imports]]/Table58[[#This Row],[GDP]]</f>
        <v/>
      </c>
      <c r="L275" s="37">
        <f>Table58[[#This Row],[Government]]/Table58[[#This Row],[GDP]]</f>
        <v/>
      </c>
      <c r="N275" s="58">
        <f>SUM(Table58[[#This Row],[PC%]:[G%]])</f>
        <v/>
      </c>
      <c r="O275" s="25">
        <f>Table58[[#This Row],[Personal Consumption]]+Table58[[#This Row],[Private Investment]]+Table58[[#This Row],[Exports]]+Table58[[#This Row],[Government]]-Table58[[#This Row],[Imports]]</f>
        <v/>
      </c>
    </row>
    <row r="276">
      <c r="A276" s="45" t="n">
        <v>41821</v>
      </c>
      <c r="B276" s="63">
        <f>VLOOKUP(A276,'U.S. GDP'!A:B,2,)</f>
        <v/>
      </c>
      <c r="C276" s="63">
        <f>VLOOKUP(A276,PersonalConsumption!A:B,2,)</f>
        <v/>
      </c>
      <c r="D276" s="63">
        <f>VLOOKUP(A276,PrivateInvestment!A:B,2,)</f>
        <v/>
      </c>
      <c r="E276" s="63">
        <f>VLOOKUP(A276,Exports!A:B,2,)</f>
        <v/>
      </c>
      <c r="F276" s="63">
        <f>VLOOKUP(A276,Imports!A:B,2,)</f>
        <v/>
      </c>
      <c r="G276" s="63">
        <f>VLOOKUP(A276,Government!A:B,2,)</f>
        <v/>
      </c>
      <c r="H276" s="37">
        <f>Table58[[#This Row],[Personal Consumption]]/Table58[[#This Row],[GDP]]</f>
        <v/>
      </c>
      <c r="I276" s="37">
        <f>Table58[[#This Row],[Private Investment]]/Table58[[#This Row],[GDP]]</f>
        <v/>
      </c>
      <c r="J276" s="37">
        <f>Table58[[#This Row],[Exports]]/Table58[[#This Row],[GDP]]</f>
        <v/>
      </c>
      <c r="K276" s="37">
        <f>-Table58[[#This Row],[Imports]]/Table58[[#This Row],[GDP]]</f>
        <v/>
      </c>
      <c r="L276" s="37">
        <f>Table58[[#This Row],[Government]]/Table58[[#This Row],[GDP]]</f>
        <v/>
      </c>
      <c r="N276" s="58">
        <f>SUM(Table58[[#This Row],[PC%]:[G%]])</f>
        <v/>
      </c>
      <c r="O276" s="25">
        <f>Table58[[#This Row],[Personal Consumption]]+Table58[[#This Row],[Private Investment]]+Table58[[#This Row],[Exports]]+Table58[[#This Row],[Government]]-Table58[[#This Row],[Imports]]</f>
        <v/>
      </c>
    </row>
    <row r="277">
      <c r="A277" s="45" t="n">
        <v>41913</v>
      </c>
      <c r="B277" s="63">
        <f>VLOOKUP(A277,'U.S. GDP'!A:B,2,)</f>
        <v/>
      </c>
      <c r="C277" s="63">
        <f>VLOOKUP(A277,PersonalConsumption!A:B,2,)</f>
        <v/>
      </c>
      <c r="D277" s="63">
        <f>VLOOKUP(A277,PrivateInvestment!A:B,2,)</f>
        <v/>
      </c>
      <c r="E277" s="63">
        <f>VLOOKUP(A277,Exports!A:B,2,)</f>
        <v/>
      </c>
      <c r="F277" s="63">
        <f>VLOOKUP(A277,Imports!A:B,2,)</f>
        <v/>
      </c>
      <c r="G277" s="63">
        <f>VLOOKUP(A277,Government!A:B,2,)</f>
        <v/>
      </c>
      <c r="H277" s="37">
        <f>Table58[[#This Row],[Personal Consumption]]/Table58[[#This Row],[GDP]]</f>
        <v/>
      </c>
      <c r="I277" s="37">
        <f>Table58[[#This Row],[Private Investment]]/Table58[[#This Row],[GDP]]</f>
        <v/>
      </c>
      <c r="J277" s="37">
        <f>Table58[[#This Row],[Exports]]/Table58[[#This Row],[GDP]]</f>
        <v/>
      </c>
      <c r="K277" s="37">
        <f>-Table58[[#This Row],[Imports]]/Table58[[#This Row],[GDP]]</f>
        <v/>
      </c>
      <c r="L277" s="37">
        <f>Table58[[#This Row],[Government]]/Table58[[#This Row],[GDP]]</f>
        <v/>
      </c>
      <c r="N277" s="58">
        <f>SUM(Table58[[#This Row],[PC%]:[G%]])</f>
        <v/>
      </c>
      <c r="O277" s="25">
        <f>Table58[[#This Row],[Personal Consumption]]+Table58[[#This Row],[Private Investment]]+Table58[[#This Row],[Exports]]+Table58[[#This Row],[Government]]-Table58[[#This Row],[Imports]]</f>
        <v/>
      </c>
    </row>
    <row r="278">
      <c r="A278" s="45" t="n">
        <v>42005</v>
      </c>
      <c r="B278" s="63">
        <f>VLOOKUP(A278,'U.S. GDP'!A:B,2,)</f>
        <v/>
      </c>
      <c r="C278" s="63">
        <f>VLOOKUP(A278,PersonalConsumption!A:B,2,)</f>
        <v/>
      </c>
      <c r="D278" s="63">
        <f>VLOOKUP(A278,PrivateInvestment!A:B,2,)</f>
        <v/>
      </c>
      <c r="E278" s="63">
        <f>VLOOKUP(A278,Exports!A:B,2,)</f>
        <v/>
      </c>
      <c r="F278" s="63">
        <f>VLOOKUP(A278,Imports!A:B,2,)</f>
        <v/>
      </c>
      <c r="G278" s="63">
        <f>VLOOKUP(A278,Government!A:B,2,)</f>
        <v/>
      </c>
      <c r="H278" s="37">
        <f>Table58[[#This Row],[Personal Consumption]]/Table58[[#This Row],[GDP]]</f>
        <v/>
      </c>
      <c r="I278" s="37">
        <f>Table58[[#This Row],[Private Investment]]/Table58[[#This Row],[GDP]]</f>
        <v/>
      </c>
      <c r="J278" s="37">
        <f>Table58[[#This Row],[Exports]]/Table58[[#This Row],[GDP]]</f>
        <v/>
      </c>
      <c r="K278" s="37">
        <f>-Table58[[#This Row],[Imports]]/Table58[[#This Row],[GDP]]</f>
        <v/>
      </c>
      <c r="L278" s="37">
        <f>Table58[[#This Row],[Government]]/Table58[[#This Row],[GDP]]</f>
        <v/>
      </c>
      <c r="N278" s="58">
        <f>SUM(Table58[[#This Row],[PC%]:[G%]])</f>
        <v/>
      </c>
      <c r="O278" s="25">
        <f>Table58[[#This Row],[Personal Consumption]]+Table58[[#This Row],[Private Investment]]+Table58[[#This Row],[Exports]]+Table58[[#This Row],[Government]]-Table58[[#This Row],[Imports]]</f>
        <v/>
      </c>
    </row>
    <row r="279">
      <c r="A279" s="45" t="n">
        <v>42095</v>
      </c>
      <c r="B279" s="63">
        <f>VLOOKUP(A279,'U.S. GDP'!A:B,2,)</f>
        <v/>
      </c>
      <c r="C279" s="63">
        <f>VLOOKUP(A279,PersonalConsumption!A:B,2,)</f>
        <v/>
      </c>
      <c r="D279" s="63">
        <f>VLOOKUP(A279,PrivateInvestment!A:B,2,)</f>
        <v/>
      </c>
      <c r="E279" s="63">
        <f>VLOOKUP(A279,Exports!A:B,2,)</f>
        <v/>
      </c>
      <c r="F279" s="63">
        <f>VLOOKUP(A279,Imports!A:B,2,)</f>
        <v/>
      </c>
      <c r="G279" s="63">
        <f>VLOOKUP(A279,Government!A:B,2,)</f>
        <v/>
      </c>
      <c r="H279" s="37">
        <f>Table58[[#This Row],[Personal Consumption]]/Table58[[#This Row],[GDP]]</f>
        <v/>
      </c>
      <c r="I279" s="37">
        <f>Table58[[#This Row],[Private Investment]]/Table58[[#This Row],[GDP]]</f>
        <v/>
      </c>
      <c r="J279" s="37">
        <f>Table58[[#This Row],[Exports]]/Table58[[#This Row],[GDP]]</f>
        <v/>
      </c>
      <c r="K279" s="37">
        <f>-Table58[[#This Row],[Imports]]/Table58[[#This Row],[GDP]]</f>
        <v/>
      </c>
      <c r="L279" s="37">
        <f>Table58[[#This Row],[Government]]/Table58[[#This Row],[GDP]]</f>
        <v/>
      </c>
      <c r="N279" s="58">
        <f>SUM(Table58[[#This Row],[PC%]:[G%]])</f>
        <v/>
      </c>
      <c r="O279" s="25">
        <f>Table58[[#This Row],[Personal Consumption]]+Table58[[#This Row],[Private Investment]]+Table58[[#This Row],[Exports]]+Table58[[#This Row],[Government]]-Table58[[#This Row],[Imports]]</f>
        <v/>
      </c>
    </row>
    <row r="280">
      <c r="A280" s="45" t="n">
        <v>42186</v>
      </c>
      <c r="B280" s="63">
        <f>VLOOKUP(A280,'U.S. GDP'!A:B,2,)</f>
        <v/>
      </c>
      <c r="C280" s="63">
        <f>VLOOKUP(A280,PersonalConsumption!A:B,2,)</f>
        <v/>
      </c>
      <c r="D280" s="63">
        <f>VLOOKUP(A280,PrivateInvestment!A:B,2,)</f>
        <v/>
      </c>
      <c r="E280" s="63">
        <f>VLOOKUP(A280,Exports!A:B,2,)</f>
        <v/>
      </c>
      <c r="F280" s="63">
        <f>VLOOKUP(A280,Imports!A:B,2,)</f>
        <v/>
      </c>
      <c r="G280" s="63">
        <f>VLOOKUP(A280,Government!A:B,2,)</f>
        <v/>
      </c>
      <c r="H280" s="37">
        <f>Table58[[#This Row],[Personal Consumption]]/Table58[[#This Row],[GDP]]</f>
        <v/>
      </c>
      <c r="I280" s="37">
        <f>Table58[[#This Row],[Private Investment]]/Table58[[#This Row],[GDP]]</f>
        <v/>
      </c>
      <c r="J280" s="37">
        <f>Table58[[#This Row],[Exports]]/Table58[[#This Row],[GDP]]</f>
        <v/>
      </c>
      <c r="K280" s="37">
        <f>-Table58[[#This Row],[Imports]]/Table58[[#This Row],[GDP]]</f>
        <v/>
      </c>
      <c r="L280" s="37">
        <f>Table58[[#This Row],[Government]]/Table58[[#This Row],[GDP]]</f>
        <v/>
      </c>
      <c r="N280" s="58">
        <f>SUM(Table58[[#This Row],[PC%]:[G%]])</f>
        <v/>
      </c>
      <c r="O280" s="25">
        <f>Table58[[#This Row],[Personal Consumption]]+Table58[[#This Row],[Private Investment]]+Table58[[#This Row],[Exports]]+Table58[[#This Row],[Government]]-Table58[[#This Row],[Imports]]</f>
        <v/>
      </c>
    </row>
    <row r="281">
      <c r="A281" s="45" t="n">
        <v>42278</v>
      </c>
      <c r="B281" s="63">
        <f>VLOOKUP(A281,'U.S. GDP'!A:B,2,)</f>
        <v/>
      </c>
      <c r="C281" s="63">
        <f>VLOOKUP(A281,PersonalConsumption!A:B,2,)</f>
        <v/>
      </c>
      <c r="D281" s="63">
        <f>VLOOKUP(A281,PrivateInvestment!A:B,2,)</f>
        <v/>
      </c>
      <c r="E281" s="63">
        <f>VLOOKUP(A281,Exports!A:B,2,)</f>
        <v/>
      </c>
      <c r="F281" s="63">
        <f>VLOOKUP(A281,Imports!A:B,2,)</f>
        <v/>
      </c>
      <c r="G281" s="46">
        <f>VLOOKUP(A281,Government!A:B,2,)</f>
        <v/>
      </c>
      <c r="H281" s="37">
        <f>Table58[[#This Row],[Personal Consumption]]/Table58[[#This Row],[GDP]]</f>
        <v/>
      </c>
      <c r="I281" s="37">
        <f>Table58[[#This Row],[Private Investment]]/Table58[[#This Row],[GDP]]</f>
        <v/>
      </c>
      <c r="J281" s="37">
        <f>Table58[[#This Row],[Exports]]/Table58[[#This Row],[GDP]]</f>
        <v/>
      </c>
      <c r="K281" s="37">
        <f>-Table58[[#This Row],[Imports]]/Table58[[#This Row],[GDP]]</f>
        <v/>
      </c>
      <c r="L281" s="37">
        <f>Table58[[#This Row],[Government]]/Table58[[#This Row],[GDP]]</f>
        <v/>
      </c>
      <c r="N281" s="58">
        <f>SUM(Table58[[#This Row],[PC%]:[G%]])</f>
        <v/>
      </c>
      <c r="O281" s="25">
        <f>Table58[[#This Row],[Personal Consumption]]+Table58[[#This Row],[Private Investment]]+Table58[[#This Row],[Exports]]+Table58[[#This Row],[Government]]-Table58[[#This Row],[Imports]]</f>
        <v/>
      </c>
    </row>
    <row r="282">
      <c r="A282" s="45" t="n">
        <v>42370</v>
      </c>
      <c r="B282" s="63">
        <f>VLOOKUP(A282,'U.S. GDP'!A:B,2,)</f>
        <v/>
      </c>
      <c r="C282" s="63">
        <f>VLOOKUP(A282,PersonalConsumption!A:B,2,)</f>
        <v/>
      </c>
      <c r="D282" s="63">
        <f>VLOOKUP(A282,PrivateInvestment!A:B,2,)</f>
        <v/>
      </c>
      <c r="E282" s="63">
        <f>VLOOKUP(A282,Exports!A:B,2,)</f>
        <v/>
      </c>
      <c r="F282" s="63">
        <f>VLOOKUP(A282,Imports!A:B,2,)</f>
        <v/>
      </c>
      <c r="G282" s="46">
        <f>VLOOKUP(A282,Government!A:B,2,)</f>
        <v/>
      </c>
      <c r="H282" s="37">
        <f>Table58[[#This Row],[Personal Consumption]]/Table58[[#This Row],[GDP]]</f>
        <v/>
      </c>
      <c r="I282" s="37">
        <f>Table58[[#This Row],[Private Investment]]/Table58[[#This Row],[GDP]]</f>
        <v/>
      </c>
      <c r="J282" s="37">
        <f>Table58[[#This Row],[Exports]]/Table58[[#This Row],[GDP]]</f>
        <v/>
      </c>
      <c r="K282" s="37">
        <f>-Table58[[#This Row],[Imports]]/Table58[[#This Row],[GDP]]</f>
        <v/>
      </c>
      <c r="L282" s="37">
        <f>Table58[[#This Row],[Government]]/Table58[[#This Row],[GDP]]</f>
        <v/>
      </c>
      <c r="N282" s="58">
        <f>SUM(Table58[[#This Row],[PC%]:[G%]])</f>
        <v/>
      </c>
      <c r="O282" s="25">
        <f>Table58[[#This Row],[Personal Consumption]]+Table58[[#This Row],[Private Investment]]+Table58[[#This Row],[Exports]]+Table58[[#This Row],[Government]]-Table58[[#This Row],[Imports]]</f>
        <v/>
      </c>
    </row>
    <row r="283">
      <c r="A283" s="45" t="n">
        <v>42461</v>
      </c>
      <c r="B283" s="63">
        <f>VLOOKUP(A283,'U.S. GDP'!A:B,2,)</f>
        <v/>
      </c>
      <c r="C283" s="63">
        <f>VLOOKUP(A283,PersonalConsumption!A:B,2,)</f>
        <v/>
      </c>
      <c r="D283" s="63">
        <f>VLOOKUP(A283,PrivateInvestment!A:B,2,)</f>
        <v/>
      </c>
      <c r="E283" s="63">
        <f>VLOOKUP(A283,Exports!A:B,2,)</f>
        <v/>
      </c>
      <c r="F283" s="63">
        <f>VLOOKUP(A283,Imports!A:B,2,)</f>
        <v/>
      </c>
      <c r="G283" s="46">
        <f>VLOOKUP(A283,Government!A:B,2,)</f>
        <v/>
      </c>
      <c r="H283" s="37">
        <f>Table58[[#This Row],[Personal Consumption]]/Table58[[#This Row],[GDP]]</f>
        <v/>
      </c>
      <c r="I283" s="37">
        <f>Table58[[#This Row],[Private Investment]]/Table58[[#This Row],[GDP]]</f>
        <v/>
      </c>
      <c r="J283" s="37">
        <f>Table58[[#This Row],[Exports]]/Table58[[#This Row],[GDP]]</f>
        <v/>
      </c>
      <c r="K283" s="37">
        <f>-Table58[[#This Row],[Imports]]/Table58[[#This Row],[GDP]]</f>
        <v/>
      </c>
      <c r="L283" s="37">
        <f>Table58[[#This Row],[Government]]/Table58[[#This Row],[GDP]]</f>
        <v/>
      </c>
      <c r="N283" s="58">
        <f>SUM(Table58[[#This Row],[PC%]:[G%]])</f>
        <v/>
      </c>
      <c r="O283" s="25">
        <f>Table58[[#This Row],[Personal Consumption]]+Table58[[#This Row],[Private Investment]]+Table58[[#This Row],[Exports]]+Table58[[#This Row],[Government]]-Table58[[#This Row],[Imports]]</f>
        <v/>
      </c>
    </row>
    <row r="284">
      <c r="A284" s="45" t="n">
        <v>42552</v>
      </c>
      <c r="B284" s="63">
        <f>VLOOKUP(A284,'U.S. GDP'!A:B,2,)</f>
        <v/>
      </c>
      <c r="C284" s="63">
        <f>VLOOKUP(A284,PersonalConsumption!A:B,2,)</f>
        <v/>
      </c>
      <c r="D284" s="63">
        <f>VLOOKUP(A284,PrivateInvestment!A:B,2,)</f>
        <v/>
      </c>
      <c r="E284" s="63">
        <f>VLOOKUP(A284,Exports!A:B,2,)</f>
        <v/>
      </c>
      <c r="F284" s="63">
        <f>VLOOKUP(A284,Imports!A:B,2,)</f>
        <v/>
      </c>
      <c r="G284" s="46">
        <f>VLOOKUP(A284,Government!A:B,2,)</f>
        <v/>
      </c>
      <c r="H284" s="37">
        <f>Table58[[#This Row],[Personal Consumption]]/Table58[[#This Row],[GDP]]</f>
        <v/>
      </c>
      <c r="I284" s="37">
        <f>Table58[[#This Row],[Private Investment]]/Table58[[#This Row],[GDP]]</f>
        <v/>
      </c>
      <c r="J284" s="37">
        <f>Table58[[#This Row],[Exports]]/Table58[[#This Row],[GDP]]</f>
        <v/>
      </c>
      <c r="K284" s="37">
        <f>-Table58[[#This Row],[Imports]]/Table58[[#This Row],[GDP]]</f>
        <v/>
      </c>
      <c r="L284" s="37">
        <f>Table58[[#This Row],[Government]]/Table58[[#This Row],[GDP]]</f>
        <v/>
      </c>
      <c r="N284" s="58">
        <f>SUM(Table58[[#This Row],[PC%]:[G%]])</f>
        <v/>
      </c>
      <c r="O284" s="25">
        <f>Table58[[#This Row],[Personal Consumption]]+Table58[[#This Row],[Private Investment]]+Table58[[#This Row],[Exports]]+Table58[[#This Row],[Government]]-Table58[[#This Row],[Imports]]</f>
        <v/>
      </c>
    </row>
    <row r="285">
      <c r="A285" s="45" t="n">
        <v>42644</v>
      </c>
      <c r="B285" s="63">
        <f>VLOOKUP(A285,'U.S. GDP'!A:B,2,)</f>
        <v/>
      </c>
      <c r="C285" s="63">
        <f>VLOOKUP(A285,PersonalConsumption!A:B,2,)</f>
        <v/>
      </c>
      <c r="D285" s="63">
        <f>VLOOKUP(A285,PrivateInvestment!A:B,2,)</f>
        <v/>
      </c>
      <c r="E285" s="63">
        <f>VLOOKUP(A285,Exports!A:B,2,)</f>
        <v/>
      </c>
      <c r="F285" s="63">
        <f>VLOOKUP(A285,Imports!A:B,2,)</f>
        <v/>
      </c>
      <c r="G285" s="46">
        <f>VLOOKUP(A285,Government!A:B,2,)</f>
        <v/>
      </c>
      <c r="H285" s="37">
        <f>Table58[[#This Row],[Personal Consumption]]/Table58[[#This Row],[GDP]]</f>
        <v/>
      </c>
      <c r="I285" s="37">
        <f>Table58[[#This Row],[Private Investment]]/Table58[[#This Row],[GDP]]</f>
        <v/>
      </c>
      <c r="J285" s="37">
        <f>Table58[[#This Row],[Exports]]/Table58[[#This Row],[GDP]]</f>
        <v/>
      </c>
      <c r="K285" s="37">
        <f>-Table58[[#This Row],[Imports]]/Table58[[#This Row],[GDP]]</f>
        <v/>
      </c>
      <c r="L285" s="37">
        <f>Table58[[#This Row],[Government]]/Table58[[#This Row],[GDP]]</f>
        <v/>
      </c>
      <c r="N285" s="58">
        <f>SUM(Table58[[#This Row],[PC%]:[G%]])</f>
        <v/>
      </c>
      <c r="O285" s="25">
        <f>Table58[[#This Row],[Personal Consumption]]+Table58[[#This Row],[Private Investment]]+Table58[[#This Row],[Exports]]+Table58[[#This Row],[Government]]-Table58[[#This Row],[Imports]]</f>
        <v/>
      </c>
    </row>
    <row r="286">
      <c r="A286" s="45" t="n">
        <v>42736</v>
      </c>
      <c r="B286" s="63">
        <f>VLOOKUP(A286,'U.S. GDP'!A:B,2,)</f>
        <v/>
      </c>
      <c r="C286" s="63">
        <f>VLOOKUP(A286,PersonalConsumption!A:B,2,)</f>
        <v/>
      </c>
      <c r="D286" s="63">
        <f>VLOOKUP(A286,PrivateInvestment!A:B,2,)</f>
        <v/>
      </c>
      <c r="E286" s="63">
        <f>VLOOKUP(A286,Exports!A:B,2,)</f>
        <v/>
      </c>
      <c r="F286" s="63">
        <f>VLOOKUP(A286,Imports!A:B,2,)</f>
        <v/>
      </c>
      <c r="G286" s="46">
        <f>VLOOKUP(A286,Government!A:B,2,)</f>
        <v/>
      </c>
      <c r="H286" s="37">
        <f>Table58[[#This Row],[Personal Consumption]]/Table58[[#This Row],[GDP]]</f>
        <v/>
      </c>
      <c r="I286" s="37">
        <f>Table58[[#This Row],[Private Investment]]/Table58[[#This Row],[GDP]]</f>
        <v/>
      </c>
      <c r="J286" s="37">
        <f>Table58[[#This Row],[Exports]]/Table58[[#This Row],[GDP]]</f>
        <v/>
      </c>
      <c r="K286" s="37">
        <f>-Table58[[#This Row],[Imports]]/Table58[[#This Row],[GDP]]</f>
        <v/>
      </c>
      <c r="L286" s="37">
        <f>Table58[[#This Row],[Government]]/Table58[[#This Row],[GDP]]</f>
        <v/>
      </c>
      <c r="N286" s="58">
        <f>SUM(Table58[[#This Row],[PC%]:[G%]])</f>
        <v/>
      </c>
      <c r="O286" s="25">
        <f>Table58[[#This Row],[Personal Consumption]]+Table58[[#This Row],[Private Investment]]+Table58[[#This Row],[Exports]]+Table58[[#This Row],[Government]]-Table58[[#This Row],[Imports]]</f>
        <v/>
      </c>
    </row>
    <row r="287">
      <c r="A287" s="45" t="n">
        <v>42826</v>
      </c>
      <c r="B287" s="63">
        <f>VLOOKUP(A287,'U.S. GDP'!A:B,2,)</f>
        <v/>
      </c>
      <c r="C287" s="63">
        <f>VLOOKUP(A287,PersonalConsumption!A:B,2,)</f>
        <v/>
      </c>
      <c r="D287" s="63">
        <f>VLOOKUP(A287,PrivateInvestment!A:B,2,)</f>
        <v/>
      </c>
      <c r="E287" s="63">
        <f>VLOOKUP(A287,Exports!A:B,2,)</f>
        <v/>
      </c>
      <c r="F287" s="63">
        <f>VLOOKUP(A287,Imports!A:B,2,)</f>
        <v/>
      </c>
      <c r="G287" s="46">
        <f>VLOOKUP(A287,Government!A:B,2,)</f>
        <v/>
      </c>
      <c r="H287" s="37">
        <f>Table58[[#This Row],[Personal Consumption]]/Table58[[#This Row],[GDP]]</f>
        <v/>
      </c>
      <c r="I287" s="37">
        <f>Table58[[#This Row],[Private Investment]]/Table58[[#This Row],[GDP]]</f>
        <v/>
      </c>
      <c r="J287" s="37">
        <f>Table58[[#This Row],[Exports]]/Table58[[#This Row],[GDP]]</f>
        <v/>
      </c>
      <c r="K287" s="37">
        <f>-Table58[[#This Row],[Imports]]/Table58[[#This Row],[GDP]]</f>
        <v/>
      </c>
      <c r="L287" s="37">
        <f>Table58[[#This Row],[Government]]/Table58[[#This Row],[GDP]]</f>
        <v/>
      </c>
      <c r="N287" s="58">
        <f>SUM(Table58[[#This Row],[PC%]:[G%]])</f>
        <v/>
      </c>
      <c r="O287" s="25">
        <f>Table58[[#This Row],[Personal Consumption]]+Table58[[#This Row],[Private Investment]]+Table58[[#This Row],[Exports]]+Table58[[#This Row],[Government]]-Table58[[#This Row],[Imports]]</f>
        <v/>
      </c>
    </row>
    <row r="288">
      <c r="A288" s="45" t="n">
        <v>42917</v>
      </c>
      <c r="B288" s="63">
        <f>VLOOKUP(A288,'U.S. GDP'!A:B,2,)</f>
        <v/>
      </c>
      <c r="C288" s="63">
        <f>VLOOKUP(A288,PersonalConsumption!A:B,2,)</f>
        <v/>
      </c>
      <c r="D288" s="63">
        <f>VLOOKUP(A288,PrivateInvestment!A:B,2,)</f>
        <v/>
      </c>
      <c r="E288" s="63">
        <f>VLOOKUP(A288,Exports!A:B,2,)</f>
        <v/>
      </c>
      <c r="F288" s="63">
        <f>VLOOKUP(A288,Imports!A:B,2,)</f>
        <v/>
      </c>
      <c r="G288" s="46">
        <f>VLOOKUP(A288,Government!A:B,2,)</f>
        <v/>
      </c>
      <c r="H288" s="37">
        <f>Table58[[#This Row],[Personal Consumption]]/Table58[[#This Row],[GDP]]</f>
        <v/>
      </c>
      <c r="I288" s="37">
        <f>Table58[[#This Row],[Private Investment]]/Table58[[#This Row],[GDP]]</f>
        <v/>
      </c>
      <c r="J288" s="37">
        <f>Table58[[#This Row],[Exports]]/Table58[[#This Row],[GDP]]</f>
        <v/>
      </c>
      <c r="K288" s="37">
        <f>-Table58[[#This Row],[Imports]]/Table58[[#This Row],[GDP]]</f>
        <v/>
      </c>
      <c r="L288" s="37">
        <f>Table58[[#This Row],[Government]]/Table58[[#This Row],[GDP]]</f>
        <v/>
      </c>
      <c r="N288" s="58">
        <f>SUM(Table58[[#This Row],[PC%]:[G%]])</f>
        <v/>
      </c>
      <c r="O288" s="25">
        <f>Table58[[#This Row],[Personal Consumption]]+Table58[[#This Row],[Private Investment]]+Table58[[#This Row],[Exports]]+Table58[[#This Row],[Government]]-Table58[[#This Row],[Imports]]</f>
        <v/>
      </c>
    </row>
    <row r="289">
      <c r="A289" s="45" t="n">
        <v>43009</v>
      </c>
      <c r="B289" s="63">
        <f>VLOOKUP(A289,'U.S. GDP'!A:B,2,)</f>
        <v/>
      </c>
      <c r="C289" s="63">
        <f>VLOOKUP(A289,PersonalConsumption!A:B,2,)</f>
        <v/>
      </c>
      <c r="D289" s="63">
        <f>VLOOKUP(A289,PrivateInvestment!A:B,2,)</f>
        <v/>
      </c>
      <c r="E289" s="63">
        <f>VLOOKUP(A289,Exports!A:B,2,)</f>
        <v/>
      </c>
      <c r="F289" s="63">
        <f>VLOOKUP(A289,Imports!A:B,2,)</f>
        <v/>
      </c>
      <c r="G289" s="46">
        <f>VLOOKUP(A289,Government!A:B,2,)</f>
        <v/>
      </c>
      <c r="H289" s="37">
        <f>Table58[[#This Row],[Personal Consumption]]/Table58[[#This Row],[GDP]]</f>
        <v/>
      </c>
      <c r="I289" s="37">
        <f>Table58[[#This Row],[Private Investment]]/Table58[[#This Row],[GDP]]</f>
        <v/>
      </c>
      <c r="J289" s="37">
        <f>Table58[[#This Row],[Exports]]/Table58[[#This Row],[GDP]]</f>
        <v/>
      </c>
      <c r="K289" s="37">
        <f>-Table58[[#This Row],[Imports]]/Table58[[#This Row],[GDP]]</f>
        <v/>
      </c>
      <c r="L289" s="37">
        <f>Table58[[#This Row],[Government]]/Table58[[#This Row],[GDP]]</f>
        <v/>
      </c>
      <c r="N289" s="58">
        <f>SUM(Table58[[#This Row],[PC%]:[G%]])</f>
        <v/>
      </c>
      <c r="O289" s="25">
        <f>Table58[[#This Row],[Personal Consumption]]+Table58[[#This Row],[Private Investment]]+Table58[[#This Row],[Exports]]+Table58[[#This Row],[Government]]-Table58[[#This Row],[Imports]]</f>
        <v/>
      </c>
    </row>
    <row r="290">
      <c r="A290" s="45" t="n">
        <v>43101</v>
      </c>
      <c r="B290" s="63">
        <f>VLOOKUP(A290,'U.S. GDP'!A:B,2,)</f>
        <v/>
      </c>
      <c r="C290" s="63">
        <f>VLOOKUP(A290,PersonalConsumption!A:B,2,)</f>
        <v/>
      </c>
      <c r="D290" s="63">
        <f>VLOOKUP(A290,PrivateInvestment!A:B,2,)</f>
        <v/>
      </c>
      <c r="E290" s="63">
        <f>VLOOKUP(A290,Exports!A:B,2,)</f>
        <v/>
      </c>
      <c r="F290" s="63">
        <f>VLOOKUP(A290,Imports!A:B,2,)</f>
        <v/>
      </c>
      <c r="G290" s="46">
        <f>VLOOKUP(A290,Government!A:B,2,)</f>
        <v/>
      </c>
      <c r="H290" s="37">
        <f>Table58[[#This Row],[Personal Consumption]]/Table58[[#This Row],[GDP]]</f>
        <v/>
      </c>
      <c r="I290" s="37">
        <f>Table58[[#This Row],[Private Investment]]/Table58[[#This Row],[GDP]]</f>
        <v/>
      </c>
      <c r="J290" s="37">
        <f>Table58[[#This Row],[Exports]]/Table58[[#This Row],[GDP]]</f>
        <v/>
      </c>
      <c r="K290" s="37">
        <f>-Table58[[#This Row],[Imports]]/Table58[[#This Row],[GDP]]</f>
        <v/>
      </c>
      <c r="L290" s="37">
        <f>Table58[[#This Row],[Government]]/Table58[[#This Row],[GDP]]</f>
        <v/>
      </c>
      <c r="N290" s="58">
        <f>SUM(Table58[[#This Row],[PC%]:[G%]])</f>
        <v/>
      </c>
      <c r="O290" s="25">
        <f>Table58[[#This Row],[Personal Consumption]]+Table58[[#This Row],[Private Investment]]+Table58[[#This Row],[Exports]]+Table58[[#This Row],[Government]]-Table58[[#This Row],[Imports]]</f>
        <v/>
      </c>
    </row>
    <row r="291">
      <c r="A291" s="45" t="n">
        <v>43191</v>
      </c>
      <c r="B291" s="63">
        <f>VLOOKUP(A291,'U.S. GDP'!A:B,2,)</f>
        <v/>
      </c>
      <c r="C291" s="63">
        <f>VLOOKUP(A291,PersonalConsumption!A:B,2,)</f>
        <v/>
      </c>
      <c r="D291" s="63">
        <f>VLOOKUP(A291,PrivateInvestment!A:B,2,)</f>
        <v/>
      </c>
      <c r="E291" s="63">
        <f>VLOOKUP(A291,Exports!A:B,2,)</f>
        <v/>
      </c>
      <c r="F291" s="63">
        <f>VLOOKUP(A291,Imports!A:B,2,)</f>
        <v/>
      </c>
      <c r="G291" s="46">
        <f>VLOOKUP(A291,Government!A:B,2,)</f>
        <v/>
      </c>
      <c r="H291" s="37">
        <f>Table58[[#This Row],[Personal Consumption]]/Table58[[#This Row],[GDP]]</f>
        <v/>
      </c>
      <c r="I291" s="37">
        <f>Table58[[#This Row],[Private Investment]]/Table58[[#This Row],[GDP]]</f>
        <v/>
      </c>
      <c r="J291" s="37">
        <f>Table58[[#This Row],[Exports]]/Table58[[#This Row],[GDP]]</f>
        <v/>
      </c>
      <c r="K291" s="37">
        <f>-Table58[[#This Row],[Imports]]/Table58[[#This Row],[GDP]]</f>
        <v/>
      </c>
      <c r="L291" s="37">
        <f>Table58[[#This Row],[Government]]/Table58[[#This Row],[GDP]]</f>
        <v/>
      </c>
      <c r="N291" s="58">
        <f>SUM(Table58[[#This Row],[PC%]:[G%]])</f>
        <v/>
      </c>
      <c r="O291" s="25">
        <f>Table58[[#This Row],[Personal Consumption]]+Table58[[#This Row],[Private Investment]]+Table58[[#This Row],[Exports]]+Table58[[#This Row],[Government]]-Table58[[#This Row],[Imports]]</f>
        <v/>
      </c>
    </row>
    <row r="292">
      <c r="A292" s="45" t="n">
        <v>43282</v>
      </c>
      <c r="B292" s="63">
        <f>VLOOKUP(A292,'U.S. GDP'!A:B,2,)</f>
        <v/>
      </c>
      <c r="C292" s="63">
        <f>VLOOKUP(A292,PersonalConsumption!A:B,2,)</f>
        <v/>
      </c>
      <c r="D292" s="63">
        <f>VLOOKUP(A292,PrivateInvestment!A:B,2,)</f>
        <v/>
      </c>
      <c r="E292" s="46">
        <f>VLOOKUP(A292,Exports!A:B,2,)</f>
        <v/>
      </c>
      <c r="F292" s="63">
        <f>VLOOKUP(A292,Imports!A:B,2,)</f>
        <v/>
      </c>
      <c r="G292" s="46">
        <f>VLOOKUP(A292,Government!A:B,2,)</f>
        <v/>
      </c>
      <c r="H292" s="37">
        <f>Table58[[#This Row],[Personal Consumption]]/Table58[[#This Row],[GDP]]</f>
        <v/>
      </c>
      <c r="I292" s="37">
        <f>Table58[[#This Row],[Private Investment]]/Table58[[#This Row],[GDP]]</f>
        <v/>
      </c>
      <c r="J292" s="37">
        <f>Table58[[#This Row],[Exports]]/Table58[[#This Row],[GDP]]</f>
        <v/>
      </c>
      <c r="K292" s="37">
        <f>-Table58[[#This Row],[Imports]]/Table58[[#This Row],[GDP]]</f>
        <v/>
      </c>
      <c r="L292" s="37">
        <f>Table58[[#This Row],[Government]]/Table58[[#This Row],[GDP]]</f>
        <v/>
      </c>
      <c r="N292" s="58">
        <f>SUM(Table58[[#This Row],[PC%]:[G%]])</f>
        <v/>
      </c>
      <c r="O292" s="25">
        <f>Table58[[#This Row],[Personal Consumption]]+Table58[[#This Row],[Private Investment]]+Table58[[#This Row],[Exports]]+Table58[[#This Row],[Government]]-Table58[[#This Row],[Imports]]</f>
        <v/>
      </c>
    </row>
    <row r="293">
      <c r="A293" s="45" t="n">
        <v>43374</v>
      </c>
      <c r="B293" s="63">
        <f>VLOOKUP(A293,'U.S. GDP'!A:B,2,)</f>
        <v/>
      </c>
      <c r="C293" s="63">
        <f>VLOOKUP(A293,PersonalConsumption!A:B,2,)</f>
        <v/>
      </c>
      <c r="D293" s="63">
        <f>VLOOKUP(A293,PrivateInvestment!A:B,2,)</f>
        <v/>
      </c>
      <c r="E293" s="63">
        <f>VLOOKUP(A293,Exports!A:B,2,)</f>
        <v/>
      </c>
      <c r="F293" s="63">
        <f>VLOOKUP(A293,Imports!A:B,2,)</f>
        <v/>
      </c>
      <c r="G293" s="46">
        <f>VLOOKUP(A293,Government!A:B,2,)</f>
        <v/>
      </c>
      <c r="H293" s="37">
        <f>Table58[[#This Row],[Personal Consumption]]/Table58[[#This Row],[GDP]]</f>
        <v/>
      </c>
      <c r="I293" s="37">
        <f>Table58[[#This Row],[Private Investment]]/Table58[[#This Row],[GDP]]</f>
        <v/>
      </c>
      <c r="J293" s="37">
        <f>Table58[[#This Row],[Exports]]/Table58[[#This Row],[GDP]]</f>
        <v/>
      </c>
      <c r="K293" s="37">
        <f>-Table58[[#This Row],[Imports]]/Table58[[#This Row],[GDP]]</f>
        <v/>
      </c>
      <c r="L293" s="37">
        <f>Table58[[#This Row],[Government]]/Table58[[#This Row],[GDP]]</f>
        <v/>
      </c>
      <c r="N293" s="58">
        <f>SUM(Table58[[#This Row],[PC%]:[G%]])</f>
        <v/>
      </c>
      <c r="O293" s="25">
        <f>Table58[[#This Row],[Personal Consumption]]+Table58[[#This Row],[Private Investment]]+Table58[[#This Row],[Exports]]+Table58[[#This Row],[Government]]-Table58[[#This Row],[Imports]]</f>
        <v/>
      </c>
    </row>
    <row r="294">
      <c r="A294" s="45" t="n">
        <v>43466</v>
      </c>
      <c r="B294" s="63">
        <f>VLOOKUP(A294,'U.S. GDP'!A:B,2,)</f>
        <v/>
      </c>
      <c r="C294" s="63">
        <f>VLOOKUP(A294,PersonalConsumption!A:B,2,)</f>
        <v/>
      </c>
      <c r="D294" s="63">
        <f>VLOOKUP(A294,PrivateInvestment!A:B,2,)</f>
        <v/>
      </c>
      <c r="E294" s="46">
        <f>VLOOKUP(A294,Exports!A:B,2,)</f>
        <v/>
      </c>
      <c r="F294" s="63">
        <f>VLOOKUP(A294,Imports!A:B,2,)</f>
        <v/>
      </c>
      <c r="G294" s="46">
        <f>VLOOKUP(A294,Government!A:B,2,)</f>
        <v/>
      </c>
      <c r="H294" s="37">
        <f>Table58[[#This Row],[Personal Consumption]]/Table58[[#This Row],[GDP]]</f>
        <v/>
      </c>
      <c r="I294" s="37">
        <f>Table58[[#This Row],[Private Investment]]/Table58[[#This Row],[GDP]]</f>
        <v/>
      </c>
      <c r="J294" s="37">
        <f>Table58[[#This Row],[Exports]]/Table58[[#This Row],[GDP]]</f>
        <v/>
      </c>
      <c r="K294" s="37">
        <f>-Table58[[#This Row],[Imports]]/Table58[[#This Row],[GDP]]</f>
        <v/>
      </c>
      <c r="L294" s="37">
        <f>Table58[[#This Row],[Government]]/Table58[[#This Row],[GDP]]</f>
        <v/>
      </c>
      <c r="N294" s="58">
        <f>SUM(Table58[[#This Row],[PC%]:[G%]])</f>
        <v/>
      </c>
      <c r="O294" s="25">
        <f>Table58[[#This Row],[Personal Consumption]]+Table58[[#This Row],[Private Investment]]+Table58[[#This Row],[Exports]]+Table58[[#This Row],[Government]]-Table58[[#This Row],[Imports]]</f>
        <v/>
      </c>
    </row>
    <row r="295">
      <c r="A295" s="45" t="n">
        <v>43556</v>
      </c>
      <c r="B295" s="63">
        <f>VLOOKUP(A295,'U.S. GDP'!A:B,2,)</f>
        <v/>
      </c>
      <c r="C295" s="63">
        <f>VLOOKUP(A295,PersonalConsumption!A:B,2,)</f>
        <v/>
      </c>
      <c r="D295" s="63">
        <f>VLOOKUP(A295,PrivateInvestment!A:B,2,)</f>
        <v/>
      </c>
      <c r="E295" s="63">
        <f>VLOOKUP(A295,Exports!A:B,2,)</f>
        <v/>
      </c>
      <c r="F295" s="63">
        <f>VLOOKUP(A295,Imports!A:B,2,)</f>
        <v/>
      </c>
      <c r="G295" s="46">
        <f>VLOOKUP(A295,Government!A:B,2,)</f>
        <v/>
      </c>
      <c r="H295" s="37">
        <f>Table58[[#This Row],[Personal Consumption]]/Table58[[#This Row],[GDP]]</f>
        <v/>
      </c>
      <c r="I295" s="37">
        <f>Table58[[#This Row],[Private Investment]]/Table58[[#This Row],[GDP]]</f>
        <v/>
      </c>
      <c r="J295" s="37">
        <f>Table58[[#This Row],[Exports]]/Table58[[#This Row],[GDP]]</f>
        <v/>
      </c>
      <c r="K295" s="37">
        <f>-Table58[[#This Row],[Imports]]/Table58[[#This Row],[GDP]]</f>
        <v/>
      </c>
      <c r="L295" s="37">
        <f>Table58[[#This Row],[Government]]/Table58[[#This Row],[GDP]]</f>
        <v/>
      </c>
      <c r="N295" s="58">
        <f>SUM(Table58[[#This Row],[PC%]:[G%]])</f>
        <v/>
      </c>
      <c r="O295" s="25">
        <f>Table58[[#This Row],[Personal Consumption]]+Table58[[#This Row],[Private Investment]]+Table58[[#This Row],[Exports]]+Table58[[#This Row],[Government]]-Table58[[#This Row],[Imports]]</f>
        <v/>
      </c>
    </row>
    <row r="296">
      <c r="A296" s="45" t="n">
        <v>43647</v>
      </c>
      <c r="B296" s="63">
        <f>VLOOKUP(A296,'U.S. GDP'!A:B,2,)</f>
        <v/>
      </c>
      <c r="C296" s="63">
        <f>VLOOKUP(A296,PersonalConsumption!A:B,2,)</f>
        <v/>
      </c>
      <c r="D296" s="63">
        <f>VLOOKUP(A296,PrivateInvestment!A:B,2,)</f>
        <v/>
      </c>
      <c r="E296" s="46">
        <f>VLOOKUP(A296,Exports!A:B,2,)</f>
        <v/>
      </c>
      <c r="F296" s="63">
        <f>VLOOKUP(A296,Imports!A:B,2,)</f>
        <v/>
      </c>
      <c r="G296" s="46">
        <f>VLOOKUP(A296,Government!A:B,2,)</f>
        <v/>
      </c>
      <c r="H296" s="37">
        <f>Table58[[#This Row],[Personal Consumption]]/Table58[[#This Row],[GDP]]</f>
        <v/>
      </c>
      <c r="I296" s="37">
        <f>Table58[[#This Row],[Private Investment]]/Table58[[#This Row],[GDP]]</f>
        <v/>
      </c>
      <c r="J296" s="37">
        <f>Table58[[#This Row],[Exports]]/Table58[[#This Row],[GDP]]</f>
        <v/>
      </c>
      <c r="K296" s="37">
        <f>-Table58[[#This Row],[Imports]]/Table58[[#This Row],[GDP]]</f>
        <v/>
      </c>
      <c r="L296" s="37">
        <f>Table58[[#This Row],[Government]]/Table58[[#This Row],[GDP]]</f>
        <v/>
      </c>
      <c r="N296" s="58">
        <f>SUM(Table58[[#This Row],[PC%]:[G%]])</f>
        <v/>
      </c>
      <c r="O296" s="25">
        <f>Table58[[#This Row],[Personal Consumption]]+Table58[[#This Row],[Private Investment]]+Table58[[#This Row],[Exports]]+Table58[[#This Row],[Government]]-Table58[[#This Row],[Imports]]</f>
        <v/>
      </c>
    </row>
    <row r="297">
      <c r="A297" s="45" t="n">
        <v>43739</v>
      </c>
      <c r="B297" s="63">
        <f>VLOOKUP(A297,'U.S. GDP'!A:B,2,)</f>
        <v/>
      </c>
      <c r="C297" s="63">
        <f>VLOOKUP(A297,PersonalConsumption!A:B,2,)</f>
        <v/>
      </c>
      <c r="D297" s="63">
        <f>VLOOKUP(A297,PrivateInvestment!A:B,2,)</f>
        <v/>
      </c>
      <c r="E297" s="63">
        <f>VLOOKUP(A297,Exports!A:B,2,)</f>
        <v/>
      </c>
      <c r="F297" s="63">
        <f>VLOOKUP(A297,Imports!A:B,2,)</f>
        <v/>
      </c>
      <c r="G297" s="46">
        <f>VLOOKUP(A297,Government!A:B,2,)</f>
        <v/>
      </c>
      <c r="H297" s="37">
        <f>Table58[[#This Row],[Personal Consumption]]/Table58[[#This Row],[GDP]]</f>
        <v/>
      </c>
      <c r="I297" s="37">
        <f>Table58[[#This Row],[Private Investment]]/Table58[[#This Row],[GDP]]</f>
        <v/>
      </c>
      <c r="J297" s="37">
        <f>Table58[[#This Row],[Exports]]/Table58[[#This Row],[GDP]]</f>
        <v/>
      </c>
      <c r="K297" s="37">
        <f>-Table58[[#This Row],[Imports]]/Table58[[#This Row],[GDP]]</f>
        <v/>
      </c>
      <c r="L297" s="37">
        <f>Table58[[#This Row],[Government]]/Table58[[#This Row],[GDP]]</f>
        <v/>
      </c>
      <c r="N297" s="58">
        <f>SUM(Table58[[#This Row],[PC%]:[G%]])</f>
        <v/>
      </c>
      <c r="O297" s="25">
        <f>Table58[[#This Row],[Personal Consumption]]+Table58[[#This Row],[Private Investment]]+Table58[[#This Row],[Exports]]+Table58[[#This Row],[Government]]-Table58[[#This Row],[Imports]]</f>
        <v/>
      </c>
    </row>
    <row r="298">
      <c r="A298" s="45" t="n">
        <v>43831</v>
      </c>
      <c r="B298" s="63">
        <f>VLOOKUP(A298,'U.S. GDP'!A:B,2,)</f>
        <v/>
      </c>
      <c r="C298" s="63">
        <f>VLOOKUP(A298,PersonalConsumption!A:B,2,)</f>
        <v/>
      </c>
      <c r="D298" s="63">
        <f>VLOOKUP(A298,PrivateInvestment!A:B,2,)</f>
        <v/>
      </c>
      <c r="E298" s="46">
        <f>VLOOKUP(A298,Exports!A:B,2,)</f>
        <v/>
      </c>
      <c r="F298" s="63">
        <f>VLOOKUP(A298,Imports!A:B,2,)</f>
        <v/>
      </c>
      <c r="G298" s="46">
        <f>VLOOKUP(A298,Government!A:B,2,)</f>
        <v/>
      </c>
      <c r="H298" s="37">
        <f>Table58[[#This Row],[Personal Consumption]]/Table58[[#This Row],[GDP]]</f>
        <v/>
      </c>
      <c r="I298" s="37">
        <f>Table58[[#This Row],[Private Investment]]/Table58[[#This Row],[GDP]]</f>
        <v/>
      </c>
      <c r="J298" s="37">
        <f>Table58[[#This Row],[Exports]]/Table58[[#This Row],[GDP]]</f>
        <v/>
      </c>
      <c r="K298" s="37">
        <f>-Table58[[#This Row],[Imports]]/Table58[[#This Row],[GDP]]</f>
        <v/>
      </c>
      <c r="L298" s="37">
        <f>Table58[[#This Row],[Government]]/Table58[[#This Row],[GDP]]</f>
        <v/>
      </c>
      <c r="N298" s="58">
        <f>SUM(Table58[[#This Row],[PC%]:[G%]])</f>
        <v/>
      </c>
      <c r="O298" s="25">
        <f>Table58[[#This Row],[Personal Consumption]]+Table58[[#This Row],[Private Investment]]+Table58[[#This Row],[Exports]]+Table58[[#This Row],[Government]]-Table58[[#This Row],[Imports]]</f>
        <v/>
      </c>
    </row>
    <row r="299">
      <c r="A299" s="45" t="n">
        <v>43922</v>
      </c>
      <c r="B299" s="63">
        <f>VLOOKUP(A299,'U.S. GDP'!A:B,2,)</f>
        <v/>
      </c>
      <c r="C299" s="63">
        <f>VLOOKUP(A299,PersonalConsumption!A:B,2,)</f>
        <v/>
      </c>
      <c r="D299" s="63">
        <f>VLOOKUP(A299,PrivateInvestment!A:B,2,)</f>
        <v/>
      </c>
      <c r="E299" s="63">
        <f>VLOOKUP(A299,Exports!A:B,2,)</f>
        <v/>
      </c>
      <c r="F299" s="63">
        <f>VLOOKUP(A299,Imports!A:B,2,)</f>
        <v/>
      </c>
      <c r="G299" s="46">
        <f>VLOOKUP(A299,Government!A:B,2,)</f>
        <v/>
      </c>
      <c r="H299" s="37">
        <f>Table58[[#This Row],[Personal Consumption]]/Table58[[#This Row],[GDP]]</f>
        <v/>
      </c>
      <c r="I299" s="37">
        <f>Table58[[#This Row],[Private Investment]]/Table58[[#This Row],[GDP]]</f>
        <v/>
      </c>
      <c r="J299" s="37">
        <f>Table58[[#This Row],[Exports]]/Table58[[#This Row],[GDP]]</f>
        <v/>
      </c>
      <c r="K299" s="37">
        <f>-Table58[[#This Row],[Imports]]/Table58[[#This Row],[GDP]]</f>
        <v/>
      </c>
      <c r="L299" s="37">
        <f>Table58[[#This Row],[Government]]/Table58[[#This Row],[GDP]]</f>
        <v/>
      </c>
      <c r="N299" s="58">
        <f>SUM(Table58[[#This Row],[PC%]:[G%]])</f>
        <v/>
      </c>
      <c r="O299" s="25">
        <f>Table58[[#This Row],[Personal Consumption]]+Table58[[#This Row],[Private Investment]]+Table58[[#This Row],[Exports]]+Table58[[#This Row],[Government]]-Table58[[#This Row],[Imports]]</f>
        <v/>
      </c>
    </row>
    <row r="300">
      <c r="A300" s="45" t="n">
        <v>44013</v>
      </c>
      <c r="B300" s="63">
        <f>VLOOKUP(A300,'U.S. GDP'!A:B,2,)</f>
        <v/>
      </c>
      <c r="C300" s="63">
        <f>VLOOKUP(A300,PersonalConsumption!A:B,2,)</f>
        <v/>
      </c>
      <c r="D300" s="63">
        <f>VLOOKUP(A300,PrivateInvestment!A:B,2,)</f>
        <v/>
      </c>
      <c r="E300" s="46">
        <f>VLOOKUP(A300,Exports!A:B,2,)</f>
        <v/>
      </c>
      <c r="F300" s="63">
        <f>VLOOKUP(A300,Imports!A:B,2,)</f>
        <v/>
      </c>
      <c r="G300" s="46">
        <f>VLOOKUP(A300,Government!A:B,2,)</f>
        <v/>
      </c>
      <c r="H300" s="37">
        <f>Table58[[#This Row],[Personal Consumption]]/Table58[[#This Row],[GDP]]</f>
        <v/>
      </c>
      <c r="I300" s="37">
        <f>Table58[[#This Row],[Private Investment]]/Table58[[#This Row],[GDP]]</f>
        <v/>
      </c>
      <c r="J300" s="37">
        <f>Table58[[#This Row],[Exports]]/Table58[[#This Row],[GDP]]</f>
        <v/>
      </c>
      <c r="K300" s="37">
        <f>-Table58[[#This Row],[Imports]]/Table58[[#This Row],[GDP]]</f>
        <v/>
      </c>
      <c r="L300" s="37">
        <f>Table58[[#This Row],[Government]]/Table58[[#This Row],[GDP]]</f>
        <v/>
      </c>
      <c r="N300" s="58">
        <f>SUM(Table58[[#This Row],[PC%]:[G%]])</f>
        <v/>
      </c>
      <c r="O300" s="25">
        <f>Table58[[#This Row],[Personal Consumption]]+Table58[[#This Row],[Private Investment]]+Table58[[#This Row],[Exports]]+Table58[[#This Row],[Government]]-Table58[[#This Row],[Imports]]</f>
        <v/>
      </c>
    </row>
    <row r="301">
      <c r="A301" s="45" t="n">
        <v>44105</v>
      </c>
      <c r="B301" s="63">
        <f>VLOOKUP(A301,'U.S. GDP'!A:B,2,)</f>
        <v/>
      </c>
      <c r="C301" s="63">
        <f>VLOOKUP(A301,PersonalConsumption!A:B,2,)</f>
        <v/>
      </c>
      <c r="D301" s="63">
        <f>VLOOKUP(A301,PrivateInvestment!A:B,2,)</f>
        <v/>
      </c>
      <c r="E301" s="63">
        <f>VLOOKUP(A301,Exports!A:B,2,)</f>
        <v/>
      </c>
      <c r="F301" s="63">
        <f>VLOOKUP(A301,Imports!A:B,2,)</f>
        <v/>
      </c>
      <c r="G301" s="46">
        <f>VLOOKUP(A301,Government!A:B,2,)</f>
        <v/>
      </c>
      <c r="H301" s="37">
        <f>Table58[[#This Row],[Personal Consumption]]/Table58[[#This Row],[GDP]]</f>
        <v/>
      </c>
      <c r="I301" s="37">
        <f>Table58[[#This Row],[Private Investment]]/Table58[[#This Row],[GDP]]</f>
        <v/>
      </c>
      <c r="J301" s="37">
        <f>Table58[[#This Row],[Exports]]/Table58[[#This Row],[GDP]]</f>
        <v/>
      </c>
      <c r="K301" s="37">
        <f>-Table58[[#This Row],[Imports]]/Table58[[#This Row],[GDP]]</f>
        <v/>
      </c>
      <c r="L301" s="37">
        <f>Table58[[#This Row],[Government]]/Table58[[#This Row],[GDP]]</f>
        <v/>
      </c>
      <c r="N301" s="58">
        <f>SUM(Table58[[#This Row],[PC%]:[G%]])</f>
        <v/>
      </c>
      <c r="O301" s="25">
        <f>Table58[[#This Row],[Personal Consumption]]+Table58[[#This Row],[Private Investment]]+Table58[[#This Row],[Exports]]+Table58[[#This Row],[Government]]-Table58[[#This Row],[Imports]]</f>
        <v/>
      </c>
    </row>
    <row r="302">
      <c r="A302" s="45" t="n">
        <v>44197</v>
      </c>
      <c r="B302" s="63">
        <f>VLOOKUP(A302,'U.S. GDP'!A:B,2,)</f>
        <v/>
      </c>
      <c r="C302" s="63">
        <f>VLOOKUP(A302,PersonalConsumption!A:B,2,)</f>
        <v/>
      </c>
      <c r="D302" s="63">
        <f>VLOOKUP(A302,PrivateInvestment!A:B,2,)</f>
        <v/>
      </c>
      <c r="E302" s="46">
        <f>VLOOKUP(A302,Exports!A:B,2,)</f>
        <v/>
      </c>
      <c r="F302" s="63">
        <f>VLOOKUP(A302,Imports!A:B,2,)</f>
        <v/>
      </c>
      <c r="G302" s="46">
        <f>VLOOKUP(A302,Government!A:B,2,)</f>
        <v/>
      </c>
      <c r="H302" s="37">
        <f>Table58[[#This Row],[Personal Consumption]]/Table58[[#This Row],[GDP]]</f>
        <v/>
      </c>
      <c r="I302" s="37">
        <f>Table58[[#This Row],[Private Investment]]/Table58[[#This Row],[GDP]]</f>
        <v/>
      </c>
      <c r="J302" s="37">
        <f>Table58[[#This Row],[Exports]]/Table58[[#This Row],[GDP]]</f>
        <v/>
      </c>
      <c r="K302" s="37">
        <f>-Table58[[#This Row],[Imports]]/Table58[[#This Row],[GDP]]</f>
        <v/>
      </c>
      <c r="L302" s="37">
        <f>Table58[[#This Row],[Government]]/Table58[[#This Row],[GDP]]</f>
        <v/>
      </c>
      <c r="N302" s="58">
        <f>SUM(Table58[[#This Row],[PC%]:[G%]])</f>
        <v/>
      </c>
      <c r="O302" s="25">
        <f>Table58[[#This Row],[Personal Consumption]]+Table58[[#This Row],[Private Investment]]+Table58[[#This Row],[Exports]]+Table58[[#This Row],[Government]]-Table58[[#This Row],[Imports]]</f>
        <v/>
      </c>
    </row>
    <row r="303">
      <c r="A303" s="45" t="n">
        <v>44287</v>
      </c>
      <c r="B303" s="63">
        <f>VLOOKUP(A303,'U.S. GDP'!A:B,2,)</f>
        <v/>
      </c>
      <c r="C303" s="63">
        <f>VLOOKUP(A303,PersonalConsumption!A:B,2,)</f>
        <v/>
      </c>
      <c r="D303" s="63">
        <f>VLOOKUP(A303,PrivateInvestment!A:B,2,)</f>
        <v/>
      </c>
      <c r="E303" s="63">
        <f>VLOOKUP(A303,Exports!A:B,2,)</f>
        <v/>
      </c>
      <c r="F303" s="63">
        <f>VLOOKUP(A303,Imports!A:B,2,)</f>
        <v/>
      </c>
      <c r="G303" s="46">
        <f>VLOOKUP(A303,Government!A:B,2,)</f>
        <v/>
      </c>
      <c r="H303" s="37">
        <f>Table58[[#This Row],[Personal Consumption]]/Table58[[#This Row],[GDP]]</f>
        <v/>
      </c>
      <c r="I303" s="37">
        <f>Table58[[#This Row],[Private Investment]]/Table58[[#This Row],[GDP]]</f>
        <v/>
      </c>
      <c r="J303" s="37">
        <f>Table58[[#This Row],[Exports]]/Table58[[#This Row],[GDP]]</f>
        <v/>
      </c>
      <c r="K303" s="37">
        <f>-Table58[[#This Row],[Imports]]/Table58[[#This Row],[GDP]]</f>
        <v/>
      </c>
      <c r="L303" s="37">
        <f>Table58[[#This Row],[Government]]/Table58[[#This Row],[GDP]]</f>
        <v/>
      </c>
      <c r="N303" s="58">
        <f>SUM(Table58[[#This Row],[PC%]:[G%]])</f>
        <v/>
      </c>
      <c r="O303" s="25">
        <f>Table58[[#This Row],[Personal Consumption]]+Table58[[#This Row],[Private Investment]]+Table58[[#This Row],[Exports]]+Table58[[#This Row],[Government]]-Table58[[#This Row],[Imports]]</f>
        <v/>
      </c>
    </row>
    <row r="304">
      <c r="A304" s="45" t="n">
        <v>44378</v>
      </c>
      <c r="B304" s="63">
        <f>VLOOKUP(A304,'U.S. GDP'!A:B,2,)</f>
        <v/>
      </c>
      <c r="C304" s="63">
        <f>VLOOKUP(A304,PersonalConsumption!A:B,2,)</f>
        <v/>
      </c>
      <c r="D304" s="63">
        <f>VLOOKUP(A304,PrivateInvestment!A:B,2,)</f>
        <v/>
      </c>
      <c r="E304" s="46">
        <f>VLOOKUP(A304,Exports!A:B,2,)</f>
        <v/>
      </c>
      <c r="F304" s="63">
        <f>VLOOKUP(A304,Imports!A:B,2,)</f>
        <v/>
      </c>
      <c r="G304" s="46">
        <f>VLOOKUP(A304,Government!A:B,2,)</f>
        <v/>
      </c>
      <c r="H304" s="37">
        <f>Table58[[#This Row],[Personal Consumption]]/Table58[[#This Row],[GDP]]</f>
        <v/>
      </c>
      <c r="I304" s="37">
        <f>Table58[[#This Row],[Private Investment]]/Table58[[#This Row],[GDP]]</f>
        <v/>
      </c>
      <c r="J304" s="37">
        <f>Table58[[#This Row],[Exports]]/Table58[[#This Row],[GDP]]</f>
        <v/>
      </c>
      <c r="K304" s="37">
        <f>-Table58[[#This Row],[Imports]]/Table58[[#This Row],[GDP]]</f>
        <v/>
      </c>
      <c r="L304" s="37">
        <f>Table58[[#This Row],[Government]]/Table58[[#This Row],[GDP]]</f>
        <v/>
      </c>
      <c r="N304" s="58">
        <f>SUM(Table58[[#This Row],[PC%]:[G%]])</f>
        <v/>
      </c>
      <c r="O304" s="25">
        <f>Table58[[#This Row],[Personal Consumption]]+Table58[[#This Row],[Private Investment]]+Table58[[#This Row],[Exports]]+Table58[[#This Row],[Government]]-Table58[[#This Row],[Imports]]</f>
        <v/>
      </c>
    </row>
    <row r="305">
      <c r="A305" s="45" t="n">
        <v>44470</v>
      </c>
      <c r="B305" s="63">
        <f>VLOOKUP(A305,'U.S. GDP'!A:B,2,)</f>
        <v/>
      </c>
      <c r="C305" s="63">
        <f>VLOOKUP(A305,PersonalConsumption!A:B,2,)</f>
        <v/>
      </c>
      <c r="D305" s="63">
        <f>VLOOKUP(A305,PrivateInvestment!A:B,2,)</f>
        <v/>
      </c>
      <c r="E305" s="63">
        <f>VLOOKUP(A305,Exports!A:B,2,)</f>
        <v/>
      </c>
      <c r="F305" s="63">
        <f>VLOOKUP(A305,Imports!A:B,2,)</f>
        <v/>
      </c>
      <c r="G305" s="46">
        <f>VLOOKUP(A305,Government!A:B,2,)</f>
        <v/>
      </c>
      <c r="H305" s="37">
        <f>Table58[[#This Row],[Personal Consumption]]/Table58[[#This Row],[GDP]]</f>
        <v/>
      </c>
      <c r="I305" s="37">
        <f>Table58[[#This Row],[Private Investment]]/Table58[[#This Row],[GDP]]</f>
        <v/>
      </c>
      <c r="J305" s="37">
        <f>Table58[[#This Row],[Exports]]/Table58[[#This Row],[GDP]]</f>
        <v/>
      </c>
      <c r="K305" s="37">
        <f>-Table58[[#This Row],[Imports]]/Table58[[#This Row],[GDP]]</f>
        <v/>
      </c>
      <c r="L305" s="37">
        <f>Table58[[#This Row],[Government]]/Table58[[#This Row],[GDP]]</f>
        <v/>
      </c>
      <c r="N305" s="58">
        <f>SUM(Table58[[#This Row],[PC%]:[G%]])</f>
        <v/>
      </c>
      <c r="O305" s="25">
        <f>Table58[[#This Row],[Personal Consumption]]+Table58[[#This Row],[Private Investment]]+Table58[[#This Row],[Exports]]+Table58[[#This Row],[Government]]-Table58[[#This Row],[Imports]]</f>
        <v/>
      </c>
    </row>
    <row r="306">
      <c r="A306" s="45" t="n">
        <v>44562</v>
      </c>
      <c r="B306" s="63">
        <f>VLOOKUP(A306,'U.S. GDP'!A:B,2,)</f>
        <v/>
      </c>
      <c r="C306" s="63">
        <f>VLOOKUP(A306,PersonalConsumption!A:B,2,)</f>
        <v/>
      </c>
      <c r="D306" s="63">
        <f>VLOOKUP(A306,PrivateInvestment!A:B,2,)</f>
        <v/>
      </c>
      <c r="E306" s="63">
        <f>VLOOKUP(A306,Exports!A:B,2,)</f>
        <v/>
      </c>
      <c r="F306" s="63">
        <f>VLOOKUP(A306,Imports!A:B,2,)</f>
        <v/>
      </c>
      <c r="G306" s="46">
        <f>VLOOKUP(A306,Government!A:B,2,)</f>
        <v/>
      </c>
      <c r="H306" s="37">
        <f>Table58[[#This Row],[Personal Consumption]]/Table58[[#This Row],[GDP]]</f>
        <v/>
      </c>
      <c r="I306" s="37">
        <f>Table58[[#This Row],[Private Investment]]/Table58[[#This Row],[GDP]]</f>
        <v/>
      </c>
      <c r="J306" s="37">
        <f>Table58[[#This Row],[Exports]]/Table58[[#This Row],[GDP]]</f>
        <v/>
      </c>
      <c r="K306" s="37">
        <f>-Table58[[#This Row],[Imports]]/Table58[[#This Row],[GDP]]</f>
        <v/>
      </c>
      <c r="L306" s="37">
        <f>Table58[[#This Row],[Government]]/Table58[[#This Row],[GDP]]</f>
        <v/>
      </c>
      <c r="N306" s="58">
        <f>SUM(Table58[[#This Row],[PC%]:[G%]])</f>
        <v/>
      </c>
      <c r="O306" s="25">
        <f>Table58[[#This Row],[Personal Consumption]]+Table58[[#This Row],[Private Investment]]+Table58[[#This Row],[Exports]]+Table58[[#This Row],[Government]]-Table58[[#This Row],[Imports]]</f>
        <v/>
      </c>
    </row>
    <row r="307">
      <c r="A307" s="45" t="n">
        <v>44652</v>
      </c>
      <c r="B307" s="63">
        <f>VLOOKUP(A307,'U.S. GDP'!A:B,2,)</f>
        <v/>
      </c>
      <c r="C307" s="63">
        <f>VLOOKUP(A307,PersonalConsumption!A:B,2,)</f>
        <v/>
      </c>
      <c r="D307" s="63">
        <f>VLOOKUP(A307,PrivateInvestment!A:B,2,)</f>
        <v/>
      </c>
      <c r="E307" s="63">
        <f>VLOOKUP(A307,Exports!A:B,2,)</f>
        <v/>
      </c>
      <c r="F307" s="63">
        <f>VLOOKUP(A307,Imports!A:B,2,)</f>
        <v/>
      </c>
      <c r="G307" s="46">
        <f>VLOOKUP(A307,Government!A:B,2,)</f>
        <v/>
      </c>
      <c r="H307" s="37">
        <f>Table58[[#This Row],[Personal Consumption]]/Table58[[#This Row],[GDP]]</f>
        <v/>
      </c>
      <c r="I307" s="37">
        <f>Table58[[#This Row],[Private Investment]]/Table58[[#This Row],[GDP]]</f>
        <v/>
      </c>
      <c r="J307" s="37">
        <f>Table58[[#This Row],[Exports]]/Table58[[#This Row],[GDP]]</f>
        <v/>
      </c>
      <c r="K307" s="37">
        <f>-Table58[[#This Row],[Imports]]/Table58[[#This Row],[GDP]]</f>
        <v/>
      </c>
      <c r="L307" s="37">
        <f>Table58[[#This Row],[Government]]/Table58[[#This Row],[GDP]]</f>
        <v/>
      </c>
      <c r="N307" s="58">
        <f>SUM(Table58[[#This Row],[PC%]:[G%]])</f>
        <v/>
      </c>
      <c r="O307" s="25">
        <f>Table58[[#This Row],[Personal Consumption]]+Table58[[#This Row],[Private Investment]]+Table58[[#This Row],[Exports]]+Table58[[#This Row],[Government]]-Table58[[#This Row],[Imports]]</f>
        <v/>
      </c>
    </row>
    <row r="308">
      <c r="A308" s="45" t="n">
        <v>44743</v>
      </c>
      <c r="B308" s="63">
        <f>VLOOKUP(A308,'U.S. GDP'!A:B,2,)</f>
        <v/>
      </c>
      <c r="C308" s="63">
        <f>VLOOKUP(A308,PersonalConsumption!A:B,2,)</f>
        <v/>
      </c>
      <c r="D308" s="63">
        <f>VLOOKUP(A308,PrivateInvestment!A:B,2,)</f>
        <v/>
      </c>
      <c r="E308" s="46">
        <f>VLOOKUP(A308,Exports!A:B,2,)</f>
        <v/>
      </c>
      <c r="F308" s="63">
        <f>VLOOKUP(A308,Imports!A:B,2,)</f>
        <v/>
      </c>
      <c r="G308" s="46">
        <f>VLOOKUP(A308,Government!A:B,2,)</f>
        <v/>
      </c>
      <c r="H308" s="37">
        <f>Table58[[#This Row],[Personal Consumption]]/Table58[[#This Row],[GDP]]</f>
        <v/>
      </c>
      <c r="I308" s="37">
        <f>Table58[[#This Row],[Private Investment]]/Table58[[#This Row],[GDP]]</f>
        <v/>
      </c>
      <c r="J308" s="37">
        <f>Table58[[#This Row],[Exports]]/Table58[[#This Row],[GDP]]</f>
        <v/>
      </c>
      <c r="K308" s="37">
        <f>-Table58[[#This Row],[Imports]]/Table58[[#This Row],[GDP]]</f>
        <v/>
      </c>
      <c r="L308" s="37">
        <f>Table58[[#This Row],[Government]]/Table58[[#This Row],[GDP]]</f>
        <v/>
      </c>
      <c r="N308" s="58">
        <f>SUM(Table58[[#This Row],[PC%]:[G%]])</f>
        <v/>
      </c>
      <c r="O308" s="25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8"/>
  <sheetViews>
    <sheetView zoomScale="150" zoomScaleNormal="150" workbookViewId="0">
      <pane ySplit="5" topLeftCell="A300" activePane="bottomLeft" state="frozen"/>
      <selection pane="bottomLeft" activeCell="I303" sqref="I303"/>
    </sheetView>
  </sheetViews>
  <sheetFormatPr baseColWidth="8" defaultColWidth="10.9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</cols>
  <sheetData>
    <row r="1" ht="16" customHeight="1">
      <c r="A1" s="72" t="inlineStr">
        <is>
          <t>PCECC96</t>
        </is>
      </c>
      <c r="B1" s="68" t="n"/>
      <c r="C1" s="18" t="n"/>
      <c r="D1" s="19" t="n"/>
      <c r="E1" s="19" t="n"/>
      <c r="F1" s="80" t="n"/>
      <c r="G1" s="80" t="n"/>
      <c r="H1" s="80" t="n"/>
      <c r="I1" s="80" t="n"/>
      <c r="J1" s="80" t="n"/>
      <c r="K1" s="80" t="n"/>
      <c r="L1" s="84" t="inlineStr">
        <is>
          <t>https://fred.stlouisfed.org/series/PCECC96</t>
        </is>
      </c>
      <c r="M1" s="80" t="n"/>
      <c r="N1" s="80" t="n"/>
      <c r="O1" s="80" t="n"/>
    </row>
    <row r="2">
      <c r="A2" s="21" t="inlineStr">
        <is>
          <t>Real Personal Consumption Expenditures (PCECC96)</t>
        </is>
      </c>
      <c r="B2" s="70" t="n"/>
      <c r="C2" s="18" t="n"/>
      <c r="D2" s="19" t="n"/>
      <c r="E2" s="19" t="n"/>
      <c r="F2" s="80" t="n"/>
      <c r="G2" s="80" t="n"/>
      <c r="H2" s="80" t="n"/>
      <c r="I2" s="70" t="n"/>
      <c r="J2" s="80" t="n"/>
      <c r="K2" s="20" t="n"/>
      <c r="L2" s="80" t="n"/>
      <c r="M2" s="80" t="n"/>
      <c r="N2" s="80" t="n"/>
      <c r="O2" s="80" t="n"/>
    </row>
    <row r="3">
      <c r="A3" s="21" t="n"/>
      <c r="B3" s="70" t="n"/>
      <c r="C3" s="18" t="n"/>
      <c r="D3" s="19" t="n"/>
      <c r="E3" s="19" t="n"/>
      <c r="F3" s="80" t="n"/>
      <c r="G3" s="80" t="n"/>
      <c r="H3" s="80" t="n"/>
      <c r="I3" s="70" t="n"/>
      <c r="J3" s="80" t="n"/>
      <c r="K3" s="20" t="n"/>
      <c r="L3" s="80" t="n"/>
      <c r="M3" s="80" t="n"/>
      <c r="N3" s="80" t="n"/>
      <c r="O3" s="80" t="n"/>
    </row>
    <row r="4">
      <c r="A4" s="17" t="n"/>
      <c r="B4" s="68" t="n"/>
      <c r="C4" s="18" t="n"/>
      <c r="D4" s="19" t="n"/>
      <c r="E4" s="19" t="n"/>
      <c r="F4" s="80" t="n"/>
      <c r="G4" s="80" t="n"/>
      <c r="H4" s="80" t="n"/>
      <c r="I4" s="80" t="n"/>
      <c r="J4" s="80" t="n"/>
      <c r="K4" s="80" t="n"/>
      <c r="L4" s="84" t="n"/>
      <c r="M4" s="80" t="n"/>
      <c r="N4" s="80" t="n"/>
      <c r="O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8"/>
  <sheetViews>
    <sheetView zoomScale="120" zoomScaleNormal="120" workbookViewId="0">
      <pane ySplit="5" topLeftCell="A274" activePane="bottomLeft" state="frozen"/>
      <selection pane="bottomLeft" activeCell="F284" sqref="F284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GPDIC1</t>
        </is>
      </c>
      <c r="B1" s="73" t="n"/>
      <c r="C1" s="47" t="n"/>
      <c r="D1" s="19" t="n"/>
      <c r="E1" s="19" t="n"/>
      <c r="F1" s="80" t="n"/>
      <c r="G1" s="80" t="n"/>
      <c r="H1" s="80" t="n"/>
      <c r="I1" s="80" t="n"/>
      <c r="J1" s="80" t="n"/>
      <c r="K1" s="80" t="n"/>
      <c r="L1" s="84" t="inlineStr">
        <is>
          <t>https://fred.stlouisfed.org/series/GPDIC1</t>
        </is>
      </c>
      <c r="M1" s="80" t="n"/>
      <c r="N1" s="80" t="n"/>
      <c r="O1" s="80" t="n"/>
    </row>
    <row r="2">
      <c r="A2" s="48" t="inlineStr">
        <is>
          <t>Real Gross Private Domestic Investment (GPDIC1)</t>
        </is>
      </c>
      <c r="B2" s="70" t="n"/>
      <c r="C2" s="47" t="n"/>
      <c r="D2" s="19" t="n"/>
      <c r="E2" s="19" t="n"/>
      <c r="F2" s="80" t="n"/>
      <c r="G2" s="80" t="n"/>
      <c r="H2" s="80" t="n"/>
      <c r="I2" s="70" t="n"/>
      <c r="J2" s="80" t="n"/>
      <c r="K2" s="20" t="n"/>
      <c r="L2" s="80" t="n"/>
      <c r="M2" s="80" t="n"/>
      <c r="N2" s="80" t="n"/>
      <c r="O2" s="80" t="n"/>
    </row>
    <row r="3">
      <c r="A3" s="21" t="n"/>
      <c r="B3" s="70" t="n"/>
      <c r="C3" s="18" t="n"/>
      <c r="D3" s="19" t="n"/>
      <c r="E3" s="19" t="n"/>
      <c r="F3" s="80" t="n"/>
      <c r="G3" s="80" t="n"/>
      <c r="H3" s="80" t="n"/>
      <c r="I3" s="70" t="n"/>
      <c r="J3" s="80" t="n"/>
      <c r="K3" s="20" t="n"/>
      <c r="L3" s="80" t="n"/>
      <c r="M3" s="80" t="n"/>
      <c r="N3" s="80" t="n"/>
      <c r="O3" s="80" t="n"/>
    </row>
    <row r="4">
      <c r="A4" s="17" t="n"/>
      <c r="B4" s="68" t="n"/>
      <c r="C4" s="18" t="n"/>
      <c r="D4" s="19" t="n"/>
      <c r="E4" s="19" t="n"/>
      <c r="F4" s="80" t="n"/>
      <c r="G4" s="80" t="n"/>
      <c r="H4" s="80" t="n"/>
      <c r="I4" s="80" t="n"/>
      <c r="J4" s="80" t="n"/>
      <c r="K4" s="80" t="n"/>
      <c r="L4" s="84" t="n"/>
      <c r="M4" s="80" t="n"/>
      <c r="N4" s="80" t="n"/>
      <c r="O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8"/>
  <sheetViews>
    <sheetView zoomScale="150" zoomScaleNormal="150" workbookViewId="0">
      <pane ySplit="5" topLeftCell="A288" activePane="bottomLeft" state="frozen"/>
      <selection pane="bottomLeft" activeCell="V322" sqref="V322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EXPGSC1</t>
        </is>
      </c>
      <c r="B1" s="73" t="n"/>
      <c r="C1" s="47" t="n"/>
      <c r="D1" s="19" t="n"/>
      <c r="E1" s="19" t="n"/>
      <c r="F1" s="80" t="n"/>
      <c r="G1" s="80" t="n"/>
      <c r="H1" s="80" t="n"/>
      <c r="I1" s="80" t="n"/>
      <c r="J1" s="80" t="n"/>
      <c r="K1" s="80" t="n"/>
      <c r="L1" s="84" t="inlineStr">
        <is>
          <t>https://fred.stlouisfed.org/series/EXPGSC1</t>
        </is>
      </c>
      <c r="M1" s="80" t="n"/>
      <c r="N1" s="80" t="n"/>
      <c r="O1" s="80" t="n"/>
    </row>
    <row r="2">
      <c r="A2" s="48" t="inlineStr">
        <is>
          <t>Real Exports of Goods and Services (EXPGSC1)</t>
        </is>
      </c>
      <c r="B2" s="70" t="n"/>
      <c r="C2" s="47" t="n"/>
      <c r="D2" s="19" t="n"/>
      <c r="E2" s="19" t="n"/>
      <c r="F2" s="80" t="n"/>
      <c r="G2" s="80" t="n"/>
      <c r="H2" s="80" t="n"/>
      <c r="I2" s="70" t="n"/>
      <c r="J2" s="80" t="n"/>
      <c r="K2" s="20" t="n"/>
      <c r="L2" s="80" t="n"/>
      <c r="M2" s="80" t="n"/>
      <c r="N2" s="80" t="n"/>
      <c r="O2" s="80" t="n"/>
    </row>
    <row r="3">
      <c r="A3" s="21" t="n"/>
      <c r="B3" s="70" t="n"/>
      <c r="C3" s="18" t="n"/>
      <c r="D3" s="19" t="n"/>
      <c r="E3" s="19" t="n"/>
      <c r="F3" s="80" t="n"/>
      <c r="G3" s="80" t="n"/>
      <c r="H3" s="80" t="n"/>
      <c r="I3" s="70" t="n"/>
      <c r="J3" s="80" t="n"/>
      <c r="K3" s="20" t="n"/>
      <c r="L3" s="80" t="n"/>
      <c r="M3" s="80" t="n"/>
      <c r="N3" s="80" t="n"/>
      <c r="O3" s="80" t="n"/>
    </row>
    <row r="4">
      <c r="A4" s="17" t="n"/>
      <c r="B4" s="68" t="n"/>
      <c r="C4" s="18" t="n"/>
      <c r="D4" s="19" t="n"/>
      <c r="E4" s="19" t="n"/>
      <c r="F4" s="80" t="n"/>
      <c r="G4" s="80" t="n"/>
      <c r="H4" s="80" t="n"/>
      <c r="I4" s="80" t="n"/>
      <c r="J4" s="80" t="n"/>
      <c r="K4" s="80" t="n"/>
      <c r="L4" s="84" t="n"/>
      <c r="M4" s="80" t="n"/>
      <c r="N4" s="80" t="n"/>
      <c r="O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8"/>
  <sheetViews>
    <sheetView zoomScaleNormal="100" workbookViewId="0">
      <pane ySplit="5" topLeftCell="A270" activePane="bottomLeft" state="frozen"/>
      <selection pane="bottomLeft" activeCell="AG298" sqref="AG298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IMPGSC1</t>
        </is>
      </c>
      <c r="B1" s="73" t="n"/>
      <c r="C1" s="47" t="n"/>
      <c r="D1" s="19" t="n"/>
      <c r="E1" s="19" t="n"/>
      <c r="F1" s="80" t="n"/>
      <c r="G1" s="80" t="n"/>
      <c r="H1" s="80" t="n"/>
      <c r="I1" s="80" t="n"/>
      <c r="J1" s="80" t="n"/>
      <c r="K1" s="80" t="n"/>
      <c r="L1" s="84" t="inlineStr">
        <is>
          <t>https://fred.stlouisfed.org/series/IMPGSC1</t>
        </is>
      </c>
      <c r="M1" s="80" t="n"/>
      <c r="N1" s="80" t="n"/>
      <c r="O1" s="80" t="n"/>
    </row>
    <row r="2">
      <c r="A2" s="48" t="inlineStr">
        <is>
          <t xml:space="preserve">Real Imports of Goods and Services </t>
        </is>
      </c>
      <c r="B2" s="70" t="n"/>
      <c r="C2" s="47" t="n"/>
      <c r="D2" s="19" t="n"/>
      <c r="E2" s="19" t="n"/>
      <c r="F2" s="80" t="n"/>
      <c r="G2" s="80" t="n"/>
      <c r="H2" s="80" t="n"/>
      <c r="I2" s="70" t="n"/>
      <c r="J2" s="80" t="n"/>
      <c r="K2" s="20" t="n"/>
      <c r="L2" s="80" t="n"/>
      <c r="M2" s="80" t="n"/>
      <c r="N2" s="80" t="n"/>
      <c r="O2" s="80" t="n"/>
    </row>
    <row r="3">
      <c r="A3" s="21" t="n"/>
      <c r="B3" s="70" t="n"/>
      <c r="C3" s="18" t="n"/>
      <c r="D3" s="19" t="n"/>
      <c r="E3" s="19" t="n"/>
      <c r="F3" s="80" t="n"/>
      <c r="G3" s="80" t="n"/>
      <c r="H3" s="80" t="n"/>
      <c r="I3" s="70" t="n"/>
      <c r="J3" s="80" t="n"/>
      <c r="K3" s="20" t="n"/>
      <c r="L3" s="80" t="n"/>
      <c r="M3" s="80" t="n"/>
      <c r="N3" s="80" t="n"/>
      <c r="O3" s="80" t="n"/>
    </row>
    <row r="4">
      <c r="A4" s="17" t="n"/>
      <c r="B4" s="68" t="n"/>
      <c r="C4" s="18" t="n"/>
      <c r="D4" s="19" t="n"/>
      <c r="E4" s="19" t="n"/>
      <c r="F4" s="80" t="n"/>
      <c r="G4" s="80" t="n"/>
      <c r="H4" s="80" t="n"/>
      <c r="I4" s="80" t="n"/>
      <c r="J4" s="80" t="n"/>
      <c r="K4" s="80" t="n"/>
      <c r="L4" s="84" t="n"/>
      <c r="M4" s="80" t="n"/>
      <c r="N4" s="80" t="n"/>
      <c r="O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8"/>
  <sheetViews>
    <sheetView zoomScale="90" zoomScaleNormal="90" workbookViewId="0">
      <pane ySplit="5" topLeftCell="A245" activePane="bottomLeft" state="frozen"/>
      <selection pane="bottomLeft" activeCell="H304" sqref="H304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GCEC1</t>
        </is>
      </c>
      <c r="B1" s="73" t="n"/>
      <c r="C1" s="47" t="n"/>
      <c r="D1" s="19" t="n"/>
      <c r="E1" s="19" t="n"/>
      <c r="F1" s="80" t="n"/>
      <c r="G1" s="80" t="n"/>
      <c r="H1" s="80" t="n"/>
      <c r="I1" s="80" t="n"/>
      <c r="J1" s="80" t="n"/>
      <c r="K1" s="80" t="n"/>
      <c r="L1" s="84" t="inlineStr">
        <is>
          <t>https://fred.stlouisfed.org/series/GCEC1</t>
        </is>
      </c>
      <c r="M1" s="80" t="n"/>
      <c r="N1" s="80" t="n"/>
      <c r="O1" s="80" t="n"/>
    </row>
    <row r="2">
      <c r="A2" s="48" t="inlineStr">
        <is>
          <t>Government Consumption Expenditures and Gross Investment</t>
        </is>
      </c>
      <c r="B2" s="70" t="n"/>
      <c r="C2" s="47" t="n"/>
      <c r="D2" s="19" t="n"/>
      <c r="E2" s="19" t="n"/>
      <c r="F2" s="80" t="n"/>
      <c r="G2" s="80" t="n"/>
      <c r="H2" s="80" t="n"/>
      <c r="I2" s="70" t="n"/>
      <c r="J2" s="80" t="n"/>
      <c r="K2" s="20" t="n"/>
      <c r="L2" s="80" t="n"/>
      <c r="M2" s="80" t="n"/>
      <c r="N2" s="80" t="n"/>
      <c r="O2" s="80" t="n"/>
    </row>
    <row r="3">
      <c r="A3" s="21" t="n"/>
      <c r="B3" s="70" t="n"/>
      <c r="C3" s="18" t="n"/>
      <c r="D3" s="19" t="n"/>
      <c r="E3" s="19" t="n"/>
      <c r="F3" s="80" t="n"/>
      <c r="G3" s="80" t="n"/>
      <c r="H3" s="80" t="n"/>
      <c r="I3" s="70" t="n"/>
      <c r="J3" s="80" t="n"/>
      <c r="K3" s="20" t="n"/>
      <c r="L3" s="80" t="n"/>
      <c r="M3" s="80" t="n"/>
      <c r="N3" s="80" t="n"/>
      <c r="O3" s="80" t="n"/>
    </row>
    <row r="4">
      <c r="A4" s="17" t="n"/>
      <c r="B4" s="68" t="n"/>
      <c r="C4" s="18" t="n"/>
      <c r="D4" s="19" t="n"/>
      <c r="E4" s="19" t="n"/>
      <c r="F4" s="80" t="n"/>
      <c r="G4" s="80" t="n"/>
      <c r="H4" s="80" t="n"/>
      <c r="I4" s="80" t="n"/>
      <c r="J4" s="80" t="n"/>
      <c r="K4" s="80" t="n"/>
      <c r="L4" s="84" t="n"/>
      <c r="M4" s="80" t="n"/>
      <c r="N4" s="80" t="n"/>
      <c r="O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8"/>
  <sheetViews>
    <sheetView zoomScale="90" zoomScaleNormal="90" workbookViewId="0">
      <pane ySplit="5" topLeftCell="A252" activePane="bottomLeft" state="frozen"/>
      <selection pane="bottomLeft" activeCell="AD298" sqref="AD298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74" t="inlineStr">
        <is>
          <t>GDPCTPI</t>
        </is>
      </c>
      <c r="B1" s="73" t="n"/>
      <c r="C1" s="47" t="n"/>
      <c r="D1" s="19" t="n"/>
      <c r="E1" s="19" t="n"/>
      <c r="F1" s="80" t="n"/>
      <c r="G1" s="80" t="n"/>
      <c r="H1" s="80" t="n"/>
      <c r="I1" s="80" t="n"/>
      <c r="J1" s="80" t="n"/>
      <c r="K1" s="80" t="n"/>
      <c r="L1" s="84" t="inlineStr">
        <is>
          <t>https://fred.stlouisfed.org/series/GDPCTPI</t>
        </is>
      </c>
      <c r="M1" s="80" t="n"/>
      <c r="N1" s="80" t="n"/>
      <c r="O1" s="80" t="n"/>
    </row>
    <row r="2">
      <c r="A2" s="48" t="inlineStr">
        <is>
          <t xml:space="preserve">Gross Domestic Product: Chain-type Price Index </t>
        </is>
      </c>
      <c r="B2" s="70" t="n"/>
      <c r="C2" s="47" t="n"/>
      <c r="D2" s="19" t="n"/>
      <c r="E2" s="19" t="n"/>
      <c r="F2" s="80" t="n"/>
      <c r="G2" s="80" t="n"/>
      <c r="H2" s="80" t="n"/>
      <c r="I2" s="70" t="n"/>
      <c r="J2" s="80" t="n"/>
      <c r="K2" s="20" t="n"/>
      <c r="L2" s="80" t="n"/>
      <c r="M2" s="80" t="n"/>
      <c r="N2" s="80" t="n"/>
      <c r="O2" s="80" t="n"/>
    </row>
    <row r="3">
      <c r="A3" s="21" t="n"/>
      <c r="B3" s="70" t="n"/>
      <c r="C3" s="18" t="n"/>
      <c r="D3" s="19" t="n"/>
      <c r="E3" s="19" t="n"/>
      <c r="F3" s="80" t="n"/>
      <c r="G3" s="80" t="n"/>
      <c r="H3" s="80" t="n"/>
      <c r="I3" s="70" t="n"/>
      <c r="J3" s="80" t="n"/>
      <c r="K3" s="20" t="n"/>
      <c r="L3" s="80" t="n"/>
      <c r="M3" s="80" t="n"/>
      <c r="N3" s="80" t="n"/>
      <c r="O3" s="80" t="n"/>
    </row>
    <row r="4">
      <c r="A4" s="17" t="n"/>
      <c r="B4" s="68" t="n"/>
      <c r="C4" s="18" t="n"/>
      <c r="D4" s="19" t="n"/>
      <c r="E4" s="19" t="n"/>
      <c r="F4" s="80" t="n"/>
      <c r="G4" s="80" t="n"/>
      <c r="H4" s="80" t="n"/>
      <c r="I4" s="80" t="n"/>
      <c r="J4" s="80" t="n"/>
      <c r="K4" s="80" t="n"/>
      <c r="L4" s="84" t="n"/>
      <c r="M4" s="80" t="n"/>
      <c r="N4" s="80" t="n"/>
      <c r="O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8"/>
  <sheetViews>
    <sheetView zoomScale="110" zoomScaleNormal="110" workbookViewId="0">
      <pane ySplit="5" topLeftCell="A297" activePane="bottomLeft" state="frozen"/>
      <selection activeCell="I311" sqref="I311"/>
      <selection pane="bottomLeft" activeCell="I311" sqref="I311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74" t="inlineStr">
        <is>
          <t>JCXFE</t>
        </is>
      </c>
      <c r="B1" s="73" t="n"/>
      <c r="C1" s="47" t="n"/>
      <c r="D1" s="19" t="n"/>
      <c r="E1" s="19" t="n"/>
      <c r="F1" s="80" t="n"/>
      <c r="G1" s="80" t="n"/>
      <c r="H1" s="80" t="n"/>
      <c r="I1" s="80" t="n"/>
      <c r="J1" s="80" t="n"/>
      <c r="K1" s="80" t="n"/>
      <c r="L1" s="84" t="inlineStr">
        <is>
          <t>https://fred.stlouisfed.org/series/JCXFE</t>
        </is>
      </c>
      <c r="M1" s="80" t="n"/>
      <c r="N1" s="80" t="n"/>
      <c r="O1" s="80" t="n"/>
    </row>
    <row r="2">
      <c r="A2" s="48" t="inlineStr">
        <is>
          <t>Personal Consumption Expenditures: Chain-type Price Index Less Food and Energy</t>
        </is>
      </c>
      <c r="B2" s="70" t="n"/>
      <c r="C2" s="47" t="n"/>
      <c r="D2" s="19" t="n"/>
      <c r="E2" s="19" t="n"/>
      <c r="F2" s="80" t="n"/>
      <c r="G2" s="80" t="n"/>
      <c r="H2" s="80" t="n"/>
      <c r="I2" s="70" t="n"/>
      <c r="J2" s="80" t="n"/>
      <c r="K2" s="20" t="n"/>
      <c r="L2" s="80" t="n"/>
      <c r="M2" s="80" t="n"/>
      <c r="N2" s="80" t="n"/>
      <c r="O2" s="80" t="n"/>
    </row>
    <row r="3">
      <c r="A3" s="21" t="n"/>
      <c r="B3" s="70" t="n"/>
      <c r="C3" s="18" t="n"/>
      <c r="D3" s="19" t="n"/>
      <c r="E3" s="19" t="n"/>
      <c r="F3" s="80" t="n"/>
      <c r="G3" s="80" t="n"/>
      <c r="H3" s="80" t="n"/>
      <c r="I3" s="70" t="n"/>
      <c r="J3" s="80" t="n"/>
      <c r="K3" s="20" t="n"/>
      <c r="L3" s="80" t="n"/>
      <c r="M3" s="80" t="n"/>
      <c r="N3" s="80" t="n"/>
      <c r="O3" s="80" t="n"/>
    </row>
    <row r="4">
      <c r="A4" s="17" t="n"/>
      <c r="B4" s="68" t="n"/>
      <c r="C4" s="18" t="n"/>
      <c r="D4" s="19" t="n"/>
      <c r="E4" s="19" t="n"/>
      <c r="F4" s="80" t="n"/>
      <c r="G4" s="80" t="n"/>
      <c r="H4" s="80" t="n"/>
      <c r="I4" s="80" t="n"/>
      <c r="J4" s="80" t="n"/>
      <c r="K4" s="80" t="n"/>
      <c r="L4" s="84" t="n"/>
      <c r="M4" s="80" t="n"/>
      <c r="N4" s="80" t="n"/>
      <c r="O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 t="n"/>
      <c r="C6" s="36" t="n"/>
      <c r="D6" s="36" t="n"/>
      <c r="E6" s="36" t="n"/>
    </row>
    <row r="7">
      <c r="A7" s="35" t="n">
        <v>17258</v>
      </c>
      <c r="B7" s="63" t="n"/>
      <c r="C7" s="37" t="n"/>
      <c r="D7" s="36" t="n"/>
      <c r="E7" s="36" t="n"/>
    </row>
    <row r="8">
      <c r="A8" s="35" t="n">
        <v>17349</v>
      </c>
      <c r="B8" s="63" t="n"/>
      <c r="C8" s="37" t="n"/>
      <c r="D8" s="36" t="n"/>
      <c r="E8" s="36" t="n"/>
    </row>
    <row r="9">
      <c r="A9" s="35" t="n">
        <v>17441</v>
      </c>
      <c r="B9" s="63" t="n"/>
      <c r="C9" s="37" t="n"/>
      <c r="D9" s="36" t="n"/>
      <c r="E9" s="36" t="n"/>
    </row>
    <row r="10">
      <c r="A10" s="35" t="n">
        <v>17533</v>
      </c>
      <c r="B10" s="63" t="n"/>
      <c r="C10" s="37" t="n"/>
      <c r="D10" s="36" t="n"/>
      <c r="E10" s="36" t="n"/>
    </row>
    <row r="11">
      <c r="A11" s="35" t="n">
        <v>17624</v>
      </c>
      <c r="B11" s="63" t="n"/>
      <c r="C11" s="37" t="n"/>
      <c r="D11" s="36" t="n"/>
      <c r="E11" s="36" t="n"/>
    </row>
    <row r="12">
      <c r="A12" s="35" t="n">
        <v>17715</v>
      </c>
      <c r="B12" s="63" t="n"/>
      <c r="C12" s="37" t="n"/>
      <c r="D12" s="36" t="n"/>
      <c r="E12" s="36" t="n"/>
    </row>
    <row r="13">
      <c r="A13" s="35" t="n">
        <v>17807</v>
      </c>
      <c r="B13" s="63" t="n"/>
      <c r="C13" s="37" t="n"/>
      <c r="D13" s="36" t="n"/>
      <c r="E13" s="36" t="n"/>
    </row>
    <row r="14">
      <c r="A14" s="35" t="n">
        <v>17899</v>
      </c>
      <c r="B14" s="63" t="n"/>
      <c r="C14" s="37" t="n"/>
      <c r="D14" s="36" t="n"/>
      <c r="E14" s="36" t="n"/>
    </row>
    <row r="15">
      <c r="A15" s="35" t="n">
        <v>17989</v>
      </c>
      <c r="B15" s="63" t="n"/>
      <c r="C15" s="37" t="n"/>
      <c r="D15" s="36" t="n"/>
      <c r="E15" s="36" t="n"/>
    </row>
    <row r="16">
      <c r="A16" s="35" t="n">
        <v>18080</v>
      </c>
      <c r="B16" s="63" t="n"/>
      <c r="C16" s="37" t="n"/>
      <c r="D16" s="36" t="n"/>
      <c r="E16" s="36" t="n"/>
    </row>
    <row r="17">
      <c r="A17" s="35" t="n">
        <v>18172</v>
      </c>
      <c r="B17" s="63" t="n"/>
      <c r="C17" s="37" t="n"/>
      <c r="D17" s="36" t="n"/>
      <c r="E17" s="36" t="n"/>
    </row>
    <row r="18">
      <c r="A18" s="35" t="n">
        <v>18264</v>
      </c>
      <c r="B18" s="63" t="n"/>
      <c r="C18" s="37" t="n"/>
      <c r="D18" s="36" t="n"/>
      <c r="E18" s="36" t="n"/>
    </row>
    <row r="19">
      <c r="A19" s="35" t="n">
        <v>18354</v>
      </c>
      <c r="B19" s="63" t="n"/>
      <c r="C19" s="37" t="n"/>
      <c r="D19" s="36" t="n"/>
      <c r="E19" s="36" t="n"/>
    </row>
    <row r="20">
      <c r="A20" s="35" t="n">
        <v>18445</v>
      </c>
      <c r="B20" s="63" t="n"/>
      <c r="C20" s="37" t="n"/>
      <c r="D20" s="36" t="n"/>
      <c r="E20" s="36" t="n"/>
    </row>
    <row r="21">
      <c r="A21" s="35" t="n">
        <v>18537</v>
      </c>
      <c r="B21" s="63" t="n"/>
      <c r="C21" s="37" t="n"/>
      <c r="D21" s="36" t="n"/>
      <c r="E21" s="36" t="n"/>
    </row>
    <row r="22">
      <c r="A22" s="35" t="n">
        <v>18629</v>
      </c>
      <c r="B22" s="63" t="n"/>
      <c r="C22" s="37" t="n"/>
      <c r="D22" s="36" t="n"/>
      <c r="E22" s="36" t="n"/>
    </row>
    <row r="23">
      <c r="A23" s="35" t="n">
        <v>18719</v>
      </c>
      <c r="B23" s="63" t="n"/>
      <c r="C23" s="37" t="n"/>
      <c r="D23" s="36" t="n"/>
      <c r="E23" s="36" t="n"/>
    </row>
    <row r="24">
      <c r="A24" s="35" t="n">
        <v>18810</v>
      </c>
      <c r="B24" s="63" t="n"/>
      <c r="C24" s="37" t="n"/>
      <c r="D24" s="36" t="n"/>
      <c r="E24" s="36" t="n"/>
    </row>
    <row r="25">
      <c r="A25" s="35" t="n">
        <v>18902</v>
      </c>
      <c r="B25" s="63" t="n"/>
      <c r="C25" s="37" t="n"/>
      <c r="D25" s="36" t="n"/>
      <c r="E25" s="36" t="n"/>
    </row>
    <row r="26">
      <c r="A26" s="35" t="n">
        <v>18994</v>
      </c>
      <c r="B26" s="63" t="n"/>
      <c r="C26" s="37" t="n"/>
      <c r="D26" s="36" t="n"/>
      <c r="E26" s="36" t="n"/>
    </row>
    <row r="27">
      <c r="A27" s="35" t="n">
        <v>19085</v>
      </c>
      <c r="B27" s="63" t="n"/>
      <c r="C27" s="37" t="n"/>
      <c r="D27" s="36" t="n"/>
      <c r="E27" s="36" t="n"/>
    </row>
    <row r="28">
      <c r="A28" s="35" t="n">
        <v>19176</v>
      </c>
      <c r="B28" s="63" t="n"/>
      <c r="C28" s="37" t="n"/>
      <c r="D28" s="36" t="n"/>
      <c r="E28" s="36" t="n"/>
    </row>
    <row r="29">
      <c r="A29" s="35" t="n">
        <v>19268</v>
      </c>
      <c r="B29" s="63" t="n"/>
      <c r="C29" s="37" t="n"/>
      <c r="D29" s="36" t="n"/>
      <c r="E29" s="36" t="n"/>
    </row>
    <row r="30">
      <c r="A30" s="35" t="n">
        <v>19360</v>
      </c>
      <c r="B30" s="63" t="n"/>
      <c r="C30" s="37" t="n"/>
      <c r="D30" s="36" t="n"/>
      <c r="E30" s="36" t="n"/>
    </row>
    <row r="31">
      <c r="A31" s="35" t="n">
        <v>19450</v>
      </c>
      <c r="B31" s="63" t="n"/>
      <c r="C31" s="37" t="n"/>
      <c r="D31" s="36" t="n"/>
      <c r="E31" s="36" t="n"/>
    </row>
    <row r="32">
      <c r="A32" s="35" t="n">
        <v>19541</v>
      </c>
      <c r="B32" s="63" t="n"/>
      <c r="C32" s="37" t="n"/>
      <c r="D32" s="36" t="n"/>
      <c r="E32" s="36" t="n"/>
    </row>
    <row r="33">
      <c r="A33" s="35" t="n">
        <v>19633</v>
      </c>
      <c r="B33" s="63" t="n"/>
      <c r="C33" s="37" t="n"/>
      <c r="D33" s="36" t="n"/>
      <c r="E33" s="36" t="n"/>
    </row>
    <row r="34">
      <c r="A34" s="35" t="n">
        <v>19725</v>
      </c>
      <c r="B34" s="63" t="n"/>
      <c r="C34" s="37" t="n"/>
      <c r="D34" s="36" t="n"/>
      <c r="E34" s="36" t="n"/>
    </row>
    <row r="35">
      <c r="A35" s="35" t="n">
        <v>19815</v>
      </c>
      <c r="B35" s="63" t="n"/>
      <c r="C35" s="37" t="n"/>
      <c r="D35" s="36" t="n"/>
      <c r="E35" s="36" t="n"/>
    </row>
    <row r="36">
      <c r="A36" s="35" t="n">
        <v>19906</v>
      </c>
      <c r="B36" s="63" t="n"/>
      <c r="C36" s="37" t="n"/>
      <c r="D36" s="36" t="n"/>
      <c r="E36" s="36" t="n"/>
    </row>
    <row r="37">
      <c r="A37" s="35" t="n">
        <v>19998</v>
      </c>
      <c r="B37" s="63" t="n"/>
      <c r="C37" s="37" t="n"/>
      <c r="D37" s="36" t="n"/>
      <c r="E37" s="36" t="n"/>
    </row>
    <row r="38">
      <c r="A38" s="35" t="n">
        <v>20090</v>
      </c>
      <c r="B38" s="63" t="n"/>
      <c r="C38" s="37" t="n"/>
      <c r="D38" s="36" t="n"/>
      <c r="E38" s="36" t="n"/>
    </row>
    <row r="39">
      <c r="A39" s="35" t="n">
        <v>20180</v>
      </c>
      <c r="B39" s="63" t="n"/>
      <c r="C39" s="37" t="n"/>
      <c r="D39" s="36" t="n"/>
      <c r="E39" s="36" t="n"/>
    </row>
    <row r="40">
      <c r="A40" s="35" t="n">
        <v>20271</v>
      </c>
      <c r="B40" s="63" t="n"/>
      <c r="C40" s="37" t="n"/>
      <c r="D40" s="36" t="n"/>
      <c r="E40" s="36" t="n"/>
    </row>
    <row r="41">
      <c r="A41" s="35" t="n">
        <v>20363</v>
      </c>
      <c r="B41" s="63" t="n"/>
      <c r="C41" s="37" t="n"/>
      <c r="D41" s="36" t="n"/>
      <c r="E41" s="36" t="n"/>
    </row>
    <row r="42">
      <c r="A42" s="35" t="n">
        <v>20455</v>
      </c>
      <c r="B42" s="63" t="n"/>
      <c r="C42" s="37" t="n"/>
      <c r="D42" s="36" t="n"/>
      <c r="E42" s="36" t="n"/>
    </row>
    <row r="43">
      <c r="A43" s="35" t="n">
        <v>20546</v>
      </c>
      <c r="B43" s="63" t="n"/>
      <c r="C43" s="37" t="n"/>
      <c r="D43" s="36" t="n"/>
      <c r="E43" s="36" t="n"/>
    </row>
    <row r="44">
      <c r="A44" s="35" t="n">
        <v>20637</v>
      </c>
      <c r="B44" s="63" t="n"/>
      <c r="C44" s="37" t="n"/>
      <c r="D44" s="36" t="n"/>
      <c r="E44" s="36" t="n"/>
    </row>
    <row r="45">
      <c r="A45" s="35" t="n">
        <v>20729</v>
      </c>
      <c r="B45" s="63" t="n"/>
      <c r="C45" s="37" t="n"/>
      <c r="D45" s="36" t="n"/>
      <c r="E45" s="36" t="n"/>
    </row>
    <row r="46">
      <c r="A46" s="35" t="n">
        <v>20821</v>
      </c>
      <c r="B46" s="63" t="n"/>
      <c r="C46" s="37" t="n"/>
      <c r="D46" s="36" t="n"/>
      <c r="E46" s="36" t="n"/>
    </row>
    <row r="47">
      <c r="A47" s="35" t="n">
        <v>20911</v>
      </c>
      <c r="B47" s="63" t="n"/>
      <c r="C47" s="37" t="n"/>
      <c r="D47" s="36" t="n"/>
      <c r="E47" s="36" t="n"/>
    </row>
    <row r="48">
      <c r="A48" s="35" t="n">
        <v>21002</v>
      </c>
      <c r="B48" s="63" t="n"/>
      <c r="C48" s="37" t="n"/>
      <c r="D48" s="36" t="n"/>
      <c r="E48" s="36" t="n"/>
    </row>
    <row r="49">
      <c r="A49" s="35" t="n">
        <v>21094</v>
      </c>
      <c r="B49" s="63" t="n"/>
      <c r="C49" s="37" t="n"/>
      <c r="D49" s="36" t="n"/>
      <c r="E49" s="36" t="n"/>
    </row>
    <row r="50">
      <c r="A50" s="35" t="n">
        <v>21186</v>
      </c>
      <c r="B50" s="63" t="n"/>
      <c r="C50" s="37" t="n"/>
      <c r="D50" s="36" t="n"/>
      <c r="E50" s="36" t="n"/>
    </row>
    <row r="51">
      <c r="A51" s="35" t="n">
        <v>21276</v>
      </c>
      <c r="B51" s="63" t="n"/>
      <c r="C51" s="37" t="n"/>
      <c r="D51" s="36" t="n"/>
      <c r="E51" s="36" t="n"/>
    </row>
    <row r="52">
      <c r="A52" s="35" t="n">
        <v>21367</v>
      </c>
      <c r="B52" s="63" t="n"/>
      <c r="C52" s="37" t="n"/>
      <c r="D52" s="36" t="n"/>
      <c r="E52" s="36" t="n"/>
    </row>
    <row r="53">
      <c r="A53" s="35" t="n">
        <v>21459</v>
      </c>
      <c r="B53" s="63" t="n"/>
      <c r="C53" s="37" t="n"/>
      <c r="D53" s="36" t="n"/>
      <c r="E53" s="36" t="n"/>
    </row>
    <row r="54">
      <c r="A54" s="35" t="n">
        <v>21551</v>
      </c>
      <c r="B54" s="63">
        <f>VLOOKUP(A54,Database!A:L,MATCH($A$1,Database!$A$1:$L$1,),)</f>
        <v/>
      </c>
      <c r="C54" s="37" t="n"/>
      <c r="D54" s="36" t="n"/>
      <c r="E54" s="36" t="n"/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 t="n"/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 t="n"/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 t="n"/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2023-01-19T03:27:59Z</dcterms:modified>
  <cp:lastModifiedBy>Mark Mukherjee</cp:lastModifiedBy>
</cp:coreProperties>
</file>