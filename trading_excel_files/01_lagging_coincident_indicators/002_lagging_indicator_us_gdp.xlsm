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5290" yWindow="-14510" windowWidth="34620" windowHeight="139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PersonalSaving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4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1" applyAlignment="1" pivotButton="0" quotePrefix="0" xfId="0">
      <alignment horizontal="center" vertical="center"/>
    </xf>
    <xf numFmtId="10" fontId="13" fillId="4" borderId="12" applyAlignment="1" pivotButton="0" quotePrefix="0" xfId="0">
      <alignment horizontal="center" vertical="center"/>
    </xf>
    <xf numFmtId="2" fontId="13" fillId="4" borderId="12" applyAlignment="1" pivotButton="0" quotePrefix="0" xfId="0">
      <alignment horizontal="center" vertical="center"/>
    </xf>
    <xf numFmtId="0" fontId="13" fillId="4" borderId="13" applyAlignment="1" pivotButton="0" quotePrefix="0" xfId="0">
      <alignment horizontal="center" vertical="center"/>
    </xf>
    <xf numFmtId="14" fontId="0" fillId="3" borderId="14" applyAlignment="1" pivotButton="0" quotePrefix="0" xfId="0">
      <alignment horizontal="center"/>
    </xf>
    <xf numFmtId="10" fontId="0" fillId="3" borderId="14" applyAlignment="1" pivotButton="0" quotePrefix="0" xfId="0">
      <alignment horizontal="center" vertical="center"/>
    </xf>
    <xf numFmtId="10" fontId="0" fillId="3" borderId="14" applyAlignment="1" pivotButton="0" quotePrefix="0" xfId="0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2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14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2" fillId="3" borderId="5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5" pivotButton="0" quotePrefix="0" xfId="0"/>
    <xf numFmtId="0" fontId="13" fillId="4" borderId="15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6" fillId="4" borderId="15" applyAlignment="1" pivotButton="0" quotePrefix="0" xfId="0">
      <alignment horizontal="center"/>
    </xf>
    <xf numFmtId="0" fontId="16" fillId="2" borderId="15" applyAlignment="1" pivotButton="0" quotePrefix="0" xfId="0">
      <alignment horizontal="center"/>
    </xf>
    <xf numFmtId="0" fontId="5" fillId="0" borderId="0" pivotButton="0" quotePrefix="0" xfId="2"/>
    <xf numFmtId="0" fontId="2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pivotButton="0" quotePrefix="0" xfId="0"/>
    <xf numFmtId="0" fontId="2" fillId="0" borderId="0" applyAlignment="1" pivotButton="0" quotePrefix="0" xfId="0">
      <alignment horizontal="center"/>
    </xf>
    <xf numFmtId="17" fontId="2" fillId="0" borderId="0" applyAlignment="1" pivotButton="0" quotePrefix="0" xfId="0">
      <alignment horizontal="center"/>
    </xf>
    <xf numFmtId="164" fontId="0" fillId="0" borderId="0" applyAlignment="1" pivotButton="0" quotePrefix="0" xfId="8">
      <alignment horizontal="center"/>
    </xf>
    <xf numFmtId="170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96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name val="Calibri"/>
        <family val="2"/>
        <strike val="0"/>
        <outline val="0"/>
        <shadow val="0"/>
        <condense val="0"/>
        <color rgb="FF000000"/>
        <extend val="0"/>
        <sz val="11"/>
        <vertAlign val="baseline"/>
      </font>
      <fill>
        <patternFill patternType="solid">
          <fgColor rgb="FF000000"/>
          <bgColor rgb="FFFFFFFF"/>
        </patternFill>
      </fill>
      <alignment horizontal="center" vertical="bottom"/>
    </dxf>
    <dxf>
      <border outline="0">
        <bottom style="thin">
          <color rgb="FF9BC2E6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'U.S. GDP'!$B$6:$B$310</f>
              <numCache>
                <formatCode>0.0</formatCode>
                <ptCount val="305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20054.663</v>
                </pt>
                <pt idx="303">
                  <v>20198.091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GDP'!$A$258:$A$310</f>
              <numCache>
                <formatCode>m/d/yyyy</formatCode>
                <ptCount val="53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  <pt idx="51">
                  <v>44835</v>
                </pt>
              </numCache>
            </numRef>
          </cat>
          <val>
            <numRef>
              <f>'U.S. GDP'!$C$258:$C$310</f>
              <numCache>
                <formatCode>0.00%</formatCode>
                <ptCount val="53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0.008011552091951892</v>
                </pt>
                <pt idx="51">
                  <v>0.007151852913210253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'U.S. GDP'!$D$6:$D$310</f>
              <numCache>
                <formatCode>0.00%</formatCode>
                <ptCount val="305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0.01942138388053957</v>
                </pt>
                <pt idx="303">
                  <v>0.009592535426926301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GDP'!$A$258:$A$310</f>
              <numCache>
                <formatCode>m/d/yyyy</formatCode>
                <ptCount val="53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  <pt idx="51">
                  <v>44835</v>
                </pt>
              </numCache>
            </numRef>
          </cat>
          <val>
            <numRef>
              <f>'U.S. GDP'!$E$258:$E$310</f>
              <numCache>
                <formatCode>0.00%</formatCode>
                <ptCount val="53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0.03243337917387401</v>
                </pt>
                <pt idx="51">
                  <v>0.0289157715101156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PersonalConsumption!$B$6:$B$310</f>
              <numCache>
                <formatCode>0.0</formatCode>
                <ptCount val="305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14178.562</v>
                </pt>
                <pt idx="303">
                  <v>14252.163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PersonalConsumption!$C$6:$C$310</f>
              <numCache>
                <formatCode>0.00%</formatCode>
                <ptCount val="305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0.005610571074515199</v>
                </pt>
                <pt idx="303">
                  <v>0.00519100597084532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PersonalConsumption!$D$6:$D$310</f>
              <numCache>
                <formatCode>0.00%</formatCode>
                <ptCount val="305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0.02192282820816122</v>
                </pt>
                <pt idx="303">
                  <v>0.01935763179867368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PersonalConsumption!$E$6:$E$310</f>
              <numCache>
                <formatCode>0.00%</formatCode>
                <ptCount val="305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0.02263186278527107</v>
                </pt>
                <pt idx="303">
                  <v>0.02092626338609582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PrivateInvestment!$B$6:$B$309</f>
              <numCache>
                <formatCode>0.0</formatCode>
                <ptCount val="304"/>
                <pt idx="0">
                  <v>#N/A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3653.85</v>
                </pt>
                <pt idx="303">
                  <v>3666.902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PrivateInvestment!$C$6:$C$309</f>
              <numCache>
                <formatCode>0.00%</formatCode>
                <ptCount val="304"/>
                <pt idx="1">
                  <v>#N/A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-0.02485286122958453</v>
                </pt>
                <pt idx="303">
                  <v>0.003572122555660505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PrivateInvestment!$D$6:$D$309</f>
              <numCache>
                <formatCode>0.00%</formatCode>
                <ptCount val="304"/>
                <pt idx="4">
                  <v>#N/A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0.01947517473249528</v>
                </pt>
                <pt idx="303">
                  <v>-0.04551780936448323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PrivateInvestment!$E$6:$E$309</f>
              <numCache>
                <formatCode>0.00%</formatCode>
                <ptCount val="304"/>
                <pt idx="0">
                  <v>0</v>
                </pt>
                <pt idx="1">
                  <v>#N/A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-0.09576647808228567</v>
                </pt>
                <pt idx="303">
                  <v>0.01436523306476301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Exports!$B$6:$B$309</f>
              <numCache>
                <formatCode>0.0</formatCode>
                <ptCount val="304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2604.137</v>
                </pt>
                <pt idx="303">
                  <v>2595.452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Exports!$C$6:$C$309</f>
              <numCache>
                <formatCode>0.00%</formatCode>
                <ptCount val="304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0.03464898479416189</v>
                </pt>
                <pt idx="303">
                  <v>-0.003335077993208477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Exports!$D$6:$D$309</f>
              <numCache>
                <formatCode>0.00%</formatCode>
                <ptCount val="304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0.1134381580494481</v>
                </pt>
                <pt idx="303">
                  <v>0.05263473811601876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Exports!$E$6:$E$309</f>
              <numCache>
                <formatCode>0.00%</formatCode>
                <ptCount val="304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0.1459670850380825</v>
                </pt>
                <pt idx="303">
                  <v>-0.01327372375868485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Imports!$B$6:$B$309</f>
              <numCache>
                <formatCode>0.0</formatCode>
                <ptCount val="304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3872.908</v>
                </pt>
                <pt idx="303">
                  <v>3827.869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Imports!$C$6:$C$309</f>
              <numCache>
                <formatCode>0.00%</formatCode>
                <ptCount val="304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-0.01888905101796803</v>
                </pt>
                <pt idx="303">
                  <v>-0.01162924603424604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Imports!$D$6:$D$309</f>
              <numCache>
                <formatCode>0.00%</formatCode>
                <ptCount val="304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0.07393346556551442</v>
                </pt>
                <pt idx="303">
                  <v>0.01715322338065694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Imports!$E$6:$E$309</f>
              <numCache>
                <formatCode>0.00%</formatCode>
                <ptCount val="304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-0.0734422574483059</v>
                </pt>
                <pt idx="303">
                  <v>-0.04571182059466727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Government!$B$6:$B$309</f>
              <numCache>
                <formatCode>0.0</formatCode>
                <ptCount val="304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3410.625</v>
                </pt>
                <pt idx="303">
                  <v>3441.908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Government!$C$6:$C$309</f>
              <numCache>
                <formatCode>0.00%</formatCode>
                <ptCount val="304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0.009210240926243863</v>
                </pt>
                <pt idx="303">
                  <v>0.009172219168041019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Government!$D$6:$D$309</f>
              <numCache>
                <formatCode>0.00%</formatCode>
                <ptCount val="304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-0.003046144366372104</v>
                </pt>
                <pt idx="303">
                  <v>0.008511927539909286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Government!$E$6:$E$309</f>
              <numCache>
                <formatCode>0.00%</formatCode>
                <ptCount val="304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0.03735306729345922</v>
                </pt>
                <pt idx="303">
                  <v>0.03719674799743689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GDPPriceIndex!$B$6:$B$309</f>
              <numCache>
                <formatCode>0.0</formatCode>
                <ptCount val="304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128.276</v>
                </pt>
                <pt idx="303">
                  <v>129.374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GDPPriceIndex!$C$6:$C$309</f>
              <numCache>
                <formatCode>0.00%</formatCode>
                <ptCount val="304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0.01073167656838496</v>
                </pt>
                <pt idx="303">
                  <v>0.008559668215410401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GDPPriceIndex!$D$6:$D$309</f>
              <numCache>
                <formatCode>0.00%</formatCode>
                <ptCount val="304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0.07108205372276917</v>
                </pt>
                <pt idx="303">
                  <v>0.06255030470277106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GDPPriceIndex!$E$6:$E$309</f>
              <numCache>
                <formatCode>0.00%</formatCode>
                <ptCount val="304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0.04362267664998987</v>
                </pt>
                <pt idx="303">
                  <v>0.03468079434591975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CorePCE!$B$6:$B$309</f>
              <numCache>
                <formatCode>0.0</formatCode>
                <ptCount val="304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123.997</v>
                </pt>
                <pt idx="303">
                  <v>125.19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CorePCE!$C$6:$C$309</f>
              <numCache>
                <formatCode>0.00%</formatCode>
                <ptCount val="304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0.01146078047507179</v>
                </pt>
                <pt idx="303">
                  <v>0.009621200512915618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CorePCE!$D$6:$D$309</f>
              <numCache>
                <formatCode>0.00%</formatCode>
                <ptCount val="304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0.04947017401313561</v>
                </pt>
                <pt idx="303">
                  <v>0.04713311864832078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CorePCE!$E$6:$E$309</f>
              <numCache>
                <formatCode>0.00%</formatCode>
                <ptCount val="304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0.04663725755820214</v>
                </pt>
                <pt idx="303">
                  <v>0.03904377805815051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PersonalSaving!$A$2</f>
          <strCache>
            <ptCount val="1"/>
            <pt idx="0">
              <v>Personal Saving as % of Disposable Personal Income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PersonalSaving!$A$2</f>
              <strCache>
                <ptCount val="1"/>
                <pt idx="0">
                  <v>Personal Saving as % of Disposable Personal Income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PersonalSaving!$B$6:$B$310</f>
              <numCache>
                <formatCode>0.0</formatCode>
                <ptCount val="305"/>
                <pt idx="48">
                  <v>10.7</v>
                </pt>
                <pt idx="49">
                  <v>10.8</v>
                </pt>
                <pt idx="50">
                  <v>9.699999999999999</v>
                </pt>
                <pt idx="51">
                  <v>10.2</v>
                </pt>
                <pt idx="52">
                  <v>10.3</v>
                </pt>
                <pt idx="53">
                  <v>9.699999999999999</v>
                </pt>
                <pt idx="54">
                  <v>10.2</v>
                </pt>
                <pt idx="55">
                  <v>10</v>
                </pt>
                <pt idx="56">
                  <v>10.9</v>
                </pt>
                <pt idx="57">
                  <v>10.9</v>
                </pt>
                <pt idx="58">
                  <v>11.7</v>
                </pt>
                <pt idx="59">
                  <v>11.6</v>
                </pt>
                <pt idx="60">
                  <v>11.6</v>
                </pt>
                <pt idx="61">
                  <v>11.4</v>
                </pt>
                <pt idx="62">
                  <v>11.1</v>
                </pt>
                <pt idx="63">
                  <v>10.7</v>
                </pt>
                <pt idx="64">
                  <v>10.8</v>
                </pt>
                <pt idx="65">
                  <v>10.7</v>
                </pt>
                <pt idx="66">
                  <v>10.4</v>
                </pt>
                <pt idx="67">
                  <v>11.1</v>
                </pt>
                <pt idx="68">
                  <v>11.1</v>
                </pt>
                <pt idx="69">
                  <v>11.9</v>
                </pt>
                <pt idx="70">
                  <v>11.4</v>
                </pt>
                <pt idx="71">
                  <v>12.1</v>
                </pt>
                <pt idx="72">
                  <v>11.2</v>
                </pt>
                <pt idx="73">
                  <v>11.2</v>
                </pt>
                <pt idx="74">
                  <v>12</v>
                </pt>
                <pt idx="75">
                  <v>11.4</v>
                </pt>
                <pt idx="76">
                  <v>11</v>
                </pt>
                <pt idx="77">
                  <v>11</v>
                </pt>
                <pt idx="78">
                  <v>11</v>
                </pt>
                <pt idx="79">
                  <v>11.7</v>
                </pt>
                <pt idx="80">
                  <v>12.5</v>
                </pt>
                <pt idx="81">
                  <v>11.9</v>
                </pt>
                <pt idx="82">
                  <v>12.4</v>
                </pt>
                <pt idx="83">
                  <v>12.5</v>
                </pt>
                <pt idx="84">
                  <v>11.9</v>
                </pt>
                <pt idx="85">
                  <v>12</v>
                </pt>
                <pt idx="86">
                  <v>10.6</v>
                </pt>
                <pt idx="87">
                  <v>10.9</v>
                </pt>
                <pt idx="88">
                  <v>10.1</v>
                </pt>
                <pt idx="89">
                  <v>10.3</v>
                </pt>
                <pt idx="90">
                  <v>11.7</v>
                </pt>
                <pt idx="91">
                  <v>11.6</v>
                </pt>
                <pt idx="92">
                  <v>12</v>
                </pt>
                <pt idx="93">
                  <v>12.6</v>
                </pt>
                <pt idx="94">
                  <v>13.3</v>
                </pt>
                <pt idx="95">
                  <v>13.3</v>
                </pt>
                <pt idx="96">
                  <v>13.4</v>
                </pt>
                <pt idx="97">
                  <v>13.8</v>
                </pt>
                <pt idx="98">
                  <v>13.6</v>
                </pt>
                <pt idx="99">
                  <v>13.1</v>
                </pt>
                <pt idx="100">
                  <v>12.4</v>
                </pt>
                <pt idx="101">
                  <v>11.6</v>
                </pt>
                <pt idx="102">
                  <v>12</v>
                </pt>
                <pt idx="103">
                  <v>13.4</v>
                </pt>
                <pt idx="104">
                  <v>12.6</v>
                </pt>
                <pt idx="105">
                  <v>13.3</v>
                </pt>
                <pt idx="106">
                  <v>13.4</v>
                </pt>
                <pt idx="107">
                  <v>14.5</v>
                </pt>
                <pt idx="108">
                  <v>14</v>
                </pt>
                <pt idx="109">
                  <v>12.9</v>
                </pt>
                <pt idx="110">
                  <v>12.6</v>
                </pt>
                <pt idx="111">
                  <v>13.7</v>
                </pt>
                <pt idx="112">
                  <v>12.8</v>
                </pt>
                <pt idx="113">
                  <v>15.3</v>
                </pt>
                <pt idx="114">
                  <v>12.9</v>
                </pt>
                <pt idx="115">
                  <v>12.7</v>
                </pt>
                <pt idx="116">
                  <v>12.1</v>
                </pt>
                <pt idx="117">
                  <v>11.8</v>
                </pt>
                <pt idx="118">
                  <v>11.6</v>
                </pt>
                <pt idx="119">
                  <v>11</v>
                </pt>
                <pt idx="120">
                  <v>10.1</v>
                </pt>
                <pt idx="121">
                  <v>10.5</v>
                </pt>
                <pt idx="122">
                  <v>10.8</v>
                </pt>
                <pt idx="123">
                  <v>11.2</v>
                </pt>
                <pt idx="124">
                  <v>11.3</v>
                </pt>
                <pt idx="125">
                  <v>10.4</v>
                </pt>
                <pt idx="126">
                  <v>10.7</v>
                </pt>
                <pt idx="127">
                  <v>10.5</v>
                </pt>
                <pt idx="128">
                  <v>11.1</v>
                </pt>
                <pt idx="129">
                  <v>10.4</v>
                </pt>
                <pt idx="130">
                  <v>9.9</v>
                </pt>
                <pt idx="131">
                  <v>9.800000000000001</v>
                </pt>
                <pt idx="132">
                  <v>10.1</v>
                </pt>
                <pt idx="133">
                  <v>11.3</v>
                </pt>
                <pt idx="134">
                  <v>11.4</v>
                </pt>
                <pt idx="135">
                  <v>11.4</v>
                </pt>
                <pt idx="136">
                  <v>10.9</v>
                </pt>
                <pt idx="137">
                  <v>10.9</v>
                </pt>
                <pt idx="138">
                  <v>12.3</v>
                </pt>
                <pt idx="139">
                  <v>12.9</v>
                </pt>
                <pt idx="140">
                  <v>12.3</v>
                </pt>
                <pt idx="141">
                  <v>12.5</v>
                </pt>
                <pt idx="142">
                  <v>12.3</v>
                </pt>
                <pt idx="143">
                  <v>11</v>
                </pt>
                <pt idx="144">
                  <v>11</v>
                </pt>
                <pt idx="145">
                  <v>9.800000000000001</v>
                </pt>
                <pt idx="146">
                  <v>9.5</v>
                </pt>
                <pt idx="147">
                  <v>10</v>
                </pt>
                <pt idx="148">
                  <v>11.1</v>
                </pt>
                <pt idx="149">
                  <v>11.3</v>
                </pt>
                <pt idx="150">
                  <v>11.7</v>
                </pt>
                <pt idx="151">
                  <v>11.3</v>
                </pt>
                <pt idx="152">
                  <v>9.300000000000001</v>
                </pt>
                <pt idx="153">
                  <v>10.2</v>
                </pt>
                <pt idx="154">
                  <v>8.199999999999999</v>
                </pt>
                <pt idx="155">
                  <v>8.9</v>
                </pt>
                <pt idx="156">
                  <v>9.300000000000001</v>
                </pt>
                <pt idx="157">
                  <v>9.5</v>
                </pt>
                <pt idx="158">
                  <v>8.5</v>
                </pt>
                <pt idx="159">
                  <v>8.1</v>
                </pt>
                <pt idx="160">
                  <v>8.9</v>
                </pt>
                <pt idx="161">
                  <v>6.8</v>
                </pt>
                <pt idx="162">
                  <v>7.5</v>
                </pt>
                <pt idx="163">
                  <v>8.5</v>
                </pt>
                <pt idx="164">
                  <v>8.300000000000001</v>
                </pt>
                <pt idx="165">
                  <v>8.6</v>
                </pt>
                <pt idx="166">
                  <v>8.6</v>
                </pt>
                <pt idx="167">
                  <v>8.5</v>
                </pt>
                <pt idx="168">
                  <v>9</v>
                </pt>
                <pt idx="169">
                  <v>8.300000000000001</v>
                </pt>
                <pt idx="170">
                  <v>8</v>
                </pt>
                <pt idx="171">
                  <v>8.300000000000001</v>
                </pt>
                <pt idx="172">
                  <v>8.300000000000001</v>
                </pt>
                <pt idx="173">
                  <v>8.699999999999999</v>
                </pt>
                <pt idx="174">
                  <v>8.300000000000001</v>
                </pt>
                <pt idx="175">
                  <v>8.199999999999999</v>
                </pt>
                <pt idx="176">
                  <v>8.699999999999999</v>
                </pt>
                <pt idx="177">
                  <v>8.6</v>
                </pt>
                <pt idx="178">
                  <v>8.6</v>
                </pt>
                <pt idx="179">
                  <v>9.4</v>
                </pt>
                <pt idx="180">
                  <v>9.6</v>
                </pt>
                <pt idx="181">
                  <v>9.9</v>
                </pt>
                <pt idx="182">
                  <v>9.300000000000001</v>
                </pt>
                <pt idx="183">
                  <v>8.9</v>
                </pt>
                <pt idx="184">
                  <v>8.800000000000001</v>
                </pt>
                <pt idx="185">
                  <v>8.300000000000001</v>
                </pt>
                <pt idx="186">
                  <v>7.4</v>
                </pt>
                <pt idx="187">
                  <v>7.3</v>
                </pt>
                <pt idx="188">
                  <v>6.8</v>
                </pt>
                <pt idx="189">
                  <v>7</v>
                </pt>
                <pt idx="190">
                  <v>6.8</v>
                </pt>
                <pt idx="191">
                  <v>7.1</v>
                </pt>
                <pt idx="192">
                  <v>7.6</v>
                </pt>
                <pt idx="193">
                  <v>6.9</v>
                </pt>
                <pt idx="194">
                  <v>6.8</v>
                </pt>
                <pt idx="195">
                  <v>6.6</v>
                </pt>
                <pt idx="196">
                  <v>6.7</v>
                </pt>
                <pt idx="197">
                  <v>6.5</v>
                </pt>
                <pt idx="198">
                  <v>6.6</v>
                </pt>
                <pt idx="199">
                  <v>6.4</v>
                </pt>
                <pt idx="200">
                  <v>6.3</v>
                </pt>
                <pt idx="201">
                  <v>6.6</v>
                </pt>
                <pt idx="202">
                  <v>6.1</v>
                </pt>
                <pt idx="203">
                  <v>6.3</v>
                </pt>
                <pt idx="204">
                  <v>7.4</v>
                </pt>
                <pt idx="205">
                  <v>7</v>
                </pt>
                <pt idx="206">
                  <v>6.7</v>
                </pt>
                <pt idx="207">
                  <v>6.1</v>
                </pt>
                <pt idx="208">
                  <v>6.2</v>
                </pt>
                <pt idx="209">
                  <v>4.8</v>
                </pt>
                <pt idx="210">
                  <v>4.5</v>
                </pt>
                <pt idx="211">
                  <v>4.4</v>
                </pt>
                <pt idx="212">
                  <v>4.6</v>
                </pt>
                <pt idx="213">
                  <v>4.8</v>
                </pt>
                <pt idx="214">
                  <v>5</v>
                </pt>
                <pt idx="215">
                  <v>4.6</v>
                </pt>
                <pt idx="216">
                  <v>5.1</v>
                </pt>
                <pt idx="217">
                  <v>4.7</v>
                </pt>
                <pt idx="218">
                  <v>6.4</v>
                </pt>
                <pt idx="219">
                  <v>3.5</v>
                </pt>
                <pt idx="220">
                  <v>5.6</v>
                </pt>
                <pt idx="221">
                  <v>6</v>
                </pt>
                <pt idx="222">
                  <v>5.6</v>
                </pt>
                <pt idx="223">
                  <v>5.7</v>
                </pt>
                <pt idx="224">
                  <v>5.2</v>
                </pt>
                <pt idx="225">
                  <v>5.3</v>
                </pt>
                <pt idx="226">
                  <v>5.7</v>
                </pt>
                <pt idx="227">
                  <v>5.3</v>
                </pt>
                <pt idx="228">
                  <v>4.8</v>
                </pt>
                <pt idx="229">
                  <v>5.3</v>
                </pt>
                <pt idx="230">
                  <v>4.8</v>
                </pt>
                <pt idx="231">
                  <v>4.9</v>
                </pt>
                <pt idx="232">
                  <v>3.1</v>
                </pt>
                <pt idx="233">
                  <v>2.9</v>
                </pt>
                <pt idx="234">
                  <v>2.4</v>
                </pt>
                <pt idx="235">
                  <v>3</v>
                </pt>
                <pt idx="236">
                  <v>3.9</v>
                </pt>
                <pt idx="237">
                  <v>3.7</v>
                </pt>
                <pt idx="238">
                  <v>3.2</v>
                </pt>
                <pt idx="239">
                  <v>3.4</v>
                </pt>
                <pt idx="240">
                  <v>3.6</v>
                </pt>
                <pt idx="241">
                  <v>3.6</v>
                </pt>
                <pt idx="242">
                  <v>3.2</v>
                </pt>
                <pt idx="243">
                  <v>3</v>
                </pt>
                <pt idx="244">
                  <v>3.4</v>
                </pt>
                <pt idx="245">
                  <v>5.1</v>
                </pt>
                <pt idx="246">
                  <v>3.9</v>
                </pt>
                <pt idx="247">
                  <v>5.9</v>
                </pt>
                <pt idx="248">
                  <v>5.9</v>
                </pt>
                <pt idx="249">
                  <v>6.9</v>
                </pt>
                <pt idx="250">
                  <v>5.2</v>
                </pt>
                <pt idx="251">
                  <v>5.5</v>
                </pt>
                <pt idx="252">
                  <v>5.7</v>
                </pt>
                <pt idx="253">
                  <v>6.5</v>
                </pt>
                <pt idx="254">
                  <v>6.5</v>
                </pt>
                <pt idx="255">
                  <v>6.3</v>
                </pt>
                <pt idx="256">
                  <v>6.9</v>
                </pt>
                <pt idx="257">
                  <v>6.6</v>
                </pt>
                <pt idx="258">
                  <v>6.8</v>
                </pt>
                <pt idx="259">
                  <v>6.9</v>
                </pt>
                <pt idx="260">
                  <v>7.9</v>
                </pt>
                <pt idx="261">
                  <v>8.6</v>
                </pt>
                <pt idx="262">
                  <v>7.8</v>
                </pt>
                <pt idx="263">
                  <v>10</v>
                </pt>
                <pt idx="264">
                  <v>5.8</v>
                </pt>
                <pt idx="265">
                  <v>6.4</v>
                </pt>
                <pt idx="266">
                  <v>6.4</v>
                </pt>
                <pt idx="267">
                  <v>5.9</v>
                </pt>
                <pt idx="268">
                  <v>6.7</v>
                </pt>
                <pt idx="269">
                  <v>7</v>
                </pt>
                <pt idx="270">
                  <v>7.1</v>
                </pt>
                <pt idx="271">
                  <v>7.3</v>
                </pt>
                <pt idx="272">
                  <v>7.9</v>
                </pt>
                <pt idx="273">
                  <v>7.5</v>
                </pt>
                <pt idx="274">
                  <v>7.3</v>
                </pt>
                <pt idx="275">
                  <v>7.4</v>
                </pt>
                <pt idx="276">
                  <v>7.5</v>
                </pt>
                <pt idx="277">
                  <v>6.9</v>
                </pt>
                <pt idx="278">
                  <v>6.8</v>
                </pt>
                <pt idx="279">
                  <v>6.8</v>
                </pt>
                <pt idx="280">
                  <v>7.1</v>
                </pt>
                <pt idx="281">
                  <v>7.6</v>
                </pt>
                <pt idx="282">
                  <v>7.5</v>
                </pt>
                <pt idx="283">
                  <v>6.9</v>
                </pt>
                <pt idx="284">
                  <v>7.2</v>
                </pt>
                <pt idx="285">
                  <v>7.3</v>
                </pt>
                <pt idx="286">
                  <v>7.6</v>
                </pt>
                <pt idx="287">
                  <v>8.199999999999999</v>
                </pt>
                <pt idx="288">
                  <v>9.300000000000001</v>
                </pt>
                <pt idx="289">
                  <v>8.699999999999999</v>
                </pt>
                <pt idx="290">
                  <v>8.6</v>
                </pt>
                <pt idx="291">
                  <v>8.699999999999999</v>
                </pt>
                <pt idx="292">
                  <v>10.7</v>
                </pt>
                <pt idx="293">
                  <v>26.4</v>
                </pt>
                <pt idx="294">
                  <v>16.4</v>
                </pt>
                <pt idx="295">
                  <v>13.7</v>
                </pt>
                <pt idx="296">
                  <v>20.4</v>
                </pt>
                <pt idx="297">
                  <v>10.8</v>
                </pt>
                <pt idx="298">
                  <v>9.1</v>
                </pt>
                <pt idx="299">
                  <v>7.3</v>
                </pt>
                <pt idx="300">
                  <v>4.3</v>
                </pt>
                <pt idx="301">
                  <v>3.2</v>
                </pt>
                <pt idx="302">
                  <v>2.7</v>
                </pt>
                <pt idx="303">
                  <v>2.9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strRef>
          <f>PersonalSaving!$C$5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PersonalSaving!$C$5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PersonalSaving!$C$6:$C$310</f>
              <numCache>
                <formatCode>0.00%</formatCode>
                <ptCount val="305"/>
                <pt idx="49">
                  <v>0.009345794392523497</v>
                </pt>
                <pt idx="50">
                  <v>-0.101851851851852</v>
                </pt>
                <pt idx="51">
                  <v>0.05154639175257732</v>
                </pt>
                <pt idx="52">
                  <v>0.009803921568627591</v>
                </pt>
                <pt idx="53">
                  <v>-0.05825242718446615</v>
                </pt>
                <pt idx="54">
                  <v>0.05154639175257732</v>
                </pt>
                <pt idx="55">
                  <v>-0.01960784313725483</v>
                </pt>
                <pt idx="56">
                  <v>0.09000000000000004</v>
                </pt>
                <pt idx="57">
                  <v>0</v>
                </pt>
                <pt idx="58">
                  <v>0.07339449541284393</v>
                </pt>
                <pt idx="59">
                  <v>-0.008547008547008517</v>
                </pt>
                <pt idx="60">
                  <v>0</v>
                </pt>
                <pt idx="61">
                  <v>-0.01724137931034477</v>
                </pt>
                <pt idx="62">
                  <v>-0.02631578947368427</v>
                </pt>
                <pt idx="63">
                  <v>-0.03603603603603607</v>
                </pt>
                <pt idx="64">
                  <v>0.009345794392523497</v>
                </pt>
                <pt idx="65">
                  <v>-0.009259259259259391</v>
                </pt>
                <pt idx="66">
                  <v>-0.02803738317757</v>
                </pt>
                <pt idx="67">
                  <v>0.06730769230769224</v>
                </pt>
                <pt idx="68">
                  <v>0</v>
                </pt>
                <pt idx="69">
                  <v>0.07207207207207214</v>
                </pt>
                <pt idx="70">
                  <v>-0.04201680672268907</v>
                </pt>
                <pt idx="71">
                  <v>0.06140350877192976</v>
                </pt>
                <pt idx="72">
                  <v>-0.07438016528925623</v>
                </pt>
                <pt idx="73">
                  <v>0</v>
                </pt>
                <pt idx="74">
                  <v>0.07142857142857149</v>
                </pt>
                <pt idx="75">
                  <v>-0.04999999999999997</v>
                </pt>
                <pt idx="76">
                  <v>-0.03508771929824565</v>
                </pt>
                <pt idx="77">
                  <v>0</v>
                </pt>
                <pt idx="78">
                  <v>0</v>
                </pt>
                <pt idx="79">
                  <v>0.06363636363636357</v>
                </pt>
                <pt idx="80">
                  <v>0.06837606837606844</v>
                </pt>
                <pt idx="81">
                  <v>-0.04799999999999997</v>
                </pt>
                <pt idx="82">
                  <v>0.04201680672268907</v>
                </pt>
                <pt idx="83">
                  <v>0.008064516129032228</v>
                </pt>
                <pt idx="84">
                  <v>-0.04799999999999997</v>
                </pt>
                <pt idx="85">
                  <v>0.008403361344537785</v>
                </pt>
                <pt idx="86">
                  <v>-0.1166666666666667</v>
                </pt>
                <pt idx="87">
                  <v>0.0283018867924529</v>
                </pt>
                <pt idx="88">
                  <v>-0.0733944954128441</v>
                </pt>
                <pt idx="89">
                  <v>0.01980198019801991</v>
                </pt>
                <pt idx="90">
                  <v>0.1359223300970872</v>
                </pt>
                <pt idx="91">
                  <v>-0.008547008547008517</v>
                </pt>
                <pt idx="92">
                  <v>0.03448275862068969</v>
                </pt>
                <pt idx="93">
                  <v>0.04999999999999997</v>
                </pt>
                <pt idx="94">
                  <v>0.05555555555555564</v>
                </pt>
                <pt idx="95">
                  <v>0</v>
                </pt>
                <pt idx="96">
                  <v>0.007518796992481176</v>
                </pt>
                <pt idx="97">
                  <v>0.02985074626865674</v>
                </pt>
                <pt idx="98">
                  <v>-0.01449275362318848</v>
                </pt>
                <pt idx="99">
                  <v>-0.03676470588235294</v>
                </pt>
                <pt idx="100">
                  <v>-0.05343511450381674</v>
                </pt>
                <pt idx="101">
                  <v>-0.06451612903225812</v>
                </pt>
                <pt idx="102">
                  <v>0.03448275862068969</v>
                </pt>
                <pt idx="103">
                  <v>0.1166666666666667</v>
                </pt>
                <pt idx="104">
                  <v>-0.05970149253731349</v>
                </pt>
                <pt idx="105">
                  <v>0.05555555555555564</v>
                </pt>
                <pt idx="106">
                  <v>0.007518796992481176</v>
                </pt>
                <pt idx="107">
                  <v>0.08208955223880594</v>
                </pt>
                <pt idx="108">
                  <v>-0.03448275862068965</v>
                </pt>
                <pt idx="109">
                  <v>-0.07857142857142854</v>
                </pt>
                <pt idx="110">
                  <v>-0.02325581395348843</v>
                </pt>
                <pt idx="111">
                  <v>0.08730158730158727</v>
                </pt>
                <pt idx="112">
                  <v>-0.06569343065693421</v>
                </pt>
                <pt idx="113">
                  <v>0.1953125</v>
                </pt>
                <pt idx="114">
                  <v>-0.1568627450980392</v>
                </pt>
                <pt idx="115">
                  <v>-0.01550387596899233</v>
                </pt>
                <pt idx="116">
                  <v>-0.04724409448818895</v>
                </pt>
                <pt idx="117">
                  <v>-0.02479338842975198</v>
                </pt>
                <pt idx="118">
                  <v>-0.01694915254237297</v>
                </pt>
                <pt idx="119">
                  <v>-0.05172413793103445</v>
                </pt>
                <pt idx="120">
                  <v>-0.08181818181818185</v>
                </pt>
                <pt idx="121">
                  <v>0.03960396039603964</v>
                </pt>
                <pt idx="122">
                  <v>0.02857142857142864</v>
                </pt>
                <pt idx="123">
                  <v>0.0370370370370369</v>
                </pt>
                <pt idx="124">
                  <v>0.008928571428571556</v>
                </pt>
                <pt idx="125">
                  <v>-0.07964601769911507</v>
                </pt>
                <pt idx="126">
                  <v>0.02884615384615374</v>
                </pt>
                <pt idx="127">
                  <v>-0.01869158878504667</v>
                </pt>
                <pt idx="128">
                  <v>0.05714285714285711</v>
                </pt>
                <pt idx="129">
                  <v>-0.063063063063063</v>
                </pt>
                <pt idx="130">
                  <v>-0.04807692307692307</v>
                </pt>
                <pt idx="131">
                  <v>-0.01010101010101007</v>
                </pt>
                <pt idx="132">
                  <v>0.03061224489795907</v>
                </pt>
                <pt idx="133">
                  <v>0.1188118811881189</v>
                </pt>
                <pt idx="134">
                  <v>0.008849557522123862</v>
                </pt>
                <pt idx="135">
                  <v>0</v>
                </pt>
                <pt idx="136">
                  <v>-0.04385964912280702</v>
                </pt>
                <pt idx="137">
                  <v>0</v>
                </pt>
                <pt idx="138">
                  <v>0.1284403669724771</v>
                </pt>
                <pt idx="139">
                  <v>0.04878048780487802</v>
                </pt>
                <pt idx="140">
                  <v>-0.04651162790697672</v>
                </pt>
                <pt idx="141">
                  <v>0.01626016260162596</v>
                </pt>
                <pt idx="142">
                  <v>-0.01599999999999994</v>
                </pt>
                <pt idx="143">
                  <v>-0.1056910569105692</v>
                </pt>
                <pt idx="144">
                  <v>0</v>
                </pt>
                <pt idx="145">
                  <v>-0.109090909090909</v>
                </pt>
                <pt idx="146">
                  <v>-0.03061224489795925</v>
                </pt>
                <pt idx="147">
                  <v>0.05263157894736842</v>
                </pt>
                <pt idx="148">
                  <v>0.11</v>
                </pt>
                <pt idx="149">
                  <v>0.01801801801801812</v>
                </pt>
                <pt idx="150">
                  <v>0.03539823008849545</v>
                </pt>
                <pt idx="151">
                  <v>-0.03418803418803407</v>
                </pt>
                <pt idx="152">
                  <v>-0.1769911504424779</v>
                </pt>
                <pt idx="153">
                  <v>0.09677419354838694</v>
                </pt>
                <pt idx="154">
                  <v>-0.196078431372549</v>
                </pt>
                <pt idx="155">
                  <v>0.08536585365853672</v>
                </pt>
                <pt idx="156">
                  <v>0.04494382022471914</v>
                </pt>
                <pt idx="157">
                  <v>0.02150537634408594</v>
                </pt>
                <pt idx="158">
                  <v>-0.1052631578947368</v>
                </pt>
                <pt idx="159">
                  <v>-0.04705882352941181</v>
                </pt>
                <pt idx="160">
                  <v>0.09876543209876552</v>
                </pt>
                <pt idx="161">
                  <v>-0.2359550561797753</v>
                </pt>
                <pt idx="162">
                  <v>0.1029411764705883</v>
                </pt>
                <pt idx="163">
                  <v>0.1333333333333333</v>
                </pt>
                <pt idx="164">
                  <v>-0.0235294117647058</v>
                </pt>
                <pt idx="165">
                  <v>0.03614457831325288</v>
                </pt>
                <pt idx="166">
                  <v>0</v>
                </pt>
                <pt idx="167">
                  <v>-0.01162790697674415</v>
                </pt>
                <pt idx="168">
                  <v>0.05882352941176471</v>
                </pt>
                <pt idx="169">
                  <v>-0.0777777777777777</v>
                </pt>
                <pt idx="170">
                  <v>-0.03614457831325309</v>
                </pt>
                <pt idx="171">
                  <v>0.03750000000000009</v>
                </pt>
                <pt idx="172">
                  <v>0</v>
                </pt>
                <pt idx="173">
                  <v>0.04819277108433717</v>
                </pt>
                <pt idx="174">
                  <v>-0.04597701149425271</v>
                </pt>
                <pt idx="175">
                  <v>-0.01204819277108451</v>
                </pt>
                <pt idx="176">
                  <v>0.06097560975609757</v>
                </pt>
                <pt idx="177">
                  <v>-0.01149425287356318</v>
                </pt>
                <pt idx="178">
                  <v>0</v>
                </pt>
                <pt idx="179">
                  <v>0.09302325581395357</v>
                </pt>
                <pt idx="180">
                  <v>0.02127659574468077</v>
                </pt>
                <pt idx="181">
                  <v>0.03125000000000008</v>
                </pt>
                <pt idx="182">
                  <v>-0.06060606060606057</v>
                </pt>
                <pt idx="183">
                  <v>-0.04301075268817208</v>
                </pt>
                <pt idx="184">
                  <v>-0.01123595505617974</v>
                </pt>
                <pt idx="185">
                  <v>-0.05681818181818182</v>
                </pt>
                <pt idx="186">
                  <v>-0.1084337349397591</v>
                </pt>
                <pt idx="187">
                  <v>-0.01351351351351359</v>
                </pt>
                <pt idx="188">
                  <v>-0.0684931506849315</v>
                </pt>
                <pt idx="189">
                  <v>0.02941176470588238</v>
                </pt>
                <pt idx="190">
                  <v>-0.0285714285714286</v>
                </pt>
                <pt idx="191">
                  <v>0.0441176470588235</v>
                </pt>
                <pt idx="192">
                  <v>0.07042253521126761</v>
                </pt>
                <pt idx="193">
                  <v>-0.09210526315789465</v>
                </pt>
                <pt idx="194">
                  <v>-0.01449275362318848</v>
                </pt>
                <pt idx="195">
                  <v>-0.02941176470588238</v>
                </pt>
                <pt idx="196">
                  <v>0.01515151515151523</v>
                </pt>
                <pt idx="197">
                  <v>-0.02985074626865674</v>
                </pt>
                <pt idx="198">
                  <v>0.01538461538461533</v>
                </pt>
                <pt idx="199">
                  <v>-0.0303030303030302</v>
                </pt>
                <pt idx="200">
                  <v>-0.01562500000000008</v>
                </pt>
                <pt idx="201">
                  <v>0.0476190476190476</v>
                </pt>
                <pt idx="202">
                  <v>-0.07575757575757576</v>
                </pt>
                <pt idx="203">
                  <v>0.03278688524590167</v>
                </pt>
                <pt idx="204">
                  <v>0.1746031746031747</v>
                </pt>
                <pt idx="205">
                  <v>-0.0540540540540541</v>
                </pt>
                <pt idx="206">
                  <v>-0.04285714285714283</v>
                </pt>
                <pt idx="207">
                  <v>-0.08955223880597023</v>
                </pt>
                <pt idx="208">
                  <v>0.01639344262295091</v>
                </pt>
                <pt idx="209">
                  <v>-0.2258064516129033</v>
                </pt>
                <pt idx="210">
                  <v>-0.06249999999999997</v>
                </pt>
                <pt idx="211">
                  <v>-0.02222222222222214</v>
                </pt>
                <pt idx="212">
                  <v>0.04545454545454529</v>
                </pt>
                <pt idx="213">
                  <v>0.04347826086956526</v>
                </pt>
                <pt idx="214">
                  <v>0.04166666666666671</v>
                </pt>
                <pt idx="215">
                  <v>-0.08000000000000007</v>
                </pt>
                <pt idx="216">
                  <v>0.1086956521739131</v>
                </pt>
                <pt idx="217">
                  <v>-0.07843137254901951</v>
                </pt>
                <pt idx="218">
                  <v>0.3617021276595745</v>
                </pt>
                <pt idx="219">
                  <v>-0.4531250000000001</v>
                </pt>
                <pt idx="220">
                  <v>0.5999999999999999</v>
                </pt>
                <pt idx="221">
                  <v>0.07142857142857149</v>
                </pt>
                <pt idx="222">
                  <v>-0.06666666666666672</v>
                </pt>
                <pt idx="223">
                  <v>0.01785714285714295</v>
                </pt>
                <pt idx="224">
                  <v>-0.08771929824561403</v>
                </pt>
                <pt idx="225">
                  <v>0.01923076923076916</v>
                </pt>
                <pt idx="226">
                  <v>0.07547169811320761</v>
                </pt>
                <pt idx="227">
                  <v>-0.07017543859649129</v>
                </pt>
                <pt idx="228">
                  <v>-0.09433962264150944</v>
                </pt>
                <pt idx="229">
                  <v>0.1041666666666667</v>
                </pt>
                <pt idx="230">
                  <v>-0.09433962264150944</v>
                </pt>
                <pt idx="231">
                  <v>0.02083333333333345</v>
                </pt>
                <pt idx="232">
                  <v>-0.3673469387755102</v>
                </pt>
                <pt idx="233">
                  <v>-0.06451612903225812</v>
                </pt>
                <pt idx="234">
                  <v>-0.1724137931034483</v>
                </pt>
                <pt idx="235">
                  <v>0.2500000000000001</v>
                </pt>
                <pt idx="236">
                  <v>0.3</v>
                </pt>
                <pt idx="237">
                  <v>-0.05128205128205122</v>
                </pt>
                <pt idx="238">
                  <v>-0.1351351351351351</v>
                </pt>
                <pt idx="239">
                  <v>0.06249999999999992</v>
                </pt>
                <pt idx="240">
                  <v>0.05882352941176476</v>
                </pt>
                <pt idx="241">
                  <v>0</v>
                </pt>
                <pt idx="242">
                  <v>-0.1111111111111111</v>
                </pt>
                <pt idx="243">
                  <v>-0.06250000000000006</v>
                </pt>
                <pt idx="244">
                  <v>0.1333333333333333</v>
                </pt>
                <pt idx="245">
                  <v>0.4999999999999999</v>
                </pt>
                <pt idx="246">
                  <v>-0.2352941176470588</v>
                </pt>
                <pt idx="247">
                  <v>0.512820512820513</v>
                </pt>
                <pt idx="248">
                  <v>0</v>
                </pt>
                <pt idx="249">
                  <v>0.1694915254237288</v>
                </pt>
                <pt idx="250">
                  <v>-0.2463768115942029</v>
                </pt>
                <pt idx="251">
                  <v>0.05769230769230765</v>
                </pt>
                <pt idx="252">
                  <v>0.0363636363636364</v>
                </pt>
                <pt idx="253">
                  <v>0.1403508771929824</v>
                </pt>
                <pt idx="254">
                  <v>0</v>
                </pt>
                <pt idx="255">
                  <v>-0.0307692307692308</v>
                </pt>
                <pt idx="256">
                  <v>0.09523809523809533</v>
                </pt>
                <pt idx="257">
                  <v>-0.04347826086956532</v>
                </pt>
                <pt idx="258">
                  <v>0.03030303030303033</v>
                </pt>
                <pt idx="259">
                  <v>0.01470588235294126</v>
                </pt>
                <pt idx="260">
                  <v>0.1449275362318841</v>
                </pt>
                <pt idx="261">
                  <v>0.08860759493670876</v>
                </pt>
                <pt idx="262">
                  <v>-0.09302325581395347</v>
                </pt>
                <pt idx="263">
                  <v>0.2820512820512821</v>
                </pt>
                <pt idx="264">
                  <v>-0.42</v>
                </pt>
                <pt idx="265">
                  <v>0.1034482758620691</v>
                </pt>
                <pt idx="266">
                  <v>0</v>
                </pt>
                <pt idx="267">
                  <v>-0.078125</v>
                </pt>
                <pt idx="268">
                  <v>0.135593220338983</v>
                </pt>
                <pt idx="269">
                  <v>0.04477611940298504</v>
                </pt>
                <pt idx="270">
                  <v>0.01428571428571423</v>
                </pt>
                <pt idx="271">
                  <v>0.02816901408450707</v>
                </pt>
                <pt idx="272">
                  <v>0.08219178082191789</v>
                </pt>
                <pt idx="273">
                  <v>-0.0506329113924051</v>
                </pt>
                <pt idx="274">
                  <v>-0.02666666666666669</v>
                </pt>
                <pt idx="275">
                  <v>0.01369863013698638</v>
                </pt>
                <pt idx="276">
                  <v>0.01351351351351347</v>
                </pt>
                <pt idx="277">
                  <v>-0.07999999999999995</v>
                </pt>
                <pt idx="278">
                  <v>-0.01449275362318848</v>
                </pt>
                <pt idx="279">
                  <v>0</v>
                </pt>
                <pt idx="280">
                  <v>0.0441176470588235</v>
                </pt>
                <pt idx="281">
                  <v>0.07042253521126761</v>
                </pt>
                <pt idx="282">
                  <v>-0.01315789473684206</v>
                </pt>
                <pt idx="283">
                  <v>-0.07999999999999995</v>
                </pt>
                <pt idx="284">
                  <v>0.04347826086956519</v>
                </pt>
                <pt idx="285">
                  <v>0.01388888888888884</v>
                </pt>
                <pt idx="286">
                  <v>0.04109589041095888</v>
                </pt>
                <pt idx="287">
                  <v>0.07894736842105259</v>
                </pt>
                <pt idx="288">
                  <v>0.1341463414634148</v>
                </pt>
                <pt idx="289">
                  <v>-0.06451612903225822</v>
                </pt>
                <pt idx="290">
                  <v>-0.01149425287356318</v>
                </pt>
                <pt idx="291">
                  <v>0.01162790697674415</v>
                </pt>
                <pt idx="292">
                  <v>0.2298850574712644</v>
                </pt>
                <pt idx="293">
                  <v>1.467289719626168</v>
                </pt>
                <pt idx="294">
                  <v>-0.3787878787878788</v>
                </pt>
                <pt idx="295">
                  <v>-0.1646341463414634</v>
                </pt>
                <pt idx="296">
                  <v>0.4890510948905109</v>
                </pt>
                <pt idx="297">
                  <v>-0.4705882352941176</v>
                </pt>
                <pt idx="298">
                  <v>-0.1574074074074075</v>
                </pt>
                <pt idx="299">
                  <v>-0.1978021978021978</v>
                </pt>
                <pt idx="300">
                  <v>-0.4109589041095891</v>
                </pt>
                <pt idx="301">
                  <v>-0.255813953488372</v>
                </pt>
                <pt idx="302">
                  <v>-0.15625</v>
                </pt>
                <pt idx="303">
                  <v>0.07407407407407397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strRef>
          <f>PersonalSaving!$D$5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PersonalSaving!$D$5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PersonalSaving!$D$6:$D$310</f>
              <numCache>
                <formatCode>0.00%</formatCode>
                <ptCount val="305"/>
                <pt idx="52">
                  <v>-0.03738317757009333</v>
                </pt>
                <pt idx="53">
                  <v>-0.101851851851852</v>
                </pt>
                <pt idx="54">
                  <v>0.05154639175257732</v>
                </pt>
                <pt idx="55">
                  <v>-0.01960784313725483</v>
                </pt>
                <pt idx="56">
                  <v>0.05825242718446598</v>
                </pt>
                <pt idx="57">
                  <v>0.1237113402061857</v>
                </pt>
                <pt idx="58">
                  <v>0.1470588235294118</v>
                </pt>
                <pt idx="59">
                  <v>0.16</v>
                </pt>
                <pt idx="60">
                  <v>0.06422018348623847</v>
                </pt>
                <pt idx="61">
                  <v>0.04587155963302752</v>
                </pt>
                <pt idx="62">
                  <v>-0.05128205128205125</v>
                </pt>
                <pt idx="63">
                  <v>-0.07758620689655175</v>
                </pt>
                <pt idx="64">
                  <v>-0.06896551724137923</v>
                </pt>
                <pt idx="65">
                  <v>-0.06140350877192992</v>
                </pt>
                <pt idx="66">
                  <v>-0.063063063063063</v>
                </pt>
                <pt idx="67">
                  <v>0.0373831775700935</v>
                </pt>
                <pt idx="68">
                  <v>0.02777777777777768</v>
                </pt>
                <pt idx="69">
                  <v>0.1121495327102805</v>
                </pt>
                <pt idx="70">
                  <v>0.09615384615384615</v>
                </pt>
                <pt idx="71">
                  <v>0.0900900900900901</v>
                </pt>
                <pt idx="72">
                  <v>0.009009009009008978</v>
                </pt>
                <pt idx="73">
                  <v>-0.0588235294117648</v>
                </pt>
                <pt idx="74">
                  <v>0.05263157894736839</v>
                </pt>
                <pt idx="75">
                  <v>-0.05785123966942143</v>
                </pt>
                <pt idx="76">
                  <v>-0.01785714285714279</v>
                </pt>
                <pt idx="77">
                  <v>-0.01785714285714279</v>
                </pt>
                <pt idx="78">
                  <v>-0.08333333333333333</v>
                </pt>
                <pt idx="79">
                  <v>0.02631578947368412</v>
                </pt>
                <pt idx="80">
                  <v>0.1363636363636364</v>
                </pt>
                <pt idx="81">
                  <v>0.08181818181818185</v>
                </pt>
                <pt idx="82">
                  <v>0.1272727272727273</v>
                </pt>
                <pt idx="83">
                  <v>0.06837606837606844</v>
                </pt>
                <pt idx="84">
                  <v>-0.04799999999999997</v>
                </pt>
                <pt idx="85">
                  <v>0.008403361344537785</v>
                </pt>
                <pt idx="86">
                  <v>-0.1451612903225807</v>
                </pt>
                <pt idx="87">
                  <v>-0.128</v>
                </pt>
                <pt idx="88">
                  <v>-0.1512605042016807</v>
                </pt>
                <pt idx="89">
                  <v>-0.1416666666666666</v>
                </pt>
                <pt idx="90">
                  <v>0.1037735849056603</v>
                </pt>
                <pt idx="91">
                  <v>0.06422018348623847</v>
                </pt>
                <pt idx="92">
                  <v>0.1881188118811881</v>
                </pt>
                <pt idx="93">
                  <v>0.2233009708737863</v>
                </pt>
                <pt idx="94">
                  <v>0.1367521367521369</v>
                </pt>
                <pt idx="95">
                  <v>0.1465517241379311</v>
                </pt>
                <pt idx="96">
                  <v>0.1166666666666667</v>
                </pt>
                <pt idx="97">
                  <v>0.09523809523809533</v>
                </pt>
                <pt idx="98">
                  <v>0.02255639097744353</v>
                </pt>
                <pt idx="99">
                  <v>-0.01503759398496248</v>
                </pt>
                <pt idx="100">
                  <v>-0.07462686567164178</v>
                </pt>
                <pt idx="101">
                  <v>-0.1594202898550725</v>
                </pt>
                <pt idx="102">
                  <v>-0.1176470588235294</v>
                </pt>
                <pt idx="103">
                  <v>0.02290076335877868</v>
                </pt>
                <pt idx="104">
                  <v>0.01612903225806446</v>
                </pt>
                <pt idx="105">
                  <v>0.1465517241379311</v>
                </pt>
                <pt idx="106">
                  <v>0.1166666666666667</v>
                </pt>
                <pt idx="107">
                  <v>0.08208955223880594</v>
                </pt>
                <pt idx="108">
                  <v>0.1111111111111111</v>
                </pt>
                <pt idx="109">
                  <v>-0.03007518796992484</v>
                </pt>
                <pt idx="110">
                  <v>-0.05970149253731349</v>
                </pt>
                <pt idx="111">
                  <v>-0.0551724137931035</v>
                </pt>
                <pt idx="112">
                  <v>-0.08571428571428566</v>
                </pt>
                <pt idx="113">
                  <v>0.186046511627907</v>
                </pt>
                <pt idx="114">
                  <v>0.02380952380952387</v>
                </pt>
                <pt idx="115">
                  <v>-0.07299270072992702</v>
                </pt>
                <pt idx="116">
                  <v>-0.05468750000000008</v>
                </pt>
                <pt idx="117">
                  <v>-0.2287581699346405</v>
                </pt>
                <pt idx="118">
                  <v>-0.1007751937984497</v>
                </pt>
                <pt idx="119">
                  <v>-0.1338582677165354</v>
                </pt>
                <pt idx="120">
                  <v>-0.1652892561983471</v>
                </pt>
                <pt idx="121">
                  <v>-0.1101694915254238</v>
                </pt>
                <pt idx="122">
                  <v>-0.06896551724137923</v>
                </pt>
                <pt idx="123">
                  <v>0.01818181818181812</v>
                </pt>
                <pt idx="124">
                  <v>0.1188118811881189</v>
                </pt>
                <pt idx="125">
                  <v>-0.00952380952380949</v>
                </pt>
                <pt idx="126">
                  <v>-0.009259259259259391</v>
                </pt>
                <pt idx="127">
                  <v>-0.06249999999999994</v>
                </pt>
                <pt idx="128">
                  <v>-0.01769911504424788</v>
                </pt>
                <pt idx="129">
                  <v>0</v>
                </pt>
                <pt idx="130">
                  <v>-0.07476635514018683</v>
                </pt>
                <pt idx="131">
                  <v>-0.0666666666666666</v>
                </pt>
                <pt idx="132">
                  <v>-0.0900900900900901</v>
                </pt>
                <pt idx="133">
                  <v>0.08653846153846156</v>
                </pt>
                <pt idx="134">
                  <v>0.1515151515151515</v>
                </pt>
                <pt idx="135">
                  <v>0.1632653061224489</v>
                </pt>
                <pt idx="136">
                  <v>0.07920792079207928</v>
                </pt>
                <pt idx="137">
                  <v>-0.0353982300884956</v>
                </pt>
                <pt idx="138">
                  <v>0.07894736842105265</v>
                </pt>
                <pt idx="139">
                  <v>0.131578947368421</v>
                </pt>
                <pt idx="140">
                  <v>0.1284403669724771</v>
                </pt>
                <pt idx="141">
                  <v>0.146788990825688</v>
                </pt>
                <pt idx="142">
                  <v>0</v>
                </pt>
                <pt idx="143">
                  <v>-0.1472868217054264</v>
                </pt>
                <pt idx="144">
                  <v>-0.1056910569105692</v>
                </pt>
                <pt idx="145">
                  <v>-0.2159999999999999</v>
                </pt>
                <pt idx="146">
                  <v>-0.2276422764227643</v>
                </pt>
                <pt idx="147">
                  <v>-0.09090909090909091</v>
                </pt>
                <pt idx="148">
                  <v>0.009090909090909059</v>
                </pt>
                <pt idx="149">
                  <v>0.1530612244897959</v>
                </pt>
                <pt idx="150">
                  <v>0.231578947368421</v>
                </pt>
                <pt idx="151">
                  <v>0.1300000000000001</v>
                </pt>
                <pt idx="152">
                  <v>-0.1621621621621621</v>
                </pt>
                <pt idx="153">
                  <v>-0.09734513274336296</v>
                </pt>
                <pt idx="154">
                  <v>-0.2991452991452991</v>
                </pt>
                <pt idx="155">
                  <v>-0.2123893805309735</v>
                </pt>
                <pt idx="156">
                  <v>0</v>
                </pt>
                <pt idx="157">
                  <v>-0.06862745098039209</v>
                </pt>
                <pt idx="158">
                  <v>0.03658536585365862</v>
                </pt>
                <pt idx="159">
                  <v>-0.08988764044943828</v>
                </pt>
                <pt idx="160">
                  <v>-0.04301075268817208</v>
                </pt>
                <pt idx="161">
                  <v>-0.2842105263157895</v>
                </pt>
                <pt idx="162">
                  <v>-0.1176470588235294</v>
                </pt>
                <pt idx="163">
                  <v>0.04938271604938276</v>
                </pt>
                <pt idx="164">
                  <v>-0.06741573033707861</v>
                </pt>
                <pt idx="165">
                  <v>0.2647058823529412</v>
                </pt>
                <pt idx="166">
                  <v>0.1466666666666666</v>
                </pt>
                <pt idx="167">
                  <v>0</v>
                </pt>
                <pt idx="168">
                  <v>0.08433734939759027</v>
                </pt>
                <pt idx="169">
                  <v>-0.03488372093023243</v>
                </pt>
                <pt idx="170">
                  <v>-0.06976744186046507</v>
                </pt>
                <pt idx="171">
                  <v>-0.0235294117647058</v>
                </pt>
                <pt idx="172">
                  <v>-0.0777777777777777</v>
                </pt>
                <pt idx="173">
                  <v>0.04819277108433717</v>
                </pt>
                <pt idx="174">
                  <v>0.03750000000000009</v>
                </pt>
                <pt idx="175">
                  <v>-0.01204819277108451</v>
                </pt>
                <pt idx="176">
                  <v>0.04819277108433717</v>
                </pt>
                <pt idx="177">
                  <v>-0.01149425287356318</v>
                </pt>
                <pt idx="178">
                  <v>0.03614457831325288</v>
                </pt>
                <pt idx="179">
                  <v>0.1463414634146343</v>
                </pt>
                <pt idx="180">
                  <v>0.103448275862069</v>
                </pt>
                <pt idx="181">
                  <v>0.1511627906976745</v>
                </pt>
                <pt idx="182">
                  <v>0.08139534883720943</v>
                </pt>
                <pt idx="183">
                  <v>-0.05319148936170213</v>
                </pt>
                <pt idx="184">
                  <v>-0.08333333333333323</v>
                </pt>
                <pt idx="185">
                  <v>-0.1616161616161616</v>
                </pt>
                <pt idx="186">
                  <v>-0.2043010752688172</v>
                </pt>
                <pt idx="187">
                  <v>-0.1797752808988765</v>
                </pt>
                <pt idx="188">
                  <v>-0.2272727272727273</v>
                </pt>
                <pt idx="189">
                  <v>-0.1566265060240964</v>
                </pt>
                <pt idx="190">
                  <v>-0.08108108108108115</v>
                </pt>
                <pt idx="191">
                  <v>-0.02739726027397263</v>
                </pt>
                <pt idx="192">
                  <v>0.1176470588235294</v>
                </pt>
                <pt idx="193">
                  <v>-0.01428571428571423</v>
                </pt>
                <pt idx="194">
                  <v>0</v>
                </pt>
                <pt idx="195">
                  <v>-0.07042253521126761</v>
                </pt>
                <pt idx="196">
                  <v>-0.1184210526315789</v>
                </pt>
                <pt idx="197">
                  <v>-0.05797101449275367</v>
                </pt>
                <pt idx="198">
                  <v>-0.02941176470588238</v>
                </pt>
                <pt idx="199">
                  <v>-0.0303030303030302</v>
                </pt>
                <pt idx="200">
                  <v>-0.05970149253731349</v>
                </pt>
                <pt idx="201">
                  <v>0.01538461538461533</v>
                </pt>
                <pt idx="202">
                  <v>-0.07575757575757576</v>
                </pt>
                <pt idx="203">
                  <v>-0.01562500000000008</v>
                </pt>
                <pt idx="204">
                  <v>0.1746031746031747</v>
                </pt>
                <pt idx="205">
                  <v>0.06060606060606066</v>
                </pt>
                <pt idx="206">
                  <v>0.09836065573770501</v>
                </pt>
                <pt idx="207">
                  <v>-0.03174603174603177</v>
                </pt>
                <pt idx="208">
                  <v>-0.1621621621621622</v>
                </pt>
                <pt idx="209">
                  <v>-0.3142857142857143</v>
                </pt>
                <pt idx="210">
                  <v>-0.3283582089552239</v>
                </pt>
                <pt idx="211">
                  <v>-0.2786885245901639</v>
                </pt>
                <pt idx="212">
                  <v>-0.2580645161290324</v>
                </pt>
                <pt idx="213">
                  <v>0</v>
                </pt>
                <pt idx="214">
                  <v>0.1111111111111111</v>
                </pt>
                <pt idx="215">
                  <v>0.04545454545454529</v>
                </pt>
                <pt idx="216">
                  <v>0.1086956521739131</v>
                </pt>
                <pt idx="217">
                  <v>-0.02083333333333326</v>
                </pt>
                <pt idx="218">
                  <v>0.2800000000000001</v>
                </pt>
                <pt idx="219">
                  <v>-0.2391304347826086</v>
                </pt>
                <pt idx="220">
                  <v>0.09803921568627452</v>
                </pt>
                <pt idx="221">
                  <v>0.276595744680851</v>
                </pt>
                <pt idx="222">
                  <v>-0.1250000000000001</v>
                </pt>
                <pt idx="223">
                  <v>0.6285714285714287</v>
                </pt>
                <pt idx="224">
                  <v>-0.07142857142857134</v>
                </pt>
                <pt idx="225">
                  <v>-0.1166666666666667</v>
                </pt>
                <pt idx="226">
                  <v>0.01785714285714295</v>
                </pt>
                <pt idx="227">
                  <v>-0.07017543859649129</v>
                </pt>
                <pt idx="228">
                  <v>-0.07692307692307698</v>
                </pt>
                <pt idx="229">
                  <v>0</v>
                </pt>
                <pt idx="230">
                  <v>-0.1578947368421053</v>
                </pt>
                <pt idx="231">
                  <v>-0.07547169811320745</v>
                </pt>
                <pt idx="232">
                  <v>-0.3541666666666666</v>
                </pt>
                <pt idx="233">
                  <v>-0.4528301886792453</v>
                </pt>
                <pt idx="234">
                  <v>-0.5</v>
                </pt>
                <pt idx="235">
                  <v>-0.3877551020408164</v>
                </pt>
                <pt idx="236">
                  <v>0.2580645161290322</v>
                </pt>
                <pt idx="237">
                  <v>0.2758620689655173</v>
                </pt>
                <pt idx="238">
                  <v>0.3333333333333335</v>
                </pt>
                <pt idx="239">
                  <v>0.1333333333333333</v>
                </pt>
                <pt idx="240">
                  <v>-0.07692307692307689</v>
                </pt>
                <pt idx="241">
                  <v>-0.02702702702702705</v>
                </pt>
                <pt idx="242">
                  <v>0</v>
                </pt>
                <pt idx="243">
                  <v>-0.1176470588235294</v>
                </pt>
                <pt idx="244">
                  <v>-0.0555555555555556</v>
                </pt>
                <pt idx="245">
                  <v>0.4166666666666665</v>
                </pt>
                <pt idx="246">
                  <v>0.2187499999999999</v>
                </pt>
                <pt idx="247">
                  <v>0.9666666666666668</v>
                </pt>
                <pt idx="248">
                  <v>0.735294117647059</v>
                </pt>
                <pt idx="249">
                  <v>0.3529411764705884</v>
                </pt>
                <pt idx="250">
                  <v>0.3333333333333334</v>
                </pt>
                <pt idx="251">
                  <v>-0.06779661016949158</v>
                </pt>
                <pt idx="252">
                  <v>-0.03389830508474579</v>
                </pt>
                <pt idx="253">
                  <v>-0.05797101449275367</v>
                </pt>
                <pt idx="254">
                  <v>0.2499999999999999</v>
                </pt>
                <pt idx="255">
                  <v>0.1454545454545454</v>
                </pt>
                <pt idx="256">
                  <v>0.2105263157894737</v>
                </pt>
                <pt idx="257">
                  <v>0.01538461538461533</v>
                </pt>
                <pt idx="258">
                  <v>0.04615384615384613</v>
                </pt>
                <pt idx="259">
                  <v>0.09523809523809533</v>
                </pt>
                <pt idx="260">
                  <v>0.1449275362318841</v>
                </pt>
                <pt idx="261">
                  <v>0.303030303030303</v>
                </pt>
                <pt idx="262">
                  <v>0.1470588235294118</v>
                </pt>
                <pt idx="263">
                  <v>0.4492753623188405</v>
                </pt>
                <pt idx="264">
                  <v>-0.2658227848101266</v>
                </pt>
                <pt idx="265">
                  <v>-0.255813953488372</v>
                </pt>
                <pt idx="266">
                  <v>-0.1794871794871794</v>
                </pt>
                <pt idx="267">
                  <v>-0.41</v>
                </pt>
                <pt idx="268">
                  <v>0.1551724137931035</v>
                </pt>
                <pt idx="269">
                  <v>0.09374999999999994</v>
                </pt>
                <pt idx="270">
                  <v>0.1093749999999999</v>
                </pt>
                <pt idx="271">
                  <v>0.2372881355932202</v>
                </pt>
                <pt idx="272">
                  <v>0.1791044776119403</v>
                </pt>
                <pt idx="273">
                  <v>0.07142857142857142</v>
                </pt>
                <pt idx="274">
                  <v>0.02816901408450707</v>
                </pt>
                <pt idx="275">
                  <v>0.01369863013698638</v>
                </pt>
                <pt idx="276">
                  <v>-0.0506329113924051</v>
                </pt>
                <pt idx="277">
                  <v>-0.07999999999999995</v>
                </pt>
                <pt idx="278">
                  <v>-0.0684931506849315</v>
                </pt>
                <pt idx="279">
                  <v>-0.08108108108108115</v>
                </pt>
                <pt idx="280">
                  <v>-0.05333333333333338</v>
                </pt>
                <pt idx="281">
                  <v>0.1014492753623187</v>
                </pt>
                <pt idx="282">
                  <v>0.1029411764705883</v>
                </pt>
                <pt idx="283">
                  <v>0.01470588235294126</v>
                </pt>
                <pt idx="284">
                  <v>0.0140845070422536</v>
                </pt>
                <pt idx="285">
                  <v>-0.03947368421052629</v>
                </pt>
                <pt idx="286">
                  <v>0.01333333333333329</v>
                </pt>
                <pt idx="287">
                  <v>0.1884057971014491</v>
                </pt>
                <pt idx="288">
                  <v>0.2916666666666667</v>
                </pt>
                <pt idx="289">
                  <v>0.1917808219178082</v>
                </pt>
                <pt idx="290">
                  <v>0.131578947368421</v>
                </pt>
                <pt idx="291">
                  <v>0.06097560975609757</v>
                </pt>
                <pt idx="292">
                  <v>0.150537634408602</v>
                </pt>
                <pt idx="293">
                  <v>2.03448275862069</v>
                </pt>
                <pt idx="294">
                  <v>0.9069767441860465</v>
                </pt>
                <pt idx="295">
                  <v>0.574712643678161</v>
                </pt>
                <pt idx="296">
                  <v>0.9065420560747663</v>
                </pt>
                <pt idx="297">
                  <v>-0.5909090909090908</v>
                </pt>
                <pt idx="298">
                  <v>-0.4451219512195121</v>
                </pt>
                <pt idx="299">
                  <v>-0.4671532846715328</v>
                </pt>
                <pt idx="300">
                  <v>-0.7892156862745098</v>
                </pt>
                <pt idx="301">
                  <v>-0.7037037037037037</v>
                </pt>
                <pt idx="302">
                  <v>-0.7032967032967032</v>
                </pt>
                <pt idx="303">
                  <v>-0.6027397260273973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strRef>
          <f>PersonalSaving!$E$5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PersonalSaving!$E$5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PersonalSaving!$E$6:$E$310</f>
              <numCache>
                <formatCode>0.00%</formatCode>
                <ptCount val="305"/>
                <pt idx="49">
                  <v>0.03791051362751752</v>
                </pt>
                <pt idx="50">
                  <v>-0.3492833561839418</v>
                </pt>
                <pt idx="51">
                  <v>0.2226826511784281</v>
                </pt>
                <pt idx="52">
                  <v>0.03979616607104575</v>
                </pt>
                <pt idx="53">
                  <v>-0.2134288047021154</v>
                </pt>
                <pt idx="54">
                  <v>0.2226826511784281</v>
                </pt>
                <pt idx="55">
                  <v>-0.07615457397348546</v>
                </pt>
                <pt idx="56">
                  <v>0.4115816100000003</v>
                </pt>
                <pt idx="57">
                  <v>0</v>
                </pt>
                <pt idx="58">
                  <v>0.3275089422566224</v>
                </pt>
                <pt idx="59">
                  <v>-0.03375221820314356</v>
                </pt>
                <pt idx="60">
                  <v>0</v>
                </pt>
                <pt idx="61">
                  <v>-0.0672023389572175</v>
                </pt>
                <pt idx="62">
                  <v>-0.1011804505797226</v>
                </pt>
                <pt idx="63">
                  <v>-0.1365380674273208</v>
                </pt>
                <pt idx="64">
                  <v>0.03791051362751752</v>
                </pt>
                <pt idx="65">
                  <v>-0.03652580172352216</v>
                </pt>
                <pt idx="66">
                  <v>-0.1075205058031871</v>
                </pt>
                <pt idx="67">
                  <v>0.2976529487462141</v>
                </pt>
                <pt idx="68">
                  <v>0</v>
                </pt>
                <pt idx="69">
                  <v>0.3209790512944659</v>
                </pt>
                <pt idx="70">
                  <v>-0.1577683458351167</v>
                </pt>
                <pt idx="71">
                  <v>0.2691766571924346</v>
                </pt>
                <pt idx="72">
                  <v>-0.2659416056571035</v>
                </pt>
                <pt idx="73">
                  <v>0</v>
                </pt>
                <pt idx="74">
                  <v>0.317810287380258</v>
                </pt>
                <pt idx="75">
                  <v>-0.1854937499999999</v>
                </pt>
                <pt idx="76">
                  <v>-0.1331352659023053</v>
                </pt>
                <pt idx="77">
                  <v>0</v>
                </pt>
                <pt idx="78">
                  <v>0</v>
                </pt>
                <pt idx="79">
                  <v>0.2798901782665113</v>
                </pt>
                <pt idx="80">
                  <v>0.3028565630692359</v>
                </pt>
                <pt idx="81">
                  <v>-0.1786130595839998</v>
                </pt>
                <pt idx="82">
                  <v>0.1789595237605712</v>
                </pt>
                <pt idx="83">
                  <v>0.03265038521728236</v>
                </pt>
                <pt idx="84">
                  <v>-0.1786130595839998</v>
                </pt>
                <pt idx="85">
                  <v>0.03403952291941659</v>
                </pt>
                <pt idx="86">
                  <v>-0.3911665895061729</v>
                </pt>
                <pt idx="87">
                  <v>0.1181048484243232</v>
                </pt>
                <pt idx="88">
                  <v>-0.2628098845804601</v>
                </pt>
                <pt idx="89">
                  <v>0.08159184395224472</v>
                </pt>
                <pt idx="90">
                  <v>0.6649245153398662</v>
                </pt>
                <pt idx="91">
                  <v>-0.03375221820314356</v>
                </pt>
                <pt idx="92">
                  <v>0.1452308205649526</v>
                </pt>
                <pt idx="93">
                  <v>0.21550625</v>
                </pt>
                <pt idx="94">
                  <v>0.2414361377838745</v>
                </pt>
                <pt idx="95">
                  <v>0</v>
                </pt>
                <pt idx="96">
                  <v>0.0304160852349078</v>
                </pt>
                <pt idx="97">
                  <v>0.1248565774578996</v>
                </pt>
                <pt idx="98">
                  <v>-0.05672290715702311</v>
                </pt>
                <pt idx="99">
                  <v>-0.139145906114742</v>
                </pt>
                <pt idx="100">
                  <v>-0.1972107320191776</v>
                </pt>
                <pt idx="101">
                  <v>-0.2341473556096724</v>
                </pt>
                <pt idx="102">
                  <v>0.1452308205649526</v>
                </pt>
                <pt idx="103">
                  <v>0.5548704475308641</v>
                </pt>
                <pt idx="104">
                  <v>-0.2182588254023189</v>
                </pt>
                <pt idx="105">
                  <v>0.2414361377838745</v>
                </pt>
                <pt idx="106">
                  <v>0.0304160852349078</v>
                </pt>
                <pt idx="107">
                  <v>0.3710484921657702</v>
                </pt>
                <pt idx="108">
                  <v>-0.1309592651294179</v>
                </pt>
                <pt idx="109">
                  <v>-0.2791470194710536</v>
                </pt>
                <pt idx="110">
                  <v>-0.08982827605350541</v>
                </pt>
                <pt idx="111">
                  <v>0.3976553400024285</v>
                </pt>
                <pt idx="112">
                  <v>-0.2379953703319032</v>
                </pt>
                <pt idx="113">
                  <v>1.041389349848032</v>
                </pt>
                <pt idx="114">
                  <v>-0.4946490133848204</v>
                </pt>
                <pt idx="115">
                  <v>-0.06058813175499234</v>
                </pt>
                <pt idx="116">
                  <v>-0.1760011654439574</v>
                </pt>
                <pt idx="117">
                  <v>-0.09554586637350437</v>
                </pt>
                <pt idx="118">
                  <v>-0.06609236119976969</v>
                </pt>
                <pt idx="119">
                  <v>-0.191390603593197</v>
                </pt>
                <pt idx="120">
                  <v>-0.2892534594631513</v>
                </pt>
                <pt idx="121">
                  <v>0.1680776148460164</v>
                </pt>
                <pt idx="122">
                  <v>0.1192776343190343</v>
                </pt>
                <pt idx="123">
                  <v>0.1565837035531692</v>
                </pt>
                <pt idx="124">
                  <v>0.03619545551698899</v>
                </pt>
                <pt idx="125">
                  <v>-0.2825038364159725</v>
                </pt>
                <pt idx="126">
                  <v>0.120473922933042</v>
                </pt>
                <pt idx="127">
                  <v>-0.07269610166115736</v>
                </pt>
                <pt idx="128">
                  <v>0.2489202832153272</v>
                </pt>
                <pt idx="129">
                  <v>-0.2293779311593324</v>
                </pt>
                <pt idx="130">
                  <v>-0.1788785047655678</v>
                </pt>
                <pt idx="131">
                  <v>-0.03979597000408086</v>
                </pt>
                <pt idx="132">
                  <v>0.128187263098934</v>
                </pt>
                <pt idx="133">
                  <v>0.5668530914079417</v>
                </pt>
                <pt idx="134">
                  <v>0.03587089643235641</v>
                </pt>
                <pt idx="135">
                  <v>0</v>
                </pt>
                <pt idx="136">
                  <v>-0.1642303688205411</v>
                </pt>
                <pt idx="137">
                  <v>0</v>
                </pt>
                <pt idx="138">
                  <v>0.6214906696042897</v>
                </pt>
                <pt idx="139">
                  <v>0.2098691290593935</v>
                </pt>
                <pt idx="140">
                  <v>-0.1734643227260083</v>
                </pt>
                <pt idx="141">
                  <v>0.06664427392247818</v>
                </pt>
                <pt idx="142">
                  <v>-0.0624803184639996</v>
                </pt>
                <pt idx="143">
                  <v>-0.3603383781581206</v>
                </pt>
                <pt idx="144">
                  <v>0</v>
                </pt>
                <pt idx="145">
                  <v>-0.3700101359196774</v>
                </pt>
                <pt idx="146">
                  <v>-0.1169401922980516</v>
                </pt>
                <pt idx="147">
                  <v>0.2277376631548251</v>
                </pt>
                <pt idx="148">
                  <v>0.5180704099999993</v>
                </pt>
                <pt idx="149">
                  <v>0.07404346943301521</v>
                </pt>
                <pt idx="150">
                  <v>0.1492901194518561</v>
                </pt>
                <pt idx="151">
                  <v>-0.1298976793806064</v>
                </pt>
                <pt idx="152">
                  <v>-0.5412056929887998</v>
                </pt>
                <pt idx="153">
                  <v>0.4470012051702126</v>
                </pt>
                <pt idx="154">
                  <v>-0.5823093800169425</v>
                </pt>
                <pt idx="155">
                  <v>0.3877288498567291</v>
                </pt>
                <pt idx="156">
                  <v>0.1922621794780974</v>
                </pt>
                <pt idx="157">
                  <v>0.0888363898654585</v>
                </pt>
                <pt idx="158">
                  <v>-0.3591132664727864</v>
                </pt>
                <pt idx="159">
                  <v>-0.1753600459764612</v>
                </pt>
                <pt idx="160">
                  <v>0.4575382176031479</v>
                </pt>
                <pt idx="161">
                  <v>-0.65921880284767</v>
                </pt>
                <pt idx="162">
                  <v>0.4798217383203034</v>
                </pt>
                <pt idx="163">
                  <v>0.649797530864197</v>
                </pt>
                <pt idx="164">
                  <v>-0.09084764789693578</v>
                </pt>
                <pt idx="165">
                  <v>0.1526074847864922</v>
                </pt>
                <pt idx="166">
                  <v>0</v>
                </pt>
                <pt idx="167">
                  <v>-0.04570664905620381</v>
                </pt>
                <pt idx="168">
                  <v>0.2568815028555695</v>
                </pt>
                <pt idx="169">
                  <v>-0.2766602499618959</v>
                </pt>
                <pt idx="170">
                  <v>-0.1369269047676597</v>
                </pt>
                <pt idx="171">
                  <v>0.1586504150390631</v>
                </pt>
                <pt idx="172">
                  <v>0</v>
                </pt>
                <pt idx="173">
                  <v>0.2071594568210691</v>
                </pt>
                <pt idx="174">
                  <v>-0.1716090245166142</v>
                </pt>
                <pt idx="175">
                  <v>-0.04732879193092454</v>
                </pt>
                <pt idx="176">
                  <v>0.2671312480071741</v>
                </pt>
                <pt idx="177">
                  <v>-0.04519036132826604</v>
                </pt>
                <pt idx="178">
                  <v>0</v>
                </pt>
                <pt idx="179">
                  <v>0.4273077023202005</v>
                </pt>
                <pt idx="180">
                  <v>0.08786127617768424</v>
                </pt>
                <pt idx="181">
                  <v>0.1309823989868164</v>
                </pt>
                <pt idx="182">
                  <v>-0.2212626304787586</v>
                </pt>
                <pt idx="183">
                  <v>-0.1612583060902412</v>
                </pt>
                <pt idx="184">
                  <v>-0.04419199817870678</v>
                </pt>
                <pt idx="185">
                  <v>-0.2086261764639964</v>
                </pt>
                <pt idx="186">
                  <v>-0.3681492440493207</v>
                </pt>
                <pt idx="187">
                  <v>-0.05296820150456683</v>
                </pt>
                <pt idx="188">
                  <v>-0.2470880150640318</v>
                </pt>
                <pt idx="189">
                  <v>0.1229398893691411</v>
                </pt>
                <pt idx="190">
                  <v>-0.1094803831736777</v>
                </pt>
                <pt idx="191">
                  <v>0.1884960537619287</v>
                </pt>
                <pt idx="192">
                  <v>0.3128677319694035</v>
                </pt>
                <pt idx="193">
                  <v>-0.3205742635012775</v>
                </pt>
                <pt idx="194">
                  <v>-0.05672290715702311</v>
                </pt>
                <pt idx="195">
                  <v>-0.1125577699021804</v>
                </pt>
                <pt idx="196">
                  <v>0.06199743701308957</v>
                </pt>
                <pt idx="197">
                  <v>-0.1141621848233653</v>
                </pt>
                <pt idx="198">
                  <v>0.06297320121844452</v>
                </pt>
                <pt idx="199">
                  <v>-0.1158129420087841</v>
                </pt>
                <pt idx="200">
                  <v>-0.06105035543441817</v>
                </pt>
                <pt idx="201">
                  <v>0.2045186933427945</v>
                </pt>
                <pt idx="202">
                  <v>-0.2703012574193392</v>
                </pt>
                <pt idx="203">
                  <v>0.1377395565932038</v>
                </pt>
                <pt idx="204">
                  <v>0.9035517195783067</v>
                </pt>
                <pt idx="205">
                  <v>-0.1993083838581637</v>
                </pt>
                <pt idx="206">
                  <v>-0.160719658475635</v>
                </pt>
                <pt idx="207">
                  <v>-0.3128997141151603</v>
                </pt>
                <pt idx="208">
                  <v>0.06720393510224465</v>
                </pt>
                <pt idx="209">
                  <v>-0.6407488297504875</v>
                </pt>
                <pt idx="210">
                  <v>-0.2275238037109375</v>
                </pt>
                <pt idx="211">
                  <v>-0.08596957780826064</v>
                </pt>
                <pt idx="212">
                  <v>0.1945948022676034</v>
                </pt>
                <pt idx="213">
                  <v>0.1855875300617136</v>
                </pt>
                <pt idx="214">
                  <v>0.1773756992669757</v>
                </pt>
                <pt idx="215">
                  <v>-0.2836070400000003</v>
                </pt>
                <pt idx="216">
                  <v>0.5109475112653257</v>
                </pt>
                <pt idx="217">
                  <v>-0.278708644429042</v>
                </pt>
                <pt idx="218">
                  <v>2.438178848166509</v>
                </pt>
                <pt idx="219">
                  <v>-0.9105557799339294</v>
                </pt>
                <pt idx="220">
                  <v>5.553599999999998</v>
                </pt>
                <pt idx="221">
                  <v>0.317810287380258</v>
                </pt>
                <pt idx="222">
                  <v>-0.2411654320987657</v>
                </pt>
                <pt idx="223">
                  <v>0.07336471538551703</v>
                </pt>
                <pt idx="224">
                  <v>-0.3073498193113093</v>
                </pt>
                <pt idx="225">
                  <v>0.07917059648646729</v>
                </pt>
                <pt idx="226">
                  <v>0.3378146401974733</v>
                </pt>
                <pt idx="227">
                  <v>-0.2525122913497263</v>
                </pt>
                <pt idx="228">
                  <v>-0.3272379719309887</v>
                </pt>
                <pt idx="229">
                  <v>0.4864096935884454</v>
                </pt>
                <pt idx="230">
                  <v>-0.3272379719309887</v>
                </pt>
                <pt idx="231">
                  <v>0.0859738573615938</v>
                </pt>
                <pt idx="232">
                  <v>-0.8398000208506764</v>
                </pt>
                <pt idx="233">
                  <v>-0.2341473556096724</v>
                </pt>
                <pt idx="234">
                  <v>-0.5309134558965956</v>
                </pt>
                <pt idx="235">
                  <v>1.44140625</v>
                </pt>
                <pt idx="236">
                  <v>1.856100000000001</v>
                </pt>
                <pt idx="237">
                  <v>-0.1898816524821682</v>
                </pt>
                <pt idx="238">
                  <v>-0.4405091131444949</v>
                </pt>
                <pt idx="239">
                  <v>0.2744293212890625</v>
                </pt>
                <pt idx="240">
                  <v>0.2568815028555695</v>
                </pt>
                <pt idx="241">
                  <v>0</v>
                </pt>
                <pt idx="242">
                  <v>-0.3757049230300258</v>
                </pt>
                <pt idx="243">
                  <v>-0.2275238037109375</v>
                </pt>
                <pt idx="244">
                  <v>0.649797530864197</v>
                </pt>
                <pt idx="245">
                  <v>4.0625</v>
                </pt>
                <pt idx="246">
                  <v>-0.6580380982028471</v>
                </pt>
                <pt idx="247">
                  <v>4.237808528507969</v>
                </pt>
                <pt idx="248">
                  <v>0</v>
                </pt>
                <pt idx="249">
                  <v>0.8706318149636709</v>
                </pt>
                <pt idx="250">
                  <v>-0.677435171409726</v>
                </pt>
                <pt idx="251">
                  <v>0.2515188160866215</v>
                </pt>
                <pt idx="252">
                  <v>0.1535825148555428</v>
                </pt>
                <pt idx="253">
                  <v>0.6910404801969989</v>
                </pt>
                <pt idx="254">
                  <v>0</v>
                </pt>
                <pt idx="255">
                  <v>-0.1175120759077064</v>
                </pt>
                <pt idx="256">
                  <v>0.4389117703014693</v>
                </pt>
                <pt idx="257">
                  <v>-0.1628960731272404</v>
                </pt>
                <pt idx="258">
                  <v>0.1268339122083173</v>
                </pt>
                <pt idx="259">
                  <v>0.06013387538762771</v>
                </pt>
                <pt idx="260">
                  <v>0.718351483631291</v>
                </pt>
                <pt idx="261">
                  <v>0.4043825993583934</v>
                </pt>
                <pt idx="262">
                  <v>-0.3233180287475051</v>
                </pt>
                <pt idx="263">
                  <v>1.701603369180369</v>
                </pt>
                <pt idx="264">
                  <v>-0.88683504</v>
                </pt>
                <pt idx="265">
                  <v>0.4825451270428582</v>
                </pt>
                <pt idx="266">
                  <v>0</v>
                </pt>
                <pt idx="267">
                  <v>-0.2777490019798279</v>
                </pt>
                <pt idx="268">
                  <v>0.6629958453825056</v>
                </pt>
                <pt idx="269">
                  <v>0.1914969891749443</v>
                </pt>
                <pt idx="270">
                  <v>0.05837905039566804</v>
                </pt>
                <pt idx="271">
                  <v>0.1175270537986051</v>
                </pt>
                <pt idx="272">
                  <v>0.3715666755557152</v>
                </pt>
                <pt idx="273">
                  <v>-0.1876621514599676</v>
                </pt>
                <pt idx="274">
                  <v>-0.1024753461728397</v>
                </pt>
                <pt idx="275">
                  <v>0.05593075289416705</v>
                </pt>
                <pt idx="276">
                  <v>0.05515964877083612</v>
                </pt>
                <pt idx="277">
                  <v>-0.2836070399999999</v>
                </pt>
                <pt idx="278">
                  <v>-0.05672290715702311</v>
                </pt>
                <pt idx="279">
                  <v>0</v>
                </pt>
                <pt idx="280">
                  <v>0.1884960537619287</v>
                </pt>
                <pt idx="281">
                  <v>0.3128677319694035</v>
                </pt>
                <pt idx="282">
                  <v>-0.05160187992533782</v>
                </pt>
                <pt idx="283">
                  <v>-0.2836070399999999</v>
                </pt>
                <pt idx="284">
                  <v>0.1855875300617136</v>
                </pt>
                <pt idx="285">
                  <v>0.05672371690910261</v>
                </pt>
                <pt idx="286">
                  <v>0.1747972700140124</v>
                </pt>
                <pt idx="287">
                  <v>0.3551926588961107</v>
                </pt>
                <pt idx="288">
                  <v>0.6545366230548166</v>
                </pt>
                <pt idx="289">
                  <v>-0.2341473556096726</v>
                </pt>
                <pt idx="290">
                  <v>-0.04519036132826604</v>
                </pt>
                <pt idx="291">
                  <v>0.04732918426664789</v>
                </pt>
                <pt idx="292">
                  <v>1.288010958886702</v>
                </pt>
                <pt idx="293">
                  <v>36.0578822253205</v>
                </pt>
                <pt idx="294">
                  <v>-0.851077717234116</v>
                </pt>
                <pt idx="295">
                  <v>-0.5130247643356071</v>
                </pt>
                <pt idx="296">
                  <v>3.916300280223118</v>
                </pt>
                <pt idx="297">
                  <v>-0.9214449060715268</v>
                </pt>
                <pt idx="298">
                  <v>-0.4959535651064748</v>
                </pt>
                <pt idx="299">
                  <v>-0.5858803186195031</v>
                </pt>
                <pt idx="300">
                  <v>-0.8796122266868572</v>
                </pt>
                <pt idx="301">
                  <v>-0.693291303003597</v>
                </pt>
                <pt idx="302">
                  <v>-0.4931783676147461</v>
                </pt>
                <pt idx="303">
                  <v>0.3308739822482643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Relationship Type="http://schemas.openxmlformats.org/officeDocument/2006/relationships/chart" Target="/xl/charts/chart7.xml" Id="rId3"/><Relationship Type="http://schemas.openxmlformats.org/officeDocument/2006/relationships/chart" Target="/xl/charts/chart8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Relationship Type="http://schemas.openxmlformats.org/officeDocument/2006/relationships/chart" Target="/xl/charts/chart12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3.xml" Id="rId1"/><Relationship Type="http://schemas.openxmlformats.org/officeDocument/2006/relationships/chart" Target="/xl/charts/chart14.xml" Id="rId2"/><Relationship Type="http://schemas.openxmlformats.org/officeDocument/2006/relationships/chart" Target="/xl/charts/chart15.xml" Id="rId3"/><Relationship Type="http://schemas.openxmlformats.org/officeDocument/2006/relationships/chart" Target="/xl/charts/chart16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7.xml" Id="rId1"/><Relationship Type="http://schemas.openxmlformats.org/officeDocument/2006/relationships/chart" Target="/xl/charts/chart18.xml" Id="rId2"/><Relationship Type="http://schemas.openxmlformats.org/officeDocument/2006/relationships/chart" Target="/xl/charts/chart19.xml" Id="rId3"/><Relationship Type="http://schemas.openxmlformats.org/officeDocument/2006/relationships/chart" Target="/xl/charts/chart20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21.xml" Id="rId1"/><Relationship Type="http://schemas.openxmlformats.org/officeDocument/2006/relationships/chart" Target="/xl/charts/chart22.xml" Id="rId2"/><Relationship Type="http://schemas.openxmlformats.org/officeDocument/2006/relationships/chart" Target="/xl/charts/chart23.xml" Id="rId3"/><Relationship Type="http://schemas.openxmlformats.org/officeDocument/2006/relationships/chart" Target="/xl/charts/chart24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5.xml" Id="rId1"/><Relationship Type="http://schemas.openxmlformats.org/officeDocument/2006/relationships/chart" Target="/xl/charts/chart26.xml" Id="rId2"/><Relationship Type="http://schemas.openxmlformats.org/officeDocument/2006/relationships/chart" Target="/xl/charts/chart27.xml" Id="rId3"/><Relationship Type="http://schemas.openxmlformats.org/officeDocument/2006/relationships/chart" Target="/xl/charts/chart28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9.xml" Id="rId1"/><Relationship Type="http://schemas.openxmlformats.org/officeDocument/2006/relationships/chart" Target="/xl/charts/chart30.xml" Id="rId2"/><Relationship Type="http://schemas.openxmlformats.org/officeDocument/2006/relationships/chart" Target="/xl/charts/chart31.xml" Id="rId3"/><Relationship Type="http://schemas.openxmlformats.org/officeDocument/2006/relationships/chart" Target="/xl/charts/chart32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3.xml" Id="rId1"/><Relationship Type="http://schemas.openxmlformats.org/officeDocument/2006/relationships/chart" Target="/xl/charts/chart34.xml" Id="rId2"/><Relationship Type="http://schemas.openxmlformats.org/officeDocument/2006/relationships/chart" Target="/xl/charts/chart35.xml" Id="rId3"/><Relationship Type="http://schemas.openxmlformats.org/officeDocument/2006/relationships/chart" Target="/xl/charts/chart36.xml" Id="rId4"/></Relationships>
</file>

<file path=xl/drawings/drawing1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383213</colOff>
      <row>252</row>
      <rowOff>173183</rowOff>
    </from>
    <to>
      <col>16</col>
      <colOff>759410</colOff>
      <row>279</row>
      <rowOff>161705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419254</colOff>
      <row>253</row>
      <rowOff>51956</rowOff>
    </from>
    <to>
      <col>29</col>
      <colOff>347614</colOff>
      <row>280</row>
      <rowOff>63272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476028</colOff>
      <row>280</row>
      <rowOff>145963</rowOff>
    </from>
    <to>
      <col>17</col>
      <colOff>106507</colOff>
      <row>309</row>
      <rowOff>143358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411085</colOff>
      <row>280</row>
      <rowOff>154620</rowOff>
    </from>
    <to>
      <col>29</col>
      <colOff>338956</colOff>
      <row>309</row>
      <rowOff>165775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24245</colOff>
      <row>248</row>
      <rowOff>50224</rowOff>
    </from>
    <to>
      <col>17</col>
      <colOff>389171</colOff>
      <row>278</row>
      <rowOff>162792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613352</colOff>
      <row>248</row>
      <rowOff>68552</rowOff>
    </from>
    <to>
      <col>30</col>
      <colOff>680783</colOff>
      <row>278</row>
      <rowOff>159426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21359</colOff>
      <row>279</row>
      <rowOff>52675</rowOff>
    </from>
    <to>
      <col>17</col>
      <colOff>419678</colOff>
      <row>311</row>
      <rowOff>26410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613353</colOff>
      <row>279</row>
      <rowOff>52675</rowOff>
    </from>
    <to>
      <col>30</col>
      <colOff>662711</colOff>
      <row>311</row>
      <rowOff>44306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5</col>
      <colOff>635490</colOff>
      <row>260</row>
      <rowOff>29186</rowOff>
    </from>
    <to>
      <col>14</col>
      <colOff>575082</colOff>
      <row>283</row>
      <rowOff>67284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742584</colOff>
      <row>260</row>
      <rowOff>65944</rowOff>
    </from>
    <to>
      <col>24</col>
      <colOff>426670</colOff>
      <row>283</row>
      <rowOff>84503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615950</colOff>
      <row>283</row>
      <rowOff>150202</rowOff>
    </from>
    <to>
      <col>14</col>
      <colOff>594619</colOff>
      <row>310</row>
      <rowOff>70786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722191</colOff>
      <row>283</row>
      <rowOff>169007</rowOff>
    </from>
    <to>
      <col>24</col>
      <colOff>402859</colOff>
      <row>310</row>
      <rowOff>102535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700136</colOff>
      <row>265</row>
      <rowOff>57149</rowOff>
    </from>
    <to>
      <col>14</col>
      <colOff>22017</colOff>
      <row>285</row>
      <rowOff>36961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142876</colOff>
      <row>265</row>
      <rowOff>51472</rowOff>
    </from>
    <to>
      <col>22</col>
      <colOff>398963</colOff>
      <row>285</row>
      <rowOff>50334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693978</colOff>
      <row>285</row>
      <rowOff>136813</rowOff>
    </from>
    <to>
      <col>13</col>
      <colOff>750150</colOff>
      <row>308</row>
      <rowOff>56817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148551</colOff>
      <row>285</row>
      <rowOff>153747</rowOff>
    </from>
    <to>
      <col>22</col>
      <colOff>399347</colOff>
      <row>308</row>
      <rowOff>58120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5</col>
      <colOff>700136</colOff>
      <row>265</row>
      <rowOff>57149</rowOff>
    </from>
    <to>
      <col>14</col>
      <colOff>22017</colOff>
      <row>285</row>
      <rowOff>36961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142876</colOff>
      <row>265</row>
      <rowOff>51472</rowOff>
    </from>
    <to>
      <col>22</col>
      <colOff>398963</colOff>
      <row>285</row>
      <rowOff>50334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693978</colOff>
      <row>285</row>
      <rowOff>136813</rowOff>
    </from>
    <to>
      <col>13</col>
      <colOff>750150</colOff>
      <row>308</row>
      <rowOff>56817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148551</colOff>
      <row>285</row>
      <rowOff>153747</rowOff>
    </from>
    <to>
      <col>22</col>
      <colOff>399347</colOff>
      <row>308</row>
      <rowOff>58120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9" headerRowCount="1" totalsRowShown="0" dataDxfId="94" headerRowBorderDxfId="95" tableBorderDxfId="93" totalsRowBorderDxfId="92">
  <autoFilter ref="A5:E309"/>
  <tableColumns count="5">
    <tableColumn id="1" name="Date" dataDxfId="91"/>
    <tableColumn id="2" name="Value" dataDxfId="90">
      <calculatedColumnFormula>VLOOKUP(A6,Database!A:L,MATCH($A$1,Database!$A$1:$L$1,),)</calculatedColumnFormula>
    </tableColumn>
    <tableColumn id="3" name="GDP q/q %" dataDxfId="89">
      <calculatedColumnFormula>(B6-B5)/B5</calculatedColumnFormula>
    </tableColumn>
    <tableColumn id="4" name="GDP y/y %" dataDxfId="88">
      <calculatedColumnFormula>(B6-B2)/B2</calculatedColumnFormula>
    </tableColumn>
    <tableColumn id="5" name="GDP Annualized QoQ" dataDxfId="8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9" headerRowCount="1" totalsRowShown="0" headerRowDxfId="86" dataDxfId="84" headerRowBorderDxfId="85">
  <autoFilter ref="A5:L309"/>
  <tableColumns count="12">
    <tableColumn id="1" name="Date" dataDxfId="83"/>
    <tableColumn id="2" name="GDP" dataDxfId="82">
      <calculatedColumnFormula>VLOOKUP(A6,'U.S. GDP'!A:B,2,)</calculatedColumnFormula>
    </tableColumn>
    <tableColumn id="9" name="Personal Consumption" dataDxfId="81">
      <calculatedColumnFormula>VLOOKUP(A6,PersonalConsumption!A:B,2,)</calculatedColumnFormula>
    </tableColumn>
    <tableColumn id="5" name="Private Investment" dataDxfId="80">
      <calculatedColumnFormula>VLOOKUP(A6,PrivateInvestment!A:B,2,)</calculatedColumnFormula>
    </tableColumn>
    <tableColumn id="3" name="Exports" dataDxfId="79">
      <calculatedColumnFormula>VLOOKUP(A6,Exports!A:B,2,)</calculatedColumnFormula>
    </tableColumn>
    <tableColumn id="10" name="Imports" dataDxfId="78">
      <calculatedColumnFormula>VLOOKUP(A6,Imports!A:B,2,)</calculatedColumnFormula>
    </tableColumn>
    <tableColumn id="11" name="Government" dataDxfId="77">
      <calculatedColumnFormula>VLOOKUP(A6,Government!A:B,2,)</calculatedColumnFormula>
    </tableColumn>
    <tableColumn id="15" name="PC%" dataDxfId="76">
      <calculatedColumnFormula>Table58[[#This Row],[Personal Consumption]]/Table58[[#This Row],[GDP]]</calculatedColumnFormula>
    </tableColumn>
    <tableColumn id="14" name="I%" dataDxfId="75">
      <calculatedColumnFormula>Table58[[#This Row],[Private Investment]]/Table58[[#This Row],[GDP]]</calculatedColumnFormula>
    </tableColumn>
    <tableColumn id="13" name="E%" dataDxfId="74">
      <calculatedColumnFormula>Table58[[#This Row],[Exports]]/Table58[[#This Row],[GDP]]</calculatedColumnFormula>
    </tableColumn>
    <tableColumn id="12" name="I%2" dataDxfId="73">
      <calculatedColumnFormula>-Table58[[#This Row],[Imports]]/Table58[[#This Row],[GDP]]</calculatedColumnFormula>
    </tableColumn>
    <tableColumn id="8" name="G%" dataDxfId="72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9" headerRowCount="1" totalsRowShown="0" dataDxfId="70" headerRowBorderDxfId="71" tableBorderDxfId="69" totalsRowBorderDxfId="68">
  <autoFilter ref="A5:E309"/>
  <tableColumns count="5">
    <tableColumn id="1" name="Date" dataDxfId="67"/>
    <tableColumn id="2" name="Value" dataDxfId="66">
      <calculatedColumnFormula>VLOOKUP(A6,Database!A:L,MATCH($A$1,Database!$A$1:$L$1,),)</calculatedColumnFormula>
    </tableColumn>
    <tableColumn id="3" name="qoq" dataDxfId="65">
      <calculatedColumnFormula>(B6-B5)/B5</calculatedColumnFormula>
    </tableColumn>
    <tableColumn id="4" name="yoy" dataDxfId="64">
      <calculatedColumnFormula>(B6-B2)/B2</calculatedColumnFormula>
    </tableColumn>
    <tableColumn id="5" name="qoq annualized" dataDxfId="63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9" headerRowCount="1" totalsRowShown="0" dataDxfId="61" headerRowBorderDxfId="62" tableBorderDxfId="60" totalsRowBorderDxfId="59">
  <autoFilter ref="A5:E309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9" headerRowCount="1" totalsRowShown="0" dataDxfId="52" headerRowBorderDxfId="53" tableBorderDxfId="51" totalsRowBorderDxfId="50">
  <autoFilter ref="A5:E309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9" headerRowCount="1" totalsRowShown="0" dataDxfId="43" headerRowBorderDxfId="44" tableBorderDxfId="42" totalsRowBorderDxfId="41">
  <autoFilter ref="A5:E309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9" headerRowCount="1" totalsRowShown="0" dataDxfId="34" headerRowBorderDxfId="35" tableBorderDxfId="33" totalsRowBorderDxfId="32">
  <autoFilter ref="A5:E309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9" headerRowCount="1" totalsRowShown="0" dataDxfId="25" headerRowBorderDxfId="26" tableBorderDxfId="24" totalsRowBorderDxfId="23">
  <autoFilter ref="A5:E309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9" headerRowCount="1" totalsRowShown="0" dataDxfId="16" headerRowBorderDxfId="17" tableBorderDxfId="15" totalsRowBorderDxfId="14">
  <autoFilter ref="A5:E309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911" displayName="Table911" ref="A5:E309" headerRowCount="1" totalsRowShown="0" dataDxfId="7" headerRowBorderDxfId="8" tableBorderDxfId="6" totalsRowBorderDxfId="5">
  <autoFilter ref="A5:E309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9.xml" Id="rId3"/></Relationships>
</file>

<file path=xl/worksheets/_rels/sheet13.xml.rels><Relationships xmlns="http://schemas.openxmlformats.org/package/2006/relationships"><Relationship Type="http://schemas.openxmlformats.org/officeDocument/2006/relationships/hyperlink" Target="https://fred.stlouisfed.org/series/A072RC1Q156SBEA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10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showGridLines="0" tabSelected="1" zoomScale="130" zoomScaleNormal="130" workbookViewId="0">
      <selection activeCell="D23" sqref="D23"/>
    </sheetView>
  </sheetViews>
  <sheetFormatPr baseColWidth="8" defaultColWidth="9.1796875" defaultRowHeight="14.5"/>
  <cols>
    <col width="5.1796875" customWidth="1" style="76" min="1" max="1"/>
    <col width="12.81640625" customWidth="1" style="76" min="2" max="10"/>
    <col width="6.6328125" customWidth="1" style="76" min="11" max="12"/>
    <col width="24.1796875" customWidth="1" style="76" min="13" max="15"/>
    <col width="9.1796875" customWidth="1" style="76" min="16" max="35"/>
    <col width="9.1796875" customWidth="1" style="76" min="36" max="16384"/>
  </cols>
  <sheetData>
    <row r="1">
      <c r="B1" s="75" t="n"/>
    </row>
    <row r="2" ht="16" customHeight="1" s="89" thickBot="1">
      <c r="B2" s="77" t="n"/>
      <c r="C2" s="77" t="n"/>
      <c r="D2" s="77" t="n"/>
      <c r="E2" s="77" t="n"/>
      <c r="F2" s="77" t="n"/>
      <c r="G2" s="77" t="n"/>
      <c r="H2" s="77" t="n"/>
      <c r="I2" s="77" t="n"/>
      <c r="J2" s="77" t="n"/>
    </row>
    <row r="3" ht="16" customHeight="1" s="89" thickBot="1">
      <c r="B3" s="78" t="inlineStr">
        <is>
          <t>U.S. GDP</t>
        </is>
      </c>
      <c r="C3" s="79" t="n"/>
      <c r="D3" s="79" t="n"/>
      <c r="E3" s="79" t="n"/>
      <c r="F3" s="79" t="n"/>
      <c r="G3" s="79" t="n"/>
      <c r="H3" s="79" t="n"/>
      <c r="I3" s="79" t="n"/>
      <c r="J3" s="80" t="n"/>
    </row>
    <row r="5">
      <c r="B5" s="72" t="inlineStr">
        <is>
          <t>Definition</t>
        </is>
      </c>
      <c r="C5" s="73" t="n"/>
      <c r="D5" s="73" t="n"/>
      <c r="E5" s="73" t="n"/>
      <c r="F5" s="73" t="n"/>
      <c r="G5" s="73" t="n"/>
      <c r="H5" s="73" t="n"/>
      <c r="I5" s="73" t="n"/>
      <c r="J5" s="74" t="n"/>
    </row>
    <row r="7" ht="182" customHeight="1" s="89">
      <c r="B7" s="81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86" t="n"/>
    </row>
    <row r="8" ht="30.75" customHeight="1" s="89">
      <c r="B8" s="86" t="inlineStr">
        <is>
          <t>https://apps.bea.gov/iTable/iTable.cfm?reqid=19&amp;step=2#reqid=19&amp;step=2&amp;isuri=1&amp;1921=survey</t>
        </is>
      </c>
      <c r="C8" s="82" t="n"/>
      <c r="D8" s="82" t="n"/>
      <c r="E8" s="82" t="n"/>
      <c r="F8" s="82" t="n"/>
      <c r="G8" s="82" t="n"/>
      <c r="H8" s="82" t="n"/>
      <c r="I8" s="82" t="n"/>
      <c r="J8" s="82" t="n"/>
    </row>
    <row r="9">
      <c r="B9" s="8" t="n"/>
      <c r="C9" s="9" t="n"/>
      <c r="D9" s="9" t="n"/>
      <c r="E9" s="9" t="n"/>
    </row>
    <row r="10">
      <c r="B10" s="72" t="inlineStr">
        <is>
          <t>Process / TO DO LIST</t>
        </is>
      </c>
      <c r="C10" s="73" t="n"/>
      <c r="D10" s="73" t="n"/>
      <c r="E10" s="73" t="n"/>
      <c r="F10" s="73" t="n"/>
      <c r="G10" s="73" t="n"/>
      <c r="H10" s="73" t="n"/>
      <c r="I10" s="73" t="n"/>
      <c r="J10" s="74" t="n"/>
      <c r="M10" s="90" t="n"/>
    </row>
    <row r="11"/>
    <row r="12">
      <c r="B12" s="72" t="inlineStr">
        <is>
          <t>TO DO LIST</t>
        </is>
      </c>
      <c r="C12" s="73" t="n"/>
      <c r="D12" s="73" t="n"/>
      <c r="E12" s="73" t="n"/>
      <c r="F12" s="74" t="n"/>
      <c r="G12" s="72" t="inlineStr">
        <is>
          <t>Comments</t>
        </is>
      </c>
      <c r="H12" s="73" t="n"/>
      <c r="I12" s="73" t="n"/>
      <c r="J12" s="74" t="n"/>
    </row>
    <row r="13" ht="16" customHeight="1" s="89"/>
    <row r="14" ht="16" customHeight="1" s="89">
      <c r="B14" s="83" t="inlineStr">
        <is>
          <t>https://fred.stlouisfed.org/</t>
        </is>
      </c>
      <c r="N14" s="90" t="n"/>
      <c r="O14" s="90" t="n"/>
    </row>
    <row r="15" ht="16" customHeight="1" s="89">
      <c r="B15" s="76" t="inlineStr">
        <is>
          <t>Create List on fred</t>
        </is>
      </c>
      <c r="G15" s="76" t="inlineStr">
        <is>
          <t>Create account on Fred</t>
        </is>
      </c>
      <c r="M15" s="91" t="n"/>
      <c r="N15" s="92" t="n"/>
      <c r="O15" s="92" t="n"/>
    </row>
    <row r="16" ht="16" customHeight="1" s="89">
      <c r="B16" s="26" t="inlineStr">
        <is>
          <t>DPCCRV1Q225SBEA</t>
        </is>
      </c>
      <c r="G16" s="76" t="inlineStr">
        <is>
          <t>Create Different Lists with required data</t>
        </is>
      </c>
      <c r="M16" s="91" t="n"/>
      <c r="N16" s="92" t="n"/>
      <c r="O16" s="92" t="n"/>
    </row>
    <row r="17" ht="16" customHeight="1" s="89">
      <c r="B17" s="26" t="inlineStr">
        <is>
          <t>EXPGSC1</t>
        </is>
      </c>
      <c r="M17" s="91" t="n"/>
      <c r="N17" s="92" t="n"/>
      <c r="O17" s="92" t="n"/>
    </row>
    <row r="18" ht="16" customHeight="1" s="89">
      <c r="B18" s="26" t="inlineStr">
        <is>
          <t>GCEC1</t>
        </is>
      </c>
      <c r="G18" s="76" t="inlineStr">
        <is>
          <t>Add row for new quarter</t>
        </is>
      </c>
      <c r="M18" s="91" t="n"/>
      <c r="N18" s="92" t="n"/>
      <c r="O18" s="92" t="n"/>
    </row>
    <row r="19" ht="16" customHeight="1" s="89">
      <c r="B19" s="26" t="inlineStr">
        <is>
          <t>GDPC1</t>
        </is>
      </c>
      <c r="M19" s="91" t="n"/>
      <c r="N19" s="92" t="n"/>
      <c r="O19" s="92" t="n"/>
    </row>
    <row r="20" ht="16" customHeight="1" s="89">
      <c r="B20" s="26" t="inlineStr">
        <is>
          <t>GDPCTPI</t>
        </is>
      </c>
      <c r="G20" s="76" t="n"/>
      <c r="M20" s="91" t="n"/>
      <c r="N20" s="92" t="n"/>
      <c r="O20" s="92" t="n"/>
    </row>
    <row r="21" ht="16" customHeight="1" s="89">
      <c r="B21" s="26" t="inlineStr">
        <is>
          <t>GPDIC1</t>
        </is>
      </c>
      <c r="G21" s="76" t="n"/>
      <c r="M21" s="91" t="n"/>
      <c r="N21" s="92" t="n"/>
      <c r="O21" s="92" t="n"/>
    </row>
    <row r="22" ht="16" customHeight="1" s="89">
      <c r="B22" s="26" t="inlineStr">
        <is>
          <t>IMPGSC1</t>
        </is>
      </c>
      <c r="G22" s="76" t="n"/>
      <c r="M22" s="91" t="n"/>
      <c r="N22" s="92" t="n"/>
      <c r="O22" s="92" t="n"/>
    </row>
    <row r="23" ht="16" customHeight="1" s="89">
      <c r="B23" s="26" t="inlineStr">
        <is>
          <t>JCXFE</t>
        </is>
      </c>
      <c r="M23" s="91" t="n"/>
      <c r="N23" s="92" t="n"/>
      <c r="O23" s="92" t="n"/>
    </row>
    <row r="24" ht="16" customHeight="1" s="89">
      <c r="B24" s="26" t="inlineStr">
        <is>
          <t>PCECC96</t>
        </is>
      </c>
      <c r="M24" s="91" t="n"/>
      <c r="N24" s="92" t="n"/>
      <c r="O24" s="92" t="n"/>
    </row>
    <row r="25" ht="16" customHeight="1" s="89">
      <c r="M25" s="91" t="n"/>
      <c r="N25" s="92" t="n"/>
      <c r="O25" s="92" t="n"/>
    </row>
    <row r="26" ht="16" customHeight="1" s="89">
      <c r="M26" s="91" t="n"/>
      <c r="N26" s="92" t="n"/>
      <c r="O26" s="92" t="n"/>
    </row>
    <row r="27" ht="16" customHeight="1" s="89">
      <c r="M27" s="91" t="n"/>
      <c r="N27" s="92" t="n"/>
      <c r="O27" s="92" t="n"/>
    </row>
    <row r="28">
      <c r="B28" s="10" t="n"/>
    </row>
    <row r="29">
      <c r="B29" s="82" t="n"/>
    </row>
    <row r="30">
      <c r="B30" s="11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K305"/>
  <sheetViews>
    <sheetView zoomScale="120" zoomScaleNormal="120" workbookViewId="0">
      <pane ySplit="1" topLeftCell="A289" activePane="bottomLeft" state="frozen"/>
      <selection activeCell="I311" sqref="I311"/>
      <selection pane="bottomLeft" activeCell="B1" sqref="B1"/>
    </sheetView>
  </sheetViews>
  <sheetFormatPr baseColWidth="8" defaultColWidth="8.81640625" defaultRowHeight="14.5"/>
  <cols>
    <col width="12.6328125" customWidth="1" style="89" min="1" max="1"/>
    <col width="15.6328125" customWidth="1" style="89" min="2" max="2"/>
    <col width="11.6328125" customWidth="1" style="89" min="3" max="4"/>
    <col width="12.6328125" customWidth="1" style="89" min="5" max="5"/>
    <col width="10.6328125" customWidth="1" style="89" min="6" max="6"/>
    <col width="11.6328125" customWidth="1" style="89" min="7" max="8"/>
    <col width="10.6328125" customWidth="1" style="89" min="9" max="9"/>
    <col width="12.6328125" customWidth="1" style="89" min="10" max="10"/>
    <col width="9.1796875" customWidth="1" style="89" min="11" max="256"/>
    <col width="12.6328125" customWidth="1" style="89" min="257" max="257"/>
    <col width="15.6328125" customWidth="1" style="89" min="258" max="258"/>
    <col width="11.6328125" customWidth="1" style="89" min="259" max="260"/>
    <col width="12.6328125" customWidth="1" style="89" min="261" max="261"/>
    <col width="10.6328125" customWidth="1" style="89" min="262" max="262"/>
    <col width="11.6328125" customWidth="1" style="89" min="263" max="264"/>
    <col width="10.6328125" customWidth="1" style="89" min="265" max="265"/>
    <col width="12.6328125" customWidth="1" style="89" min="266" max="266"/>
    <col width="9.1796875" customWidth="1" style="89" min="267" max="512"/>
    <col width="12.6328125" customWidth="1" style="89" min="513" max="513"/>
    <col width="15.6328125" customWidth="1" style="89" min="514" max="514"/>
    <col width="11.6328125" customWidth="1" style="89" min="515" max="516"/>
    <col width="12.6328125" customWidth="1" style="89" min="517" max="517"/>
    <col width="10.6328125" customWidth="1" style="89" min="518" max="518"/>
    <col width="11.6328125" customWidth="1" style="89" min="519" max="520"/>
    <col width="10.6328125" customWidth="1" style="89" min="521" max="521"/>
    <col width="12.6328125" customWidth="1" style="89" min="522" max="522"/>
    <col width="9.1796875" customWidth="1" style="89" min="523" max="768"/>
    <col width="12.6328125" customWidth="1" style="89" min="769" max="769"/>
    <col width="15.6328125" customWidth="1" style="89" min="770" max="770"/>
    <col width="11.6328125" customWidth="1" style="89" min="771" max="772"/>
    <col width="12.6328125" customWidth="1" style="89" min="773" max="773"/>
    <col width="10.6328125" customWidth="1" style="89" min="774" max="774"/>
    <col width="11.6328125" customWidth="1" style="89" min="775" max="776"/>
    <col width="10.6328125" customWidth="1" style="89" min="777" max="777"/>
    <col width="12.6328125" customWidth="1" style="89" min="778" max="778"/>
    <col width="9.1796875" customWidth="1" style="89" min="779" max="1024"/>
    <col width="12.6328125" customWidth="1" style="89" min="1025" max="1025"/>
    <col width="15.6328125" customWidth="1" style="89" min="1026" max="1026"/>
    <col width="11.6328125" customWidth="1" style="89" min="1027" max="1028"/>
    <col width="12.6328125" customWidth="1" style="89" min="1029" max="1029"/>
    <col width="10.6328125" customWidth="1" style="89" min="1030" max="1030"/>
    <col width="11.6328125" customWidth="1" style="89" min="1031" max="1032"/>
    <col width="10.6328125" customWidth="1" style="89" min="1033" max="1033"/>
    <col width="12.6328125" customWidth="1" style="89" min="1034" max="1034"/>
    <col width="9.1796875" customWidth="1" style="89" min="1035" max="1280"/>
    <col width="12.6328125" customWidth="1" style="89" min="1281" max="1281"/>
    <col width="15.6328125" customWidth="1" style="89" min="1282" max="1282"/>
    <col width="11.6328125" customWidth="1" style="89" min="1283" max="1284"/>
    <col width="12.6328125" customWidth="1" style="89" min="1285" max="1285"/>
    <col width="10.6328125" customWidth="1" style="89" min="1286" max="1286"/>
    <col width="11.6328125" customWidth="1" style="89" min="1287" max="1288"/>
    <col width="10.6328125" customWidth="1" style="89" min="1289" max="1289"/>
    <col width="12.6328125" customWidth="1" style="89" min="1290" max="1290"/>
    <col width="9.1796875" customWidth="1" style="89" min="1291" max="1536"/>
    <col width="12.6328125" customWidth="1" style="89" min="1537" max="1537"/>
    <col width="15.6328125" customWidth="1" style="89" min="1538" max="1538"/>
    <col width="11.6328125" customWidth="1" style="89" min="1539" max="1540"/>
    <col width="12.6328125" customWidth="1" style="89" min="1541" max="1541"/>
    <col width="10.6328125" customWidth="1" style="89" min="1542" max="1542"/>
    <col width="11.6328125" customWidth="1" style="89" min="1543" max="1544"/>
    <col width="10.6328125" customWidth="1" style="89" min="1545" max="1545"/>
    <col width="12.6328125" customWidth="1" style="89" min="1546" max="1546"/>
    <col width="9.1796875" customWidth="1" style="89" min="1547" max="1792"/>
    <col width="12.6328125" customWidth="1" style="89" min="1793" max="1793"/>
    <col width="15.6328125" customWidth="1" style="89" min="1794" max="1794"/>
    <col width="11.6328125" customWidth="1" style="89" min="1795" max="1796"/>
    <col width="12.6328125" customWidth="1" style="89" min="1797" max="1797"/>
    <col width="10.6328125" customWidth="1" style="89" min="1798" max="1798"/>
    <col width="11.6328125" customWidth="1" style="89" min="1799" max="1800"/>
    <col width="10.6328125" customWidth="1" style="89" min="1801" max="1801"/>
    <col width="12.6328125" customWidth="1" style="89" min="1802" max="1802"/>
    <col width="9.1796875" customWidth="1" style="89" min="1803" max="2048"/>
    <col width="12.6328125" customWidth="1" style="89" min="2049" max="2049"/>
    <col width="15.6328125" customWidth="1" style="89" min="2050" max="2050"/>
    <col width="11.6328125" customWidth="1" style="89" min="2051" max="2052"/>
    <col width="12.6328125" customWidth="1" style="89" min="2053" max="2053"/>
    <col width="10.6328125" customWidth="1" style="89" min="2054" max="2054"/>
    <col width="11.6328125" customWidth="1" style="89" min="2055" max="2056"/>
    <col width="10.6328125" customWidth="1" style="89" min="2057" max="2057"/>
    <col width="12.6328125" customWidth="1" style="89" min="2058" max="2058"/>
    <col width="9.1796875" customWidth="1" style="89" min="2059" max="2304"/>
    <col width="12.6328125" customWidth="1" style="89" min="2305" max="2305"/>
    <col width="15.6328125" customWidth="1" style="89" min="2306" max="2306"/>
    <col width="11.6328125" customWidth="1" style="89" min="2307" max="2308"/>
    <col width="12.6328125" customWidth="1" style="89" min="2309" max="2309"/>
    <col width="10.6328125" customWidth="1" style="89" min="2310" max="2310"/>
    <col width="11.6328125" customWidth="1" style="89" min="2311" max="2312"/>
    <col width="10.6328125" customWidth="1" style="89" min="2313" max="2313"/>
    <col width="12.6328125" customWidth="1" style="89" min="2314" max="2314"/>
    <col width="9.1796875" customWidth="1" style="89" min="2315" max="2560"/>
    <col width="12.6328125" customWidth="1" style="89" min="2561" max="2561"/>
    <col width="15.6328125" customWidth="1" style="89" min="2562" max="2562"/>
    <col width="11.6328125" customWidth="1" style="89" min="2563" max="2564"/>
    <col width="12.6328125" customWidth="1" style="89" min="2565" max="2565"/>
    <col width="10.6328125" customWidth="1" style="89" min="2566" max="2566"/>
    <col width="11.6328125" customWidth="1" style="89" min="2567" max="2568"/>
    <col width="10.6328125" customWidth="1" style="89" min="2569" max="2569"/>
    <col width="12.6328125" customWidth="1" style="89" min="2570" max="2570"/>
    <col width="9.1796875" customWidth="1" style="89" min="2571" max="2816"/>
    <col width="12.6328125" customWidth="1" style="89" min="2817" max="2817"/>
    <col width="15.6328125" customWidth="1" style="89" min="2818" max="2818"/>
    <col width="11.6328125" customWidth="1" style="89" min="2819" max="2820"/>
    <col width="12.6328125" customWidth="1" style="89" min="2821" max="2821"/>
    <col width="10.6328125" customWidth="1" style="89" min="2822" max="2822"/>
    <col width="11.6328125" customWidth="1" style="89" min="2823" max="2824"/>
    <col width="10.6328125" customWidth="1" style="89" min="2825" max="2825"/>
    <col width="12.6328125" customWidth="1" style="89" min="2826" max="2826"/>
    <col width="9.1796875" customWidth="1" style="89" min="2827" max="3072"/>
    <col width="12.6328125" customWidth="1" style="89" min="3073" max="3073"/>
    <col width="15.6328125" customWidth="1" style="89" min="3074" max="3074"/>
    <col width="11.6328125" customWidth="1" style="89" min="3075" max="3076"/>
    <col width="12.6328125" customWidth="1" style="89" min="3077" max="3077"/>
    <col width="10.6328125" customWidth="1" style="89" min="3078" max="3078"/>
    <col width="11.6328125" customWidth="1" style="89" min="3079" max="3080"/>
    <col width="10.6328125" customWidth="1" style="89" min="3081" max="3081"/>
    <col width="12.6328125" customWidth="1" style="89" min="3082" max="3082"/>
    <col width="9.1796875" customWidth="1" style="89" min="3083" max="3328"/>
    <col width="12.6328125" customWidth="1" style="89" min="3329" max="3329"/>
    <col width="15.6328125" customWidth="1" style="89" min="3330" max="3330"/>
    <col width="11.6328125" customWidth="1" style="89" min="3331" max="3332"/>
    <col width="12.6328125" customWidth="1" style="89" min="3333" max="3333"/>
    <col width="10.6328125" customWidth="1" style="89" min="3334" max="3334"/>
    <col width="11.6328125" customWidth="1" style="89" min="3335" max="3336"/>
    <col width="10.6328125" customWidth="1" style="89" min="3337" max="3337"/>
    <col width="12.6328125" customWidth="1" style="89" min="3338" max="3338"/>
    <col width="9.1796875" customWidth="1" style="89" min="3339" max="3584"/>
    <col width="12.6328125" customWidth="1" style="89" min="3585" max="3585"/>
    <col width="15.6328125" customWidth="1" style="89" min="3586" max="3586"/>
    <col width="11.6328125" customWidth="1" style="89" min="3587" max="3588"/>
    <col width="12.6328125" customWidth="1" style="89" min="3589" max="3589"/>
    <col width="10.6328125" customWidth="1" style="89" min="3590" max="3590"/>
    <col width="11.6328125" customWidth="1" style="89" min="3591" max="3592"/>
    <col width="10.6328125" customWidth="1" style="89" min="3593" max="3593"/>
    <col width="12.6328125" customWidth="1" style="89" min="3594" max="3594"/>
    <col width="9.1796875" customWidth="1" style="89" min="3595" max="3840"/>
    <col width="12.6328125" customWidth="1" style="89" min="3841" max="3841"/>
    <col width="15.6328125" customWidth="1" style="89" min="3842" max="3842"/>
    <col width="11.6328125" customWidth="1" style="89" min="3843" max="3844"/>
    <col width="12.6328125" customWidth="1" style="89" min="3845" max="3845"/>
    <col width="10.6328125" customWidth="1" style="89" min="3846" max="3846"/>
    <col width="11.6328125" customWidth="1" style="89" min="3847" max="3848"/>
    <col width="10.6328125" customWidth="1" style="89" min="3849" max="3849"/>
    <col width="12.6328125" customWidth="1" style="89" min="3850" max="3850"/>
    <col width="9.1796875" customWidth="1" style="89" min="3851" max="4096"/>
    <col width="12.6328125" customWidth="1" style="89" min="4097" max="4097"/>
    <col width="15.6328125" customWidth="1" style="89" min="4098" max="4098"/>
    <col width="11.6328125" customWidth="1" style="89" min="4099" max="4100"/>
    <col width="12.6328125" customWidth="1" style="89" min="4101" max="4101"/>
    <col width="10.6328125" customWidth="1" style="89" min="4102" max="4102"/>
    <col width="11.6328125" customWidth="1" style="89" min="4103" max="4104"/>
    <col width="10.6328125" customWidth="1" style="89" min="4105" max="4105"/>
    <col width="12.6328125" customWidth="1" style="89" min="4106" max="4106"/>
    <col width="9.1796875" customWidth="1" style="89" min="4107" max="4352"/>
    <col width="12.6328125" customWidth="1" style="89" min="4353" max="4353"/>
    <col width="15.6328125" customWidth="1" style="89" min="4354" max="4354"/>
    <col width="11.6328125" customWidth="1" style="89" min="4355" max="4356"/>
    <col width="12.6328125" customWidth="1" style="89" min="4357" max="4357"/>
    <col width="10.6328125" customWidth="1" style="89" min="4358" max="4358"/>
    <col width="11.6328125" customWidth="1" style="89" min="4359" max="4360"/>
    <col width="10.6328125" customWidth="1" style="89" min="4361" max="4361"/>
    <col width="12.6328125" customWidth="1" style="89" min="4362" max="4362"/>
    <col width="9.1796875" customWidth="1" style="89" min="4363" max="4608"/>
    <col width="12.6328125" customWidth="1" style="89" min="4609" max="4609"/>
    <col width="15.6328125" customWidth="1" style="89" min="4610" max="4610"/>
    <col width="11.6328125" customWidth="1" style="89" min="4611" max="4612"/>
    <col width="12.6328125" customWidth="1" style="89" min="4613" max="4613"/>
    <col width="10.6328125" customWidth="1" style="89" min="4614" max="4614"/>
    <col width="11.6328125" customWidth="1" style="89" min="4615" max="4616"/>
    <col width="10.6328125" customWidth="1" style="89" min="4617" max="4617"/>
    <col width="12.6328125" customWidth="1" style="89" min="4618" max="4618"/>
    <col width="9.1796875" customWidth="1" style="89" min="4619" max="4864"/>
    <col width="12.6328125" customWidth="1" style="89" min="4865" max="4865"/>
    <col width="15.6328125" customWidth="1" style="89" min="4866" max="4866"/>
    <col width="11.6328125" customWidth="1" style="89" min="4867" max="4868"/>
    <col width="12.6328125" customWidth="1" style="89" min="4869" max="4869"/>
    <col width="10.6328125" customWidth="1" style="89" min="4870" max="4870"/>
    <col width="11.6328125" customWidth="1" style="89" min="4871" max="4872"/>
    <col width="10.6328125" customWidth="1" style="89" min="4873" max="4873"/>
    <col width="12.6328125" customWidth="1" style="89" min="4874" max="4874"/>
    <col width="9.1796875" customWidth="1" style="89" min="4875" max="5120"/>
    <col width="12.6328125" customWidth="1" style="89" min="5121" max="5121"/>
    <col width="15.6328125" customWidth="1" style="89" min="5122" max="5122"/>
    <col width="11.6328125" customWidth="1" style="89" min="5123" max="5124"/>
    <col width="12.6328125" customWidth="1" style="89" min="5125" max="5125"/>
    <col width="10.6328125" customWidth="1" style="89" min="5126" max="5126"/>
    <col width="11.6328125" customWidth="1" style="89" min="5127" max="5128"/>
    <col width="10.6328125" customWidth="1" style="89" min="5129" max="5129"/>
    <col width="12.6328125" customWidth="1" style="89" min="5130" max="5130"/>
    <col width="9.1796875" customWidth="1" style="89" min="5131" max="5376"/>
    <col width="12.6328125" customWidth="1" style="89" min="5377" max="5377"/>
    <col width="15.6328125" customWidth="1" style="89" min="5378" max="5378"/>
    <col width="11.6328125" customWidth="1" style="89" min="5379" max="5380"/>
    <col width="12.6328125" customWidth="1" style="89" min="5381" max="5381"/>
    <col width="10.6328125" customWidth="1" style="89" min="5382" max="5382"/>
    <col width="11.6328125" customWidth="1" style="89" min="5383" max="5384"/>
    <col width="10.6328125" customWidth="1" style="89" min="5385" max="5385"/>
    <col width="12.6328125" customWidth="1" style="89" min="5386" max="5386"/>
    <col width="9.1796875" customWidth="1" style="89" min="5387" max="5632"/>
    <col width="12.6328125" customWidth="1" style="89" min="5633" max="5633"/>
    <col width="15.6328125" customWidth="1" style="89" min="5634" max="5634"/>
    <col width="11.6328125" customWidth="1" style="89" min="5635" max="5636"/>
    <col width="12.6328125" customWidth="1" style="89" min="5637" max="5637"/>
    <col width="10.6328125" customWidth="1" style="89" min="5638" max="5638"/>
    <col width="11.6328125" customWidth="1" style="89" min="5639" max="5640"/>
    <col width="10.6328125" customWidth="1" style="89" min="5641" max="5641"/>
    <col width="12.6328125" customWidth="1" style="89" min="5642" max="5642"/>
    <col width="9.1796875" customWidth="1" style="89" min="5643" max="5888"/>
    <col width="12.6328125" customWidth="1" style="89" min="5889" max="5889"/>
    <col width="15.6328125" customWidth="1" style="89" min="5890" max="5890"/>
    <col width="11.6328125" customWidth="1" style="89" min="5891" max="5892"/>
    <col width="12.6328125" customWidth="1" style="89" min="5893" max="5893"/>
    <col width="10.6328125" customWidth="1" style="89" min="5894" max="5894"/>
    <col width="11.6328125" customWidth="1" style="89" min="5895" max="5896"/>
    <col width="10.6328125" customWidth="1" style="89" min="5897" max="5897"/>
    <col width="12.6328125" customWidth="1" style="89" min="5898" max="5898"/>
    <col width="9.1796875" customWidth="1" style="89" min="5899" max="6144"/>
    <col width="12.6328125" customWidth="1" style="89" min="6145" max="6145"/>
    <col width="15.6328125" customWidth="1" style="89" min="6146" max="6146"/>
    <col width="11.6328125" customWidth="1" style="89" min="6147" max="6148"/>
    <col width="12.6328125" customWidth="1" style="89" min="6149" max="6149"/>
    <col width="10.6328125" customWidth="1" style="89" min="6150" max="6150"/>
    <col width="11.6328125" customWidth="1" style="89" min="6151" max="6152"/>
    <col width="10.6328125" customWidth="1" style="89" min="6153" max="6153"/>
    <col width="12.6328125" customWidth="1" style="89" min="6154" max="6154"/>
    <col width="9.1796875" customWidth="1" style="89" min="6155" max="6400"/>
    <col width="12.6328125" customWidth="1" style="89" min="6401" max="6401"/>
    <col width="15.6328125" customWidth="1" style="89" min="6402" max="6402"/>
    <col width="11.6328125" customWidth="1" style="89" min="6403" max="6404"/>
    <col width="12.6328125" customWidth="1" style="89" min="6405" max="6405"/>
    <col width="10.6328125" customWidth="1" style="89" min="6406" max="6406"/>
    <col width="11.6328125" customWidth="1" style="89" min="6407" max="6408"/>
    <col width="10.6328125" customWidth="1" style="89" min="6409" max="6409"/>
    <col width="12.6328125" customWidth="1" style="89" min="6410" max="6410"/>
    <col width="9.1796875" customWidth="1" style="89" min="6411" max="6656"/>
    <col width="12.6328125" customWidth="1" style="89" min="6657" max="6657"/>
    <col width="15.6328125" customWidth="1" style="89" min="6658" max="6658"/>
    <col width="11.6328125" customWidth="1" style="89" min="6659" max="6660"/>
    <col width="12.6328125" customWidth="1" style="89" min="6661" max="6661"/>
    <col width="10.6328125" customWidth="1" style="89" min="6662" max="6662"/>
    <col width="11.6328125" customWidth="1" style="89" min="6663" max="6664"/>
    <col width="10.6328125" customWidth="1" style="89" min="6665" max="6665"/>
    <col width="12.6328125" customWidth="1" style="89" min="6666" max="6666"/>
    <col width="9.1796875" customWidth="1" style="89" min="6667" max="6912"/>
    <col width="12.6328125" customWidth="1" style="89" min="6913" max="6913"/>
    <col width="15.6328125" customWidth="1" style="89" min="6914" max="6914"/>
    <col width="11.6328125" customWidth="1" style="89" min="6915" max="6916"/>
    <col width="12.6328125" customWidth="1" style="89" min="6917" max="6917"/>
    <col width="10.6328125" customWidth="1" style="89" min="6918" max="6918"/>
    <col width="11.6328125" customWidth="1" style="89" min="6919" max="6920"/>
    <col width="10.6328125" customWidth="1" style="89" min="6921" max="6921"/>
    <col width="12.6328125" customWidth="1" style="89" min="6922" max="6922"/>
    <col width="9.1796875" customWidth="1" style="89" min="6923" max="7168"/>
    <col width="12.6328125" customWidth="1" style="89" min="7169" max="7169"/>
    <col width="15.6328125" customWidth="1" style="89" min="7170" max="7170"/>
    <col width="11.6328125" customWidth="1" style="89" min="7171" max="7172"/>
    <col width="12.6328125" customWidth="1" style="89" min="7173" max="7173"/>
    <col width="10.6328125" customWidth="1" style="89" min="7174" max="7174"/>
    <col width="11.6328125" customWidth="1" style="89" min="7175" max="7176"/>
    <col width="10.6328125" customWidth="1" style="89" min="7177" max="7177"/>
    <col width="12.6328125" customWidth="1" style="89" min="7178" max="7178"/>
    <col width="9.1796875" customWidth="1" style="89" min="7179" max="7424"/>
    <col width="12.6328125" customWidth="1" style="89" min="7425" max="7425"/>
    <col width="15.6328125" customWidth="1" style="89" min="7426" max="7426"/>
    <col width="11.6328125" customWidth="1" style="89" min="7427" max="7428"/>
    <col width="12.6328125" customWidth="1" style="89" min="7429" max="7429"/>
    <col width="10.6328125" customWidth="1" style="89" min="7430" max="7430"/>
    <col width="11.6328125" customWidth="1" style="89" min="7431" max="7432"/>
    <col width="10.6328125" customWidth="1" style="89" min="7433" max="7433"/>
    <col width="12.6328125" customWidth="1" style="89" min="7434" max="7434"/>
    <col width="9.1796875" customWidth="1" style="89" min="7435" max="7680"/>
    <col width="12.6328125" customWidth="1" style="89" min="7681" max="7681"/>
    <col width="15.6328125" customWidth="1" style="89" min="7682" max="7682"/>
    <col width="11.6328125" customWidth="1" style="89" min="7683" max="7684"/>
    <col width="12.6328125" customWidth="1" style="89" min="7685" max="7685"/>
    <col width="10.6328125" customWidth="1" style="89" min="7686" max="7686"/>
    <col width="11.6328125" customWidth="1" style="89" min="7687" max="7688"/>
    <col width="10.6328125" customWidth="1" style="89" min="7689" max="7689"/>
    <col width="12.6328125" customWidth="1" style="89" min="7690" max="7690"/>
    <col width="9.1796875" customWidth="1" style="89" min="7691" max="7936"/>
    <col width="12.6328125" customWidth="1" style="89" min="7937" max="7937"/>
    <col width="15.6328125" customWidth="1" style="89" min="7938" max="7938"/>
    <col width="11.6328125" customWidth="1" style="89" min="7939" max="7940"/>
    <col width="12.6328125" customWidth="1" style="89" min="7941" max="7941"/>
    <col width="10.6328125" customWidth="1" style="89" min="7942" max="7942"/>
    <col width="11.6328125" customWidth="1" style="89" min="7943" max="7944"/>
    <col width="10.6328125" customWidth="1" style="89" min="7945" max="7945"/>
    <col width="12.6328125" customWidth="1" style="89" min="7946" max="7946"/>
    <col width="9.1796875" customWidth="1" style="89" min="7947" max="8192"/>
    <col width="12.6328125" customWidth="1" style="89" min="8193" max="8193"/>
    <col width="15.6328125" customWidth="1" style="89" min="8194" max="8194"/>
    <col width="11.6328125" customWidth="1" style="89" min="8195" max="8196"/>
    <col width="12.6328125" customWidth="1" style="89" min="8197" max="8197"/>
    <col width="10.6328125" customWidth="1" style="89" min="8198" max="8198"/>
    <col width="11.6328125" customWidth="1" style="89" min="8199" max="8200"/>
    <col width="10.6328125" customWidth="1" style="89" min="8201" max="8201"/>
    <col width="12.6328125" customWidth="1" style="89" min="8202" max="8202"/>
    <col width="9.1796875" customWidth="1" style="89" min="8203" max="8448"/>
    <col width="12.6328125" customWidth="1" style="89" min="8449" max="8449"/>
    <col width="15.6328125" customWidth="1" style="89" min="8450" max="8450"/>
    <col width="11.6328125" customWidth="1" style="89" min="8451" max="8452"/>
    <col width="12.6328125" customWidth="1" style="89" min="8453" max="8453"/>
    <col width="10.6328125" customWidth="1" style="89" min="8454" max="8454"/>
    <col width="11.6328125" customWidth="1" style="89" min="8455" max="8456"/>
    <col width="10.6328125" customWidth="1" style="89" min="8457" max="8457"/>
    <col width="12.6328125" customWidth="1" style="89" min="8458" max="8458"/>
    <col width="9.1796875" customWidth="1" style="89" min="8459" max="8704"/>
    <col width="12.6328125" customWidth="1" style="89" min="8705" max="8705"/>
    <col width="15.6328125" customWidth="1" style="89" min="8706" max="8706"/>
    <col width="11.6328125" customWidth="1" style="89" min="8707" max="8708"/>
    <col width="12.6328125" customWidth="1" style="89" min="8709" max="8709"/>
    <col width="10.6328125" customWidth="1" style="89" min="8710" max="8710"/>
    <col width="11.6328125" customWidth="1" style="89" min="8711" max="8712"/>
    <col width="10.6328125" customWidth="1" style="89" min="8713" max="8713"/>
    <col width="12.6328125" customWidth="1" style="89" min="8714" max="8714"/>
    <col width="9.1796875" customWidth="1" style="89" min="8715" max="8960"/>
    <col width="12.6328125" customWidth="1" style="89" min="8961" max="8961"/>
    <col width="15.6328125" customWidth="1" style="89" min="8962" max="8962"/>
    <col width="11.6328125" customWidth="1" style="89" min="8963" max="8964"/>
    <col width="12.6328125" customWidth="1" style="89" min="8965" max="8965"/>
    <col width="10.6328125" customWidth="1" style="89" min="8966" max="8966"/>
    <col width="11.6328125" customWidth="1" style="89" min="8967" max="8968"/>
    <col width="10.6328125" customWidth="1" style="89" min="8969" max="8969"/>
    <col width="12.6328125" customWidth="1" style="89" min="8970" max="8970"/>
    <col width="9.1796875" customWidth="1" style="89" min="8971" max="9216"/>
    <col width="12.6328125" customWidth="1" style="89" min="9217" max="9217"/>
    <col width="15.6328125" customWidth="1" style="89" min="9218" max="9218"/>
    <col width="11.6328125" customWidth="1" style="89" min="9219" max="9220"/>
    <col width="12.6328125" customWidth="1" style="89" min="9221" max="9221"/>
    <col width="10.6328125" customWidth="1" style="89" min="9222" max="9222"/>
    <col width="11.6328125" customWidth="1" style="89" min="9223" max="9224"/>
    <col width="10.6328125" customWidth="1" style="89" min="9225" max="9225"/>
    <col width="12.6328125" customWidth="1" style="89" min="9226" max="9226"/>
    <col width="9.1796875" customWidth="1" style="89" min="9227" max="9472"/>
    <col width="12.6328125" customWidth="1" style="89" min="9473" max="9473"/>
    <col width="15.6328125" customWidth="1" style="89" min="9474" max="9474"/>
    <col width="11.6328125" customWidth="1" style="89" min="9475" max="9476"/>
    <col width="12.6328125" customWidth="1" style="89" min="9477" max="9477"/>
    <col width="10.6328125" customWidth="1" style="89" min="9478" max="9478"/>
    <col width="11.6328125" customWidth="1" style="89" min="9479" max="9480"/>
    <col width="10.6328125" customWidth="1" style="89" min="9481" max="9481"/>
    <col width="12.6328125" customWidth="1" style="89" min="9482" max="9482"/>
    <col width="9.1796875" customWidth="1" style="89" min="9483" max="9728"/>
    <col width="12.6328125" customWidth="1" style="89" min="9729" max="9729"/>
    <col width="15.6328125" customWidth="1" style="89" min="9730" max="9730"/>
    <col width="11.6328125" customWidth="1" style="89" min="9731" max="9732"/>
    <col width="12.6328125" customWidth="1" style="89" min="9733" max="9733"/>
    <col width="10.6328125" customWidth="1" style="89" min="9734" max="9734"/>
    <col width="11.6328125" customWidth="1" style="89" min="9735" max="9736"/>
    <col width="10.6328125" customWidth="1" style="89" min="9737" max="9737"/>
    <col width="12.6328125" customWidth="1" style="89" min="9738" max="9738"/>
    <col width="9.1796875" customWidth="1" style="89" min="9739" max="9984"/>
    <col width="12.6328125" customWidth="1" style="89" min="9985" max="9985"/>
    <col width="15.6328125" customWidth="1" style="89" min="9986" max="9986"/>
    <col width="11.6328125" customWidth="1" style="89" min="9987" max="9988"/>
    <col width="12.6328125" customWidth="1" style="89" min="9989" max="9989"/>
    <col width="10.6328125" customWidth="1" style="89" min="9990" max="9990"/>
    <col width="11.6328125" customWidth="1" style="89" min="9991" max="9992"/>
    <col width="10.6328125" customWidth="1" style="89" min="9993" max="9993"/>
    <col width="12.6328125" customWidth="1" style="89" min="9994" max="9994"/>
    <col width="9.1796875" customWidth="1" style="89" min="9995" max="10240"/>
    <col width="12.6328125" customWidth="1" style="89" min="10241" max="10241"/>
    <col width="15.6328125" customWidth="1" style="89" min="10242" max="10242"/>
    <col width="11.6328125" customWidth="1" style="89" min="10243" max="10244"/>
    <col width="12.6328125" customWidth="1" style="89" min="10245" max="10245"/>
    <col width="10.6328125" customWidth="1" style="89" min="10246" max="10246"/>
    <col width="11.6328125" customWidth="1" style="89" min="10247" max="10248"/>
    <col width="10.6328125" customWidth="1" style="89" min="10249" max="10249"/>
    <col width="12.6328125" customWidth="1" style="89" min="10250" max="10250"/>
    <col width="9.1796875" customWidth="1" style="89" min="10251" max="10496"/>
    <col width="12.6328125" customWidth="1" style="89" min="10497" max="10497"/>
    <col width="15.6328125" customWidth="1" style="89" min="10498" max="10498"/>
    <col width="11.6328125" customWidth="1" style="89" min="10499" max="10500"/>
    <col width="12.6328125" customWidth="1" style="89" min="10501" max="10501"/>
    <col width="10.6328125" customWidth="1" style="89" min="10502" max="10502"/>
    <col width="11.6328125" customWidth="1" style="89" min="10503" max="10504"/>
    <col width="10.6328125" customWidth="1" style="89" min="10505" max="10505"/>
    <col width="12.6328125" customWidth="1" style="89" min="10506" max="10506"/>
    <col width="9.1796875" customWidth="1" style="89" min="10507" max="10752"/>
    <col width="12.6328125" customWidth="1" style="89" min="10753" max="10753"/>
    <col width="15.6328125" customWidth="1" style="89" min="10754" max="10754"/>
    <col width="11.6328125" customWidth="1" style="89" min="10755" max="10756"/>
    <col width="12.6328125" customWidth="1" style="89" min="10757" max="10757"/>
    <col width="10.6328125" customWidth="1" style="89" min="10758" max="10758"/>
    <col width="11.6328125" customWidth="1" style="89" min="10759" max="10760"/>
    <col width="10.6328125" customWidth="1" style="89" min="10761" max="10761"/>
    <col width="12.6328125" customWidth="1" style="89" min="10762" max="10762"/>
    <col width="9.1796875" customWidth="1" style="89" min="10763" max="11008"/>
    <col width="12.6328125" customWidth="1" style="89" min="11009" max="11009"/>
    <col width="15.6328125" customWidth="1" style="89" min="11010" max="11010"/>
    <col width="11.6328125" customWidth="1" style="89" min="11011" max="11012"/>
    <col width="12.6328125" customWidth="1" style="89" min="11013" max="11013"/>
    <col width="10.6328125" customWidth="1" style="89" min="11014" max="11014"/>
    <col width="11.6328125" customWidth="1" style="89" min="11015" max="11016"/>
    <col width="10.6328125" customWidth="1" style="89" min="11017" max="11017"/>
    <col width="12.6328125" customWidth="1" style="89" min="11018" max="11018"/>
    <col width="9.1796875" customWidth="1" style="89" min="11019" max="11264"/>
    <col width="12.6328125" customWidth="1" style="89" min="11265" max="11265"/>
    <col width="15.6328125" customWidth="1" style="89" min="11266" max="11266"/>
    <col width="11.6328125" customWidth="1" style="89" min="11267" max="11268"/>
    <col width="12.6328125" customWidth="1" style="89" min="11269" max="11269"/>
    <col width="10.6328125" customWidth="1" style="89" min="11270" max="11270"/>
    <col width="11.6328125" customWidth="1" style="89" min="11271" max="11272"/>
    <col width="10.6328125" customWidth="1" style="89" min="11273" max="11273"/>
    <col width="12.6328125" customWidth="1" style="89" min="11274" max="11274"/>
    <col width="9.1796875" customWidth="1" style="89" min="11275" max="11520"/>
    <col width="12.6328125" customWidth="1" style="89" min="11521" max="11521"/>
    <col width="15.6328125" customWidth="1" style="89" min="11522" max="11522"/>
    <col width="11.6328125" customWidth="1" style="89" min="11523" max="11524"/>
    <col width="12.6328125" customWidth="1" style="89" min="11525" max="11525"/>
    <col width="10.6328125" customWidth="1" style="89" min="11526" max="11526"/>
    <col width="11.6328125" customWidth="1" style="89" min="11527" max="11528"/>
    <col width="10.6328125" customWidth="1" style="89" min="11529" max="11529"/>
    <col width="12.6328125" customWidth="1" style="89" min="11530" max="11530"/>
    <col width="9.1796875" customWidth="1" style="89" min="11531" max="11776"/>
    <col width="12.6328125" customWidth="1" style="89" min="11777" max="11777"/>
    <col width="15.6328125" customWidth="1" style="89" min="11778" max="11778"/>
    <col width="11.6328125" customWidth="1" style="89" min="11779" max="11780"/>
    <col width="12.6328125" customWidth="1" style="89" min="11781" max="11781"/>
    <col width="10.6328125" customWidth="1" style="89" min="11782" max="11782"/>
    <col width="11.6328125" customWidth="1" style="89" min="11783" max="11784"/>
    <col width="10.6328125" customWidth="1" style="89" min="11785" max="11785"/>
    <col width="12.6328125" customWidth="1" style="89" min="11786" max="11786"/>
    <col width="9.1796875" customWidth="1" style="89" min="11787" max="12032"/>
    <col width="12.6328125" customWidth="1" style="89" min="12033" max="12033"/>
    <col width="15.6328125" customWidth="1" style="89" min="12034" max="12034"/>
    <col width="11.6328125" customWidth="1" style="89" min="12035" max="12036"/>
    <col width="12.6328125" customWidth="1" style="89" min="12037" max="12037"/>
    <col width="10.6328125" customWidth="1" style="89" min="12038" max="12038"/>
    <col width="11.6328125" customWidth="1" style="89" min="12039" max="12040"/>
    <col width="10.6328125" customWidth="1" style="89" min="12041" max="12041"/>
    <col width="12.6328125" customWidth="1" style="89" min="12042" max="12042"/>
    <col width="9.1796875" customWidth="1" style="89" min="12043" max="12288"/>
    <col width="12.6328125" customWidth="1" style="89" min="12289" max="12289"/>
    <col width="15.6328125" customWidth="1" style="89" min="12290" max="12290"/>
    <col width="11.6328125" customWidth="1" style="89" min="12291" max="12292"/>
    <col width="12.6328125" customWidth="1" style="89" min="12293" max="12293"/>
    <col width="10.6328125" customWidth="1" style="89" min="12294" max="12294"/>
    <col width="11.6328125" customWidth="1" style="89" min="12295" max="12296"/>
    <col width="10.6328125" customWidth="1" style="89" min="12297" max="12297"/>
    <col width="12.6328125" customWidth="1" style="89" min="12298" max="12298"/>
    <col width="9.1796875" customWidth="1" style="89" min="12299" max="12544"/>
    <col width="12.6328125" customWidth="1" style="89" min="12545" max="12545"/>
    <col width="15.6328125" customWidth="1" style="89" min="12546" max="12546"/>
    <col width="11.6328125" customWidth="1" style="89" min="12547" max="12548"/>
    <col width="12.6328125" customWidth="1" style="89" min="12549" max="12549"/>
    <col width="10.6328125" customWidth="1" style="89" min="12550" max="12550"/>
    <col width="11.6328125" customWidth="1" style="89" min="12551" max="12552"/>
    <col width="10.6328125" customWidth="1" style="89" min="12553" max="12553"/>
    <col width="12.6328125" customWidth="1" style="89" min="12554" max="12554"/>
    <col width="9.1796875" customWidth="1" style="89" min="12555" max="12800"/>
    <col width="12.6328125" customWidth="1" style="89" min="12801" max="12801"/>
    <col width="15.6328125" customWidth="1" style="89" min="12802" max="12802"/>
    <col width="11.6328125" customWidth="1" style="89" min="12803" max="12804"/>
    <col width="12.6328125" customWidth="1" style="89" min="12805" max="12805"/>
    <col width="10.6328125" customWidth="1" style="89" min="12806" max="12806"/>
    <col width="11.6328125" customWidth="1" style="89" min="12807" max="12808"/>
    <col width="10.6328125" customWidth="1" style="89" min="12809" max="12809"/>
    <col width="12.6328125" customWidth="1" style="89" min="12810" max="12810"/>
    <col width="9.1796875" customWidth="1" style="89" min="12811" max="13056"/>
    <col width="12.6328125" customWidth="1" style="89" min="13057" max="13057"/>
    <col width="15.6328125" customWidth="1" style="89" min="13058" max="13058"/>
    <col width="11.6328125" customWidth="1" style="89" min="13059" max="13060"/>
    <col width="12.6328125" customWidth="1" style="89" min="13061" max="13061"/>
    <col width="10.6328125" customWidth="1" style="89" min="13062" max="13062"/>
    <col width="11.6328125" customWidth="1" style="89" min="13063" max="13064"/>
    <col width="10.6328125" customWidth="1" style="89" min="13065" max="13065"/>
    <col width="12.6328125" customWidth="1" style="89" min="13066" max="13066"/>
    <col width="9.1796875" customWidth="1" style="89" min="13067" max="13312"/>
    <col width="12.6328125" customWidth="1" style="89" min="13313" max="13313"/>
    <col width="15.6328125" customWidth="1" style="89" min="13314" max="13314"/>
    <col width="11.6328125" customWidth="1" style="89" min="13315" max="13316"/>
    <col width="12.6328125" customWidth="1" style="89" min="13317" max="13317"/>
    <col width="10.6328125" customWidth="1" style="89" min="13318" max="13318"/>
    <col width="11.6328125" customWidth="1" style="89" min="13319" max="13320"/>
    <col width="10.6328125" customWidth="1" style="89" min="13321" max="13321"/>
    <col width="12.6328125" customWidth="1" style="89" min="13322" max="13322"/>
    <col width="9.1796875" customWidth="1" style="89" min="13323" max="13568"/>
    <col width="12.6328125" customWidth="1" style="89" min="13569" max="13569"/>
    <col width="15.6328125" customWidth="1" style="89" min="13570" max="13570"/>
    <col width="11.6328125" customWidth="1" style="89" min="13571" max="13572"/>
    <col width="12.6328125" customWidth="1" style="89" min="13573" max="13573"/>
    <col width="10.6328125" customWidth="1" style="89" min="13574" max="13574"/>
    <col width="11.6328125" customWidth="1" style="89" min="13575" max="13576"/>
    <col width="10.6328125" customWidth="1" style="89" min="13577" max="13577"/>
    <col width="12.6328125" customWidth="1" style="89" min="13578" max="13578"/>
    <col width="9.1796875" customWidth="1" style="89" min="13579" max="13824"/>
    <col width="12.6328125" customWidth="1" style="89" min="13825" max="13825"/>
    <col width="15.6328125" customWidth="1" style="89" min="13826" max="13826"/>
    <col width="11.6328125" customWidth="1" style="89" min="13827" max="13828"/>
    <col width="12.6328125" customWidth="1" style="89" min="13829" max="13829"/>
    <col width="10.6328125" customWidth="1" style="89" min="13830" max="13830"/>
    <col width="11.6328125" customWidth="1" style="89" min="13831" max="13832"/>
    <col width="10.6328125" customWidth="1" style="89" min="13833" max="13833"/>
    <col width="12.6328125" customWidth="1" style="89" min="13834" max="13834"/>
    <col width="9.1796875" customWidth="1" style="89" min="13835" max="14080"/>
    <col width="12.6328125" customWidth="1" style="89" min="14081" max="14081"/>
    <col width="15.6328125" customWidth="1" style="89" min="14082" max="14082"/>
    <col width="11.6328125" customWidth="1" style="89" min="14083" max="14084"/>
    <col width="12.6328125" customWidth="1" style="89" min="14085" max="14085"/>
    <col width="10.6328125" customWidth="1" style="89" min="14086" max="14086"/>
    <col width="11.6328125" customWidth="1" style="89" min="14087" max="14088"/>
    <col width="10.6328125" customWidth="1" style="89" min="14089" max="14089"/>
    <col width="12.6328125" customWidth="1" style="89" min="14090" max="14090"/>
    <col width="9.1796875" customWidth="1" style="89" min="14091" max="14336"/>
    <col width="12.6328125" customWidth="1" style="89" min="14337" max="14337"/>
    <col width="15.6328125" customWidth="1" style="89" min="14338" max="14338"/>
    <col width="11.6328125" customWidth="1" style="89" min="14339" max="14340"/>
    <col width="12.6328125" customWidth="1" style="89" min="14341" max="14341"/>
    <col width="10.6328125" customWidth="1" style="89" min="14342" max="14342"/>
    <col width="11.6328125" customWidth="1" style="89" min="14343" max="14344"/>
    <col width="10.6328125" customWidth="1" style="89" min="14345" max="14345"/>
    <col width="12.6328125" customWidth="1" style="89" min="14346" max="14346"/>
    <col width="9.1796875" customWidth="1" style="89" min="14347" max="14592"/>
    <col width="12.6328125" customWidth="1" style="89" min="14593" max="14593"/>
    <col width="15.6328125" customWidth="1" style="89" min="14594" max="14594"/>
    <col width="11.6328125" customWidth="1" style="89" min="14595" max="14596"/>
    <col width="12.6328125" customWidth="1" style="89" min="14597" max="14597"/>
    <col width="10.6328125" customWidth="1" style="89" min="14598" max="14598"/>
    <col width="11.6328125" customWidth="1" style="89" min="14599" max="14600"/>
    <col width="10.6328125" customWidth="1" style="89" min="14601" max="14601"/>
    <col width="12.6328125" customWidth="1" style="89" min="14602" max="14602"/>
    <col width="9.1796875" customWidth="1" style="89" min="14603" max="14848"/>
    <col width="12.6328125" customWidth="1" style="89" min="14849" max="14849"/>
    <col width="15.6328125" customWidth="1" style="89" min="14850" max="14850"/>
    <col width="11.6328125" customWidth="1" style="89" min="14851" max="14852"/>
    <col width="12.6328125" customWidth="1" style="89" min="14853" max="14853"/>
    <col width="10.6328125" customWidth="1" style="89" min="14854" max="14854"/>
    <col width="11.6328125" customWidth="1" style="89" min="14855" max="14856"/>
    <col width="10.6328125" customWidth="1" style="89" min="14857" max="14857"/>
    <col width="12.6328125" customWidth="1" style="89" min="14858" max="14858"/>
    <col width="9.1796875" customWidth="1" style="89" min="14859" max="15104"/>
    <col width="12.6328125" customWidth="1" style="89" min="15105" max="15105"/>
    <col width="15.6328125" customWidth="1" style="89" min="15106" max="15106"/>
    <col width="11.6328125" customWidth="1" style="89" min="15107" max="15108"/>
    <col width="12.6328125" customWidth="1" style="89" min="15109" max="15109"/>
    <col width="10.6328125" customWidth="1" style="89" min="15110" max="15110"/>
    <col width="11.6328125" customWidth="1" style="89" min="15111" max="15112"/>
    <col width="10.6328125" customWidth="1" style="89" min="15113" max="15113"/>
    <col width="12.6328125" customWidth="1" style="89" min="15114" max="15114"/>
    <col width="9.1796875" customWidth="1" style="89" min="15115" max="15360"/>
    <col width="12.6328125" customWidth="1" style="89" min="15361" max="15361"/>
    <col width="15.6328125" customWidth="1" style="89" min="15362" max="15362"/>
    <col width="11.6328125" customWidth="1" style="89" min="15363" max="15364"/>
    <col width="12.6328125" customWidth="1" style="89" min="15365" max="15365"/>
    <col width="10.6328125" customWidth="1" style="89" min="15366" max="15366"/>
    <col width="11.6328125" customWidth="1" style="89" min="15367" max="15368"/>
    <col width="10.6328125" customWidth="1" style="89" min="15369" max="15369"/>
    <col width="12.6328125" customWidth="1" style="89" min="15370" max="15370"/>
    <col width="9.1796875" customWidth="1" style="89" min="15371" max="15616"/>
    <col width="12.6328125" customWidth="1" style="89" min="15617" max="15617"/>
    <col width="15.6328125" customWidth="1" style="89" min="15618" max="15618"/>
    <col width="11.6328125" customWidth="1" style="89" min="15619" max="15620"/>
    <col width="12.6328125" customWidth="1" style="89" min="15621" max="15621"/>
    <col width="10.6328125" customWidth="1" style="89" min="15622" max="15622"/>
    <col width="11.6328125" customWidth="1" style="89" min="15623" max="15624"/>
    <col width="10.6328125" customWidth="1" style="89" min="15625" max="15625"/>
    <col width="12.6328125" customWidth="1" style="89" min="15626" max="15626"/>
    <col width="9.1796875" customWidth="1" style="89" min="15627" max="15872"/>
    <col width="12.6328125" customWidth="1" style="89" min="15873" max="15873"/>
    <col width="15.6328125" customWidth="1" style="89" min="15874" max="15874"/>
    <col width="11.6328125" customWidth="1" style="89" min="15875" max="15876"/>
    <col width="12.6328125" customWidth="1" style="89" min="15877" max="15877"/>
    <col width="10.6328125" customWidth="1" style="89" min="15878" max="15878"/>
    <col width="11.6328125" customWidth="1" style="89" min="15879" max="15880"/>
    <col width="10.6328125" customWidth="1" style="89" min="15881" max="15881"/>
    <col width="12.6328125" customWidth="1" style="89" min="15882" max="15882"/>
    <col width="9.1796875" customWidth="1" style="89" min="15883" max="16128"/>
    <col width="12.6328125" customWidth="1" style="89" min="16129" max="16129"/>
    <col width="15.6328125" customWidth="1" style="89" min="16130" max="16130"/>
    <col width="11.6328125" customWidth="1" style="89" min="16131" max="16132"/>
    <col width="12.6328125" customWidth="1" style="89" min="16133" max="16133"/>
    <col width="10.6328125" customWidth="1" style="89" min="16134" max="16134"/>
    <col width="11.6328125" customWidth="1" style="89" min="16135" max="16136"/>
    <col width="10.6328125" customWidth="1" style="89" min="16137" max="16137"/>
    <col width="12.6328125" customWidth="1" style="89" min="16138" max="16138"/>
    <col width="9.1796875" customWidth="1" style="89" min="16139" max="16384"/>
  </cols>
  <sheetData>
    <row r="1">
      <c r="A1" t="inlineStr">
        <is>
          <t>DATE</t>
        </is>
      </c>
      <c r="B1" t="inlineStr">
        <is>
          <t>A072RC1Q156SBEA</t>
        </is>
      </c>
      <c r="C1" t="inlineStr">
        <is>
          <t>DPCCRV1Q225SBEA</t>
        </is>
      </c>
      <c r="D1" t="inlineStr">
        <is>
          <t>EXPGSC1</t>
        </is>
      </c>
      <c r="E1" t="inlineStr">
        <is>
          <t>GCEC1</t>
        </is>
      </c>
      <c r="F1" t="inlineStr">
        <is>
          <t>GDPC1</t>
        </is>
      </c>
      <c r="G1" t="inlineStr">
        <is>
          <t>GDPCTPI</t>
        </is>
      </c>
      <c r="H1" t="inlineStr">
        <is>
          <t>GPDIC1</t>
        </is>
      </c>
      <c r="I1" t="inlineStr">
        <is>
          <t>IMPGSC1</t>
        </is>
      </c>
      <c r="J1" t="inlineStr">
        <is>
          <t>JCXFE</t>
        </is>
      </c>
      <c r="K1" t="inlineStr">
        <is>
          <t>PCECC96</t>
        </is>
      </c>
    </row>
    <row r="2">
      <c r="A2" s="93" t="n">
        <v>17168</v>
      </c>
      <c r="B2" t="n">
        <v>7.4</v>
      </c>
      <c r="C2" t="n">
        <v/>
      </c>
      <c r="D2" t="n">
        <v>97.63</v>
      </c>
      <c r="E2" t="n">
        <v>524.026</v>
      </c>
      <c r="F2" t="n">
        <v>2034.45</v>
      </c>
      <c r="G2" t="n">
        <v>11.961</v>
      </c>
      <c r="H2" t="n">
        <v>218.091</v>
      </c>
      <c r="I2" t="n">
        <v>60.396</v>
      </c>
      <c r="J2" t="n">
        <v/>
      </c>
      <c r="K2" t="n">
        <v>1277.44</v>
      </c>
    </row>
    <row r="3">
      <c r="A3" s="93" t="n">
        <v>17258</v>
      </c>
      <c r="B3" t="n">
        <v>5</v>
      </c>
      <c r="C3" t="n">
        <v/>
      </c>
      <c r="D3" t="n">
        <v>96.399</v>
      </c>
      <c r="E3" t="n">
        <v>523.583</v>
      </c>
      <c r="F3" t="n">
        <v>2029.024</v>
      </c>
      <c r="G3" t="n">
        <v>12.124</v>
      </c>
      <c r="H3" t="n">
        <v>201.386</v>
      </c>
      <c r="I3" t="n">
        <v>61.559</v>
      </c>
      <c r="J3" t="n">
        <v/>
      </c>
      <c r="K3" t="n">
        <v>1298.692</v>
      </c>
    </row>
    <row r="4">
      <c r="A4" s="93" t="n">
        <v>17349</v>
      </c>
      <c r="B4" t="n">
        <v>7.1</v>
      </c>
      <c r="C4" t="n">
        <v/>
      </c>
      <c r="D4" t="n">
        <v>91.506</v>
      </c>
      <c r="E4" t="n">
        <v>523.477</v>
      </c>
      <c r="F4" t="n">
        <v>2024.834</v>
      </c>
      <c r="G4" t="n">
        <v>12.315</v>
      </c>
      <c r="H4" t="n">
        <v>195.461</v>
      </c>
      <c r="I4" t="n">
        <v>54.594</v>
      </c>
      <c r="J4" t="n">
        <v/>
      </c>
      <c r="K4" t="n">
        <v>1302.925</v>
      </c>
    </row>
    <row r="5">
      <c r="A5" s="93" t="n">
        <v>17441</v>
      </c>
      <c r="B5" t="n">
        <v>5.8</v>
      </c>
      <c r="C5" t="n">
        <v/>
      </c>
      <c r="D5" t="n">
        <v>81.139</v>
      </c>
      <c r="E5" t="n">
        <v>519.236</v>
      </c>
      <c r="F5" t="n">
        <v>2056.508</v>
      </c>
      <c r="G5" t="n">
        <v>12.569</v>
      </c>
      <c r="H5" t="n">
        <v>233.284</v>
      </c>
      <c r="I5" t="n">
        <v>57.538</v>
      </c>
      <c r="J5" t="n">
        <v/>
      </c>
      <c r="K5" t="n">
        <v>1303.34</v>
      </c>
    </row>
    <row r="6">
      <c r="A6" s="93" t="n">
        <v>17533</v>
      </c>
      <c r="B6" t="n">
        <v>6.9</v>
      </c>
      <c r="C6" t="n">
        <v/>
      </c>
      <c r="D6" t="n">
        <v>77.437</v>
      </c>
      <c r="E6" t="n">
        <v>526.97</v>
      </c>
      <c r="F6" t="n">
        <v>2087.442</v>
      </c>
      <c r="G6" t="n">
        <v>12.713</v>
      </c>
      <c r="H6" t="n">
        <v>257.22</v>
      </c>
      <c r="I6" t="n">
        <v>64.883</v>
      </c>
      <c r="J6" t="n">
        <v/>
      </c>
      <c r="K6" t="n">
        <v>1309.834</v>
      </c>
    </row>
    <row r="7">
      <c r="A7" s="93" t="n">
        <v>17624</v>
      </c>
      <c r="B7" t="n">
        <v>8.6</v>
      </c>
      <c r="C7" t="n">
        <v/>
      </c>
      <c r="D7" t="n">
        <v>70.19799999999999</v>
      </c>
      <c r="E7" t="n">
        <v>545.557</v>
      </c>
      <c r="F7" t="n">
        <v>2121.899</v>
      </c>
      <c r="G7" t="n">
        <v>12.864</v>
      </c>
      <c r="H7" t="n">
        <v>273.138</v>
      </c>
      <c r="I7" t="n">
        <v>67.455</v>
      </c>
      <c r="J7" t="n">
        <v/>
      </c>
      <c r="K7" t="n">
        <v>1325.075</v>
      </c>
    </row>
    <row r="8">
      <c r="A8" s="93" t="n">
        <v>17715</v>
      </c>
      <c r="B8" t="n">
        <v>10</v>
      </c>
      <c r="C8" t="n">
        <v/>
      </c>
      <c r="D8" t="n">
        <v>71.848</v>
      </c>
      <c r="E8" t="n">
        <v>556.9400000000001</v>
      </c>
      <c r="F8" t="n">
        <v>2134.056</v>
      </c>
      <c r="G8" t="n">
        <v>13.088</v>
      </c>
      <c r="H8" t="n">
        <v>275.936</v>
      </c>
      <c r="I8" t="n">
        <v>70.977</v>
      </c>
      <c r="J8" t="n">
        <v/>
      </c>
      <c r="K8" t="n">
        <v>1327.031</v>
      </c>
    </row>
    <row r="9">
      <c r="A9" s="93" t="n">
        <v>17807</v>
      </c>
      <c r="B9" t="n">
        <v>9.699999999999999</v>
      </c>
      <c r="C9" t="n">
        <v/>
      </c>
      <c r="D9" t="n">
        <v>69.316</v>
      </c>
      <c r="E9" t="n">
        <v>577.453</v>
      </c>
      <c r="F9" t="n">
        <v>2136.44</v>
      </c>
      <c r="G9" t="n">
        <v>13.083</v>
      </c>
      <c r="H9" t="n">
        <v>262.741</v>
      </c>
      <c r="I9" t="n">
        <v>69.82599999999999</v>
      </c>
      <c r="J9" t="n">
        <v/>
      </c>
      <c r="K9" t="n">
        <v>1337.622</v>
      </c>
    </row>
    <row r="10">
      <c r="A10" s="93" t="n">
        <v>17899</v>
      </c>
      <c r="B10" t="n">
        <v>7.8</v>
      </c>
      <c r="C10" t="n">
        <v/>
      </c>
      <c r="D10" t="n">
        <v>77.61199999999999</v>
      </c>
      <c r="E10" t="n">
        <v>592.769</v>
      </c>
      <c r="F10" t="n">
        <v>2107.001</v>
      </c>
      <c r="G10" t="n">
        <v>13.041</v>
      </c>
      <c r="H10" t="n">
        <v>223.507</v>
      </c>
      <c r="I10" t="n">
        <v>67.73099999999999</v>
      </c>
      <c r="J10" t="n">
        <v/>
      </c>
      <c r="K10" t="n">
        <v>1339.787</v>
      </c>
    </row>
    <row r="11">
      <c r="A11" s="93" t="n">
        <v>17989</v>
      </c>
      <c r="B11" t="n">
        <v>6.8</v>
      </c>
      <c r="C11" t="n">
        <v/>
      </c>
      <c r="D11" t="n">
        <v>76.947</v>
      </c>
      <c r="E11" t="n">
        <v>618.527</v>
      </c>
      <c r="F11" t="n">
        <v>2099.814</v>
      </c>
      <c r="G11" t="n">
        <v>12.96</v>
      </c>
      <c r="H11" t="n">
        <v>193.795</v>
      </c>
      <c r="I11" t="n">
        <v>66.74299999999999</v>
      </c>
      <c r="J11" t="n">
        <v/>
      </c>
      <c r="K11" t="n">
        <v>1360.322</v>
      </c>
    </row>
    <row r="12">
      <c r="A12" s="93" t="n">
        <v>18080</v>
      </c>
      <c r="B12" t="n">
        <v>7.2</v>
      </c>
      <c r="C12" t="n">
        <v/>
      </c>
      <c r="D12" t="n">
        <v>70.52</v>
      </c>
      <c r="E12" t="n">
        <v>621.789</v>
      </c>
      <c r="F12" t="n">
        <v>2121.493</v>
      </c>
      <c r="G12" t="n">
        <v>12.867</v>
      </c>
      <c r="H12" t="n">
        <v>209.862</v>
      </c>
      <c r="I12" t="n">
        <v>64.023</v>
      </c>
      <c r="J12" t="n">
        <v/>
      </c>
      <c r="K12" t="n">
        <v>1363.407</v>
      </c>
    </row>
    <row r="13">
      <c r="A13" s="93" t="n">
        <v>18172</v>
      </c>
      <c r="B13" t="n">
        <v>6.3</v>
      </c>
      <c r="C13" t="n">
        <v/>
      </c>
      <c r="D13" t="n">
        <v>61.047</v>
      </c>
      <c r="E13" t="n">
        <v>610.904</v>
      </c>
      <c r="F13" t="n">
        <v>2103.688</v>
      </c>
      <c r="G13" t="n">
        <v>12.864</v>
      </c>
      <c r="H13" t="n">
        <v>199.54</v>
      </c>
      <c r="I13" t="n">
        <v>64.98699999999999</v>
      </c>
      <c r="J13" t="n">
        <v/>
      </c>
      <c r="K13" t="n">
        <v>1383.396</v>
      </c>
    </row>
    <row r="14">
      <c r="A14" s="93" t="n">
        <v>18264</v>
      </c>
      <c r="B14" t="n">
        <v>11.5</v>
      </c>
      <c r="C14" t="n">
        <v/>
      </c>
      <c r="D14" t="n">
        <v>60.041</v>
      </c>
      <c r="E14" t="n">
        <v>599.569</v>
      </c>
      <c r="F14" t="n">
        <v>2186.365</v>
      </c>
      <c r="G14" t="n">
        <v>12.828</v>
      </c>
      <c r="H14" t="n">
        <v>246.911</v>
      </c>
      <c r="I14" t="n">
        <v>66.803</v>
      </c>
      <c r="J14" t="n">
        <v/>
      </c>
      <c r="K14" t="n">
        <v>1406.429</v>
      </c>
    </row>
    <row r="15">
      <c r="A15" s="93" t="n">
        <v>18354</v>
      </c>
      <c r="B15" t="n">
        <v>9.800000000000001</v>
      </c>
      <c r="C15" t="n">
        <v/>
      </c>
      <c r="D15" t="n">
        <v>60.766</v>
      </c>
      <c r="E15" t="n">
        <v>610.519</v>
      </c>
      <c r="F15" t="n">
        <v>2253.045</v>
      </c>
      <c r="G15" t="n">
        <v>12.882</v>
      </c>
      <c r="H15" t="n">
        <v>273.335</v>
      </c>
      <c r="I15" t="n">
        <v>70.48999999999999</v>
      </c>
      <c r="J15" t="n">
        <v/>
      </c>
      <c r="K15" t="n">
        <v>1429.591</v>
      </c>
    </row>
    <row r="16">
      <c r="A16" s="93" t="n">
        <v>18445</v>
      </c>
      <c r="B16" t="n">
        <v>6.3</v>
      </c>
      <c r="C16" t="n">
        <v/>
      </c>
      <c r="D16" t="n">
        <v>62.342</v>
      </c>
      <c r="E16" t="n">
        <v>600.663</v>
      </c>
      <c r="F16" t="n">
        <v>2340.112</v>
      </c>
      <c r="G16" t="n">
        <v>13.15</v>
      </c>
      <c r="H16" t="n">
        <v>296.831</v>
      </c>
      <c r="I16" t="n">
        <v>86.986</v>
      </c>
      <c r="J16" t="n">
        <v/>
      </c>
      <c r="K16" t="n">
        <v>1503.003</v>
      </c>
    </row>
    <row r="17">
      <c r="A17" s="93" t="n">
        <v>18537</v>
      </c>
      <c r="B17" t="n">
        <v>9.699999999999999</v>
      </c>
      <c r="C17" t="n">
        <v/>
      </c>
      <c r="D17" t="n">
        <v>67.395</v>
      </c>
      <c r="E17" t="n">
        <v>643.1</v>
      </c>
      <c r="F17" t="n">
        <v>2384.92</v>
      </c>
      <c r="G17" t="n">
        <v>13.36</v>
      </c>
      <c r="H17" t="n">
        <v>334.548</v>
      </c>
      <c r="I17" t="n">
        <v>87.149</v>
      </c>
      <c r="J17" t="n">
        <v/>
      </c>
      <c r="K17" t="n">
        <v>1457.694</v>
      </c>
    </row>
    <row r="18">
      <c r="A18" s="93" t="n">
        <v>18629</v>
      </c>
      <c r="B18" t="n">
        <v>7.6</v>
      </c>
      <c r="C18" t="n">
        <v/>
      </c>
      <c r="D18" t="n">
        <v>70.76300000000001</v>
      </c>
      <c r="E18" t="n">
        <v>711.537</v>
      </c>
      <c r="F18" t="n">
        <v>2417.311</v>
      </c>
      <c r="G18" t="n">
        <v>13.812</v>
      </c>
      <c r="H18" t="n">
        <v>300.363</v>
      </c>
      <c r="I18" t="n">
        <v>87.154</v>
      </c>
      <c r="J18" t="n">
        <v/>
      </c>
      <c r="K18" t="n">
        <v>1492.942</v>
      </c>
    </row>
    <row r="19">
      <c r="A19" s="93" t="n">
        <v>18719</v>
      </c>
      <c r="B19" t="n">
        <v>12.2</v>
      </c>
      <c r="C19" t="n">
        <v/>
      </c>
      <c r="D19" t="n">
        <v>77.727</v>
      </c>
      <c r="E19" t="n">
        <v>806.376</v>
      </c>
      <c r="F19" t="n">
        <v>2459.196</v>
      </c>
      <c r="G19" t="n">
        <v>13.892</v>
      </c>
      <c r="H19" t="n">
        <v>307.326</v>
      </c>
      <c r="I19" t="n">
        <v>84.26600000000001</v>
      </c>
      <c r="J19" t="n">
        <v/>
      </c>
      <c r="K19" t="n">
        <v>1450.753</v>
      </c>
    </row>
    <row r="20">
      <c r="A20" s="93" t="n">
        <v>18810</v>
      </c>
      <c r="B20" t="n">
        <v>12.2</v>
      </c>
      <c r="C20" t="n">
        <v/>
      </c>
      <c r="D20" t="n">
        <v>79.636</v>
      </c>
      <c r="E20" t="n">
        <v>895.015</v>
      </c>
      <c r="F20" t="n">
        <v>2509.88</v>
      </c>
      <c r="G20" t="n">
        <v>13.937</v>
      </c>
      <c r="H20" t="n">
        <v>284.697</v>
      </c>
      <c r="I20" t="n">
        <v>77.13</v>
      </c>
      <c r="J20" t="n">
        <v/>
      </c>
      <c r="K20" t="n">
        <v>1467.654</v>
      </c>
    </row>
    <row r="21">
      <c r="A21" s="93" t="n">
        <v>18902</v>
      </c>
      <c r="B21" t="n">
        <v>11.5</v>
      </c>
      <c r="C21" t="n">
        <v/>
      </c>
      <c r="D21" t="n">
        <v>78.889</v>
      </c>
      <c r="E21" t="n">
        <v>942.35</v>
      </c>
      <c r="F21" t="n">
        <v>2515.408</v>
      </c>
      <c r="G21" t="n">
        <v>14.12</v>
      </c>
      <c r="H21" t="n">
        <v>262.013</v>
      </c>
      <c r="I21" t="n">
        <v>75.113</v>
      </c>
      <c r="J21" t="n">
        <v/>
      </c>
      <c r="K21" t="n">
        <v>1476.205</v>
      </c>
    </row>
    <row r="22">
      <c r="A22" s="93" t="n">
        <v>18994</v>
      </c>
      <c r="B22" t="n">
        <v>11.2</v>
      </c>
      <c r="C22" t="n">
        <v/>
      </c>
      <c r="D22" t="n">
        <v>83.08799999999999</v>
      </c>
      <c r="E22" t="n">
        <v>970.394</v>
      </c>
      <c r="F22" t="n">
        <v>2542.286</v>
      </c>
      <c r="G22" t="n">
        <v>14.137</v>
      </c>
      <c r="H22" t="n">
        <v>268.85</v>
      </c>
      <c r="I22" t="n">
        <v>83.828</v>
      </c>
      <c r="J22" t="n">
        <v/>
      </c>
      <c r="K22" t="n">
        <v>1479.625</v>
      </c>
    </row>
    <row r="23">
      <c r="A23" s="93" t="n">
        <v>19085</v>
      </c>
      <c r="B23" t="n">
        <v>10.6</v>
      </c>
      <c r="C23" t="n">
        <v/>
      </c>
      <c r="D23" t="n">
        <v>73.95399999999999</v>
      </c>
      <c r="E23" t="n">
        <v>1003.463</v>
      </c>
      <c r="F23" t="n">
        <v>2547.762</v>
      </c>
      <c r="G23" t="n">
        <v>14.192</v>
      </c>
      <c r="H23" t="n">
        <v>248.58</v>
      </c>
      <c r="I23" t="n">
        <v>83.39400000000001</v>
      </c>
      <c r="J23" t="n">
        <v/>
      </c>
      <c r="K23" t="n">
        <v>1508.601</v>
      </c>
    </row>
    <row r="24">
      <c r="A24" s="93" t="n">
        <v>19176</v>
      </c>
      <c r="B24" t="n">
        <v>11.9</v>
      </c>
      <c r="C24" t="n">
        <v/>
      </c>
      <c r="D24" t="n">
        <v>68.114</v>
      </c>
      <c r="E24" t="n">
        <v>1013.614</v>
      </c>
      <c r="F24" t="n">
        <v>2566.153</v>
      </c>
      <c r="G24" t="n">
        <v>14.299</v>
      </c>
      <c r="H24" t="n">
        <v>261.906</v>
      </c>
      <c r="I24" t="n">
        <v>88.497</v>
      </c>
      <c r="J24" t="n">
        <v/>
      </c>
      <c r="K24" t="n">
        <v>1515.837</v>
      </c>
    </row>
    <row r="25">
      <c r="A25" s="93" t="n">
        <v>19268</v>
      </c>
      <c r="B25" t="n">
        <v>10.7</v>
      </c>
      <c r="C25" t="n">
        <v/>
      </c>
      <c r="D25" t="n">
        <v>68.58</v>
      </c>
      <c r="E25" t="n">
        <v>1030.52</v>
      </c>
      <c r="F25" t="n">
        <v>2650.431</v>
      </c>
      <c r="G25" t="n">
        <v>14.349</v>
      </c>
      <c r="H25" t="n">
        <v>280.772</v>
      </c>
      <c r="I25" t="n">
        <v>96.431</v>
      </c>
      <c r="J25" t="n">
        <v/>
      </c>
      <c r="K25" t="n">
        <v>1569.313</v>
      </c>
    </row>
    <row r="26">
      <c r="A26" s="93" t="n">
        <v>19360</v>
      </c>
      <c r="B26" t="n">
        <v>10.6</v>
      </c>
      <c r="C26" t="n">
        <v/>
      </c>
      <c r="D26" t="n">
        <v>67.42</v>
      </c>
      <c r="E26" t="n">
        <v>1063.166</v>
      </c>
      <c r="F26" t="n">
        <v>2699.699</v>
      </c>
      <c r="G26" t="n">
        <v>14.363</v>
      </c>
      <c r="H26" t="n">
        <v>286.813</v>
      </c>
      <c r="I26" t="n">
        <v>94.054</v>
      </c>
      <c r="J26" t="n">
        <v/>
      </c>
      <c r="K26" t="n">
        <v>1587.743</v>
      </c>
    </row>
    <row r="27">
      <c r="A27" s="93" t="n">
        <v>19450</v>
      </c>
      <c r="B27" t="n">
        <v>11.2</v>
      </c>
      <c r="C27" t="n">
        <v/>
      </c>
      <c r="D27" t="n">
        <v>67.84</v>
      </c>
      <c r="E27" t="n">
        <v>1084.966</v>
      </c>
      <c r="F27" t="n">
        <v>2720.566</v>
      </c>
      <c r="G27" t="n">
        <v>14.397</v>
      </c>
      <c r="H27" t="n">
        <v>288.445</v>
      </c>
      <c r="I27" t="n">
        <v>98.932</v>
      </c>
      <c r="J27" t="n">
        <v/>
      </c>
      <c r="K27" t="n">
        <v>1597.302</v>
      </c>
    </row>
    <row r="28">
      <c r="A28" s="93" t="n">
        <v>19541</v>
      </c>
      <c r="B28" t="n">
        <v>10.9</v>
      </c>
      <c r="C28" t="n">
        <v/>
      </c>
      <c r="D28" t="n">
        <v>70.56</v>
      </c>
      <c r="E28" t="n">
        <v>1073.448</v>
      </c>
      <c r="F28" t="n">
        <v>2705.258</v>
      </c>
      <c r="G28" t="n">
        <v>14.451</v>
      </c>
      <c r="H28" t="n">
        <v>282.411</v>
      </c>
      <c r="I28" t="n">
        <v>98.55500000000001</v>
      </c>
      <c r="J28" t="n">
        <v/>
      </c>
      <c r="K28" t="n">
        <v>1593.497</v>
      </c>
    </row>
    <row r="29">
      <c r="A29" s="93" t="n">
        <v>19633</v>
      </c>
      <c r="B29" t="n">
        <v>11.2</v>
      </c>
      <c r="C29" t="n">
        <v/>
      </c>
      <c r="D29" t="n">
        <v>68.23399999999999</v>
      </c>
      <c r="E29" t="n">
        <v>1070.774</v>
      </c>
      <c r="F29" t="n">
        <v>2664.302</v>
      </c>
      <c r="G29" t="n">
        <v>14.494</v>
      </c>
      <c r="H29" t="n">
        <v>262.005</v>
      </c>
      <c r="I29" t="n">
        <v>93.70699999999999</v>
      </c>
      <c r="J29" t="n">
        <v/>
      </c>
      <c r="K29" t="n">
        <v>1582.812</v>
      </c>
    </row>
    <row r="30">
      <c r="A30" s="93" t="n">
        <v>19725</v>
      </c>
      <c r="B30" t="n">
        <v>11.3</v>
      </c>
      <c r="C30" t="n">
        <v/>
      </c>
      <c r="D30" t="n">
        <v>65.17400000000001</v>
      </c>
      <c r="E30" t="n">
        <v>1042.939</v>
      </c>
      <c r="F30" t="n">
        <v>2651.566</v>
      </c>
      <c r="G30" t="n">
        <v>14.555</v>
      </c>
      <c r="H30" t="n">
        <v>260.127</v>
      </c>
      <c r="I30" t="n">
        <v>88.29600000000001</v>
      </c>
      <c r="J30" t="n">
        <v/>
      </c>
      <c r="K30" t="n">
        <v>1588.65</v>
      </c>
    </row>
    <row r="31">
      <c r="A31" s="93" t="n">
        <v>19815</v>
      </c>
      <c r="B31" t="n">
        <v>10.3</v>
      </c>
      <c r="C31" t="n">
        <v/>
      </c>
      <c r="D31" t="n">
        <v>74.538</v>
      </c>
      <c r="E31" t="n">
        <v>1007.623</v>
      </c>
      <c r="F31" t="n">
        <v>2654.456</v>
      </c>
      <c r="G31" t="n">
        <v>14.582</v>
      </c>
      <c r="H31" t="n">
        <v>259.513</v>
      </c>
      <c r="I31" t="n">
        <v>96.23699999999999</v>
      </c>
      <c r="J31" t="n">
        <v/>
      </c>
      <c r="K31" t="n">
        <v>1609.28</v>
      </c>
    </row>
    <row r="32">
      <c r="A32" s="93" t="n">
        <v>19906</v>
      </c>
      <c r="B32" t="n">
        <v>9.9</v>
      </c>
      <c r="C32" t="n">
        <v/>
      </c>
      <c r="D32" t="n">
        <v>72.143</v>
      </c>
      <c r="E32" t="n">
        <v>985.832</v>
      </c>
      <c r="F32" t="n">
        <v>2684.434</v>
      </c>
      <c r="G32" t="n">
        <v>14.569</v>
      </c>
      <c r="H32" t="n">
        <v>272.037</v>
      </c>
      <c r="I32" t="n">
        <v>90.432</v>
      </c>
      <c r="J32" t="n">
        <v/>
      </c>
      <c r="K32" t="n">
        <v>1631.059</v>
      </c>
    </row>
    <row r="33">
      <c r="A33" s="93" t="n">
        <v>19998</v>
      </c>
      <c r="B33" t="n">
        <v>9.9</v>
      </c>
      <c r="C33" t="n">
        <v/>
      </c>
      <c r="D33" t="n">
        <v>75.465</v>
      </c>
      <c r="E33" t="n">
        <v>979.897</v>
      </c>
      <c r="F33" t="n">
        <v>2736.96</v>
      </c>
      <c r="G33" t="n">
        <v>14.588</v>
      </c>
      <c r="H33" t="n">
        <v>283.968</v>
      </c>
      <c r="I33" t="n">
        <v>91.29000000000001</v>
      </c>
      <c r="J33" t="n">
        <v/>
      </c>
      <c r="K33" t="n">
        <v>1665.291</v>
      </c>
    </row>
    <row r="34">
      <c r="A34" s="93" t="n">
        <v>20090</v>
      </c>
      <c r="B34" t="n">
        <v>9.300000000000001</v>
      </c>
      <c r="C34" t="n">
        <v/>
      </c>
      <c r="D34" t="n">
        <v>78.26900000000001</v>
      </c>
      <c r="E34" t="n">
        <v>980.472</v>
      </c>
      <c r="F34" t="n">
        <v>2815.134</v>
      </c>
      <c r="G34" t="n">
        <v>14.643</v>
      </c>
      <c r="H34" t="n">
        <v>312.337</v>
      </c>
      <c r="I34" t="n">
        <v>96.684</v>
      </c>
      <c r="J34" t="n">
        <v/>
      </c>
      <c r="K34" t="n">
        <v>1702.656</v>
      </c>
    </row>
    <row r="35">
      <c r="A35" s="93" t="n">
        <v>20180</v>
      </c>
      <c r="B35" t="n">
        <v>9.5</v>
      </c>
      <c r="C35" t="n">
        <v/>
      </c>
      <c r="D35" t="n">
        <v>76.444</v>
      </c>
      <c r="E35" t="n">
        <v>970.852</v>
      </c>
      <c r="F35" t="n">
        <v>2860.942</v>
      </c>
      <c r="G35" t="n">
        <v>14.725</v>
      </c>
      <c r="H35" t="n">
        <v>331.333</v>
      </c>
      <c r="I35" t="n">
        <v>102.167</v>
      </c>
      <c r="J35" t="n">
        <v/>
      </c>
      <c r="K35" t="n">
        <v>1735.274</v>
      </c>
    </row>
    <row r="36">
      <c r="A36" s="93" t="n">
        <v>20271</v>
      </c>
      <c r="B36" t="n">
        <v>10</v>
      </c>
      <c r="C36" t="n">
        <v/>
      </c>
      <c r="D36" t="n">
        <v>81.461</v>
      </c>
      <c r="E36" t="n">
        <v>977.063</v>
      </c>
      <c r="F36" t="n">
        <v>2899.578</v>
      </c>
      <c r="G36" t="n">
        <v>14.826</v>
      </c>
      <c r="H36" t="n">
        <v>336.418</v>
      </c>
      <c r="I36" t="n">
        <v>103.886</v>
      </c>
      <c r="J36" t="n">
        <v/>
      </c>
      <c r="K36" t="n">
        <v>1756.707</v>
      </c>
    </row>
    <row r="37">
      <c r="A37" s="93" t="n">
        <v>20363</v>
      </c>
      <c r="B37" t="n">
        <v>9.9</v>
      </c>
      <c r="C37" t="n">
        <v/>
      </c>
      <c r="D37" t="n">
        <v>81.82899999999999</v>
      </c>
      <c r="E37" t="n">
        <v>957.677</v>
      </c>
      <c r="F37" t="n">
        <v>2916.985</v>
      </c>
      <c r="G37" t="n">
        <v>14.924</v>
      </c>
      <c r="H37" t="n">
        <v>344.218</v>
      </c>
      <c r="I37" t="n">
        <v>107.65</v>
      </c>
      <c r="J37" t="n">
        <v/>
      </c>
      <c r="K37" t="n">
        <v>1778.767</v>
      </c>
    </row>
    <row r="38">
      <c r="A38" s="93" t="n">
        <v>20455</v>
      </c>
      <c r="B38" t="n">
        <v>10.6</v>
      </c>
      <c r="C38" t="n">
        <v/>
      </c>
      <c r="D38" t="n">
        <v>85.71299999999999</v>
      </c>
      <c r="E38" t="n">
        <v>957.429</v>
      </c>
      <c r="F38" t="n">
        <v>2905.656</v>
      </c>
      <c r="G38" t="n">
        <v>15.071</v>
      </c>
      <c r="H38" t="n">
        <v>334.39</v>
      </c>
      <c r="I38" t="n">
        <v>112.169</v>
      </c>
      <c r="J38" t="n">
        <v/>
      </c>
      <c r="K38" t="n">
        <v>1781.657</v>
      </c>
    </row>
    <row r="39">
      <c r="A39" s="93" t="n">
        <v>20546</v>
      </c>
      <c r="B39" t="n">
        <v>11.1</v>
      </c>
      <c r="C39" t="n">
        <v/>
      </c>
      <c r="D39" t="n">
        <v>91.488</v>
      </c>
      <c r="E39" t="n">
        <v>976.761</v>
      </c>
      <c r="F39" t="n">
        <v>2929.666</v>
      </c>
      <c r="G39" t="n">
        <v>15.214</v>
      </c>
      <c r="H39" t="n">
        <v>331.759</v>
      </c>
      <c r="I39" t="n">
        <v>111.585</v>
      </c>
      <c r="J39" t="n">
        <v/>
      </c>
      <c r="K39" t="n">
        <v>1787.583</v>
      </c>
    </row>
    <row r="40">
      <c r="A40" s="93" t="n">
        <v>20637</v>
      </c>
      <c r="B40" t="n">
        <v>11.3</v>
      </c>
      <c r="C40" t="n">
        <v/>
      </c>
      <c r="D40" t="n">
        <v>94.532</v>
      </c>
      <c r="E40" t="n">
        <v>968.179</v>
      </c>
      <c r="F40" t="n">
        <v>2927.034</v>
      </c>
      <c r="G40" t="n">
        <v>15.381</v>
      </c>
      <c r="H40" t="n">
        <v>328.788</v>
      </c>
      <c r="I40" t="n">
        <v>112.555</v>
      </c>
      <c r="J40" t="n">
        <v/>
      </c>
      <c r="K40" t="n">
        <v>1791.625</v>
      </c>
    </row>
    <row r="41">
      <c r="A41" s="93" t="n">
        <v>20729</v>
      </c>
      <c r="B41" t="n">
        <v>11.5</v>
      </c>
      <c r="C41" t="n">
        <v/>
      </c>
      <c r="D41" t="n">
        <v>98.76900000000001</v>
      </c>
      <c r="E41" t="n">
        <v>992.811</v>
      </c>
      <c r="F41" t="n">
        <v>2975.209</v>
      </c>
      <c r="G41" t="n">
        <v>15.476</v>
      </c>
      <c r="H41" t="n">
        <v>325.739</v>
      </c>
      <c r="I41" t="n">
        <v>107.392</v>
      </c>
      <c r="J41" t="n">
        <v/>
      </c>
      <c r="K41" t="n">
        <v>1816.324</v>
      </c>
    </row>
    <row r="42">
      <c r="A42" s="93" t="n">
        <v>20821</v>
      </c>
      <c r="B42" t="n">
        <v>11.1</v>
      </c>
      <c r="C42" t="n">
        <v/>
      </c>
      <c r="D42" t="n">
        <v>105.205</v>
      </c>
      <c r="E42" t="n">
        <v>1014.096</v>
      </c>
      <c r="F42" t="n">
        <v>2994.259</v>
      </c>
      <c r="G42" t="n">
        <v>15.653</v>
      </c>
      <c r="H42" t="n">
        <v>320.682</v>
      </c>
      <c r="I42" t="n">
        <v>115.936</v>
      </c>
      <c r="J42" t="n">
        <v/>
      </c>
      <c r="K42" t="n">
        <v>1828.956</v>
      </c>
    </row>
    <row r="43">
      <c r="A43" s="93" t="n">
        <v>20911</v>
      </c>
      <c r="B43" t="n">
        <v>11.6</v>
      </c>
      <c r="C43" t="n">
        <v/>
      </c>
      <c r="D43" t="n">
        <v>102.088</v>
      </c>
      <c r="E43" t="n">
        <v>1008.852</v>
      </c>
      <c r="F43" t="n">
        <v>2987.699</v>
      </c>
      <c r="G43" t="n">
        <v>15.764</v>
      </c>
      <c r="H43" t="n">
        <v>320.357</v>
      </c>
      <c r="I43" t="n">
        <v>116.84</v>
      </c>
      <c r="J43" t="n">
        <v/>
      </c>
      <c r="K43" t="n">
        <v>1832.145</v>
      </c>
    </row>
    <row r="44">
      <c r="A44" s="93" t="n">
        <v>21002</v>
      </c>
      <c r="B44" t="n">
        <v>11.4</v>
      </c>
      <c r="C44" t="n">
        <v/>
      </c>
      <c r="D44" t="n">
        <v>99.23399999999999</v>
      </c>
      <c r="E44" t="n">
        <v>1017.442</v>
      </c>
      <c r="F44" t="n">
        <v>3016.979</v>
      </c>
      <c r="G44" t="n">
        <v>15.885</v>
      </c>
      <c r="H44" t="n">
        <v>327.701</v>
      </c>
      <c r="I44" t="n">
        <v>114.584</v>
      </c>
      <c r="J44" t="n">
        <v/>
      </c>
      <c r="K44" t="n">
        <v>1846.623</v>
      </c>
    </row>
    <row r="45">
      <c r="A45" s="93" t="n">
        <v>21094</v>
      </c>
      <c r="B45" t="n">
        <v>10.7</v>
      </c>
      <c r="C45" t="n">
        <v/>
      </c>
      <c r="D45" t="n">
        <v>96.277</v>
      </c>
      <c r="E45" t="n">
        <v>1034.18</v>
      </c>
      <c r="F45" t="n">
        <v>2985.775</v>
      </c>
      <c r="G45" t="n">
        <v>15.978</v>
      </c>
      <c r="H45" t="n">
        <v>302.503</v>
      </c>
      <c r="I45" t="n">
        <v>114.971</v>
      </c>
      <c r="J45" t="n">
        <v/>
      </c>
      <c r="K45" t="n">
        <v>1847.391</v>
      </c>
    </row>
    <row r="46">
      <c r="A46" s="93" t="n">
        <v>21186</v>
      </c>
      <c r="B46" t="n">
        <v>11.2</v>
      </c>
      <c r="C46" t="n">
        <v/>
      </c>
      <c r="D46" t="n">
        <v>86.73399999999999</v>
      </c>
      <c r="E46" t="n">
        <v>1025.248</v>
      </c>
      <c r="F46" t="n">
        <v>2908.281</v>
      </c>
      <c r="G46" t="n">
        <v>16.112</v>
      </c>
      <c r="H46" t="n">
        <v>282.096</v>
      </c>
      <c r="I46" t="n">
        <v>116.672</v>
      </c>
      <c r="J46" t="n">
        <v/>
      </c>
      <c r="K46" t="n">
        <v>1821.834</v>
      </c>
    </row>
    <row r="47">
      <c r="A47" s="93" t="n">
        <v>21276</v>
      </c>
      <c r="B47" t="n">
        <v>11.1</v>
      </c>
      <c r="C47" t="n">
        <v/>
      </c>
      <c r="D47" t="n">
        <v>87.14</v>
      </c>
      <c r="E47" t="n">
        <v>1050.823</v>
      </c>
      <c r="F47" t="n">
        <v>2927.395</v>
      </c>
      <c r="G47" t="n">
        <v>16.181</v>
      </c>
      <c r="H47" t="n">
        <v>276.413</v>
      </c>
      <c r="I47" t="n">
        <v>121.661</v>
      </c>
      <c r="J47" t="n">
        <v/>
      </c>
      <c r="K47" t="n">
        <v>1836.897</v>
      </c>
    </row>
    <row r="48">
      <c r="A48" s="93" t="n">
        <v>21367</v>
      </c>
      <c r="B48" t="n">
        <v>11.6</v>
      </c>
      <c r="C48" t="n">
        <v/>
      </c>
      <c r="D48" t="n">
        <v>87.39400000000001</v>
      </c>
      <c r="E48" t="n">
        <v>1056.856</v>
      </c>
      <c r="F48" t="n">
        <v>2995.112</v>
      </c>
      <c r="G48" t="n">
        <v>16.22</v>
      </c>
      <c r="H48" t="n">
        <v>297.627</v>
      </c>
      <c r="I48" t="n">
        <v>119.829</v>
      </c>
      <c r="J48" t="n">
        <v/>
      </c>
      <c r="K48" t="n">
        <v>1867.373</v>
      </c>
    </row>
    <row r="49">
      <c r="A49" s="93" t="n">
        <v>21459</v>
      </c>
      <c r="B49" t="n">
        <v>11.8</v>
      </c>
      <c r="C49" t="n">
        <v/>
      </c>
      <c r="D49" t="n">
        <v>87.08</v>
      </c>
      <c r="E49" t="n">
        <v>1078.163</v>
      </c>
      <c r="F49" t="n">
        <v>3065.141</v>
      </c>
      <c r="G49" t="n">
        <v>16.24</v>
      </c>
      <c r="H49" t="n">
        <v>323.004</v>
      </c>
      <c r="I49" t="n">
        <v>126.132</v>
      </c>
      <c r="J49" t="n">
        <v/>
      </c>
      <c r="K49" t="n">
        <v>1892.738</v>
      </c>
    </row>
    <row r="50">
      <c r="A50" s="93" t="n">
        <v>21551</v>
      </c>
      <c r="B50" t="n">
        <v>10.7</v>
      </c>
      <c r="C50" t="n">
        <v/>
      </c>
      <c r="D50" t="n">
        <v>93.393</v>
      </c>
      <c r="E50" t="n">
        <v>1067.197</v>
      </c>
      <c r="F50" t="n">
        <v>3123.978</v>
      </c>
      <c r="G50" t="n">
        <v>16.316</v>
      </c>
      <c r="H50" t="n">
        <v>340.604</v>
      </c>
      <c r="I50" t="n">
        <v>129.446</v>
      </c>
      <c r="J50" t="n">
        <v>16.703</v>
      </c>
      <c r="K50" t="n">
        <v>1927.43</v>
      </c>
    </row>
    <row r="51">
      <c r="A51" s="93" t="n">
        <v>21641</v>
      </c>
      <c r="B51" t="n">
        <v>10.8</v>
      </c>
      <c r="C51" t="n">
        <v>2.1</v>
      </c>
      <c r="D51" t="n">
        <v>92.64700000000001</v>
      </c>
      <c r="E51" t="n">
        <v>1080.416</v>
      </c>
      <c r="F51" t="n">
        <v>3194.429</v>
      </c>
      <c r="G51" t="n">
        <v>16.363</v>
      </c>
      <c r="H51" t="n">
        <v>367.099</v>
      </c>
      <c r="I51" t="n">
        <v>135.745</v>
      </c>
      <c r="J51" t="n">
        <v>16.792</v>
      </c>
      <c r="K51" t="n">
        <v>1957.197</v>
      </c>
    </row>
    <row r="52">
      <c r="A52" s="93" t="n">
        <v>21732</v>
      </c>
      <c r="B52" t="n">
        <v>9.699999999999999</v>
      </c>
      <c r="C52" t="n">
        <v>2.7</v>
      </c>
      <c r="D52" t="n">
        <v>101.582</v>
      </c>
      <c r="E52" t="n">
        <v>1089.655</v>
      </c>
      <c r="F52" t="n">
        <v>3196.683</v>
      </c>
      <c r="G52" t="n">
        <v>16.432</v>
      </c>
      <c r="H52" t="n">
        <v>343.391</v>
      </c>
      <c r="I52" t="n">
        <v>137.041</v>
      </c>
      <c r="J52" t="n">
        <v>16.904</v>
      </c>
      <c r="K52" t="n">
        <v>1977.643</v>
      </c>
    </row>
    <row r="53">
      <c r="A53" s="93" t="n">
        <v>21824</v>
      </c>
      <c r="B53" t="n">
        <v>10.2</v>
      </c>
      <c r="C53" t="n">
        <v>2.3</v>
      </c>
      <c r="D53" t="n">
        <v>96.55500000000001</v>
      </c>
      <c r="E53" t="n">
        <v>1080.744</v>
      </c>
      <c r="F53" t="n">
        <v>3205.79</v>
      </c>
      <c r="G53" t="n">
        <v>16.496</v>
      </c>
      <c r="H53" t="n">
        <v>354.567</v>
      </c>
      <c r="I53" t="n">
        <v>133.561</v>
      </c>
      <c r="J53" t="n">
        <v>17.002</v>
      </c>
      <c r="K53" t="n">
        <v>1979.871</v>
      </c>
    </row>
    <row r="54">
      <c r="A54" s="93" t="n">
        <v>21916</v>
      </c>
      <c r="B54" t="n">
        <v>10.3</v>
      </c>
      <c r="C54" t="n">
        <v>1.3</v>
      </c>
      <c r="D54" t="n">
        <v>108.999</v>
      </c>
      <c r="E54" t="n">
        <v>1062.312</v>
      </c>
      <c r="F54" t="n">
        <v>3277.847</v>
      </c>
      <c r="G54" t="n">
        <v>16.527</v>
      </c>
      <c r="H54" t="n">
        <v>390.21</v>
      </c>
      <c r="I54" t="n">
        <v>138.606</v>
      </c>
      <c r="J54" t="n">
        <v>17.055</v>
      </c>
      <c r="K54" t="n">
        <v>1998.811</v>
      </c>
    </row>
    <row r="55">
      <c r="A55" s="93" t="n">
        <v>22007</v>
      </c>
      <c r="B55" t="n">
        <v>9.699999999999999</v>
      </c>
      <c r="C55" t="n">
        <v>1.5</v>
      </c>
      <c r="D55" t="n">
        <v>112.126</v>
      </c>
      <c r="E55" t="n">
        <v>1074.24</v>
      </c>
      <c r="F55" t="n">
        <v>3260.177</v>
      </c>
      <c r="G55" t="n">
        <v>16.586</v>
      </c>
      <c r="H55" t="n">
        <v>353.841</v>
      </c>
      <c r="I55" t="n">
        <v>139.636</v>
      </c>
      <c r="J55" t="n">
        <v>17.12</v>
      </c>
      <c r="K55" t="n">
        <v>2024.025</v>
      </c>
    </row>
    <row r="56">
      <c r="A56" s="93" t="n">
        <v>22098</v>
      </c>
      <c r="B56" t="n">
        <v>10.2</v>
      </c>
      <c r="C56" t="n">
        <v>1.6</v>
      </c>
      <c r="D56" t="n">
        <v>114.57</v>
      </c>
      <c r="E56" t="n">
        <v>1100.511</v>
      </c>
      <c r="F56" t="n">
        <v>3276.133</v>
      </c>
      <c r="G56" t="n">
        <v>16.658</v>
      </c>
      <c r="H56" t="n">
        <v>352.942</v>
      </c>
      <c r="I56" t="n">
        <v>135.521</v>
      </c>
      <c r="J56" t="n">
        <v>17.187</v>
      </c>
      <c r="K56" t="n">
        <v>2015.934</v>
      </c>
    </row>
    <row r="57">
      <c r="A57" s="93" t="n">
        <v>22190</v>
      </c>
      <c r="B57" t="n">
        <v>10</v>
      </c>
      <c r="C57" t="n">
        <v>1.3</v>
      </c>
      <c r="D57" t="n">
        <v>115.18</v>
      </c>
      <c r="E57" t="n">
        <v>1108.142</v>
      </c>
      <c r="F57" t="n">
        <v>3234.087</v>
      </c>
      <c r="G57" t="n">
        <v>16.731</v>
      </c>
      <c r="H57" t="n">
        <v>313.843</v>
      </c>
      <c r="I57" t="n">
        <v>129.128</v>
      </c>
      <c r="J57" t="n">
        <v>17.243</v>
      </c>
      <c r="K57" t="n">
        <v>2018.545</v>
      </c>
    </row>
    <row r="58">
      <c r="A58" s="93" t="n">
        <v>22282</v>
      </c>
      <c r="B58" t="n">
        <v>10.9</v>
      </c>
      <c r="C58" t="n">
        <v>0.7</v>
      </c>
      <c r="D58" t="n">
        <v>114.388</v>
      </c>
      <c r="E58" t="n">
        <v>1124.596</v>
      </c>
      <c r="F58" t="n">
        <v>3255.914</v>
      </c>
      <c r="G58" t="n">
        <v>16.751</v>
      </c>
      <c r="H58" t="n">
        <v>321.988</v>
      </c>
      <c r="I58" t="n">
        <v>128.503</v>
      </c>
      <c r="J58" t="n">
        <v>17.273</v>
      </c>
      <c r="K58" t="n">
        <v>2017.795</v>
      </c>
    </row>
    <row r="59">
      <c r="A59" s="93" t="n">
        <v>22372</v>
      </c>
      <c r="B59" t="n">
        <v>10.9</v>
      </c>
      <c r="C59" t="n">
        <v>1.3</v>
      </c>
      <c r="D59" t="n">
        <v>109.064</v>
      </c>
      <c r="E59" t="n">
        <v>1127.411</v>
      </c>
      <c r="F59" t="n">
        <v>3311.181</v>
      </c>
      <c r="G59" t="n">
        <v>16.784</v>
      </c>
      <c r="H59" t="n">
        <v>344.549</v>
      </c>
      <c r="I59" t="n">
        <v>130.073</v>
      </c>
      <c r="J59" t="n">
        <v>17.329</v>
      </c>
      <c r="K59" t="n">
        <v>2047.823</v>
      </c>
    </row>
    <row r="60">
      <c r="A60" s="93" t="n">
        <v>22463</v>
      </c>
      <c r="B60" t="n">
        <v>11.7</v>
      </c>
      <c r="C60" t="n">
        <v>1.8</v>
      </c>
      <c r="D60" t="n">
        <v>113.993</v>
      </c>
      <c r="E60" t="n">
        <v>1151.491</v>
      </c>
      <c r="F60" t="n">
        <v>3374.742</v>
      </c>
      <c r="G60" t="n">
        <v>16.819</v>
      </c>
      <c r="H60" t="n">
        <v>371.335</v>
      </c>
      <c r="I60" t="n">
        <v>138.688</v>
      </c>
      <c r="J60" t="n">
        <v>17.405</v>
      </c>
      <c r="K60" t="n">
        <v>2057.782</v>
      </c>
    </row>
    <row r="61">
      <c r="A61" s="93" t="n">
        <v>22555</v>
      </c>
      <c r="B61" t="n">
        <v>11.6</v>
      </c>
      <c r="C61" t="n">
        <v>1</v>
      </c>
      <c r="D61" t="n">
        <v>115.852</v>
      </c>
      <c r="E61" t="n">
        <v>1176.737</v>
      </c>
      <c r="F61" t="n">
        <v>3440.924</v>
      </c>
      <c r="G61" t="n">
        <v>16.858</v>
      </c>
      <c r="H61" t="n">
        <v>377.479</v>
      </c>
      <c r="I61" t="n">
        <v>141.986</v>
      </c>
      <c r="J61" t="n">
        <v>17.447</v>
      </c>
      <c r="K61" t="n">
        <v>2099.173</v>
      </c>
    </row>
    <row r="62">
      <c r="A62" s="93" t="n">
        <v>22647</v>
      </c>
      <c r="B62" t="n">
        <v>11.6</v>
      </c>
      <c r="C62" t="n">
        <v>1.5</v>
      </c>
      <c r="D62" t="n">
        <v>115.17</v>
      </c>
      <c r="E62" t="n">
        <v>1199.445</v>
      </c>
      <c r="F62" t="n">
        <v>3502.298</v>
      </c>
      <c r="G62" t="n">
        <v>16.942</v>
      </c>
      <c r="H62" t="n">
        <v>397.831</v>
      </c>
      <c r="I62" t="n">
        <v>146.308</v>
      </c>
      <c r="J62" t="n">
        <v>17.511</v>
      </c>
      <c r="K62" t="n">
        <v>2121.409</v>
      </c>
    </row>
    <row r="63">
      <c r="A63" s="93" t="n">
        <v>22737</v>
      </c>
      <c r="B63" t="n">
        <v>11.4</v>
      </c>
      <c r="C63" t="n">
        <v>1.5</v>
      </c>
      <c r="D63" t="n">
        <v>121.789</v>
      </c>
      <c r="E63" t="n">
        <v>1205.504</v>
      </c>
      <c r="F63" t="n">
        <v>3533.947</v>
      </c>
      <c r="G63" t="n">
        <v>16.989</v>
      </c>
      <c r="H63" t="n">
        <v>394.694</v>
      </c>
      <c r="I63" t="n">
        <v>149.5</v>
      </c>
      <c r="J63" t="n">
        <v>17.578</v>
      </c>
      <c r="K63" t="n">
        <v>2147.489</v>
      </c>
    </row>
    <row r="64">
      <c r="A64" s="93" t="n">
        <v>22828</v>
      </c>
      <c r="B64" t="n">
        <v>11.1</v>
      </c>
      <c r="C64" t="n">
        <v>1.3</v>
      </c>
      <c r="D64" t="n">
        <v>121.576</v>
      </c>
      <c r="E64" t="n">
        <v>1233.332</v>
      </c>
      <c r="F64" t="n">
        <v>3577.362</v>
      </c>
      <c r="G64" t="n">
        <v>17.029</v>
      </c>
      <c r="H64" t="n">
        <v>401.401</v>
      </c>
      <c r="I64" t="n">
        <v>151.395</v>
      </c>
      <c r="J64" t="n">
        <v>17.636</v>
      </c>
      <c r="K64" t="n">
        <v>2164.796</v>
      </c>
    </row>
    <row r="65">
      <c r="A65" s="93" t="n">
        <v>22920</v>
      </c>
      <c r="B65" t="n">
        <v>10.7</v>
      </c>
      <c r="C65" t="n">
        <v>0.8</v>
      </c>
      <c r="D65" t="n">
        <v>117.644</v>
      </c>
      <c r="E65" t="n">
        <v>1241.851</v>
      </c>
      <c r="F65" t="n">
        <v>3589.128</v>
      </c>
      <c r="G65" t="n">
        <v>17.07</v>
      </c>
      <c r="H65" t="n">
        <v>389.657</v>
      </c>
      <c r="I65" t="n">
        <v>153.246</v>
      </c>
      <c r="J65" t="n">
        <v>17.669</v>
      </c>
      <c r="K65" t="n">
        <v>2195.427</v>
      </c>
    </row>
    <row r="66">
      <c r="A66" s="93" t="n">
        <v>23012</v>
      </c>
      <c r="B66" t="n">
        <v>10.8</v>
      </c>
      <c r="C66" t="n">
        <v>1.3</v>
      </c>
      <c r="D66" t="n">
        <v>119.43</v>
      </c>
      <c r="E66" t="n">
        <v>1225.005</v>
      </c>
      <c r="F66" t="n">
        <v>3628.306</v>
      </c>
      <c r="G66" t="n">
        <v>17.154</v>
      </c>
      <c r="H66" t="n">
        <v>410.158</v>
      </c>
      <c r="I66" t="n">
        <v>149.699</v>
      </c>
      <c r="J66" t="n">
        <v>17.728</v>
      </c>
      <c r="K66" t="n">
        <v>2210.805</v>
      </c>
    </row>
    <row r="67">
      <c r="A67" s="93" t="n">
        <v>23102</v>
      </c>
      <c r="B67" t="n">
        <v>10.7</v>
      </c>
      <c r="C67" t="n">
        <v>1.5</v>
      </c>
      <c r="D67" t="n">
        <v>128.977</v>
      </c>
      <c r="E67" t="n">
        <v>1225.904</v>
      </c>
      <c r="F67" t="n">
        <v>3669.02</v>
      </c>
      <c r="G67" t="n">
        <v>17.169</v>
      </c>
      <c r="H67" t="n">
        <v>416.683</v>
      </c>
      <c r="I67" t="n">
        <v>153.223</v>
      </c>
      <c r="J67" t="n">
        <v>17.795</v>
      </c>
      <c r="K67" t="n">
        <v>2231.667</v>
      </c>
    </row>
    <row r="68">
      <c r="A68" s="93" t="n">
        <v>23193</v>
      </c>
      <c r="B68" t="n">
        <v>10.4</v>
      </c>
      <c r="C68" t="n">
        <v>1.5</v>
      </c>
      <c r="D68" t="n">
        <v>128.331</v>
      </c>
      <c r="E68" t="n">
        <v>1280.295</v>
      </c>
      <c r="F68" t="n">
        <v>3749.681</v>
      </c>
      <c r="G68" t="n">
        <v>17.188</v>
      </c>
      <c r="H68" t="n">
        <v>429.512</v>
      </c>
      <c r="I68" t="n">
        <v>157.114</v>
      </c>
      <c r="J68" t="n">
        <v>17.863</v>
      </c>
      <c r="K68" t="n">
        <v>2261.942</v>
      </c>
    </row>
    <row r="69">
      <c r="A69" s="93" t="n">
        <v>23285</v>
      </c>
      <c r="B69" t="n">
        <v>11.1</v>
      </c>
      <c r="C69" t="n">
        <v>2</v>
      </c>
      <c r="D69" t="n">
        <v>133.347</v>
      </c>
      <c r="E69" t="n">
        <v>1267.045</v>
      </c>
      <c r="F69" t="n">
        <v>3774.264</v>
      </c>
      <c r="G69" t="n">
        <v>17.3</v>
      </c>
      <c r="H69" t="n">
        <v>434.727</v>
      </c>
      <c r="I69" t="n">
        <v>156.598</v>
      </c>
      <c r="J69" t="n">
        <v>17.95</v>
      </c>
      <c r="K69" t="n">
        <v>2280.79</v>
      </c>
    </row>
    <row r="70">
      <c r="A70" s="93" t="n">
        <v>23377</v>
      </c>
      <c r="B70" t="n">
        <v>11.1</v>
      </c>
      <c r="C70" t="n">
        <v>1.7</v>
      </c>
      <c r="D70" t="n">
        <v>140.091</v>
      </c>
      <c r="E70" t="n">
        <v>1270.997</v>
      </c>
      <c r="F70" t="n">
        <v>3853.835</v>
      </c>
      <c r="G70" t="n">
        <v>17.365</v>
      </c>
      <c r="H70" t="n">
        <v>450.997</v>
      </c>
      <c r="I70" t="n">
        <v>156.451</v>
      </c>
      <c r="J70" t="n">
        <v>18.026</v>
      </c>
      <c r="K70" t="n">
        <v>2325.554</v>
      </c>
    </row>
    <row r="71">
      <c r="A71" s="93" t="n">
        <v>23468</v>
      </c>
      <c r="B71" t="n">
        <v>11.9</v>
      </c>
      <c r="C71" t="n">
        <v>1.2</v>
      </c>
      <c r="D71" t="n">
        <v>139.519</v>
      </c>
      <c r="E71" t="n">
        <v>1282.412</v>
      </c>
      <c r="F71" t="n">
        <v>3895.793</v>
      </c>
      <c r="G71" t="n">
        <v>17.416</v>
      </c>
      <c r="H71" t="n">
        <v>449.373</v>
      </c>
      <c r="I71" t="n">
        <v>159.973</v>
      </c>
      <c r="J71" t="n">
        <v>18.079</v>
      </c>
      <c r="K71" t="n">
        <v>2366.691</v>
      </c>
    </row>
    <row r="72">
      <c r="A72" s="93" t="n">
        <v>23559</v>
      </c>
      <c r="B72" t="n">
        <v>11.4</v>
      </c>
      <c r="C72" t="n">
        <v>1.1</v>
      </c>
      <c r="D72" t="n">
        <v>143.887</v>
      </c>
      <c r="E72" t="n">
        <v>1283.929</v>
      </c>
      <c r="F72" t="n">
        <v>3956.657</v>
      </c>
      <c r="G72" t="n">
        <v>17.502</v>
      </c>
      <c r="H72" t="n">
        <v>459.861</v>
      </c>
      <c r="I72" t="n">
        <v>164.266</v>
      </c>
      <c r="J72" t="n">
        <v>18.129</v>
      </c>
      <c r="K72" t="n">
        <v>2410.408</v>
      </c>
    </row>
    <row r="73">
      <c r="A73" s="93" t="n">
        <v>23651</v>
      </c>
      <c r="B73" t="n">
        <v>12.1</v>
      </c>
      <c r="C73" t="n">
        <v>1</v>
      </c>
      <c r="D73" t="n">
        <v>146.784</v>
      </c>
      <c r="E73" t="n">
        <v>1283.386</v>
      </c>
      <c r="F73" t="n">
        <v>3968.878</v>
      </c>
      <c r="G73" t="n">
        <v>17.577</v>
      </c>
      <c r="H73" t="n">
        <v>464.229</v>
      </c>
      <c r="I73" t="n">
        <v>168.709</v>
      </c>
      <c r="J73" t="n">
        <v>18.175</v>
      </c>
      <c r="K73" t="n">
        <v>2417.288</v>
      </c>
    </row>
    <row r="74">
      <c r="A74" s="93" t="n">
        <v>23743</v>
      </c>
      <c r="B74" t="n">
        <v>11.2</v>
      </c>
      <c r="C74" t="n">
        <v>1.5</v>
      </c>
      <c r="D74" t="n">
        <v>129.7</v>
      </c>
      <c r="E74" t="n">
        <v>1281.91</v>
      </c>
      <c r="F74" t="n">
        <v>4064.915</v>
      </c>
      <c r="G74" t="n">
        <v>17.653</v>
      </c>
      <c r="H74" t="n">
        <v>508.491</v>
      </c>
      <c r="I74" t="n">
        <v>162.635</v>
      </c>
      <c r="J74" t="n">
        <v>18.244</v>
      </c>
      <c r="K74" t="n">
        <v>2471.196</v>
      </c>
    </row>
    <row r="75">
      <c r="A75" s="93" t="n">
        <v>23833</v>
      </c>
      <c r="B75" t="n">
        <v>11.2</v>
      </c>
      <c r="C75" t="n">
        <v>1.3</v>
      </c>
      <c r="D75" t="n">
        <v>151.411</v>
      </c>
      <c r="E75" t="n">
        <v>1297.074</v>
      </c>
      <c r="F75" t="n">
        <v>4116.267</v>
      </c>
      <c r="G75" t="n">
        <v>17.736</v>
      </c>
      <c r="H75" t="n">
        <v>509.827</v>
      </c>
      <c r="I75" t="n">
        <v>181.828</v>
      </c>
      <c r="J75" t="n">
        <v>18.301</v>
      </c>
      <c r="K75" t="n">
        <v>2498.45</v>
      </c>
    </row>
    <row r="76">
      <c r="A76" s="93" t="n">
        <v>23924</v>
      </c>
      <c r="B76" t="n">
        <v>12</v>
      </c>
      <c r="C76" t="n">
        <v>1.3</v>
      </c>
      <c r="D76" t="n">
        <v>148.046</v>
      </c>
      <c r="E76" t="n">
        <v>1340.109</v>
      </c>
      <c r="F76" t="n">
        <v>4207.782</v>
      </c>
      <c r="G76" t="n">
        <v>17.816</v>
      </c>
      <c r="H76" t="n">
        <v>527.578</v>
      </c>
      <c r="I76" t="n">
        <v>182.574</v>
      </c>
      <c r="J76" t="n">
        <v>18.358</v>
      </c>
      <c r="K76" t="n">
        <v>2541.38</v>
      </c>
    </row>
    <row r="77">
      <c r="A77" s="93" t="n">
        <v>24016</v>
      </c>
      <c r="B77" t="n">
        <v>11.4</v>
      </c>
      <c r="C77" t="n">
        <v>1.3</v>
      </c>
      <c r="D77" t="n">
        <v>157.095</v>
      </c>
      <c r="E77" t="n">
        <v>1365.498</v>
      </c>
      <c r="F77" t="n">
        <v>4304.731</v>
      </c>
      <c r="G77" t="n">
        <v>17.934</v>
      </c>
      <c r="H77" t="n">
        <v>531.072</v>
      </c>
      <c r="I77" t="n">
        <v>191.482</v>
      </c>
      <c r="J77" t="n">
        <v>18.419</v>
      </c>
      <c r="K77" t="n">
        <v>2612.826</v>
      </c>
    </row>
    <row r="78">
      <c r="A78" s="93" t="n">
        <v>24108</v>
      </c>
      <c r="B78" t="n">
        <v>11</v>
      </c>
      <c r="C78" t="n">
        <v>2</v>
      </c>
      <c r="D78" t="n">
        <v>153.224</v>
      </c>
      <c r="E78" t="n">
        <v>1390.947</v>
      </c>
      <c r="F78" t="n">
        <v>4409.518</v>
      </c>
      <c r="G78" t="n">
        <v>18.043</v>
      </c>
      <c r="H78" t="n">
        <v>573.502</v>
      </c>
      <c r="I78" t="n">
        <v>196.417</v>
      </c>
      <c r="J78" t="n">
        <v>18.511</v>
      </c>
      <c r="K78" t="n">
        <v>2651.397</v>
      </c>
    </row>
    <row r="79">
      <c r="A79" s="93" t="n">
        <v>24198</v>
      </c>
      <c r="B79" t="n">
        <v>11</v>
      </c>
      <c r="C79" t="n">
        <v>3.3</v>
      </c>
      <c r="D79" t="n">
        <v>157.828</v>
      </c>
      <c r="E79" t="n">
        <v>1417.226</v>
      </c>
      <c r="F79" t="n">
        <v>4424.581</v>
      </c>
      <c r="G79" t="n">
        <v>18.206</v>
      </c>
      <c r="H79" t="n">
        <v>565.0119999999999</v>
      </c>
      <c r="I79" t="n">
        <v>201.302</v>
      </c>
      <c r="J79" t="n">
        <v>18.661</v>
      </c>
      <c r="K79" t="n">
        <v>2658.191</v>
      </c>
    </row>
    <row r="80">
      <c r="A80" s="93" t="n">
        <v>24289</v>
      </c>
      <c r="B80" t="n">
        <v>11</v>
      </c>
      <c r="C80" t="n">
        <v>3.3</v>
      </c>
      <c r="D80" t="n">
        <v>155.942</v>
      </c>
      <c r="E80" t="n">
        <v>1455.85</v>
      </c>
      <c r="F80" t="n">
        <v>4462.053</v>
      </c>
      <c r="G80" t="n">
        <v>18.366</v>
      </c>
      <c r="H80" t="n">
        <v>560.8440000000001</v>
      </c>
      <c r="I80" t="n">
        <v>212.593</v>
      </c>
      <c r="J80" t="n">
        <v>18.815</v>
      </c>
      <c r="K80" t="n">
        <v>2688.546</v>
      </c>
    </row>
    <row r="81">
      <c r="A81" s="93" t="n">
        <v>24381</v>
      </c>
      <c r="B81" t="n">
        <v>11.7</v>
      </c>
      <c r="C81" t="n">
        <v>3.5</v>
      </c>
      <c r="D81" t="n">
        <v>159.819</v>
      </c>
      <c r="E81" t="n">
        <v>1480.985</v>
      </c>
      <c r="F81" t="n">
        <v>4498.66</v>
      </c>
      <c r="G81" t="n">
        <v>18.516</v>
      </c>
      <c r="H81" t="n">
        <v>564.131</v>
      </c>
      <c r="I81" t="n">
        <v>214.987</v>
      </c>
      <c r="J81" t="n">
        <v>18.978</v>
      </c>
      <c r="K81" t="n">
        <v>2699.747</v>
      </c>
    </row>
    <row r="82">
      <c r="A82" s="93" t="n">
        <v>24473</v>
      </c>
      <c r="B82" t="n">
        <v>12.5</v>
      </c>
      <c r="C82" t="n">
        <v>2.2</v>
      </c>
      <c r="D82" t="n">
        <v>161.782</v>
      </c>
      <c r="E82" t="n">
        <v>1543.56</v>
      </c>
      <c r="F82" t="n">
        <v>4538.498</v>
      </c>
      <c r="G82" t="n">
        <v>18.593</v>
      </c>
      <c r="H82" t="n">
        <v>550.2859999999999</v>
      </c>
      <c r="I82" t="n">
        <v>218.343</v>
      </c>
      <c r="J82" t="n">
        <v>19.082</v>
      </c>
      <c r="K82" t="n">
        <v>2715.303</v>
      </c>
    </row>
    <row r="83">
      <c r="A83" s="93" t="n">
        <v>24563</v>
      </c>
      <c r="B83" t="n">
        <v>11.9</v>
      </c>
      <c r="C83" t="n">
        <v>2.7</v>
      </c>
      <c r="D83" t="n">
        <v>159.631</v>
      </c>
      <c r="E83" t="n">
        <v>1537.155</v>
      </c>
      <c r="F83" t="n">
        <v>4541.28</v>
      </c>
      <c r="G83" t="n">
        <v>18.705</v>
      </c>
      <c r="H83" t="n">
        <v>530.378</v>
      </c>
      <c r="I83" t="n">
        <v>216.608</v>
      </c>
      <c r="J83" t="n">
        <v>19.21</v>
      </c>
      <c r="K83" t="n">
        <v>2752.426</v>
      </c>
    </row>
    <row r="84">
      <c r="A84" s="93" t="n">
        <v>24654</v>
      </c>
      <c r="B84" t="n">
        <v>12.4</v>
      </c>
      <c r="C84" t="n">
        <v>3.7</v>
      </c>
      <c r="D84" t="n">
        <v>158.35</v>
      </c>
      <c r="E84" t="n">
        <v>1554.237</v>
      </c>
      <c r="F84" t="n">
        <v>4584.246</v>
      </c>
      <c r="G84" t="n">
        <v>18.873</v>
      </c>
      <c r="H84" t="n">
        <v>545.9299999999999</v>
      </c>
      <c r="I84" t="n">
        <v>219.452</v>
      </c>
      <c r="J84" t="n">
        <v>19.385</v>
      </c>
      <c r="K84" t="n">
        <v>2766.518</v>
      </c>
    </row>
    <row r="85">
      <c r="A85" s="93" t="n">
        <v>24746</v>
      </c>
      <c r="B85" t="n">
        <v>12.5</v>
      </c>
      <c r="C85" t="n">
        <v>4.1</v>
      </c>
      <c r="D85" t="n">
        <v>161.337</v>
      </c>
      <c r="E85" t="n">
        <v>1566.046</v>
      </c>
      <c r="F85" t="n">
        <v>4618.812</v>
      </c>
      <c r="G85" t="n">
        <v>19.082</v>
      </c>
      <c r="H85" t="n">
        <v>557.706</v>
      </c>
      <c r="I85" t="n">
        <v>231.026</v>
      </c>
      <c r="J85" t="n">
        <v>19.58</v>
      </c>
      <c r="K85" t="n">
        <v>2783.447</v>
      </c>
    </row>
    <row r="86">
      <c r="A86" s="93" t="n">
        <v>24838</v>
      </c>
      <c r="B86" t="n">
        <v>11.9</v>
      </c>
      <c r="C86" t="n">
        <v>4.6</v>
      </c>
      <c r="D86" t="n">
        <v>165.868</v>
      </c>
      <c r="E86" t="n">
        <v>1594.047</v>
      </c>
      <c r="F86" t="n">
        <v>4713.013</v>
      </c>
      <c r="G86" t="n">
        <v>19.29</v>
      </c>
      <c r="H86" t="n">
        <v>568.8869999999999</v>
      </c>
      <c r="I86" t="n">
        <v>244.637</v>
      </c>
      <c r="J86" t="n">
        <v>19.803</v>
      </c>
      <c r="K86" t="n">
        <v>2850.153</v>
      </c>
    </row>
    <row r="87">
      <c r="A87" s="93" t="n">
        <v>24929</v>
      </c>
      <c r="B87" t="n">
        <v>12</v>
      </c>
      <c r="C87" t="n">
        <v>4.7</v>
      </c>
      <c r="D87" t="n">
        <v>168.643</v>
      </c>
      <c r="E87" t="n">
        <v>1602.315</v>
      </c>
      <c r="F87" t="n">
        <v>4791.758</v>
      </c>
      <c r="G87" t="n">
        <v>19.506</v>
      </c>
      <c r="H87" t="n">
        <v>590.647</v>
      </c>
      <c r="I87" t="n">
        <v>248.369</v>
      </c>
      <c r="J87" t="n">
        <v>20.033</v>
      </c>
      <c r="K87" t="n">
        <v>2893.553</v>
      </c>
    </row>
    <row r="88">
      <c r="A88" s="93" t="n">
        <v>25020</v>
      </c>
      <c r="B88" t="n">
        <v>10.6</v>
      </c>
      <c r="C88" t="n">
        <v>4.6</v>
      </c>
      <c r="D88" t="n">
        <v>180.635</v>
      </c>
      <c r="E88" t="n">
        <v>1607.115</v>
      </c>
      <c r="F88" t="n">
        <v>4828.892</v>
      </c>
      <c r="G88" t="n">
        <v>19.693</v>
      </c>
      <c r="H88" t="n">
        <v>574.539</v>
      </c>
      <c r="I88" t="n">
        <v>263.296</v>
      </c>
      <c r="J88" t="n">
        <v>20.258</v>
      </c>
      <c r="K88" t="n">
        <v>2947.784</v>
      </c>
    </row>
    <row r="89">
      <c r="A89" s="93" t="n">
        <v>25112</v>
      </c>
      <c r="B89" t="n">
        <v>10.9</v>
      </c>
      <c r="C89" t="n">
        <v>4.7</v>
      </c>
      <c r="D89" t="n">
        <v>176.621</v>
      </c>
      <c r="E89" t="n">
        <v>1608.573</v>
      </c>
      <c r="F89" t="n">
        <v>4847.885</v>
      </c>
      <c r="G89" t="n">
        <v>19.967</v>
      </c>
      <c r="H89" t="n">
        <v>580.789</v>
      </c>
      <c r="I89" t="n">
        <v>261.077</v>
      </c>
      <c r="J89" t="n">
        <v>20.493</v>
      </c>
      <c r="K89" t="n">
        <v>2961.081</v>
      </c>
    </row>
    <row r="90">
      <c r="A90" s="93" t="n">
        <v>25204</v>
      </c>
      <c r="B90" t="n">
        <v>10.1</v>
      </c>
      <c r="C90" t="n">
        <v>4.4</v>
      </c>
      <c r="D90" t="n">
        <v>156.09</v>
      </c>
      <c r="E90" t="n">
        <v>1612.219</v>
      </c>
      <c r="F90" t="n">
        <v>4923.76</v>
      </c>
      <c r="G90" t="n">
        <v>20.167</v>
      </c>
      <c r="H90" t="n">
        <v>614.989</v>
      </c>
      <c r="I90" t="n">
        <v>236.452</v>
      </c>
      <c r="J90" t="n">
        <v>20.717</v>
      </c>
      <c r="K90" t="n">
        <v>2993.913</v>
      </c>
    </row>
    <row r="91">
      <c r="A91" s="93" t="n">
        <v>25294</v>
      </c>
      <c r="B91" t="n">
        <v>10.3</v>
      </c>
      <c r="C91" t="n">
        <v>4.9</v>
      </c>
      <c r="D91" t="n">
        <v>190.297</v>
      </c>
      <c r="E91" t="n">
        <v>1607.192</v>
      </c>
      <c r="F91" t="n">
        <v>4938.728</v>
      </c>
      <c r="G91" t="n">
        <v>20.433</v>
      </c>
      <c r="H91" t="n">
        <v>611.366</v>
      </c>
      <c r="I91" t="n">
        <v>283.101</v>
      </c>
      <c r="J91" t="n">
        <v>20.965</v>
      </c>
      <c r="K91" t="n">
        <v>3013.227</v>
      </c>
    </row>
    <row r="92">
      <c r="A92" s="93" t="n">
        <v>25385</v>
      </c>
      <c r="B92" t="n">
        <v>11.7</v>
      </c>
      <c r="C92" t="n">
        <v>4.7</v>
      </c>
      <c r="D92" t="n">
        <v>187.112</v>
      </c>
      <c r="E92" t="n">
        <v>1610.451</v>
      </c>
      <c r="F92" t="n">
        <v>4971.349</v>
      </c>
      <c r="G92" t="n">
        <v>20.724</v>
      </c>
      <c r="H92" t="n">
        <v>623.778</v>
      </c>
      <c r="I92" t="n">
        <v>279.433</v>
      </c>
      <c r="J92" t="n">
        <v>21.207</v>
      </c>
      <c r="K92" t="n">
        <v>3027.918</v>
      </c>
    </row>
    <row r="93">
      <c r="A93" s="93" t="n">
        <v>25477</v>
      </c>
      <c r="B93" t="n">
        <v>11.6</v>
      </c>
      <c r="C93" t="n">
        <v>4.8</v>
      </c>
      <c r="D93" t="n">
        <v>192.007</v>
      </c>
      <c r="E93" t="n">
        <v>1588.788</v>
      </c>
      <c r="F93" t="n">
        <v>4947.104</v>
      </c>
      <c r="G93" t="n">
        <v>20.983</v>
      </c>
      <c r="H93" t="n">
        <v>593.659</v>
      </c>
      <c r="I93" t="n">
        <v>276.363</v>
      </c>
      <c r="J93" t="n">
        <v>21.456</v>
      </c>
      <c r="K93" t="n">
        <v>3052.118</v>
      </c>
    </row>
    <row r="94">
      <c r="A94" s="93" t="n">
        <v>25569</v>
      </c>
      <c r="B94" t="n">
        <v>12</v>
      </c>
      <c r="C94" t="n">
        <v>4.4</v>
      </c>
      <c r="D94" t="n">
        <v>194.54</v>
      </c>
      <c r="E94" t="n">
        <v>1581.147</v>
      </c>
      <c r="F94" t="n">
        <v>4939.759</v>
      </c>
      <c r="G94" t="n">
        <v>21.272</v>
      </c>
      <c r="H94" t="n">
        <v>575.953</v>
      </c>
      <c r="I94" t="n">
        <v>275.458</v>
      </c>
      <c r="J94" t="n">
        <v>21.69</v>
      </c>
      <c r="K94" t="n">
        <v>3071.056</v>
      </c>
    </row>
    <row r="95">
      <c r="A95" s="93" t="n">
        <v>25659</v>
      </c>
      <c r="B95" t="n">
        <v>12.6</v>
      </c>
      <c r="C95" t="n">
        <v>4.6</v>
      </c>
      <c r="D95" t="n">
        <v>202.078</v>
      </c>
      <c r="E95" t="n">
        <v>1562.764</v>
      </c>
      <c r="F95" t="n">
        <v>4946.77</v>
      </c>
      <c r="G95" t="n">
        <v>21.579</v>
      </c>
      <c r="H95" t="n">
        <v>577.205</v>
      </c>
      <c r="I95" t="n">
        <v>280.902</v>
      </c>
      <c r="J95" t="n">
        <v>21.935</v>
      </c>
      <c r="K95" t="n">
        <v>3084.968</v>
      </c>
    </row>
    <row r="96">
      <c r="A96" s="93" t="n">
        <v>25750</v>
      </c>
      <c r="B96" t="n">
        <v>13.3</v>
      </c>
      <c r="C96" t="n">
        <v>4.5</v>
      </c>
      <c r="D96" t="n">
        <v>202.887</v>
      </c>
      <c r="E96" t="n">
        <v>1569.37</v>
      </c>
      <c r="F96" t="n">
        <v>4992.357</v>
      </c>
      <c r="G96" t="n">
        <v>21.756</v>
      </c>
      <c r="H96" t="n">
        <v>586.598</v>
      </c>
      <c r="I96" t="n">
        <v>280.258</v>
      </c>
      <c r="J96" t="n">
        <v>22.179</v>
      </c>
      <c r="K96" t="n">
        <v>3112.014</v>
      </c>
    </row>
    <row r="97">
      <c r="A97" s="93" t="n">
        <v>25842</v>
      </c>
      <c r="B97" t="n">
        <v>13.3</v>
      </c>
      <c r="C97" t="n">
        <v>5.7</v>
      </c>
      <c r="D97" t="n">
        <v>203.308</v>
      </c>
      <c r="E97" t="n">
        <v>1570.101</v>
      </c>
      <c r="F97" t="n">
        <v>4938.857</v>
      </c>
      <c r="G97" t="n">
        <v>22.041</v>
      </c>
      <c r="H97" t="n">
        <v>555.454</v>
      </c>
      <c r="I97" t="n">
        <v>284.604</v>
      </c>
      <c r="J97" t="n">
        <v>22.491</v>
      </c>
      <c r="K97" t="n">
        <v>3103.565</v>
      </c>
    </row>
    <row r="98">
      <c r="A98" s="93" t="n">
        <v>25934</v>
      </c>
      <c r="B98" t="n">
        <v>13.4</v>
      </c>
      <c r="C98" t="n">
        <v>5.2</v>
      </c>
      <c r="D98" t="n">
        <v>205.164</v>
      </c>
      <c r="E98" t="n">
        <v>1547.139</v>
      </c>
      <c r="F98" t="n">
        <v>5072.996</v>
      </c>
      <c r="G98" t="n">
        <v>22.375</v>
      </c>
      <c r="H98" t="n">
        <v>620.212</v>
      </c>
      <c r="I98" t="n">
        <v>281.249</v>
      </c>
      <c r="J98" t="n">
        <v>22.776</v>
      </c>
      <c r="K98" t="n">
        <v>3163.139</v>
      </c>
    </row>
    <row r="99">
      <c r="A99" s="93" t="n">
        <v>26024</v>
      </c>
      <c r="B99" t="n">
        <v>13.8</v>
      </c>
      <c r="C99" t="n">
        <v>4.6</v>
      </c>
      <c r="D99" t="n">
        <v>203.647</v>
      </c>
      <c r="E99" t="n">
        <v>1543.584</v>
      </c>
      <c r="F99" t="n">
        <v>5100.447</v>
      </c>
      <c r="G99" t="n">
        <v>22.674</v>
      </c>
      <c r="H99" t="n">
        <v>637.811</v>
      </c>
      <c r="I99" t="n">
        <v>302.466</v>
      </c>
      <c r="J99" t="n">
        <v>23.036</v>
      </c>
      <c r="K99" t="n">
        <v>3192.21</v>
      </c>
    </row>
    <row r="100">
      <c r="A100" s="93" t="n">
        <v>26115</v>
      </c>
      <c r="B100" t="n">
        <v>13.6</v>
      </c>
      <c r="C100" t="n">
        <v>3.8</v>
      </c>
      <c r="D100" t="n">
        <v>213.827</v>
      </c>
      <c r="E100" t="n">
        <v>1542.778</v>
      </c>
      <c r="F100" t="n">
        <v>5142.422</v>
      </c>
      <c r="G100" t="n">
        <v>22.903</v>
      </c>
      <c r="H100" t="n">
        <v>645.549</v>
      </c>
      <c r="I100" t="n">
        <v>309.152</v>
      </c>
      <c r="J100" t="n">
        <v>23.253</v>
      </c>
      <c r="K100" t="n">
        <v>3217.661</v>
      </c>
    </row>
    <row r="101">
      <c r="A101" s="93" t="n">
        <v>26207</v>
      </c>
      <c r="B101" t="n">
        <v>13.1</v>
      </c>
      <c r="C101" t="n">
        <v>2.3</v>
      </c>
      <c r="D101" t="n">
        <v>194.088</v>
      </c>
      <c r="E101" t="n">
        <v>1531.936</v>
      </c>
      <c r="F101" t="n">
        <v>5154.547</v>
      </c>
      <c r="G101" t="n">
        <v>23.092</v>
      </c>
      <c r="H101" t="n">
        <v>628.165</v>
      </c>
      <c r="I101" t="n">
        <v>288.197</v>
      </c>
      <c r="J101" t="n">
        <v>23.385</v>
      </c>
      <c r="K101" t="n">
        <v>3271.05</v>
      </c>
    </row>
    <row r="102">
      <c r="A102" s="93" t="n">
        <v>26299</v>
      </c>
      <c r="B102" t="n">
        <v>12.4</v>
      </c>
      <c r="C102" t="n">
        <v>3.9</v>
      </c>
      <c r="D102" t="n">
        <v>216.149</v>
      </c>
      <c r="E102" t="n">
        <v>1540.394</v>
      </c>
      <c r="F102" t="n">
        <v>5249.337</v>
      </c>
      <c r="G102" t="n">
        <v>23.463</v>
      </c>
      <c r="H102" t="n">
        <v>669.558</v>
      </c>
      <c r="I102" t="n">
        <v>330.317</v>
      </c>
      <c r="J102" t="n">
        <v>23.609</v>
      </c>
      <c r="K102" t="n">
        <v>3314.222</v>
      </c>
    </row>
    <row r="103">
      <c r="A103" s="93" t="n">
        <v>26390</v>
      </c>
      <c r="B103" t="n">
        <v>11.6</v>
      </c>
      <c r="C103" t="n">
        <v>2.7</v>
      </c>
      <c r="D103" t="n">
        <v>209.842</v>
      </c>
      <c r="E103" t="n">
        <v>1546.593</v>
      </c>
      <c r="F103" t="n">
        <v>5368.485</v>
      </c>
      <c r="G103" t="n">
        <v>23.606</v>
      </c>
      <c r="H103" t="n">
        <v>707.5890000000001</v>
      </c>
      <c r="I103" t="n">
        <v>318.581</v>
      </c>
      <c r="J103" t="n">
        <v>23.769</v>
      </c>
      <c r="K103" t="n">
        <v>3377.314</v>
      </c>
    </row>
    <row r="104">
      <c r="A104" s="93" t="n">
        <v>26481</v>
      </c>
      <c r="B104" t="n">
        <v>12</v>
      </c>
      <c r="C104" t="n">
        <v>3</v>
      </c>
      <c r="D104" t="n">
        <v>222.493</v>
      </c>
      <c r="E104" t="n">
        <v>1517.139</v>
      </c>
      <c r="F104" t="n">
        <v>5419.184</v>
      </c>
      <c r="G104" t="n">
        <v>23.82</v>
      </c>
      <c r="H104" t="n">
        <v>717.638</v>
      </c>
      <c r="I104" t="n">
        <v>325.212</v>
      </c>
      <c r="J104" t="n">
        <v>23.948</v>
      </c>
      <c r="K104" t="n">
        <v>3429.362</v>
      </c>
    </row>
    <row r="105">
      <c r="A105" s="93" t="n">
        <v>26573</v>
      </c>
      <c r="B105" t="n">
        <v>13.4</v>
      </c>
      <c r="C105" t="n">
        <v>2.5</v>
      </c>
      <c r="D105" t="n">
        <v>231.902</v>
      </c>
      <c r="E105" t="n">
        <v>1529.691</v>
      </c>
      <c r="F105" t="n">
        <v>5509.926</v>
      </c>
      <c r="G105" t="n">
        <v>24.09</v>
      </c>
      <c r="H105" t="n">
        <v>722.138</v>
      </c>
      <c r="I105" t="n">
        <v>339.862</v>
      </c>
      <c r="J105" t="n">
        <v>24.098</v>
      </c>
      <c r="K105" t="n">
        <v>3509.838</v>
      </c>
    </row>
    <row r="106">
      <c r="A106" s="93" t="n">
        <v>26665</v>
      </c>
      <c r="B106" t="n">
        <v>12.6</v>
      </c>
      <c r="C106" t="n">
        <v>2.8</v>
      </c>
      <c r="D106" t="n">
        <v>248.867</v>
      </c>
      <c r="E106" t="n">
        <v>1542.861</v>
      </c>
      <c r="F106" t="n">
        <v>5646.286</v>
      </c>
      <c r="G106" t="n">
        <v>24.396</v>
      </c>
      <c r="H106" t="n">
        <v>764.458</v>
      </c>
      <c r="I106" t="n">
        <v>355.566</v>
      </c>
      <c r="J106" t="n">
        <v>24.266</v>
      </c>
      <c r="K106" t="n">
        <v>3573.918</v>
      </c>
    </row>
    <row r="107">
      <c r="A107" s="93" t="n">
        <v>26755</v>
      </c>
      <c r="B107" t="n">
        <v>13.3</v>
      </c>
      <c r="C107" t="n">
        <v>5.6</v>
      </c>
      <c r="D107" t="n">
        <v>260.856</v>
      </c>
      <c r="E107" t="n">
        <v>1531.988</v>
      </c>
      <c r="F107" t="n">
        <v>5707.755</v>
      </c>
      <c r="G107" t="n">
        <v>24.8</v>
      </c>
      <c r="H107" t="n">
        <v>797.044</v>
      </c>
      <c r="I107" t="n">
        <v>345.318</v>
      </c>
      <c r="J107" t="n">
        <v>24.597</v>
      </c>
      <c r="K107" t="n">
        <v>3572.307</v>
      </c>
    </row>
    <row r="108">
      <c r="A108" s="93" t="n">
        <v>26846</v>
      </c>
      <c r="B108" t="n">
        <v>13.4</v>
      </c>
      <c r="C108" t="n">
        <v>5.4</v>
      </c>
      <c r="D108" t="n">
        <v>261.735</v>
      </c>
      <c r="E108" t="n">
        <v>1513.965</v>
      </c>
      <c r="F108" t="n">
        <v>5677.738</v>
      </c>
      <c r="G108" t="n">
        <v>25.273</v>
      </c>
      <c r="H108" t="n">
        <v>768.143</v>
      </c>
      <c r="I108" t="n">
        <v>335.778</v>
      </c>
      <c r="J108" t="n">
        <v>24.924</v>
      </c>
      <c r="K108" t="n">
        <v>3584.881</v>
      </c>
    </row>
    <row r="109">
      <c r="A109" s="93" t="n">
        <v>26938</v>
      </c>
      <c r="B109" t="n">
        <v>14.5</v>
      </c>
      <c r="C109" t="n">
        <v>5.7</v>
      </c>
      <c r="D109" t="n">
        <v>274.61</v>
      </c>
      <c r="E109" t="n">
        <v>1525.325</v>
      </c>
      <c r="F109" t="n">
        <v>5731.632</v>
      </c>
      <c r="G109" t="n">
        <v>25.711</v>
      </c>
      <c r="H109" t="n">
        <v>795.504</v>
      </c>
      <c r="I109" t="n">
        <v>338.284</v>
      </c>
      <c r="J109" t="n">
        <v>25.271</v>
      </c>
      <c r="K109" t="n">
        <v>3574.188</v>
      </c>
    </row>
    <row r="110">
      <c r="A110" s="93" t="n">
        <v>27030</v>
      </c>
      <c r="B110" t="n">
        <v>14</v>
      </c>
      <c r="C110" t="n">
        <v>7</v>
      </c>
      <c r="D110" t="n">
        <v>278.171</v>
      </c>
      <c r="E110" t="n">
        <v>1552.878</v>
      </c>
      <c r="F110" t="n">
        <v>5682.353</v>
      </c>
      <c r="G110" t="n">
        <v>26.232</v>
      </c>
      <c r="H110" t="n">
        <v>750.076</v>
      </c>
      <c r="I110" t="n">
        <v>326.81</v>
      </c>
      <c r="J110" t="n">
        <v>25.704</v>
      </c>
      <c r="K110" t="n">
        <v>3542.211</v>
      </c>
    </row>
    <row r="111">
      <c r="A111" s="93" t="n">
        <v>27120</v>
      </c>
      <c r="B111" t="n">
        <v>12.9</v>
      </c>
      <c r="C111" t="n">
        <v>10.3</v>
      </c>
      <c r="D111" t="n">
        <v>291.735</v>
      </c>
      <c r="E111" t="n">
        <v>1560.657</v>
      </c>
      <c r="F111" t="n">
        <v>5695.859</v>
      </c>
      <c r="G111" t="n">
        <v>26.815</v>
      </c>
      <c r="H111" t="n">
        <v>747.082</v>
      </c>
      <c r="I111" t="n">
        <v>344.123</v>
      </c>
      <c r="J111" t="n">
        <v>26.343</v>
      </c>
      <c r="K111" t="n">
        <v>3554.966</v>
      </c>
    </row>
    <row r="112">
      <c r="A112" s="93" t="n">
        <v>27211</v>
      </c>
      <c r="B112" t="n">
        <v>12.6</v>
      </c>
      <c r="C112" t="n">
        <v>11.9</v>
      </c>
      <c r="D112" t="n">
        <v>276.018</v>
      </c>
      <c r="E112" t="n">
        <v>1563.766</v>
      </c>
      <c r="F112" t="n">
        <v>5642.025</v>
      </c>
      <c r="G112" t="n">
        <v>27.641</v>
      </c>
      <c r="H112" t="n">
        <v>708.362</v>
      </c>
      <c r="I112" t="n">
        <v>338.109</v>
      </c>
      <c r="J112" t="n">
        <v>27.096</v>
      </c>
      <c r="K112" t="n">
        <v>3570.236</v>
      </c>
    </row>
    <row r="113">
      <c r="A113" s="93" t="n">
        <v>27303</v>
      </c>
      <c r="B113" t="n">
        <v>13.7</v>
      </c>
      <c r="C113" t="n">
        <v>10.1</v>
      </c>
      <c r="D113" t="n">
        <v>283.228</v>
      </c>
      <c r="E113" t="n">
        <v>1571.26</v>
      </c>
      <c r="F113" t="n">
        <v>5620.126</v>
      </c>
      <c r="G113" t="n">
        <v>28.479</v>
      </c>
      <c r="H113" t="n">
        <v>712.6609999999999</v>
      </c>
      <c r="I113" t="n">
        <v>334.754</v>
      </c>
      <c r="J113" t="n">
        <v>27.758</v>
      </c>
      <c r="K113" t="n">
        <v>3518.05</v>
      </c>
    </row>
    <row r="114">
      <c r="A114" s="93" t="n">
        <v>27395</v>
      </c>
      <c r="B114" t="n">
        <v>12.8</v>
      </c>
      <c r="C114" t="n">
        <v>8.1</v>
      </c>
      <c r="D114" t="n">
        <v>285.204</v>
      </c>
      <c r="E114" t="n">
        <v>1588.372</v>
      </c>
      <c r="F114" t="n">
        <v>5551.713</v>
      </c>
      <c r="G114" t="n">
        <v>29.124</v>
      </c>
      <c r="H114" t="n">
        <v>597.866</v>
      </c>
      <c r="I114" t="n">
        <v>301.164</v>
      </c>
      <c r="J114" t="n">
        <v>28.301</v>
      </c>
      <c r="K114" t="n">
        <v>3547.557</v>
      </c>
    </row>
    <row r="115">
      <c r="A115" s="93" t="n">
        <v>27485</v>
      </c>
      <c r="B115" t="n">
        <v>15.3</v>
      </c>
      <c r="C115" t="n">
        <v>6.2</v>
      </c>
      <c r="D115" t="n">
        <v>276.889</v>
      </c>
      <c r="E115" t="n">
        <v>1574.948</v>
      </c>
      <c r="F115" t="n">
        <v>5591.382</v>
      </c>
      <c r="G115" t="n">
        <v>29.546</v>
      </c>
      <c r="H115" t="n">
        <v>580.067</v>
      </c>
      <c r="I115" t="n">
        <v>277.065</v>
      </c>
      <c r="J115" t="n">
        <v>28.732</v>
      </c>
      <c r="K115" t="n">
        <v>3605.909</v>
      </c>
    </row>
    <row r="116">
      <c r="A116" s="93" t="n">
        <v>27576</v>
      </c>
      <c r="B116" t="n">
        <v>12.9</v>
      </c>
      <c r="C116" t="n">
        <v>6.1</v>
      </c>
      <c r="D116" t="n">
        <v>272.218</v>
      </c>
      <c r="E116" t="n">
        <v>1604.369</v>
      </c>
      <c r="F116" t="n">
        <v>5687.087</v>
      </c>
      <c r="G116" t="n">
        <v>30.068</v>
      </c>
      <c r="H116" t="n">
        <v>625.037</v>
      </c>
      <c r="I116" t="n">
        <v>300.098</v>
      </c>
      <c r="J116" t="n">
        <v>29.163</v>
      </c>
      <c r="K116" t="n">
        <v>3657.158</v>
      </c>
    </row>
    <row r="117">
      <c r="A117" s="93" t="n">
        <v>27668</v>
      </c>
      <c r="B117" t="n">
        <v>12.7</v>
      </c>
      <c r="C117" t="n">
        <v>6.7</v>
      </c>
      <c r="D117" t="n">
        <v>287.609</v>
      </c>
      <c r="E117" t="n">
        <v>1618.424</v>
      </c>
      <c r="F117" t="n">
        <v>5763.665</v>
      </c>
      <c r="G117" t="n">
        <v>30.57</v>
      </c>
      <c r="H117" t="n">
        <v>642.484</v>
      </c>
      <c r="I117" t="n">
        <v>316.117</v>
      </c>
      <c r="J117" t="n">
        <v>29.638</v>
      </c>
      <c r="K117" t="n">
        <v>3696.485</v>
      </c>
    </row>
    <row r="118">
      <c r="A118" s="93" t="n">
        <v>27760</v>
      </c>
      <c r="B118" t="n">
        <v>12.1</v>
      </c>
      <c r="C118" t="n">
        <v>6.2</v>
      </c>
      <c r="D118" t="n">
        <v>285.624</v>
      </c>
      <c r="E118" t="n">
        <v>1620.97</v>
      </c>
      <c r="F118" t="n">
        <v>5893.276</v>
      </c>
      <c r="G118" t="n">
        <v>30.905</v>
      </c>
      <c r="H118" t="n">
        <v>704.475</v>
      </c>
      <c r="I118" t="n">
        <v>335.921</v>
      </c>
      <c r="J118" t="n">
        <v>30.088</v>
      </c>
      <c r="K118" t="n">
        <v>3770.391</v>
      </c>
    </row>
    <row r="119">
      <c r="A119" s="93" t="n">
        <v>27851</v>
      </c>
      <c r="B119" t="n">
        <v>11.8</v>
      </c>
      <c r="C119" t="n">
        <v>4.9</v>
      </c>
      <c r="D119" t="n">
        <v>288.503</v>
      </c>
      <c r="E119" t="n">
        <v>1602.934</v>
      </c>
      <c r="F119" t="n">
        <v>5936.515</v>
      </c>
      <c r="G119" t="n">
        <v>31.213</v>
      </c>
      <c r="H119" t="n">
        <v>732.3579999999999</v>
      </c>
      <c r="I119" t="n">
        <v>350.47</v>
      </c>
      <c r="J119" t="n">
        <v>30.449</v>
      </c>
      <c r="K119" t="n">
        <v>3805.081</v>
      </c>
    </row>
    <row r="120">
      <c r="A120" s="93" t="n">
        <v>27942</v>
      </c>
      <c r="B120" t="n">
        <v>11.6</v>
      </c>
      <c r="C120" t="n">
        <v>6.4</v>
      </c>
      <c r="D120" t="n">
        <v>296.886</v>
      </c>
      <c r="E120" t="n">
        <v>1598.243</v>
      </c>
      <c r="F120" t="n">
        <v>5969.089</v>
      </c>
      <c r="G120" t="n">
        <v>31.611</v>
      </c>
      <c r="H120" t="n">
        <v>734.91</v>
      </c>
      <c r="I120" t="n">
        <v>364.768</v>
      </c>
      <c r="J120" t="n">
        <v>30.926</v>
      </c>
      <c r="K120" t="n">
        <v>3845.144</v>
      </c>
    </row>
    <row r="121">
      <c r="A121" s="93" t="n">
        <v>28034</v>
      </c>
      <c r="B121" t="n">
        <v>11</v>
      </c>
      <c r="C121" t="n">
        <v>6.4</v>
      </c>
      <c r="D121" t="n">
        <v>299.898</v>
      </c>
      <c r="E121" t="n">
        <v>1597.264</v>
      </c>
      <c r="F121" t="n">
        <v>6012.356</v>
      </c>
      <c r="G121" t="n">
        <v>32.148</v>
      </c>
      <c r="H121" t="n">
        <v>740.408</v>
      </c>
      <c r="I121" t="n">
        <v>376.841</v>
      </c>
      <c r="J121" t="n">
        <v>31.41</v>
      </c>
      <c r="K121" t="n">
        <v>3895.034</v>
      </c>
    </row>
    <row r="122">
      <c r="A122" s="93" t="n">
        <v>28126</v>
      </c>
      <c r="B122" t="n">
        <v>10.1</v>
      </c>
      <c r="C122" t="n">
        <v>6.9</v>
      </c>
      <c r="D122" t="n">
        <v>295.072</v>
      </c>
      <c r="E122" t="n">
        <v>1610.842</v>
      </c>
      <c r="F122" t="n">
        <v>6083.391</v>
      </c>
      <c r="G122" t="n">
        <v>32.668</v>
      </c>
      <c r="H122" t="n">
        <v>774.711</v>
      </c>
      <c r="I122" t="n">
        <v>394.68</v>
      </c>
      <c r="J122" t="n">
        <v>31.939</v>
      </c>
      <c r="K122" t="n">
        <v>3940.944</v>
      </c>
    </row>
    <row r="123">
      <c r="A123" s="93" t="n">
        <v>28216</v>
      </c>
      <c r="B123" t="n">
        <v>10.5</v>
      </c>
      <c r="C123" t="n">
        <v>6.3</v>
      </c>
      <c r="D123" t="n">
        <v>303.024</v>
      </c>
      <c r="E123" t="n">
        <v>1625.58</v>
      </c>
      <c r="F123" t="n">
        <v>6201.659</v>
      </c>
      <c r="G123" t="n">
        <v>33.184</v>
      </c>
      <c r="H123" t="n">
        <v>830.251</v>
      </c>
      <c r="I123" t="n">
        <v>398.319</v>
      </c>
      <c r="J123" t="n">
        <v>32.427</v>
      </c>
      <c r="K123" t="n">
        <v>3962.314</v>
      </c>
    </row>
    <row r="124">
      <c r="A124" s="93" t="n">
        <v>28307</v>
      </c>
      <c r="B124" t="n">
        <v>10.8</v>
      </c>
      <c r="C124" t="n">
        <v>6.8</v>
      </c>
      <c r="D124" t="n">
        <v>305.375</v>
      </c>
      <c r="E124" t="n">
        <v>1632.108</v>
      </c>
      <c r="F124" t="n">
        <v>6313.559</v>
      </c>
      <c r="G124" t="n">
        <v>33.641</v>
      </c>
      <c r="H124" t="n">
        <v>872.264</v>
      </c>
      <c r="I124" t="n">
        <v>392.768</v>
      </c>
      <c r="J124" t="n">
        <v>32.966</v>
      </c>
      <c r="K124" t="n">
        <v>3999.779</v>
      </c>
    </row>
    <row r="125">
      <c r="A125" s="93" t="n">
        <v>28399</v>
      </c>
      <c r="B125" t="n">
        <v>11.2</v>
      </c>
      <c r="C125" t="n">
        <v>5.9</v>
      </c>
      <c r="D125" t="n">
        <v>295.584</v>
      </c>
      <c r="E125" t="n">
        <v>1628.216</v>
      </c>
      <c r="F125" t="n">
        <v>6313.697</v>
      </c>
      <c r="G125" t="n">
        <v>34.203</v>
      </c>
      <c r="H125" t="n">
        <v>850.383</v>
      </c>
      <c r="I125" t="n">
        <v>398.342</v>
      </c>
      <c r="J125" t="n">
        <v>33.445</v>
      </c>
      <c r="K125" t="n">
        <v>4059.918</v>
      </c>
    </row>
    <row r="126">
      <c r="A126" s="93" t="n">
        <v>28491</v>
      </c>
      <c r="B126" t="n">
        <v>11.3</v>
      </c>
      <c r="C126" t="n">
        <v>6.4</v>
      </c>
      <c r="D126" t="n">
        <v>302.563</v>
      </c>
      <c r="E126" t="n">
        <v>1628.631</v>
      </c>
      <c r="F126" t="n">
        <v>6333.848</v>
      </c>
      <c r="G126" t="n">
        <v>34.763</v>
      </c>
      <c r="H126" t="n">
        <v>866.957</v>
      </c>
      <c r="I126" t="n">
        <v>425.07</v>
      </c>
      <c r="J126" t="n">
        <v>33.967</v>
      </c>
      <c r="K126" t="n">
        <v>4082.726</v>
      </c>
    </row>
    <row r="127">
      <c r="A127" s="93" t="n">
        <v>28581</v>
      </c>
      <c r="B127" t="n">
        <v>10.4</v>
      </c>
      <c r="C127" t="n">
        <v>7.1</v>
      </c>
      <c r="D127" t="n">
        <v>334.106</v>
      </c>
      <c r="E127" t="n">
        <v>1669.477</v>
      </c>
      <c r="F127" t="n">
        <v>6578.605</v>
      </c>
      <c r="G127" t="n">
        <v>35.457</v>
      </c>
      <c r="H127" t="n">
        <v>923.266</v>
      </c>
      <c r="I127" t="n">
        <v>426.419</v>
      </c>
      <c r="J127" t="n">
        <v>34.553</v>
      </c>
      <c r="K127" t="n">
        <v>4170.01</v>
      </c>
    </row>
    <row r="128">
      <c r="A128" s="93" t="n">
        <v>28672</v>
      </c>
      <c r="B128" t="n">
        <v>10.7</v>
      </c>
      <c r="C128" t="n">
        <v>7</v>
      </c>
      <c r="D128" t="n">
        <v>337.772</v>
      </c>
      <c r="E128" t="n">
        <v>1684.9</v>
      </c>
      <c r="F128" t="n">
        <v>6644.754</v>
      </c>
      <c r="G128" t="n">
        <v>36.083</v>
      </c>
      <c r="H128" t="n">
        <v>950.1660000000001</v>
      </c>
      <c r="I128" t="n">
        <v>431.993</v>
      </c>
      <c r="J128" t="n">
        <v>35.146</v>
      </c>
      <c r="K128" t="n">
        <v>4187.52</v>
      </c>
    </row>
    <row r="129">
      <c r="A129" s="93" t="n">
        <v>28764</v>
      </c>
      <c r="B129" t="n">
        <v>10.5</v>
      </c>
      <c r="C129" t="n">
        <v>7.4</v>
      </c>
      <c r="D129" t="n">
        <v>351.178</v>
      </c>
      <c r="E129" t="n">
        <v>1700.067</v>
      </c>
      <c r="F129" t="n">
        <v>6734.069</v>
      </c>
      <c r="G129" t="n">
        <v>36.796</v>
      </c>
      <c r="H129" t="n">
        <v>972.139</v>
      </c>
      <c r="I129" t="n">
        <v>437.924</v>
      </c>
      <c r="J129" t="n">
        <v>35.777</v>
      </c>
      <c r="K129" t="n">
        <v>4221.31</v>
      </c>
    </row>
    <row r="130">
      <c r="A130" s="93" t="n">
        <v>28856</v>
      </c>
      <c r="B130" t="n">
        <v>11.1</v>
      </c>
      <c r="C130" t="n">
        <v>5.6</v>
      </c>
      <c r="D130" t="n">
        <v>351.453</v>
      </c>
      <c r="E130" t="n">
        <v>1683.258</v>
      </c>
      <c r="F130" t="n">
        <v>6746.176</v>
      </c>
      <c r="G130" t="n">
        <v>37.483</v>
      </c>
      <c r="H130" t="n">
        <v>973.754</v>
      </c>
      <c r="I130" t="n">
        <v>436.734</v>
      </c>
      <c r="J130" t="n">
        <v>36.266</v>
      </c>
      <c r="K130" t="n">
        <v>4243.173</v>
      </c>
    </row>
    <row r="131">
      <c r="A131" s="93" t="n">
        <v>28946</v>
      </c>
      <c r="B131" t="n">
        <v>10.4</v>
      </c>
      <c r="C131" t="n">
        <v>9.1</v>
      </c>
      <c r="D131" t="n">
        <v>352.369</v>
      </c>
      <c r="E131" t="n">
        <v>1699.659</v>
      </c>
      <c r="F131" t="n">
        <v>6753.389</v>
      </c>
      <c r="G131" t="n">
        <v>38.388</v>
      </c>
      <c r="H131" t="n">
        <v>972.877</v>
      </c>
      <c r="I131" t="n">
        <v>439.092</v>
      </c>
      <c r="J131" t="n">
        <v>37.063</v>
      </c>
      <c r="K131" t="n">
        <v>4240.419</v>
      </c>
    </row>
    <row r="132">
      <c r="A132" s="93" t="n">
        <v>29037</v>
      </c>
      <c r="B132" t="n">
        <v>9.9</v>
      </c>
      <c r="C132" t="n">
        <v>7.6</v>
      </c>
      <c r="D132" t="n">
        <v>365.05</v>
      </c>
      <c r="E132" t="n">
        <v>1704.624</v>
      </c>
      <c r="F132" t="n">
        <v>6803.558</v>
      </c>
      <c r="G132" t="n">
        <v>39.19</v>
      </c>
      <c r="H132" t="n">
        <v>956.4930000000001</v>
      </c>
      <c r="I132" t="n">
        <v>432.386</v>
      </c>
      <c r="J132" t="n">
        <v>37.747</v>
      </c>
      <c r="K132" t="n">
        <v>4281.682</v>
      </c>
    </row>
    <row r="133">
      <c r="A133" s="93" t="n">
        <v>29129</v>
      </c>
      <c r="B133" t="n">
        <v>9.800000000000001</v>
      </c>
      <c r="C133" t="n">
        <v>8.6</v>
      </c>
      <c r="D133" t="n">
        <v>388.019</v>
      </c>
      <c r="E133" t="n">
        <v>1715.85</v>
      </c>
      <c r="F133" t="n">
        <v>6820.572</v>
      </c>
      <c r="G133" t="n">
        <v>39.905</v>
      </c>
      <c r="H133" t="n">
        <v>939.526</v>
      </c>
      <c r="I133" t="n">
        <v>441.816</v>
      </c>
      <c r="J133" t="n">
        <v>38.534</v>
      </c>
      <c r="K133" t="n">
        <v>4292.335</v>
      </c>
    </row>
    <row r="134">
      <c r="A134" s="93" t="n">
        <v>29221</v>
      </c>
      <c r="B134" t="n">
        <v>10.1</v>
      </c>
      <c r="C134" t="n">
        <v>10.2</v>
      </c>
      <c r="D134" t="n">
        <v>398.848</v>
      </c>
      <c r="E134" t="n">
        <v>1741.034</v>
      </c>
      <c r="F134" t="n">
        <v>6842.024</v>
      </c>
      <c r="G134" t="n">
        <v>40.777</v>
      </c>
      <c r="H134" t="n">
        <v>933.101</v>
      </c>
      <c r="I134" t="n">
        <v>442.117</v>
      </c>
      <c r="J134" t="n">
        <v>39.477</v>
      </c>
      <c r="K134" t="n">
        <v>4286.2</v>
      </c>
    </row>
    <row r="135">
      <c r="A135" s="93" t="n">
        <v>29312</v>
      </c>
      <c r="B135" t="n">
        <v>11.3</v>
      </c>
      <c r="C135" t="n">
        <v>9.300000000000001</v>
      </c>
      <c r="D135" t="n">
        <v>406.367</v>
      </c>
      <c r="E135" t="n">
        <v>1744.456</v>
      </c>
      <c r="F135" t="n">
        <v>6701.046</v>
      </c>
      <c r="G135" t="n">
        <v>41.745</v>
      </c>
      <c r="H135" t="n">
        <v>853.76</v>
      </c>
      <c r="I135" t="n">
        <v>410.012</v>
      </c>
      <c r="J135" t="n">
        <v>40.36</v>
      </c>
      <c r="K135" t="n">
        <v>4189.671</v>
      </c>
    </row>
    <row r="136">
      <c r="A136" s="93" t="n">
        <v>29403</v>
      </c>
      <c r="B136" t="n">
        <v>11.4</v>
      </c>
      <c r="C136" t="n">
        <v>9.199999999999999</v>
      </c>
      <c r="D136" t="n">
        <v>405.501</v>
      </c>
      <c r="E136" t="n">
        <v>1720.713</v>
      </c>
      <c r="F136" t="n">
        <v>6693.082</v>
      </c>
      <c r="G136" t="n">
        <v>42.676</v>
      </c>
      <c r="H136" t="n">
        <v>797.4109999999999</v>
      </c>
      <c r="I136" t="n">
        <v>380.507</v>
      </c>
      <c r="J136" t="n">
        <v>41.259</v>
      </c>
      <c r="K136" t="n">
        <v>4235.629</v>
      </c>
    </row>
    <row r="137">
      <c r="A137" s="93" t="n">
        <v>29495</v>
      </c>
      <c r="B137" t="n">
        <v>11.4</v>
      </c>
      <c r="C137" t="n">
        <v>10.1</v>
      </c>
      <c r="D137" t="n">
        <v>403.045</v>
      </c>
      <c r="E137" t="n">
        <v>1720.334</v>
      </c>
      <c r="F137" t="n">
        <v>6817.903</v>
      </c>
      <c r="G137" t="n">
        <v>43.807</v>
      </c>
      <c r="H137" t="n">
        <v>871.7329999999999</v>
      </c>
      <c r="I137" t="n">
        <v>400.911</v>
      </c>
      <c r="J137" t="n">
        <v>42.264</v>
      </c>
      <c r="K137" t="n">
        <v>4292.856</v>
      </c>
    </row>
    <row r="138">
      <c r="A138" s="93" t="n">
        <v>29587</v>
      </c>
      <c r="B138" t="n">
        <v>10.9</v>
      </c>
      <c r="C138" t="n">
        <v>9.199999999999999</v>
      </c>
      <c r="D138" t="n">
        <v>410.625</v>
      </c>
      <c r="E138" t="n">
        <v>1743.343</v>
      </c>
      <c r="F138" t="n">
        <v>6951.495</v>
      </c>
      <c r="G138" t="n">
        <v>44.968</v>
      </c>
      <c r="H138" t="n">
        <v>952.418</v>
      </c>
      <c r="I138" t="n">
        <v>418.022</v>
      </c>
      <c r="J138" t="n">
        <v>43.202</v>
      </c>
      <c r="K138" t="n">
        <v>4307.237</v>
      </c>
    </row>
    <row r="139">
      <c r="A139" s="93" t="n">
        <v>29677</v>
      </c>
      <c r="B139" t="n">
        <v>10.9</v>
      </c>
      <c r="C139" t="n">
        <v>7.8</v>
      </c>
      <c r="D139" t="n">
        <v>412.845</v>
      </c>
      <c r="E139" t="n">
        <v>1746.695</v>
      </c>
      <c r="F139" t="n">
        <v>6899.98</v>
      </c>
      <c r="G139" t="n">
        <v>45.813</v>
      </c>
      <c r="H139" t="n">
        <v>912.9450000000001</v>
      </c>
      <c r="I139" t="n">
        <v>418.639</v>
      </c>
      <c r="J139" t="n">
        <v>44.018</v>
      </c>
      <c r="K139" t="n">
        <v>4307.55</v>
      </c>
    </row>
    <row r="140">
      <c r="A140" s="93" t="n">
        <v>29768</v>
      </c>
      <c r="B140" t="n">
        <v>12.3</v>
      </c>
      <c r="C140" t="n">
        <v>7.6</v>
      </c>
      <c r="D140" t="n">
        <v>404.05</v>
      </c>
      <c r="E140" t="n">
        <v>1740.68</v>
      </c>
      <c r="F140" t="n">
        <v>6982.609</v>
      </c>
      <c r="G140" t="n">
        <v>46.703</v>
      </c>
      <c r="H140" t="n">
        <v>964.401</v>
      </c>
      <c r="I140" t="n">
        <v>413.847</v>
      </c>
      <c r="J140" t="n">
        <v>44.829</v>
      </c>
      <c r="K140" t="n">
        <v>4327.476</v>
      </c>
    </row>
    <row r="141">
      <c r="A141" s="93" t="n">
        <v>29860</v>
      </c>
      <c r="B141" t="n">
        <v>12.9</v>
      </c>
      <c r="C141" t="n">
        <v>7.3</v>
      </c>
      <c r="D141" t="n">
        <v>405.905</v>
      </c>
      <c r="E141" t="n">
        <v>1762.804</v>
      </c>
      <c r="F141" t="n">
        <v>6906.529</v>
      </c>
      <c r="G141" t="n">
        <v>47.475</v>
      </c>
      <c r="H141" t="n">
        <v>930.4400000000001</v>
      </c>
      <c r="I141" t="n">
        <v>425.696</v>
      </c>
      <c r="J141" t="n">
        <v>45.626</v>
      </c>
      <c r="K141" t="n">
        <v>4297.875</v>
      </c>
    </row>
    <row r="142">
      <c r="A142" s="93" t="n">
        <v>29952</v>
      </c>
      <c r="B142" t="n">
        <v>12.3</v>
      </c>
      <c r="C142" t="n">
        <v>6</v>
      </c>
      <c r="D142" t="n">
        <v>388.289</v>
      </c>
      <c r="E142" t="n">
        <v>1760.84</v>
      </c>
      <c r="F142" t="n">
        <v>6799.233</v>
      </c>
      <c r="G142" t="n">
        <v>48.155</v>
      </c>
      <c r="H142" t="n">
        <v>842.429</v>
      </c>
      <c r="I142" t="n">
        <v>413.539</v>
      </c>
      <c r="J142" t="n">
        <v>46.294</v>
      </c>
      <c r="K142" t="n">
        <v>4329.533</v>
      </c>
    </row>
    <row r="143">
      <c r="A143" s="93" t="n">
        <v>30042</v>
      </c>
      <c r="B143" t="n">
        <v>12.5</v>
      </c>
      <c r="C143" t="n">
        <v>5.5</v>
      </c>
      <c r="D143" t="n">
        <v>390.605</v>
      </c>
      <c r="E143" t="n">
        <v>1767.532</v>
      </c>
      <c r="F143" t="n">
        <v>6830.251</v>
      </c>
      <c r="G143" t="n">
        <v>48.795</v>
      </c>
      <c r="H143" t="n">
        <v>841.789</v>
      </c>
      <c r="I143" t="n">
        <v>406.768</v>
      </c>
      <c r="J143" t="n">
        <v>46.92</v>
      </c>
      <c r="K143" t="n">
        <v>4342.721</v>
      </c>
    </row>
    <row r="144">
      <c r="A144" s="93" t="n">
        <v>30133</v>
      </c>
      <c r="B144" t="n">
        <v>12.3</v>
      </c>
      <c r="C144" t="n">
        <v>6.6</v>
      </c>
      <c r="D144" t="n">
        <v>373.283</v>
      </c>
      <c r="E144" t="n">
        <v>1781.703</v>
      </c>
      <c r="F144" t="n">
        <v>6804.139</v>
      </c>
      <c r="G144" t="n">
        <v>49.472</v>
      </c>
      <c r="H144" t="n">
        <v>834.075</v>
      </c>
      <c r="I144" t="n">
        <v>425.635</v>
      </c>
      <c r="J144" t="n">
        <v>47.672</v>
      </c>
      <c r="K144" t="n">
        <v>4371.833</v>
      </c>
    </row>
    <row r="145">
      <c r="A145" s="93" t="n">
        <v>30225</v>
      </c>
      <c r="B145" t="n">
        <v>11</v>
      </c>
      <c r="C145" t="n">
        <v>5.7</v>
      </c>
      <c r="D145" t="n">
        <v>356.178</v>
      </c>
      <c r="E145" t="n">
        <v>1809.171</v>
      </c>
      <c r="F145" t="n">
        <v>6806.857</v>
      </c>
      <c r="G145" t="n">
        <v>49.973</v>
      </c>
      <c r="H145" t="n">
        <v>769.602</v>
      </c>
      <c r="I145" t="n">
        <v>408.929</v>
      </c>
      <c r="J145" t="n">
        <v>48.336</v>
      </c>
      <c r="K145" t="n">
        <v>4448.414</v>
      </c>
    </row>
    <row r="146">
      <c r="A146" s="93" t="n">
        <v>30317</v>
      </c>
      <c r="B146" t="n">
        <v>11</v>
      </c>
      <c r="C146" t="n">
        <v>5.4</v>
      </c>
      <c r="D146" t="n">
        <v>361.923</v>
      </c>
      <c r="E146" t="n">
        <v>1826.558</v>
      </c>
      <c r="F146" t="n">
        <v>6896.561</v>
      </c>
      <c r="G146" t="n">
        <v>50.372</v>
      </c>
      <c r="H146" t="n">
        <v>796.266</v>
      </c>
      <c r="I146" t="n">
        <v>418.301</v>
      </c>
      <c r="J146" t="n">
        <v>48.971</v>
      </c>
      <c r="K146" t="n">
        <v>4492.395</v>
      </c>
    </row>
    <row r="147">
      <c r="A147" s="93" t="n">
        <v>30407</v>
      </c>
      <c r="B147" t="n">
        <v>9.800000000000001</v>
      </c>
      <c r="C147" t="n">
        <v>3.1</v>
      </c>
      <c r="D147" t="n">
        <v>363.006</v>
      </c>
      <c r="E147" t="n">
        <v>1841.608</v>
      </c>
      <c r="F147" t="n">
        <v>7053.5</v>
      </c>
      <c r="G147" t="n">
        <v>50.746</v>
      </c>
      <c r="H147" t="n">
        <v>866.784</v>
      </c>
      <c r="I147" t="n">
        <v>450.465</v>
      </c>
      <c r="J147" t="n">
        <v>49.346</v>
      </c>
      <c r="K147" t="n">
        <v>4583.873</v>
      </c>
    </row>
    <row r="148">
      <c r="A148" s="93" t="n">
        <v>30498</v>
      </c>
      <c r="B148" t="n">
        <v>9.5</v>
      </c>
      <c r="C148" t="n">
        <v>6.2</v>
      </c>
      <c r="D148" t="n">
        <v>368.463</v>
      </c>
      <c r="E148" t="n">
        <v>1873.396</v>
      </c>
      <c r="F148" t="n">
        <v>7194.504</v>
      </c>
      <c r="G148" t="n">
        <v>51.285</v>
      </c>
      <c r="H148" t="n">
        <v>921.051</v>
      </c>
      <c r="I148" t="n">
        <v>485.556</v>
      </c>
      <c r="J148" t="n">
        <v>50.095</v>
      </c>
      <c r="K148" t="n">
        <v>4666.07</v>
      </c>
    </row>
    <row r="149">
      <c r="A149" s="93" t="n">
        <v>30590</v>
      </c>
      <c r="B149" t="n">
        <v>10</v>
      </c>
      <c r="C149" t="n">
        <v>3.2</v>
      </c>
      <c r="D149" t="n">
        <v>375.878</v>
      </c>
      <c r="E149" t="n">
        <v>1843.417</v>
      </c>
      <c r="F149" t="n">
        <v>7344.597</v>
      </c>
      <c r="G149" t="n">
        <v>51.669</v>
      </c>
      <c r="H149" t="n">
        <v>1010.654</v>
      </c>
      <c r="I149" t="n">
        <v>509.375</v>
      </c>
      <c r="J149" t="n">
        <v>50.496</v>
      </c>
      <c r="K149" t="n">
        <v>4740.427</v>
      </c>
    </row>
    <row r="150">
      <c r="A150" s="93" t="n">
        <v>30682</v>
      </c>
      <c r="B150" t="n">
        <v>11.1</v>
      </c>
      <c r="C150" t="n">
        <v>4.1</v>
      </c>
      <c r="D150" t="n">
        <v>383.723</v>
      </c>
      <c r="E150" t="n">
        <v>1862.955</v>
      </c>
      <c r="F150" t="n">
        <v>7488.167</v>
      </c>
      <c r="G150" t="n">
        <v>52.178</v>
      </c>
      <c r="H150" t="n">
        <v>1108.328</v>
      </c>
      <c r="I150" t="n">
        <v>550.324</v>
      </c>
      <c r="J150" t="n">
        <v>51.006</v>
      </c>
      <c r="K150" t="n">
        <v>4779.767</v>
      </c>
    </row>
    <row r="151">
      <c r="A151" s="93" t="n">
        <v>30773</v>
      </c>
      <c r="B151" t="n">
        <v>11.3</v>
      </c>
      <c r="C151" t="n">
        <v>4.8</v>
      </c>
      <c r="D151" t="n">
        <v>393.26</v>
      </c>
      <c r="E151" t="n">
        <v>1903.424</v>
      </c>
      <c r="F151" t="n">
        <v>7617.547</v>
      </c>
      <c r="G151" t="n">
        <v>52.647</v>
      </c>
      <c r="H151" t="n">
        <v>1144.371</v>
      </c>
      <c r="I151" t="n">
        <v>573.377</v>
      </c>
      <c r="J151" t="n">
        <v>51.603</v>
      </c>
      <c r="K151" t="n">
        <v>4846.731</v>
      </c>
    </row>
    <row r="152">
      <c r="A152" s="93" t="n">
        <v>30864</v>
      </c>
      <c r="B152" t="n">
        <v>11.7</v>
      </c>
      <c r="C152" t="n">
        <v>3.8</v>
      </c>
      <c r="D152" t="n">
        <v>401.948</v>
      </c>
      <c r="E152" t="n">
        <v>1918.833</v>
      </c>
      <c r="F152" t="n">
        <v>7690.985</v>
      </c>
      <c r="G152" t="n">
        <v>53.122</v>
      </c>
      <c r="H152" t="n">
        <v>1169.136</v>
      </c>
      <c r="I152" t="n">
        <v>588.22</v>
      </c>
      <c r="J152" t="n">
        <v>52.088</v>
      </c>
      <c r="K152" t="n">
        <v>4882.676</v>
      </c>
    </row>
    <row r="153">
      <c r="A153" s="93" t="n">
        <v>30956</v>
      </c>
      <c r="B153" t="n">
        <v>11.3</v>
      </c>
      <c r="C153" t="n">
        <v>2.9</v>
      </c>
      <c r="D153" t="n">
        <v>410.126</v>
      </c>
      <c r="E153" t="n">
        <v>1959.121</v>
      </c>
      <c r="F153" t="n">
        <v>7754.117</v>
      </c>
      <c r="G153" t="n">
        <v>53.494</v>
      </c>
      <c r="H153" t="n">
        <v>1153.971</v>
      </c>
      <c r="I153" t="n">
        <v>605.461</v>
      </c>
      <c r="J153" t="n">
        <v>52.458</v>
      </c>
      <c r="K153" t="n">
        <v>4945.926</v>
      </c>
    </row>
    <row r="154">
      <c r="A154" s="93" t="n">
        <v>31048</v>
      </c>
      <c r="B154" t="n">
        <v>9.300000000000001</v>
      </c>
      <c r="C154" t="n">
        <v>5.6</v>
      </c>
      <c r="D154" t="n">
        <v>411.214</v>
      </c>
      <c r="E154" t="n">
        <v>1980.458</v>
      </c>
      <c r="F154" t="n">
        <v>7829.26</v>
      </c>
      <c r="G154" t="n">
        <v>54.041</v>
      </c>
      <c r="H154" t="n">
        <v>1122.331</v>
      </c>
      <c r="I154" t="n">
        <v>592.1079999999999</v>
      </c>
      <c r="J154" t="n">
        <v>53.174</v>
      </c>
      <c r="K154" t="n">
        <v>5029.959</v>
      </c>
    </row>
    <row r="155">
      <c r="A155" s="93" t="n">
        <v>31138</v>
      </c>
      <c r="B155" t="n">
        <v>10.2</v>
      </c>
      <c r="C155" t="n">
        <v>3.5</v>
      </c>
      <c r="D155" t="n">
        <v>410.332</v>
      </c>
      <c r="E155" t="n">
        <v>2024.41</v>
      </c>
      <c r="F155" t="n">
        <v>7898.194</v>
      </c>
      <c r="G155" t="n">
        <v>54.361</v>
      </c>
      <c r="H155" t="n">
        <v>1141.447</v>
      </c>
      <c r="I155" t="n">
        <v>621.201</v>
      </c>
      <c r="J155" t="n">
        <v>53.635</v>
      </c>
      <c r="K155" t="n">
        <v>5076.136</v>
      </c>
    </row>
    <row r="156">
      <c r="A156" s="93" t="n">
        <v>31229</v>
      </c>
      <c r="B156" t="n">
        <v>8.199999999999999</v>
      </c>
      <c r="C156" t="n">
        <v>4.2</v>
      </c>
      <c r="D156" t="n">
        <v>404.347</v>
      </c>
      <c r="E156" t="n">
        <v>2070.55</v>
      </c>
      <c r="F156" t="n">
        <v>8018.809</v>
      </c>
      <c r="G156" t="n">
        <v>54.722</v>
      </c>
      <c r="H156" t="n">
        <v>1133.665</v>
      </c>
      <c r="I156" t="n">
        <v>615.192</v>
      </c>
      <c r="J156" t="n">
        <v>54.186</v>
      </c>
      <c r="K156" t="n">
        <v>5172.55</v>
      </c>
    </row>
    <row r="157">
      <c r="A157" s="93" t="n">
        <v>31321</v>
      </c>
      <c r="B157" t="n">
        <v>8.9</v>
      </c>
      <c r="C157" t="n">
        <v>2.9</v>
      </c>
      <c r="D157" t="n">
        <v>416.411</v>
      </c>
      <c r="E157" t="n">
        <v>2079.086</v>
      </c>
      <c r="F157" t="n">
        <v>8078.415</v>
      </c>
      <c r="G157" t="n">
        <v>55.006</v>
      </c>
      <c r="H157" t="n">
        <v>1175.45</v>
      </c>
      <c r="I157" t="n">
        <v>639.2670000000001</v>
      </c>
      <c r="J157" t="n">
        <v>54.575</v>
      </c>
      <c r="K157" t="n">
        <v>5183.741</v>
      </c>
    </row>
    <row r="158">
      <c r="A158" s="93" t="n">
        <v>31413</v>
      </c>
      <c r="B158" t="n">
        <v>9.300000000000001</v>
      </c>
      <c r="C158" t="n">
        <v>4.4</v>
      </c>
      <c r="D158" t="n">
        <v>429.453</v>
      </c>
      <c r="E158" t="n">
        <v>2095.512</v>
      </c>
      <c r="F158" t="n">
        <v>8153.829</v>
      </c>
      <c r="G158" t="n">
        <v>55.278</v>
      </c>
      <c r="H158" t="n">
        <v>1175.105</v>
      </c>
      <c r="I158" t="n">
        <v>638.629</v>
      </c>
      <c r="J158" t="n">
        <v>55.165</v>
      </c>
      <c r="K158" t="n">
        <v>5229.041</v>
      </c>
    </row>
    <row r="159">
      <c r="A159" s="93" t="n">
        <v>31503</v>
      </c>
      <c r="B159" t="n">
        <v>9.5</v>
      </c>
      <c r="C159" t="n">
        <v>2.8</v>
      </c>
      <c r="D159" t="n">
        <v>434.077</v>
      </c>
      <c r="E159" t="n">
        <v>2139.194</v>
      </c>
      <c r="F159" t="n">
        <v>8190.552</v>
      </c>
      <c r="G159" t="n">
        <v>55.472</v>
      </c>
      <c r="H159" t="n">
        <v>1154.589</v>
      </c>
      <c r="I159" t="n">
        <v>665.801</v>
      </c>
      <c r="J159" t="n">
        <v>55.542</v>
      </c>
      <c r="K159" t="n">
        <v>5286.019</v>
      </c>
    </row>
    <row r="160">
      <c r="A160" s="93" t="n">
        <v>31594</v>
      </c>
      <c r="B160" t="n">
        <v>8.5</v>
      </c>
      <c r="C160" t="n">
        <v>2.8</v>
      </c>
      <c r="D160" t="n">
        <v>444.012</v>
      </c>
      <c r="E160" t="n">
        <v>2185.789</v>
      </c>
      <c r="F160" t="n">
        <v>8268.934999999999</v>
      </c>
      <c r="G160" t="n">
        <v>55.735</v>
      </c>
      <c r="H160" t="n">
        <v>1123.532</v>
      </c>
      <c r="I160" t="n">
        <v>684.256</v>
      </c>
      <c r="J160" t="n">
        <v>55.924</v>
      </c>
      <c r="K160" t="n">
        <v>5379.527</v>
      </c>
    </row>
    <row r="161">
      <c r="A161" s="93" t="n">
        <v>31686</v>
      </c>
      <c r="B161" t="n">
        <v>8.1</v>
      </c>
      <c r="C161" t="n">
        <v>3.3</v>
      </c>
      <c r="D161" t="n">
        <v>460.6</v>
      </c>
      <c r="E161" t="n">
        <v>2176.757</v>
      </c>
      <c r="F161" t="n">
        <v>8313.338</v>
      </c>
      <c r="G161" t="n">
        <v>56.066</v>
      </c>
      <c r="H161" t="n">
        <v>1126.895</v>
      </c>
      <c r="I161" t="n">
        <v>689.567</v>
      </c>
      <c r="J161" t="n">
        <v>56.378</v>
      </c>
      <c r="K161" t="n">
        <v>5412.515</v>
      </c>
    </row>
    <row r="162">
      <c r="A162" s="93" t="n">
        <v>31778</v>
      </c>
      <c r="B162" t="n">
        <v>8.9</v>
      </c>
      <c r="C162" t="n">
        <v>2.5</v>
      </c>
      <c r="D162" t="n">
        <v>461.01</v>
      </c>
      <c r="E162" t="n">
        <v>2189.523</v>
      </c>
      <c r="F162" t="n">
        <v>8375.273999999999</v>
      </c>
      <c r="G162" t="n">
        <v>56.391</v>
      </c>
      <c r="H162" t="n">
        <v>1157.306</v>
      </c>
      <c r="I162" t="n">
        <v>685.524</v>
      </c>
      <c r="J162" t="n">
        <v>56.732</v>
      </c>
      <c r="K162" t="n">
        <v>5417.904</v>
      </c>
    </row>
    <row r="163">
      <c r="A163" s="93" t="n">
        <v>31868</v>
      </c>
      <c r="B163" t="n">
        <v>6.8</v>
      </c>
      <c r="C163" t="n">
        <v>3.9</v>
      </c>
      <c r="D163" t="n">
        <v>480.003</v>
      </c>
      <c r="E163" t="n">
        <v>2206.5</v>
      </c>
      <c r="F163" t="n">
        <v>8465.629999999999</v>
      </c>
      <c r="G163" t="n">
        <v>56.774</v>
      </c>
      <c r="H163" t="n">
        <v>1157.909</v>
      </c>
      <c r="I163" t="n">
        <v>702.675</v>
      </c>
      <c r="J163" t="n">
        <v>57.282</v>
      </c>
      <c r="K163" t="n">
        <v>5491.837</v>
      </c>
    </row>
    <row r="164">
      <c r="A164" s="93" t="n">
        <v>31959</v>
      </c>
      <c r="B164" t="n">
        <v>7.5</v>
      </c>
      <c r="C164" t="n">
        <v>3.6</v>
      </c>
      <c r="D164" t="n">
        <v>500.839</v>
      </c>
      <c r="E164" t="n">
        <v>2208.818</v>
      </c>
      <c r="F164" t="n">
        <v>8539.075000000001</v>
      </c>
      <c r="G164" t="n">
        <v>57.212</v>
      </c>
      <c r="H164" t="n">
        <v>1158.077</v>
      </c>
      <c r="I164" t="n">
        <v>716.372</v>
      </c>
      <c r="J164" t="n">
        <v>57.795</v>
      </c>
      <c r="K164" t="n">
        <v>5554.512</v>
      </c>
    </row>
    <row r="165">
      <c r="A165" s="93" t="n">
        <v>32051</v>
      </c>
      <c r="B165" t="n">
        <v>8.5</v>
      </c>
      <c r="C165" t="n">
        <v>4.1</v>
      </c>
      <c r="D165" t="n">
        <v>519.523</v>
      </c>
      <c r="E165" t="n">
        <v>2241.934</v>
      </c>
      <c r="F165" t="n">
        <v>8685.694</v>
      </c>
      <c r="G165" t="n">
        <v>57.641</v>
      </c>
      <c r="H165" t="n">
        <v>1236.986</v>
      </c>
      <c r="I165" t="n">
        <v>732.845</v>
      </c>
      <c r="J165" t="n">
        <v>58.382</v>
      </c>
      <c r="K165" t="n">
        <v>5566.263</v>
      </c>
    </row>
    <row r="166">
      <c r="A166" s="93" t="n">
        <v>32143</v>
      </c>
      <c r="B166" t="n">
        <v>8.300000000000001</v>
      </c>
      <c r="C166" t="n">
        <v>3.9</v>
      </c>
      <c r="D166" t="n">
        <v>548.373</v>
      </c>
      <c r="E166" t="n">
        <v>2223.229</v>
      </c>
      <c r="F166" t="n">
        <v>8730.569</v>
      </c>
      <c r="G166" t="n">
        <v>58.087</v>
      </c>
      <c r="H166" t="n">
        <v>1177.604</v>
      </c>
      <c r="I166" t="n">
        <v>729.393</v>
      </c>
      <c r="J166" t="n">
        <v>58.945</v>
      </c>
      <c r="K166" t="n">
        <v>5664.593</v>
      </c>
    </row>
    <row r="167">
      <c r="A167" s="93" t="n">
        <v>32234</v>
      </c>
      <c r="B167" t="n">
        <v>8.6</v>
      </c>
      <c r="C167" t="n">
        <v>4.9</v>
      </c>
      <c r="D167" t="n">
        <v>563.741</v>
      </c>
      <c r="E167" t="n">
        <v>2229.868</v>
      </c>
      <c r="F167" t="n">
        <v>8845.280000000001</v>
      </c>
      <c r="G167" t="n">
        <v>58.667</v>
      </c>
      <c r="H167" t="n">
        <v>1205.662</v>
      </c>
      <c r="I167" t="n">
        <v>720.992</v>
      </c>
      <c r="J167" t="n">
        <v>59.66</v>
      </c>
      <c r="K167" t="n">
        <v>5706.414</v>
      </c>
    </row>
    <row r="168">
      <c r="A168" s="93" t="n">
        <v>32325</v>
      </c>
      <c r="B168" t="n">
        <v>8.6</v>
      </c>
      <c r="C168" t="n">
        <v>4.7</v>
      </c>
      <c r="D168" t="n">
        <v>574.85</v>
      </c>
      <c r="E168" t="n">
        <v>2230.13</v>
      </c>
      <c r="F168" t="n">
        <v>8897.107</v>
      </c>
      <c r="G168" t="n">
        <v>59.385</v>
      </c>
      <c r="H168" t="n">
        <v>1212.36</v>
      </c>
      <c r="I168" t="n">
        <v>738.003</v>
      </c>
      <c r="J168" t="n">
        <v>60.347</v>
      </c>
      <c r="K168" t="n">
        <v>5757.12</v>
      </c>
    </row>
    <row r="169">
      <c r="A169" s="93" t="n">
        <v>32417</v>
      </c>
      <c r="B169" t="n">
        <v>8.5</v>
      </c>
      <c r="C169" t="n">
        <v>4.5</v>
      </c>
      <c r="D169" t="n">
        <v>592.395</v>
      </c>
      <c r="E169" t="n">
        <v>2273.404</v>
      </c>
      <c r="F169" t="n">
        <v>9015.661</v>
      </c>
      <c r="G169" t="n">
        <v>59.932</v>
      </c>
      <c r="H169" t="n">
        <v>1230.861</v>
      </c>
      <c r="I169" t="n">
        <v>760.484</v>
      </c>
      <c r="J169" t="n">
        <v>61.022</v>
      </c>
      <c r="K169" t="n">
        <v>5822.579</v>
      </c>
    </row>
    <row r="170">
      <c r="A170" s="93" t="n">
        <v>32509</v>
      </c>
      <c r="B170" t="n">
        <v>9</v>
      </c>
      <c r="C170" t="n">
        <v>4.4</v>
      </c>
      <c r="D170" t="n">
        <v>610.088</v>
      </c>
      <c r="E170" t="n">
        <v>2263.411</v>
      </c>
      <c r="F170" t="n">
        <v>9107.314</v>
      </c>
      <c r="G170" t="n">
        <v>60.508</v>
      </c>
      <c r="H170" t="n">
        <v>1272.638</v>
      </c>
      <c r="I170" t="n">
        <v>764.021</v>
      </c>
      <c r="J170" t="n">
        <v>61.687</v>
      </c>
      <c r="K170" t="n">
        <v>5849.592</v>
      </c>
    </row>
    <row r="171">
      <c r="A171" s="93" t="n">
        <v>32599</v>
      </c>
      <c r="B171" t="n">
        <v>8.300000000000001</v>
      </c>
      <c r="C171" t="n">
        <v>3.7</v>
      </c>
      <c r="D171" t="n">
        <v>636.8</v>
      </c>
      <c r="E171" t="n">
        <v>2298.225</v>
      </c>
      <c r="F171" t="n">
        <v>9176.826999999999</v>
      </c>
      <c r="G171" t="n">
        <v>61.163</v>
      </c>
      <c r="H171" t="n">
        <v>1260.328</v>
      </c>
      <c r="I171" t="n">
        <v>767.643</v>
      </c>
      <c r="J171" t="n">
        <v>62.249</v>
      </c>
      <c r="K171" t="n">
        <v>5876.896</v>
      </c>
    </row>
    <row r="172">
      <c r="A172" s="93" t="n">
        <v>32690</v>
      </c>
      <c r="B172" t="n">
        <v>8</v>
      </c>
      <c r="C172" t="n">
        <v>3</v>
      </c>
      <c r="D172" t="n">
        <v>643.3049999999999</v>
      </c>
      <c r="E172" t="n">
        <v>2318.902</v>
      </c>
      <c r="F172" t="n">
        <v>9244.816000000001</v>
      </c>
      <c r="G172" t="n">
        <v>61.617</v>
      </c>
      <c r="H172" t="n">
        <v>1249.012</v>
      </c>
      <c r="I172" t="n">
        <v>766.599</v>
      </c>
      <c r="J172" t="n">
        <v>62.712</v>
      </c>
      <c r="K172" t="n">
        <v>5933.79</v>
      </c>
    </row>
    <row r="173">
      <c r="A173" s="93" t="n">
        <v>32782</v>
      </c>
      <c r="B173" t="n">
        <v>8.300000000000001</v>
      </c>
      <c r="C173" t="n">
        <v>3.7</v>
      </c>
      <c r="D173" t="n">
        <v>653.043</v>
      </c>
      <c r="E173" t="n">
        <v>2330.534</v>
      </c>
      <c r="F173" t="n">
        <v>9263.032999999999</v>
      </c>
      <c r="G173" t="n">
        <v>62.037</v>
      </c>
      <c r="H173" t="n">
        <v>1239.747</v>
      </c>
      <c r="I173" t="n">
        <v>780.4690000000001</v>
      </c>
      <c r="J173" t="n">
        <v>63.286</v>
      </c>
      <c r="K173" t="n">
        <v>5959.58</v>
      </c>
    </row>
    <row r="174">
      <c r="A174" s="93" t="n">
        <v>32874</v>
      </c>
      <c r="B174" t="n">
        <v>8.300000000000001</v>
      </c>
      <c r="C174" t="n">
        <v>4.7</v>
      </c>
      <c r="D174" t="n">
        <v>681.404</v>
      </c>
      <c r="E174" t="n">
        <v>2367.8</v>
      </c>
      <c r="F174" t="n">
        <v>9364.259</v>
      </c>
      <c r="G174" t="n">
        <v>62.713</v>
      </c>
      <c r="H174" t="n">
        <v>1252.058</v>
      </c>
      <c r="I174" t="n">
        <v>805.2190000000001</v>
      </c>
      <c r="J174" t="n">
        <v>64.015</v>
      </c>
      <c r="K174" t="n">
        <v>6009.735</v>
      </c>
    </row>
    <row r="175">
      <c r="A175" s="93" t="n">
        <v>32964</v>
      </c>
      <c r="B175" t="n">
        <v>8.699999999999999</v>
      </c>
      <c r="C175" t="n">
        <v>4.5</v>
      </c>
      <c r="D175" t="n">
        <v>689.878</v>
      </c>
      <c r="E175" t="n">
        <v>2371.533</v>
      </c>
      <c r="F175" t="n">
        <v>9398.243</v>
      </c>
      <c r="G175" t="n">
        <v>63.415</v>
      </c>
      <c r="H175" t="n">
        <v>1252.449</v>
      </c>
      <c r="I175" t="n">
        <v>803.8680000000001</v>
      </c>
      <c r="J175" t="n">
        <v>64.73</v>
      </c>
      <c r="K175" t="n">
        <v>6028.041</v>
      </c>
    </row>
    <row r="176">
      <c r="A176" s="93" t="n">
        <v>33055</v>
      </c>
      <c r="B176" t="n">
        <v>8.300000000000001</v>
      </c>
      <c r="C176" t="n">
        <v>4.1</v>
      </c>
      <c r="D176" t="n">
        <v>695.099</v>
      </c>
      <c r="E176" t="n">
        <v>2375.306</v>
      </c>
      <c r="F176" t="n">
        <v>9404.494000000001</v>
      </c>
      <c r="G176" t="n">
        <v>63.963</v>
      </c>
      <c r="H176" t="n">
        <v>1228.17</v>
      </c>
      <c r="I176" t="n">
        <v>800.622</v>
      </c>
      <c r="J176" t="n">
        <v>65.384</v>
      </c>
      <c r="K176" t="n">
        <v>6051.922</v>
      </c>
    </row>
    <row r="177">
      <c r="A177" s="93" t="n">
        <v>33147</v>
      </c>
      <c r="B177" t="n">
        <v>8.199999999999999</v>
      </c>
      <c r="C177" t="n">
        <v>3.4</v>
      </c>
      <c r="D177" t="n">
        <v>701.2190000000001</v>
      </c>
      <c r="E177" t="n">
        <v>2391.188</v>
      </c>
      <c r="F177" t="n">
        <v>9318.876</v>
      </c>
      <c r="G177" t="n">
        <v>64.452</v>
      </c>
      <c r="H177" t="n">
        <v>1159.464</v>
      </c>
      <c r="I177" t="n">
        <v>779.151</v>
      </c>
      <c r="J177" t="n">
        <v>65.93300000000001</v>
      </c>
      <c r="K177" t="n">
        <v>6005.882</v>
      </c>
    </row>
    <row r="178">
      <c r="A178" s="93" t="n">
        <v>33239</v>
      </c>
      <c r="B178" t="n">
        <v>8.699999999999999</v>
      </c>
      <c r="C178" t="n">
        <v>3.6</v>
      </c>
      <c r="D178" t="n">
        <v>705.503</v>
      </c>
      <c r="E178" t="n">
        <v>2405.447</v>
      </c>
      <c r="F178" t="n">
        <v>9275.276</v>
      </c>
      <c r="G178" t="n">
        <v>65.078</v>
      </c>
      <c r="H178" t="n">
        <v>1120.884</v>
      </c>
      <c r="I178" t="n">
        <v>770.272</v>
      </c>
      <c r="J178" t="n">
        <v>66.518</v>
      </c>
      <c r="K178" t="n">
        <v>5983.298</v>
      </c>
    </row>
    <row r="179">
      <c r="A179" s="93" t="n">
        <v>33329</v>
      </c>
      <c r="B179" t="n">
        <v>8.6</v>
      </c>
      <c r="C179" t="n">
        <v>3.1</v>
      </c>
      <c r="D179" t="n">
        <v>731.225</v>
      </c>
      <c r="E179" t="n">
        <v>2415.232</v>
      </c>
      <c r="F179" t="n">
        <v>9347.597</v>
      </c>
      <c r="G179" t="n">
        <v>65.547</v>
      </c>
      <c r="H179" t="n">
        <v>1120.88</v>
      </c>
      <c r="I179" t="n">
        <v>783.963</v>
      </c>
      <c r="J179" t="n">
        <v>67.03100000000001</v>
      </c>
      <c r="K179" t="n">
        <v>6032.885</v>
      </c>
    </row>
    <row r="180">
      <c r="A180" s="93" t="n">
        <v>33420</v>
      </c>
      <c r="B180" t="n">
        <v>8.6</v>
      </c>
      <c r="C180" t="n">
        <v>3.7</v>
      </c>
      <c r="D180" t="n">
        <v>748.5359999999999</v>
      </c>
      <c r="E180" t="n">
        <v>2408.467</v>
      </c>
      <c r="F180" t="n">
        <v>9394.834000000001</v>
      </c>
      <c r="G180" t="n">
        <v>66.05</v>
      </c>
      <c r="H180" t="n">
        <v>1143.073</v>
      </c>
      <c r="I180" t="n">
        <v>806.025</v>
      </c>
      <c r="J180" t="n">
        <v>67.63500000000001</v>
      </c>
      <c r="K180" t="n">
        <v>6062.964</v>
      </c>
    </row>
    <row r="181">
      <c r="A181" s="93" t="n">
        <v>33512</v>
      </c>
      <c r="B181" t="n">
        <v>9.4</v>
      </c>
      <c r="C181" t="n">
        <v>3.2</v>
      </c>
      <c r="D181" t="n">
        <v>765.391</v>
      </c>
      <c r="E181" t="n">
        <v>2390.844</v>
      </c>
      <c r="F181" t="n">
        <v>9427.581</v>
      </c>
      <c r="G181" t="n">
        <v>66.434</v>
      </c>
      <c r="H181" t="n">
        <v>1183.605</v>
      </c>
      <c r="I181" t="n">
        <v>823.831</v>
      </c>
      <c r="J181" t="n">
        <v>68.167</v>
      </c>
      <c r="K181" t="n">
        <v>6059.93</v>
      </c>
    </row>
    <row r="182">
      <c r="A182" s="93" t="n">
        <v>33604</v>
      </c>
      <c r="B182" t="n">
        <v>9.6</v>
      </c>
      <c r="C182" t="n">
        <v>3.1</v>
      </c>
      <c r="D182" t="n">
        <v>779.228</v>
      </c>
      <c r="E182" t="n">
        <v>2412.033</v>
      </c>
      <c r="F182" t="n">
        <v>9540.444</v>
      </c>
      <c r="G182" t="n">
        <v>66.7</v>
      </c>
      <c r="H182" t="n">
        <v>1161.74</v>
      </c>
      <c r="I182" t="n">
        <v>829.8150000000001</v>
      </c>
      <c r="J182" t="n">
        <v>68.688</v>
      </c>
      <c r="K182" t="n">
        <v>6173.393</v>
      </c>
    </row>
    <row r="183">
      <c r="A183" s="93" t="n">
        <v>33695</v>
      </c>
      <c r="B183" t="n">
        <v>9.9</v>
      </c>
      <c r="C183" t="n">
        <v>2.9</v>
      </c>
      <c r="D183" t="n">
        <v>779.599</v>
      </c>
      <c r="E183" t="n">
        <v>2407.369</v>
      </c>
      <c r="F183" t="n">
        <v>9643.893</v>
      </c>
      <c r="G183" t="n">
        <v>67.098</v>
      </c>
      <c r="H183" t="n">
        <v>1227.44</v>
      </c>
      <c r="I183" t="n">
        <v>843.457</v>
      </c>
      <c r="J183" t="n">
        <v>69.173</v>
      </c>
      <c r="K183" t="n">
        <v>6215.3</v>
      </c>
    </row>
    <row r="184">
      <c r="A184" s="93" t="n">
        <v>33786</v>
      </c>
      <c r="B184" t="n">
        <v>9.300000000000001</v>
      </c>
      <c r="C184" t="n">
        <v>2.4</v>
      </c>
      <c r="D184" t="n">
        <v>796.12</v>
      </c>
      <c r="E184" t="n">
        <v>2422.703</v>
      </c>
      <c r="F184" t="n">
        <v>9739.184999999999</v>
      </c>
      <c r="G184" t="n">
        <v>67.419</v>
      </c>
      <c r="H184" t="n">
        <v>1237.197</v>
      </c>
      <c r="I184" t="n">
        <v>856.753</v>
      </c>
      <c r="J184" t="n">
        <v>69.583</v>
      </c>
      <c r="K184" t="n">
        <v>6281.923</v>
      </c>
    </row>
    <row r="185">
      <c r="A185" s="93" t="n">
        <v>33878</v>
      </c>
      <c r="B185" t="n">
        <v>8.9</v>
      </c>
      <c r="C185" t="n">
        <v>3</v>
      </c>
      <c r="D185" t="n">
        <v>800.11</v>
      </c>
      <c r="E185" t="n">
        <v>2422.424</v>
      </c>
      <c r="F185" t="n">
        <v>9840.753000000001</v>
      </c>
      <c r="G185" t="n">
        <v>67.89400000000001</v>
      </c>
      <c r="H185" t="n">
        <v>1274.945</v>
      </c>
      <c r="I185" t="n">
        <v>877.263</v>
      </c>
      <c r="J185" t="n">
        <v>70.093</v>
      </c>
      <c r="K185" t="n">
        <v>6356.796</v>
      </c>
    </row>
    <row r="186">
      <c r="A186" s="93" t="n">
        <v>33970</v>
      </c>
      <c r="B186" t="n">
        <v>8.800000000000001</v>
      </c>
      <c r="C186" t="n">
        <v>2.8</v>
      </c>
      <c r="D186" t="n">
        <v>801.896</v>
      </c>
      <c r="E186" t="n">
        <v>2392.371</v>
      </c>
      <c r="F186" t="n">
        <v>9857.184999999999</v>
      </c>
      <c r="G186" t="n">
        <v>68.298</v>
      </c>
      <c r="H186" t="n">
        <v>1305.003</v>
      </c>
      <c r="I186" t="n">
        <v>896.2569999999999</v>
      </c>
      <c r="J186" t="n">
        <v>70.57599999999999</v>
      </c>
      <c r="K186" t="n">
        <v>6381.168</v>
      </c>
    </row>
    <row r="187">
      <c r="A187" s="93" t="n">
        <v>34060</v>
      </c>
      <c r="B187" t="n">
        <v>8.300000000000001</v>
      </c>
      <c r="C187" t="n">
        <v>3.1</v>
      </c>
      <c r="D187" t="n">
        <v>811.48</v>
      </c>
      <c r="E187" t="n">
        <v>2392.585</v>
      </c>
      <c r="F187" t="n">
        <v>9914.565000000001</v>
      </c>
      <c r="G187" t="n">
        <v>68.70099999999999</v>
      </c>
      <c r="H187" t="n">
        <v>1312.511</v>
      </c>
      <c r="I187" t="n">
        <v>914.774</v>
      </c>
      <c r="J187" t="n">
        <v>71.11199999999999</v>
      </c>
      <c r="K187" t="n">
        <v>6439.211</v>
      </c>
    </row>
    <row r="188">
      <c r="A188" s="93" t="n">
        <v>34151</v>
      </c>
      <c r="B188" t="n">
        <v>7.4</v>
      </c>
      <c r="C188" t="n">
        <v>2.3</v>
      </c>
      <c r="D188" t="n">
        <v>809.299</v>
      </c>
      <c r="E188" t="n">
        <v>2395.987</v>
      </c>
      <c r="F188" t="n">
        <v>9961.873</v>
      </c>
      <c r="G188" t="n">
        <v>69.04600000000001</v>
      </c>
      <c r="H188" t="n">
        <v>1303.597</v>
      </c>
      <c r="I188" t="n">
        <v>926.821</v>
      </c>
      <c r="J188" t="n">
        <v>71.509</v>
      </c>
      <c r="K188" t="n">
        <v>6510.874</v>
      </c>
    </row>
    <row r="189">
      <c r="A189" s="93" t="n">
        <v>34243</v>
      </c>
      <c r="B189" t="n">
        <v>7.3</v>
      </c>
      <c r="C189" t="n">
        <v>2.1</v>
      </c>
      <c r="D189" t="n">
        <v>835.384</v>
      </c>
      <c r="E189" t="n">
        <v>2404.447</v>
      </c>
      <c r="F189" t="n">
        <v>10097.362</v>
      </c>
      <c r="G189" t="n">
        <v>69.452</v>
      </c>
      <c r="H189" t="n">
        <v>1372.097</v>
      </c>
      <c r="I189" t="n">
        <v>964.0549999999999</v>
      </c>
      <c r="J189" t="n">
        <v>71.877</v>
      </c>
      <c r="K189" t="n">
        <v>6568.028</v>
      </c>
    </row>
    <row r="190">
      <c r="A190" s="93" t="n">
        <v>34335</v>
      </c>
      <c r="B190" t="n">
        <v>6.8</v>
      </c>
      <c r="C190" t="n">
        <v>1.8</v>
      </c>
      <c r="D190" t="n">
        <v>843.5839999999999</v>
      </c>
      <c r="E190" t="n">
        <v>2374.698</v>
      </c>
      <c r="F190" t="n">
        <v>10195.338</v>
      </c>
      <c r="G190" t="n">
        <v>69.807</v>
      </c>
      <c r="H190" t="n">
        <v>1424.36</v>
      </c>
      <c r="I190" t="n">
        <v>986.514</v>
      </c>
      <c r="J190" t="n">
        <v>72.203</v>
      </c>
      <c r="K190" t="n">
        <v>6643.151</v>
      </c>
    </row>
    <row r="191">
      <c r="A191" s="93" t="n">
        <v>34425</v>
      </c>
      <c r="B191" t="n">
        <v>7</v>
      </c>
      <c r="C191" t="n">
        <v>2.7</v>
      </c>
      <c r="D191" t="n">
        <v>872.0650000000001</v>
      </c>
      <c r="E191" t="n">
        <v>2386.451</v>
      </c>
      <c r="F191" t="n">
        <v>10333.495</v>
      </c>
      <c r="G191" t="n">
        <v>70.14</v>
      </c>
      <c r="H191" t="n">
        <v>1494.411</v>
      </c>
      <c r="I191" t="n">
        <v>1023.272</v>
      </c>
      <c r="J191" t="n">
        <v>72.68899999999999</v>
      </c>
      <c r="K191" t="n">
        <v>6694.839</v>
      </c>
    </row>
    <row r="192">
      <c r="A192" s="93" t="n">
        <v>34516</v>
      </c>
      <c r="B192" t="n">
        <v>6.8</v>
      </c>
      <c r="C192" t="n">
        <v>2.3</v>
      </c>
      <c r="D192" t="n">
        <v>904.705</v>
      </c>
      <c r="E192" t="n">
        <v>2426.679</v>
      </c>
      <c r="F192" t="n">
        <v>10393.898</v>
      </c>
      <c r="G192" t="n">
        <v>70.514</v>
      </c>
      <c r="H192" t="n">
        <v>1469.999</v>
      </c>
      <c r="I192" t="n">
        <v>1052.047</v>
      </c>
      <c r="J192" t="n">
        <v>73.095</v>
      </c>
      <c r="K192" t="n">
        <v>6745.887</v>
      </c>
    </row>
    <row r="193">
      <c r="A193" s="93" t="n">
        <v>34608</v>
      </c>
      <c r="B193" t="n">
        <v>7.1</v>
      </c>
      <c r="C193" t="n">
        <v>2.1</v>
      </c>
      <c r="D193" t="n">
        <v>925.5890000000001</v>
      </c>
      <c r="E193" t="n">
        <v>2405.565</v>
      </c>
      <c r="F193" t="n">
        <v>10512.962</v>
      </c>
      <c r="G193" t="n">
        <v>70.907</v>
      </c>
      <c r="H193" t="n">
        <v>1530.476</v>
      </c>
      <c r="I193" t="n">
        <v>1081.647</v>
      </c>
      <c r="J193" t="n">
        <v>73.467</v>
      </c>
      <c r="K193" t="n">
        <v>6818.819</v>
      </c>
    </row>
    <row r="194">
      <c r="A194" s="93" t="n">
        <v>34700</v>
      </c>
      <c r="B194" t="n">
        <v>7.6</v>
      </c>
      <c r="C194" t="n">
        <v>2.1</v>
      </c>
      <c r="D194" t="n">
        <v>943.418</v>
      </c>
      <c r="E194" t="n">
        <v>2413.98</v>
      </c>
      <c r="F194" t="n">
        <v>10550.251</v>
      </c>
      <c r="G194" t="n">
        <v>71.31100000000001</v>
      </c>
      <c r="H194" t="n">
        <v>1546.548</v>
      </c>
      <c r="I194" t="n">
        <v>1105.38</v>
      </c>
      <c r="J194" t="n">
        <v>73.852</v>
      </c>
      <c r="K194" t="n">
        <v>6835.791</v>
      </c>
    </row>
    <row r="195">
      <c r="A195" s="93" t="n">
        <v>34790</v>
      </c>
      <c r="B195" t="n">
        <v>6.9</v>
      </c>
      <c r="C195" t="n">
        <v>2.4</v>
      </c>
      <c r="D195" t="n">
        <v>956.647</v>
      </c>
      <c r="E195" t="n">
        <v>2422.091</v>
      </c>
      <c r="F195" t="n">
        <v>10581.723</v>
      </c>
      <c r="G195" t="n">
        <v>71.661</v>
      </c>
      <c r="H195" t="n">
        <v>1514.426</v>
      </c>
      <c r="I195" t="n">
        <v>1115.878</v>
      </c>
      <c r="J195" t="n">
        <v>74.29000000000001</v>
      </c>
      <c r="K195" t="n">
        <v>6895.718</v>
      </c>
    </row>
    <row r="196">
      <c r="A196" s="93" t="n">
        <v>34881</v>
      </c>
      <c r="B196" t="n">
        <v>6.8</v>
      </c>
      <c r="C196" t="n">
        <v>1.9</v>
      </c>
      <c r="D196" t="n">
        <v>998.046</v>
      </c>
      <c r="E196" t="n">
        <v>2415.736</v>
      </c>
      <c r="F196" t="n">
        <v>10671.738</v>
      </c>
      <c r="G196" t="n">
        <v>71.982</v>
      </c>
      <c r="H196" t="n">
        <v>1505.399</v>
      </c>
      <c r="I196" t="n">
        <v>1119.712</v>
      </c>
      <c r="J196" t="n">
        <v>74.64400000000001</v>
      </c>
      <c r="K196" t="n">
        <v>6958.21</v>
      </c>
    </row>
    <row r="197">
      <c r="A197" s="93" t="n">
        <v>34973</v>
      </c>
      <c r="B197" t="n">
        <v>6.6</v>
      </c>
      <c r="C197" t="n">
        <v>2</v>
      </c>
      <c r="D197" t="n">
        <v>1012.295</v>
      </c>
      <c r="E197" t="n">
        <v>2390.46</v>
      </c>
      <c r="F197" t="n">
        <v>10744.203</v>
      </c>
      <c r="G197" t="n">
        <v>72.322</v>
      </c>
      <c r="H197" t="n">
        <v>1542.785</v>
      </c>
      <c r="I197" t="n">
        <v>1134.024</v>
      </c>
      <c r="J197" t="n">
        <v>75.01900000000001</v>
      </c>
      <c r="K197" t="n">
        <v>7006.747</v>
      </c>
    </row>
    <row r="198">
      <c r="A198" s="93" t="n">
        <v>35065</v>
      </c>
      <c r="B198" t="n">
        <v>6.7</v>
      </c>
      <c r="C198" t="n">
        <v>1.6</v>
      </c>
      <c r="D198" t="n">
        <v>1024.482</v>
      </c>
      <c r="E198" t="n">
        <v>2406.228</v>
      </c>
      <c r="F198" t="n">
        <v>10824.674</v>
      </c>
      <c r="G198" t="n">
        <v>72.655</v>
      </c>
      <c r="H198" t="n">
        <v>1567.56</v>
      </c>
      <c r="I198" t="n">
        <v>1170.888</v>
      </c>
      <c r="J198" t="n">
        <v>75.313</v>
      </c>
      <c r="K198" t="n">
        <v>7071.369</v>
      </c>
    </row>
    <row r="199">
      <c r="A199" s="93" t="n">
        <v>35156</v>
      </c>
      <c r="B199" t="n">
        <v>6.5</v>
      </c>
      <c r="C199" t="n">
        <v>1.9</v>
      </c>
      <c r="D199" t="n">
        <v>1041.134</v>
      </c>
      <c r="E199" t="n">
        <v>2436.198</v>
      </c>
      <c r="F199" t="n">
        <v>11005.217</v>
      </c>
      <c r="G199" t="n">
        <v>72.952</v>
      </c>
      <c r="H199" t="n">
        <v>1642.882</v>
      </c>
      <c r="I199" t="n">
        <v>1197.092</v>
      </c>
      <c r="J199" t="n">
        <v>75.672</v>
      </c>
      <c r="K199" t="n">
        <v>7147.441</v>
      </c>
    </row>
    <row r="200">
      <c r="A200" s="93" t="n">
        <v>35247</v>
      </c>
      <c r="B200" t="n">
        <v>6.6</v>
      </c>
      <c r="C200" t="n">
        <v>1.8</v>
      </c>
      <c r="D200" t="n">
        <v>1049.548</v>
      </c>
      <c r="E200" t="n">
        <v>2436.182</v>
      </c>
      <c r="F200" t="n">
        <v>11103.935</v>
      </c>
      <c r="G200" t="n">
        <v>73.306</v>
      </c>
      <c r="H200" t="n">
        <v>1717.51</v>
      </c>
      <c r="I200" t="n">
        <v>1235.904</v>
      </c>
      <c r="J200" t="n">
        <v>76.017</v>
      </c>
      <c r="K200" t="n">
        <v>7190.713</v>
      </c>
    </row>
    <row r="201">
      <c r="A201" s="93" t="n">
        <v>35339</v>
      </c>
      <c r="B201" t="n">
        <v>6.4</v>
      </c>
      <c r="C201" t="n">
        <v>2.3</v>
      </c>
      <c r="D201" t="n">
        <v>1114.975</v>
      </c>
      <c r="E201" t="n">
        <v>2452.994</v>
      </c>
      <c r="F201" t="n">
        <v>11219.238</v>
      </c>
      <c r="G201" t="n">
        <v>73.616</v>
      </c>
      <c r="H201" t="n">
        <v>1715.245</v>
      </c>
      <c r="I201" t="n">
        <v>1260.278</v>
      </c>
      <c r="J201" t="n">
        <v>76.45</v>
      </c>
      <c r="K201" t="n">
        <v>7247.987</v>
      </c>
    </row>
    <row r="202">
      <c r="A202" s="93" t="n">
        <v>35431</v>
      </c>
      <c r="B202" t="n">
        <v>6.3</v>
      </c>
      <c r="C202" t="n">
        <v>1.6</v>
      </c>
      <c r="D202" t="n">
        <v>1136.155</v>
      </c>
      <c r="E202" t="n">
        <v>2440.245</v>
      </c>
      <c r="F202" t="n">
        <v>11291.665</v>
      </c>
      <c r="G202" t="n">
        <v>73.946</v>
      </c>
      <c r="H202" t="n">
        <v>1749.879</v>
      </c>
      <c r="I202" t="n">
        <v>1314.106</v>
      </c>
      <c r="J202" t="n">
        <v>76.75</v>
      </c>
      <c r="K202" t="n">
        <v>7324.388</v>
      </c>
    </row>
    <row r="203">
      <c r="A203" s="93" t="n">
        <v>35521</v>
      </c>
      <c r="B203" t="n">
        <v>6.6</v>
      </c>
      <c r="C203" t="n">
        <v>2.1</v>
      </c>
      <c r="D203" t="n">
        <v>1181.574</v>
      </c>
      <c r="E203" t="n">
        <v>2471.867</v>
      </c>
      <c r="F203" t="n">
        <v>11479.33</v>
      </c>
      <c r="G203" t="n">
        <v>74.31399999999999</v>
      </c>
      <c r="H203" t="n">
        <v>1856.956</v>
      </c>
      <c r="I203" t="n">
        <v>1358.212</v>
      </c>
      <c r="J203" t="n">
        <v>77.15000000000001</v>
      </c>
      <c r="K203" t="n">
        <v>7357.362</v>
      </c>
    </row>
    <row r="204">
      <c r="A204" s="93" t="n">
        <v>35612</v>
      </c>
      <c r="B204" t="n">
        <v>6.1</v>
      </c>
      <c r="C204" t="n">
        <v>0.9</v>
      </c>
      <c r="D204" t="n">
        <v>1208.942</v>
      </c>
      <c r="E204" t="n">
        <v>2483.31</v>
      </c>
      <c r="F204" t="n">
        <v>11622.911</v>
      </c>
      <c r="G204" t="n">
        <v>74.535</v>
      </c>
      <c r="H204" t="n">
        <v>1882.955</v>
      </c>
      <c r="I204" t="n">
        <v>1408.264</v>
      </c>
      <c r="J204" t="n">
        <v>77.33</v>
      </c>
      <c r="K204" t="n">
        <v>7482.713</v>
      </c>
    </row>
    <row r="205">
      <c r="A205" s="93" t="n">
        <v>35704</v>
      </c>
      <c r="B205" t="n">
        <v>6.3</v>
      </c>
      <c r="C205" t="n">
        <v>1.3</v>
      </c>
      <c r="D205" t="n">
        <v>1207.259</v>
      </c>
      <c r="E205" t="n">
        <v>2495.772</v>
      </c>
      <c r="F205" t="n">
        <v>11722.722</v>
      </c>
      <c r="G205" t="n">
        <v>74.80200000000001</v>
      </c>
      <c r="H205" t="n">
        <v>1911.048</v>
      </c>
      <c r="I205" t="n">
        <v>1438.655</v>
      </c>
      <c r="J205" t="n">
        <v>77.575</v>
      </c>
      <c r="K205" t="n">
        <v>7572.147</v>
      </c>
    </row>
    <row r="206">
      <c r="A206" s="93" t="n">
        <v>35796</v>
      </c>
      <c r="B206" t="n">
        <v>7.4</v>
      </c>
      <c r="C206" t="n">
        <v>1.2</v>
      </c>
      <c r="D206" t="n">
        <v>1212.914</v>
      </c>
      <c r="E206" t="n">
        <v>2486.841</v>
      </c>
      <c r="F206" t="n">
        <v>11839.876</v>
      </c>
      <c r="G206" t="n">
        <v>74.878</v>
      </c>
      <c r="H206" t="n">
        <v>1994.375</v>
      </c>
      <c r="I206" t="n">
        <v>1492.613</v>
      </c>
      <c r="J206" t="n">
        <v>77.804</v>
      </c>
      <c r="K206" t="n">
        <v>7648.741</v>
      </c>
    </row>
    <row r="207">
      <c r="A207" s="93" t="n">
        <v>35886</v>
      </c>
      <c r="B207" t="n">
        <v>7</v>
      </c>
      <c r="C207" t="n">
        <v>1.2</v>
      </c>
      <c r="D207" t="n">
        <v>1199.525</v>
      </c>
      <c r="E207" t="n">
        <v>2530.365</v>
      </c>
      <c r="F207" t="n">
        <v>11949.492</v>
      </c>
      <c r="G207" t="n">
        <v>75.072</v>
      </c>
      <c r="H207" t="n">
        <v>1982.058</v>
      </c>
      <c r="I207" t="n">
        <v>1526.822</v>
      </c>
      <c r="J207" t="n">
        <v>78.042</v>
      </c>
      <c r="K207" t="n">
        <v>7783.43</v>
      </c>
    </row>
    <row r="208">
      <c r="A208" s="93" t="n">
        <v>35977</v>
      </c>
      <c r="B208" t="n">
        <v>6.7</v>
      </c>
      <c r="C208" t="n">
        <v>1.4</v>
      </c>
      <c r="D208" t="n">
        <v>1193.945</v>
      </c>
      <c r="E208" t="n">
        <v>2549.426</v>
      </c>
      <c r="F208" t="n">
        <v>12099.191</v>
      </c>
      <c r="G208" t="n">
        <v>75.363</v>
      </c>
      <c r="H208" t="n">
        <v>2033.015</v>
      </c>
      <c r="I208" t="n">
        <v>1547.423</v>
      </c>
      <c r="J208" t="n">
        <v>78.319</v>
      </c>
      <c r="K208" t="n">
        <v>7884.929</v>
      </c>
    </row>
    <row r="209">
      <c r="A209" s="93" t="n">
        <v>36069</v>
      </c>
      <c r="B209" t="n">
        <v>6.1</v>
      </c>
      <c r="C209" t="n">
        <v>1.3</v>
      </c>
      <c r="D209" t="n">
        <v>1238.119</v>
      </c>
      <c r="E209" t="n">
        <v>2564.473</v>
      </c>
      <c r="F209" t="n">
        <v>12294.737</v>
      </c>
      <c r="G209" t="n">
        <v>75.565</v>
      </c>
      <c r="H209" t="n">
        <v>2095.76</v>
      </c>
      <c r="I209" t="n">
        <v>1597.507</v>
      </c>
      <c r="J209" t="n">
        <v>78.568</v>
      </c>
      <c r="K209" t="n">
        <v>7998.842</v>
      </c>
    </row>
    <row r="210">
      <c r="A210" s="93" t="n">
        <v>36161</v>
      </c>
      <c r="B210" t="n">
        <v>6.2</v>
      </c>
      <c r="C210" t="n">
        <v>1</v>
      </c>
      <c r="D210" t="n">
        <v>1234.528</v>
      </c>
      <c r="E210" t="n">
        <v>2582.887</v>
      </c>
      <c r="F210" t="n">
        <v>12410.778</v>
      </c>
      <c r="G210" t="n">
        <v>75.76900000000001</v>
      </c>
      <c r="H210" t="n">
        <v>2153.308</v>
      </c>
      <c r="I210" t="n">
        <v>1642.647</v>
      </c>
      <c r="J210" t="n">
        <v>78.76600000000001</v>
      </c>
      <c r="K210" t="n">
        <v>8080.996</v>
      </c>
    </row>
    <row r="211">
      <c r="A211" s="93" t="n">
        <v>36251</v>
      </c>
      <c r="B211" t="n">
        <v>4.8</v>
      </c>
      <c r="C211" t="n">
        <v>1.4</v>
      </c>
      <c r="D211" t="n">
        <v>1249.611</v>
      </c>
      <c r="E211" t="n">
        <v>2592.218</v>
      </c>
      <c r="F211" t="n">
        <v>12514.408</v>
      </c>
      <c r="G211" t="n">
        <v>76.11199999999999</v>
      </c>
      <c r="H211" t="n">
        <v>2154.652</v>
      </c>
      <c r="I211" t="n">
        <v>1689.823</v>
      </c>
      <c r="J211" t="n">
        <v>79.039</v>
      </c>
      <c r="K211" t="n">
        <v>8204.75</v>
      </c>
    </row>
    <row r="212">
      <c r="A212" s="93" t="n">
        <v>36342</v>
      </c>
      <c r="B212" t="n">
        <v>4.5</v>
      </c>
      <c r="C212" t="n">
        <v>1.5</v>
      </c>
      <c r="D212" t="n">
        <v>1287.16</v>
      </c>
      <c r="E212" t="n">
        <v>2623.423</v>
      </c>
      <c r="F212" t="n">
        <v>12679.977</v>
      </c>
      <c r="G212" t="n">
        <v>76.404</v>
      </c>
      <c r="H212" t="n">
        <v>2213.773</v>
      </c>
      <c r="I212" t="n">
        <v>1750.911</v>
      </c>
      <c r="J212" t="n">
        <v>79.33</v>
      </c>
      <c r="K212" t="n">
        <v>8296.987999999999</v>
      </c>
    </row>
    <row r="213">
      <c r="A213" s="93" t="n">
        <v>36434</v>
      </c>
      <c r="B213" t="n">
        <v>4.4</v>
      </c>
      <c r="C213" t="n">
        <v>1.9</v>
      </c>
      <c r="D213" t="n">
        <v>1314.637</v>
      </c>
      <c r="E213" t="n">
        <v>2664.236</v>
      </c>
      <c r="F213" t="n">
        <v>12888.281</v>
      </c>
      <c r="G213" t="n">
        <v>76.806</v>
      </c>
      <c r="H213" t="n">
        <v>2273.095</v>
      </c>
      <c r="I213" t="n">
        <v>1795.697</v>
      </c>
      <c r="J213" t="n">
        <v>79.703</v>
      </c>
      <c r="K213" t="n">
        <v>8418.349</v>
      </c>
    </row>
    <row r="214">
      <c r="A214" s="93" t="n">
        <v>36526</v>
      </c>
      <c r="B214" t="n">
        <v>4.6</v>
      </c>
      <c r="C214" t="n">
        <v>2.1</v>
      </c>
      <c r="D214" t="n">
        <v>1333.666</v>
      </c>
      <c r="E214" t="n">
        <v>2645.323</v>
      </c>
      <c r="F214" t="n">
        <v>12935.252</v>
      </c>
      <c r="G214" t="n">
        <v>77.318</v>
      </c>
      <c r="H214" t="n">
        <v>2257.109</v>
      </c>
      <c r="I214" t="n">
        <v>1863.488</v>
      </c>
      <c r="J214" t="n">
        <v>80.121</v>
      </c>
      <c r="K214" t="n">
        <v>8545.638999999999</v>
      </c>
    </row>
    <row r="215">
      <c r="A215" s="93" t="n">
        <v>36617</v>
      </c>
      <c r="B215" t="n">
        <v>4.8</v>
      </c>
      <c r="C215" t="n">
        <v>1.4</v>
      </c>
      <c r="D215" t="n">
        <v>1374.292</v>
      </c>
      <c r="E215" t="n">
        <v>2671.398</v>
      </c>
      <c r="F215" t="n">
        <v>13170.749</v>
      </c>
      <c r="G215" t="n">
        <v>77.783</v>
      </c>
      <c r="H215" t="n">
        <v>2390.733</v>
      </c>
      <c r="I215" t="n">
        <v>1922.854</v>
      </c>
      <c r="J215" t="n">
        <v>80.40000000000001</v>
      </c>
      <c r="K215" t="n">
        <v>8625.434999999999</v>
      </c>
    </row>
    <row r="216">
      <c r="A216" s="93" t="n">
        <v>36708</v>
      </c>
      <c r="B216" t="n">
        <v>5</v>
      </c>
      <c r="C216" t="n">
        <v>1.9</v>
      </c>
      <c r="D216" t="n">
        <v>1407.33</v>
      </c>
      <c r="E216" t="n">
        <v>2660.139</v>
      </c>
      <c r="F216" t="n">
        <v>13183.89</v>
      </c>
      <c r="G216" t="n">
        <v>78.27</v>
      </c>
      <c r="H216" t="n">
        <v>2367.274</v>
      </c>
      <c r="I216" t="n">
        <v>1992.04</v>
      </c>
      <c r="J216" t="n">
        <v>80.788</v>
      </c>
      <c r="K216" t="n">
        <v>8708.074000000001</v>
      </c>
    </row>
    <row r="217">
      <c r="A217" s="93" t="n">
        <v>36800</v>
      </c>
      <c r="B217" t="n">
        <v>4.6</v>
      </c>
      <c r="C217" t="n">
        <v>2</v>
      </c>
      <c r="D217" t="n">
        <v>1393.349</v>
      </c>
      <c r="E217" t="n">
        <v>2676.446</v>
      </c>
      <c r="F217" t="n">
        <v>13262.25</v>
      </c>
      <c r="G217" t="n">
        <v>78.694</v>
      </c>
      <c r="H217" t="n">
        <v>2371.809</v>
      </c>
      <c r="I217" t="n">
        <v>1994.953</v>
      </c>
      <c r="J217" t="n">
        <v>81.18899999999999</v>
      </c>
      <c r="K217" t="n">
        <v>8784.155000000001</v>
      </c>
    </row>
    <row r="218">
      <c r="A218" s="93" t="n">
        <v>36892</v>
      </c>
      <c r="B218" t="n">
        <v>5.1</v>
      </c>
      <c r="C218" t="n">
        <v>2.6</v>
      </c>
      <c r="D218" t="n">
        <v>1375.8</v>
      </c>
      <c r="E218" t="n">
        <v>2718.291</v>
      </c>
      <c r="F218" t="n">
        <v>13219.251</v>
      </c>
      <c r="G218" t="n">
        <v>79.233</v>
      </c>
      <c r="H218" t="n">
        <v>2264.202</v>
      </c>
      <c r="I218" t="n">
        <v>1969.218</v>
      </c>
      <c r="J218" t="n">
        <v>81.71599999999999</v>
      </c>
      <c r="K218" t="n">
        <v>8816.013999999999</v>
      </c>
    </row>
    <row r="219">
      <c r="A219" s="93" t="n">
        <v>36982</v>
      </c>
      <c r="B219" t="n">
        <v>4.7</v>
      </c>
      <c r="C219" t="n">
        <v>1.5</v>
      </c>
      <c r="D219" t="n">
        <v>1335.433</v>
      </c>
      <c r="E219" t="n">
        <v>2765.415</v>
      </c>
      <c r="F219" t="n">
        <v>13301.394</v>
      </c>
      <c r="G219" t="n">
        <v>79.761</v>
      </c>
      <c r="H219" t="n">
        <v>2267.433</v>
      </c>
      <c r="I219" t="n">
        <v>1906.189</v>
      </c>
      <c r="J219" t="n">
        <v>82.02500000000001</v>
      </c>
      <c r="K219" t="n">
        <v>8833.726000000001</v>
      </c>
    </row>
    <row r="220">
      <c r="A220" s="93" t="n">
        <v>37073</v>
      </c>
      <c r="B220" t="n">
        <v>6.4</v>
      </c>
      <c r="C220" t="n">
        <v>1</v>
      </c>
      <c r="D220" t="n">
        <v>1266.999</v>
      </c>
      <c r="E220" t="n">
        <v>2762.681</v>
      </c>
      <c r="F220" t="n">
        <v>13248.142</v>
      </c>
      <c r="G220" t="n">
        <v>80.003</v>
      </c>
      <c r="H220" t="n">
        <v>2218.37</v>
      </c>
      <c r="I220" t="n">
        <v>1862.95</v>
      </c>
      <c r="J220" t="n">
        <v>82.23699999999999</v>
      </c>
      <c r="K220" t="n">
        <v>8864.465</v>
      </c>
    </row>
    <row r="221">
      <c r="A221" s="93" t="n">
        <v>37165</v>
      </c>
      <c r="B221" t="n">
        <v>3.5</v>
      </c>
      <c r="C221" t="n">
        <v>1.9</v>
      </c>
      <c r="D221" t="n">
        <v>1222.907</v>
      </c>
      <c r="E221" t="n">
        <v>2808.498</v>
      </c>
      <c r="F221" t="n">
        <v>13284.881</v>
      </c>
      <c r="G221" t="n">
        <v>80.261</v>
      </c>
      <c r="H221" t="n">
        <v>2108.5</v>
      </c>
      <c r="I221" t="n">
        <v>1843.656</v>
      </c>
      <c r="J221" t="n">
        <v>82.634</v>
      </c>
      <c r="K221" t="n">
        <v>9007.494000000001</v>
      </c>
    </row>
    <row r="222">
      <c r="A222" s="93" t="n">
        <v>37257</v>
      </c>
      <c r="B222" t="n">
        <v>5.6</v>
      </c>
      <c r="C222" t="n">
        <v>1.2</v>
      </c>
      <c r="D222" t="n">
        <v>1249.62</v>
      </c>
      <c r="E222" t="n">
        <v>2857.336</v>
      </c>
      <c r="F222" t="n">
        <v>13394.91</v>
      </c>
      <c r="G222" t="n">
        <v>80.47499999999999</v>
      </c>
      <c r="H222" t="n">
        <v>2170.707</v>
      </c>
      <c r="I222" t="n">
        <v>1896.04</v>
      </c>
      <c r="J222" t="n">
        <v>82.88800000000001</v>
      </c>
      <c r="K222" t="n">
        <v>9027.548000000001</v>
      </c>
    </row>
    <row r="223">
      <c r="A223" s="93" t="n">
        <v>37347</v>
      </c>
      <c r="B223" t="n">
        <v>6</v>
      </c>
      <c r="C223" t="n">
        <v>2.2</v>
      </c>
      <c r="D223" t="n">
        <v>1286.817</v>
      </c>
      <c r="E223" t="n">
        <v>2879.282</v>
      </c>
      <c r="F223" t="n">
        <v>13477.356</v>
      </c>
      <c r="G223" t="n">
        <v>80.794</v>
      </c>
      <c r="H223" t="n">
        <v>2206.375</v>
      </c>
      <c r="I223" t="n">
        <v>1959.578</v>
      </c>
      <c r="J223" t="n">
        <v>83.34399999999999</v>
      </c>
      <c r="K223" t="n">
        <v>9073.212</v>
      </c>
    </row>
    <row r="224">
      <c r="A224" s="93" t="n">
        <v>37438</v>
      </c>
      <c r="B224" t="n">
        <v>5.6</v>
      </c>
      <c r="C224" t="n">
        <v>2.1</v>
      </c>
      <c r="D224" t="n">
        <v>1290.868</v>
      </c>
      <c r="E224" t="n">
        <v>2894.18</v>
      </c>
      <c r="F224" t="n">
        <v>13531.741</v>
      </c>
      <c r="G224" t="n">
        <v>81.155</v>
      </c>
      <c r="H224" t="n">
        <v>2203.109</v>
      </c>
      <c r="I224" t="n">
        <v>1984.492</v>
      </c>
      <c r="J224" t="n">
        <v>83.788</v>
      </c>
      <c r="K224" t="n">
        <v>9136.709000000001</v>
      </c>
    </row>
    <row r="225">
      <c r="A225" s="93" t="n">
        <v>37530</v>
      </c>
      <c r="B225" t="n">
        <v>5.7</v>
      </c>
      <c r="C225" t="n">
        <v>1.4</v>
      </c>
      <c r="D225" t="n">
        <v>1271.796</v>
      </c>
      <c r="E225" t="n">
        <v>2915.62</v>
      </c>
      <c r="F225" t="n">
        <v>13549.421</v>
      </c>
      <c r="G225" t="n">
        <v>81.627</v>
      </c>
      <c r="H225" t="n">
        <v>2201.749</v>
      </c>
      <c r="I225" t="n">
        <v>2020.124</v>
      </c>
      <c r="J225" t="n">
        <v>84.086</v>
      </c>
      <c r="K225" t="n">
        <v>9187.527</v>
      </c>
    </row>
    <row r="226">
      <c r="A226" s="93" t="n">
        <v>37622</v>
      </c>
      <c r="B226" t="n">
        <v>5.2</v>
      </c>
      <c r="C226" t="n">
        <v>1.2</v>
      </c>
      <c r="D226" t="n">
        <v>1267.886</v>
      </c>
      <c r="E226" t="n">
        <v>2917.867</v>
      </c>
      <c r="F226" t="n">
        <v>13619.434</v>
      </c>
      <c r="G226" t="n">
        <v>82.068</v>
      </c>
      <c r="H226" t="n">
        <v>2218.685</v>
      </c>
      <c r="I226" t="n">
        <v>2011.331</v>
      </c>
      <c r="J226" t="n">
        <v>84.345</v>
      </c>
      <c r="K226" t="n">
        <v>9232.781999999999</v>
      </c>
    </row>
    <row r="227">
      <c r="A227" s="93" t="n">
        <v>37712</v>
      </c>
      <c r="B227" t="n">
        <v>5.3</v>
      </c>
      <c r="C227" t="n">
        <v>1.5</v>
      </c>
      <c r="D227" t="n">
        <v>1270.133</v>
      </c>
      <c r="E227" t="n">
        <v>2944.719</v>
      </c>
      <c r="F227" t="n">
        <v>13741.107</v>
      </c>
      <c r="G227" t="n">
        <v>82.349</v>
      </c>
      <c r="H227" t="n">
        <v>2233.997</v>
      </c>
      <c r="I227" t="n">
        <v>2040.651</v>
      </c>
      <c r="J227" t="n">
        <v>84.66500000000001</v>
      </c>
      <c r="K227" t="n">
        <v>9338.495000000001</v>
      </c>
    </row>
    <row r="228">
      <c r="A228" s="93" t="n">
        <v>37803</v>
      </c>
      <c r="B228" t="n">
        <v>5.7</v>
      </c>
      <c r="C228" t="n">
        <v>1.8</v>
      </c>
      <c r="D228" t="n">
        <v>1304.816</v>
      </c>
      <c r="E228" t="n">
        <v>2951.221</v>
      </c>
      <c r="F228" t="n">
        <v>13970.157</v>
      </c>
      <c r="G228" t="n">
        <v>82.822</v>
      </c>
      <c r="H228" t="n">
        <v>2315.399</v>
      </c>
      <c r="I228" t="n">
        <v>2072.609</v>
      </c>
      <c r="J228" t="n">
        <v>85.053</v>
      </c>
      <c r="K228" t="n">
        <v>9470.540999999999</v>
      </c>
    </row>
    <row r="229">
      <c r="A229" s="93" t="n">
        <v>37895</v>
      </c>
      <c r="B229" t="n">
        <v>5.3</v>
      </c>
      <c r="C229" t="n">
        <v>1.8</v>
      </c>
      <c r="D229" t="n">
        <v>1363.499</v>
      </c>
      <c r="E229" t="n">
        <v>2969.138</v>
      </c>
      <c r="F229" t="n">
        <v>14131.379</v>
      </c>
      <c r="G229" t="n">
        <v>83.30200000000001</v>
      </c>
      <c r="H229" t="n">
        <v>2393.402</v>
      </c>
      <c r="I229" t="n">
        <v>2138.44</v>
      </c>
      <c r="J229" t="n">
        <v>85.434</v>
      </c>
      <c r="K229" t="n">
        <v>9535.741</v>
      </c>
    </row>
    <row r="230">
      <c r="A230" s="93" t="n">
        <v>37987</v>
      </c>
      <c r="B230" t="n">
        <v>4.8</v>
      </c>
      <c r="C230" t="n">
        <v>2.2</v>
      </c>
      <c r="D230" t="n">
        <v>1394.311</v>
      </c>
      <c r="E230" t="n">
        <v>2982.735</v>
      </c>
      <c r="F230" t="n">
        <v>14212.34</v>
      </c>
      <c r="G230" t="n">
        <v>83.899</v>
      </c>
      <c r="H230" t="n">
        <v>2398.151</v>
      </c>
      <c r="I230" t="n">
        <v>2198.333</v>
      </c>
      <c r="J230" t="n">
        <v>85.90300000000001</v>
      </c>
      <c r="K230" t="n">
        <v>9624.648999999999</v>
      </c>
    </row>
    <row r="231">
      <c r="A231" s="93" t="n">
        <v>38078</v>
      </c>
      <c r="B231" t="n">
        <v>5.3</v>
      </c>
      <c r="C231" t="n">
        <v>2.3</v>
      </c>
      <c r="D231" t="n">
        <v>1423.51</v>
      </c>
      <c r="E231" t="n">
        <v>2990.824</v>
      </c>
      <c r="F231" t="n">
        <v>14323.017</v>
      </c>
      <c r="G231" t="n">
        <v>84.58</v>
      </c>
      <c r="H231" t="n">
        <v>2493.945</v>
      </c>
      <c r="I231" t="n">
        <v>2284.933</v>
      </c>
      <c r="J231" t="n">
        <v>86.395</v>
      </c>
      <c r="K231" t="n">
        <v>9677.165999999999</v>
      </c>
    </row>
    <row r="232">
      <c r="A232" s="93" t="n">
        <v>38169</v>
      </c>
      <c r="B232" t="n">
        <v>4.8</v>
      </c>
      <c r="C232" t="n">
        <v>1.4</v>
      </c>
      <c r="D232" t="n">
        <v>1428.179</v>
      </c>
      <c r="E232" t="n">
        <v>2996.334</v>
      </c>
      <c r="F232" t="n">
        <v>14457.832</v>
      </c>
      <c r="G232" t="n">
        <v>85.116</v>
      </c>
      <c r="H232" t="n">
        <v>2532.635</v>
      </c>
      <c r="I232" t="n">
        <v>2316.604</v>
      </c>
      <c r="J232" t="n">
        <v>86.70399999999999</v>
      </c>
      <c r="K232" t="n">
        <v>9790.835999999999</v>
      </c>
    </row>
    <row r="233">
      <c r="A233" s="93" t="n">
        <v>38261</v>
      </c>
      <c r="B233" t="n">
        <v>4.9</v>
      </c>
      <c r="C233" t="n">
        <v>2.2</v>
      </c>
      <c r="D233" t="n">
        <v>1462.081</v>
      </c>
      <c r="E233" t="n">
        <v>2994.627</v>
      </c>
      <c r="F233" t="n">
        <v>14605.595</v>
      </c>
      <c r="G233" t="n">
        <v>85.77200000000001</v>
      </c>
      <c r="H233" t="n">
        <v>2585.477</v>
      </c>
      <c r="I233" t="n">
        <v>2370.563</v>
      </c>
      <c r="J233" t="n">
        <v>87.17400000000001</v>
      </c>
      <c r="K233" t="n">
        <v>9901.58</v>
      </c>
    </row>
    <row r="234">
      <c r="A234" s="93" t="n">
        <v>38353</v>
      </c>
      <c r="B234" t="n">
        <v>3.1</v>
      </c>
      <c r="C234" t="n">
        <v>2.9</v>
      </c>
      <c r="D234" t="n">
        <v>1489.521</v>
      </c>
      <c r="E234" t="n">
        <v>3009.569</v>
      </c>
      <c r="F234" t="n">
        <v>14767.846</v>
      </c>
      <c r="G234" t="n">
        <v>86.43000000000001</v>
      </c>
      <c r="H234" t="n">
        <v>2658.163</v>
      </c>
      <c r="I234" t="n">
        <v>2390.985</v>
      </c>
      <c r="J234" t="n">
        <v>87.794</v>
      </c>
      <c r="K234" t="n">
        <v>9964.495999999999</v>
      </c>
    </row>
    <row r="235">
      <c r="A235" s="93" t="n">
        <v>38443</v>
      </c>
      <c r="B235" t="n">
        <v>2.9</v>
      </c>
      <c r="C235" t="n">
        <v>2</v>
      </c>
      <c r="D235" t="n">
        <v>1522.746</v>
      </c>
      <c r="E235" t="n">
        <v>3007.831</v>
      </c>
      <c r="F235" t="n">
        <v>14839.707</v>
      </c>
      <c r="G235" t="n">
        <v>87.062</v>
      </c>
      <c r="H235" t="n">
        <v>2622.793</v>
      </c>
      <c r="I235" t="n">
        <v>2422.995</v>
      </c>
      <c r="J235" t="n">
        <v>88.229</v>
      </c>
      <c r="K235" t="n">
        <v>10074.922</v>
      </c>
    </row>
    <row r="236">
      <c r="A236" s="93" t="n">
        <v>38534</v>
      </c>
      <c r="B236" t="n">
        <v>2.4</v>
      </c>
      <c r="C236" t="n">
        <v>1.6</v>
      </c>
      <c r="D236" t="n">
        <v>1522.433</v>
      </c>
      <c r="E236" t="n">
        <v>3017.773</v>
      </c>
      <c r="F236" t="n">
        <v>14956.291</v>
      </c>
      <c r="G236" t="n">
        <v>87.884</v>
      </c>
      <c r="H236" t="n">
        <v>2657.458</v>
      </c>
      <c r="I236" t="n">
        <v>2436.601</v>
      </c>
      <c r="J236" t="n">
        <v>88.57299999999999</v>
      </c>
      <c r="K236" t="n">
        <v>10158.513</v>
      </c>
    </row>
    <row r="237">
      <c r="A237" s="93" t="n">
        <v>38626</v>
      </c>
      <c r="B237" t="n">
        <v>3</v>
      </c>
      <c r="C237" t="n">
        <v>2.7</v>
      </c>
      <c r="D237" t="n">
        <v>1569.613</v>
      </c>
      <c r="E237" t="n">
        <v>3020.133</v>
      </c>
      <c r="F237" t="n">
        <v>15041.232</v>
      </c>
      <c r="G237" t="n">
        <v>88.584</v>
      </c>
      <c r="H237" t="n">
        <v>2743.846</v>
      </c>
      <c r="I237" t="n">
        <v>2515.132</v>
      </c>
      <c r="J237" t="n">
        <v>89.16500000000001</v>
      </c>
      <c r="K237" t="n">
        <v>10177.238</v>
      </c>
    </row>
    <row r="238">
      <c r="A238" s="93" t="n">
        <v>38718</v>
      </c>
      <c r="B238" t="n">
        <v>3.9</v>
      </c>
      <c r="C238" t="n">
        <v>2.3</v>
      </c>
      <c r="D238" t="n">
        <v>1633.194</v>
      </c>
      <c r="E238" t="n">
        <v>3058.483</v>
      </c>
      <c r="F238" t="n">
        <v>15244.088</v>
      </c>
      <c r="G238" t="n">
        <v>89.20399999999999</v>
      </c>
      <c r="H238" t="n">
        <v>2784.583</v>
      </c>
      <c r="I238" t="n">
        <v>2566.893</v>
      </c>
      <c r="J238" t="n">
        <v>89.681</v>
      </c>
      <c r="K238" t="n">
        <v>10288.217</v>
      </c>
    </row>
    <row r="239">
      <c r="A239" s="93" t="n">
        <v>38808</v>
      </c>
      <c r="B239" t="n">
        <v>3.7</v>
      </c>
      <c r="C239" t="n">
        <v>3.2</v>
      </c>
      <c r="D239" t="n">
        <v>1663.431</v>
      </c>
      <c r="E239" t="n">
        <v>3057.551</v>
      </c>
      <c r="F239" t="n">
        <v>15281.525</v>
      </c>
      <c r="G239" t="n">
        <v>89.99299999999999</v>
      </c>
      <c r="H239" t="n">
        <v>2766.628</v>
      </c>
      <c r="I239" t="n">
        <v>2592.455</v>
      </c>
      <c r="J239" t="n">
        <v>90.396</v>
      </c>
      <c r="K239" t="n">
        <v>10341.556</v>
      </c>
    </row>
    <row r="240">
      <c r="A240" s="93" t="n">
        <v>38899</v>
      </c>
      <c r="B240" t="n">
        <v>3.2</v>
      </c>
      <c r="C240" t="n">
        <v>2.2</v>
      </c>
      <c r="D240" t="n">
        <v>1661.223</v>
      </c>
      <c r="E240" t="n">
        <v>3053.11</v>
      </c>
      <c r="F240" t="n">
        <v>15304.517</v>
      </c>
      <c r="G240" t="n">
        <v>90.652</v>
      </c>
      <c r="H240" t="n">
        <v>2755.954</v>
      </c>
      <c r="I240" t="n">
        <v>2618.357</v>
      </c>
      <c r="J240" t="n">
        <v>90.883</v>
      </c>
      <c r="K240" t="n">
        <v>10407.966</v>
      </c>
    </row>
    <row r="241">
      <c r="A241" s="93" t="n">
        <v>38991</v>
      </c>
      <c r="B241" t="n">
        <v>3.4</v>
      </c>
      <c r="C241" t="n">
        <v>1.7</v>
      </c>
      <c r="D241" t="n">
        <v>1724.263</v>
      </c>
      <c r="E241" t="n">
        <v>3078.215</v>
      </c>
      <c r="F241" t="n">
        <v>15433.643</v>
      </c>
      <c r="G241" t="n">
        <v>90.997</v>
      </c>
      <c r="H241" t="n">
        <v>2702.487</v>
      </c>
      <c r="I241" t="n">
        <v>2614.992</v>
      </c>
      <c r="J241" t="n">
        <v>91.274</v>
      </c>
      <c r="K241" t="n">
        <v>10507.248</v>
      </c>
    </row>
    <row r="242">
      <c r="A242" s="93" t="n">
        <v>39083</v>
      </c>
      <c r="B242" t="n">
        <v>3.6</v>
      </c>
      <c r="C242" t="n">
        <v>2.8</v>
      </c>
      <c r="D242" t="n">
        <v>1758.449</v>
      </c>
      <c r="E242" t="n">
        <v>3082.482</v>
      </c>
      <c r="F242" t="n">
        <v>15478.956</v>
      </c>
      <c r="G242" t="n">
        <v>91.908</v>
      </c>
      <c r="H242" t="n">
        <v>2683.893</v>
      </c>
      <c r="I242" t="n">
        <v>2653.058</v>
      </c>
      <c r="J242" t="n">
        <v>91.904</v>
      </c>
      <c r="K242" t="n">
        <v>10572.053</v>
      </c>
    </row>
    <row r="243">
      <c r="A243" s="93" t="n">
        <v>39173</v>
      </c>
      <c r="B243" t="n">
        <v>3.6</v>
      </c>
      <c r="C243" t="n">
        <v>1.7</v>
      </c>
      <c r="D243" t="n">
        <v>1785.064</v>
      </c>
      <c r="E243" t="n">
        <v>3110.661</v>
      </c>
      <c r="F243" t="n">
        <v>15577.779</v>
      </c>
      <c r="G243" t="n">
        <v>92.491</v>
      </c>
      <c r="H243" t="n">
        <v>2713.495</v>
      </c>
      <c r="I243" t="n">
        <v>2667.163</v>
      </c>
      <c r="J243" t="n">
        <v>92.286</v>
      </c>
      <c r="K243" t="n">
        <v>10599.795</v>
      </c>
    </row>
    <row r="244">
      <c r="A244" s="93" t="n">
        <v>39264</v>
      </c>
      <c r="B244" t="n">
        <v>3.2</v>
      </c>
      <c r="C244" t="n">
        <v>2</v>
      </c>
      <c r="D244" t="n">
        <v>1840.838</v>
      </c>
      <c r="E244" t="n">
        <v>3124.883</v>
      </c>
      <c r="F244" t="n">
        <v>15671.605</v>
      </c>
      <c r="G244" t="n">
        <v>92.88200000000001</v>
      </c>
      <c r="H244" t="n">
        <v>2686.106</v>
      </c>
      <c r="I244" t="n">
        <v>2682.099</v>
      </c>
      <c r="J244" t="n">
        <v>92.739</v>
      </c>
      <c r="K244" t="n">
        <v>10670.506</v>
      </c>
    </row>
    <row r="245">
      <c r="A245" s="93" t="n">
        <v>39356</v>
      </c>
      <c r="B245" t="n">
        <v>3</v>
      </c>
      <c r="C245" t="n">
        <v>2.8</v>
      </c>
      <c r="D245" t="n">
        <v>1883.062</v>
      </c>
      <c r="E245" t="n">
        <v>3149.542</v>
      </c>
      <c r="F245" t="n">
        <v>15767.146</v>
      </c>
      <c r="G245" t="n">
        <v>93.33199999999999</v>
      </c>
      <c r="H245" t="n">
        <v>2653.056</v>
      </c>
      <c r="I245" t="n">
        <v>2656.767</v>
      </c>
      <c r="J245" t="n">
        <v>93.381</v>
      </c>
      <c r="K245" t="n">
        <v>10712.556</v>
      </c>
    </row>
    <row r="246">
      <c r="A246" s="93" t="n">
        <v>39448</v>
      </c>
      <c r="B246" t="n">
        <v>3.4</v>
      </c>
      <c r="C246" t="n">
        <v>2.1</v>
      </c>
      <c r="D246" t="n">
        <v>1913.046</v>
      </c>
      <c r="E246" t="n">
        <v>3156.928</v>
      </c>
      <c r="F246" t="n">
        <v>15702.906</v>
      </c>
      <c r="G246" t="n">
        <v>93.735</v>
      </c>
      <c r="H246" t="n">
        <v>2583.253</v>
      </c>
      <c r="I246" t="n">
        <v>2666.73</v>
      </c>
      <c r="J246" t="n">
        <v>93.875</v>
      </c>
      <c r="K246" t="n">
        <v>10697.867</v>
      </c>
    </row>
    <row r="247">
      <c r="A247" s="93" t="n">
        <v>39539</v>
      </c>
      <c r="B247" t="n">
        <v>5.1</v>
      </c>
      <c r="C247" t="n">
        <v>1.7</v>
      </c>
      <c r="D247" t="n">
        <v>1969.204</v>
      </c>
      <c r="E247" t="n">
        <v>3184.258</v>
      </c>
      <c r="F247" t="n">
        <v>15792.773</v>
      </c>
      <c r="G247" t="n">
        <v>94.075</v>
      </c>
      <c r="H247" t="n">
        <v>2536.403</v>
      </c>
      <c r="I247" t="n">
        <v>2641.498</v>
      </c>
      <c r="J247" t="n">
        <v>94.26900000000001</v>
      </c>
      <c r="K247" t="n">
        <v>10727.347</v>
      </c>
    </row>
    <row r="248">
      <c r="A248" s="93" t="n">
        <v>39630</v>
      </c>
      <c r="B248" t="n">
        <v>3.9</v>
      </c>
      <c r="C248" t="n">
        <v>2.1</v>
      </c>
      <c r="D248" t="n">
        <v>1960.362</v>
      </c>
      <c r="E248" t="n">
        <v>3210.02</v>
      </c>
      <c r="F248" t="n">
        <v>15709.562</v>
      </c>
      <c r="G248" t="n">
        <v>94.804</v>
      </c>
      <c r="H248" t="n">
        <v>2485.549</v>
      </c>
      <c r="I248" t="n">
        <v>2608.161</v>
      </c>
      <c r="J248" t="n">
        <v>94.751</v>
      </c>
      <c r="K248" t="n">
        <v>10644.668</v>
      </c>
    </row>
    <row r="249">
      <c r="A249" s="93" t="n">
        <v>39722</v>
      </c>
      <c r="B249" t="n">
        <v>5.9</v>
      </c>
      <c r="C249" t="n">
        <v>-0.3</v>
      </c>
      <c r="D249" t="n">
        <v>1844.981</v>
      </c>
      <c r="E249" t="n">
        <v>3231.944</v>
      </c>
      <c r="F249" t="n">
        <v>15366.607</v>
      </c>
      <c r="G249" t="n">
        <v>94.97499999999999</v>
      </c>
      <c r="H249" t="n">
        <v>2246.441</v>
      </c>
      <c r="I249" t="n">
        <v>2513.844</v>
      </c>
      <c r="J249" t="n">
        <v>94.676</v>
      </c>
      <c r="K249" t="n">
        <v>10548.872</v>
      </c>
    </row>
    <row r="250">
      <c r="A250" s="93" t="n">
        <v>39814</v>
      </c>
      <c r="B250" t="n">
        <v>5.9</v>
      </c>
      <c r="C250" t="n">
        <v>0</v>
      </c>
      <c r="D250" t="n">
        <v>1697.637</v>
      </c>
      <c r="E250" t="n">
        <v>3268.818</v>
      </c>
      <c r="F250" t="n">
        <v>15187.475</v>
      </c>
      <c r="G250" t="n">
        <v>95.001</v>
      </c>
      <c r="H250" t="n">
        <v>1986.845</v>
      </c>
      <c r="I250" t="n">
        <v>2274.895</v>
      </c>
      <c r="J250" t="n">
        <v>94.675</v>
      </c>
      <c r="K250" t="n">
        <v>10522.083</v>
      </c>
    </row>
    <row r="251">
      <c r="A251" s="93" t="n">
        <v>39904</v>
      </c>
      <c r="B251" t="n">
        <v>6.9</v>
      </c>
      <c r="C251" t="n">
        <v>1.6</v>
      </c>
      <c r="D251" t="n">
        <v>1708.832</v>
      </c>
      <c r="E251" t="n">
        <v>3316.62</v>
      </c>
      <c r="F251" t="n">
        <v>15161.772</v>
      </c>
      <c r="G251" t="n">
        <v>94.87</v>
      </c>
      <c r="H251" t="n">
        <v>1872.287</v>
      </c>
      <c r="I251" t="n">
        <v>2182.501</v>
      </c>
      <c r="J251" t="n">
        <v>95.04600000000001</v>
      </c>
      <c r="K251" t="n">
        <v>10470.358</v>
      </c>
    </row>
    <row r="252">
      <c r="A252" s="93" t="n">
        <v>39995</v>
      </c>
      <c r="B252" t="n">
        <v>5.2</v>
      </c>
      <c r="C252" t="n">
        <v>1.4</v>
      </c>
      <c r="D252" t="n">
        <v>1772.004</v>
      </c>
      <c r="E252" t="n">
        <v>3325.682</v>
      </c>
      <c r="F252" t="n">
        <v>15216.647</v>
      </c>
      <c r="G252" t="n">
        <v>94.928</v>
      </c>
      <c r="H252" t="n">
        <v>1868.013</v>
      </c>
      <c r="I252" t="n">
        <v>2272.535</v>
      </c>
      <c r="J252" t="n">
        <v>95.383</v>
      </c>
      <c r="K252" t="n">
        <v>10540.769</v>
      </c>
    </row>
    <row r="253">
      <c r="A253" s="93" t="n">
        <v>40087</v>
      </c>
      <c r="B253" t="n">
        <v>5.5</v>
      </c>
      <c r="C253" t="n">
        <v>2.5</v>
      </c>
      <c r="D253" t="n">
        <v>1871.485</v>
      </c>
      <c r="E253" t="n">
        <v>3331.645</v>
      </c>
      <c r="F253" t="n">
        <v>15379.155</v>
      </c>
      <c r="G253" t="n">
        <v>95.277</v>
      </c>
      <c r="H253" t="n">
        <v>2040.736</v>
      </c>
      <c r="I253" t="n">
        <v>2385.074</v>
      </c>
      <c r="J253" t="n">
        <v>95.977</v>
      </c>
      <c r="K253" t="n">
        <v>10529.156</v>
      </c>
    </row>
    <row r="254">
      <c r="A254" s="93" t="n">
        <v>40179</v>
      </c>
      <c r="B254" t="n">
        <v>5.7</v>
      </c>
      <c r="C254" t="n">
        <v>1.4</v>
      </c>
      <c r="D254" t="n">
        <v>1916.239</v>
      </c>
      <c r="E254" t="n">
        <v>3317.347</v>
      </c>
      <c r="F254" t="n">
        <v>15456.059</v>
      </c>
      <c r="G254" t="n">
        <v>95.518</v>
      </c>
      <c r="H254" t="n">
        <v>2087.171</v>
      </c>
      <c r="I254" t="n">
        <v>2448.044</v>
      </c>
      <c r="J254" t="n">
        <v>96.30500000000001</v>
      </c>
      <c r="K254" t="n">
        <v>10590.177</v>
      </c>
    </row>
    <row r="255">
      <c r="A255" s="93" t="n">
        <v>40269</v>
      </c>
      <c r="B255" t="n">
        <v>6.5</v>
      </c>
      <c r="C255" t="n">
        <v>1.1</v>
      </c>
      <c r="D255" t="n">
        <v>1958.367</v>
      </c>
      <c r="E255" t="n">
        <v>3327.564</v>
      </c>
      <c r="F255" t="n">
        <v>15605.628</v>
      </c>
      <c r="G255" t="n">
        <v>95.96299999999999</v>
      </c>
      <c r="H255" t="n">
        <v>2196.706</v>
      </c>
      <c r="I255" t="n">
        <v>2559.69</v>
      </c>
      <c r="J255" t="n">
        <v>96.565</v>
      </c>
      <c r="K255" t="n">
        <v>10685.145</v>
      </c>
    </row>
    <row r="256">
      <c r="A256" s="93" t="n">
        <v>40360</v>
      </c>
      <c r="B256" t="n">
        <v>6.5</v>
      </c>
      <c r="C256" t="n">
        <v>0.6</v>
      </c>
      <c r="D256" t="n">
        <v>2014.232</v>
      </c>
      <c r="E256" t="n">
        <v>3304.078</v>
      </c>
      <c r="F256" t="n">
        <v>15726.282</v>
      </c>
      <c r="G256" t="n">
        <v>96.312</v>
      </c>
      <c r="H256" t="n">
        <v>2294.672</v>
      </c>
      <c r="I256" t="n">
        <v>2649.148</v>
      </c>
      <c r="J256" t="n">
        <v>96.71299999999999</v>
      </c>
      <c r="K256" t="n">
        <v>10761.376</v>
      </c>
    </row>
    <row r="257">
      <c r="A257" s="93" t="n">
        <v>40452</v>
      </c>
      <c r="B257" t="n">
        <v>6.3</v>
      </c>
      <c r="C257" t="n">
        <v>1.3</v>
      </c>
      <c r="D257" t="n">
        <v>2069.349</v>
      </c>
      <c r="E257" t="n">
        <v>3283.046</v>
      </c>
      <c r="F257" t="n">
        <v>15807.995</v>
      </c>
      <c r="G257" t="n">
        <v>96.864</v>
      </c>
      <c r="H257" t="n">
        <v>2287.362</v>
      </c>
      <c r="I257" t="n">
        <v>2658.885</v>
      </c>
      <c r="J257" t="n">
        <v>97.01900000000001</v>
      </c>
      <c r="K257" t="n">
        <v>10827.332</v>
      </c>
    </row>
    <row r="258">
      <c r="A258" s="93" t="n">
        <v>40544</v>
      </c>
      <c r="B258" t="n">
        <v>6.9</v>
      </c>
      <c r="C258" t="n">
        <v>1.8</v>
      </c>
      <c r="D258" t="n">
        <v>2087.06</v>
      </c>
      <c r="E258" t="n">
        <v>3242.78</v>
      </c>
      <c r="F258" t="n">
        <v>15769.911</v>
      </c>
      <c r="G258" t="n">
        <v>97.339</v>
      </c>
      <c r="H258" t="n">
        <v>2244.241</v>
      </c>
      <c r="I258" t="n">
        <v>2671.872</v>
      </c>
      <c r="J258" t="n">
        <v>97.44499999999999</v>
      </c>
      <c r="K258" t="n">
        <v>10868.689</v>
      </c>
    </row>
    <row r="259">
      <c r="A259" s="93" t="n">
        <v>40634</v>
      </c>
      <c r="B259" t="n">
        <v>6.6</v>
      </c>
      <c r="C259" t="n">
        <v>2.4</v>
      </c>
      <c r="D259" t="n">
        <v>2122.321</v>
      </c>
      <c r="E259" t="n">
        <v>3220.816</v>
      </c>
      <c r="F259" t="n">
        <v>15876.839</v>
      </c>
      <c r="G259" t="n">
        <v>98.042</v>
      </c>
      <c r="H259" t="n">
        <v>2336.057</v>
      </c>
      <c r="I259" t="n">
        <v>2681.865</v>
      </c>
      <c r="J259" t="n">
        <v>98.015</v>
      </c>
      <c r="K259" t="n">
        <v>10879.873</v>
      </c>
    </row>
    <row r="260">
      <c r="A260" s="93" t="n">
        <v>40725</v>
      </c>
      <c r="B260" t="n">
        <v>6.8</v>
      </c>
      <c r="C260" t="n">
        <v>1.8</v>
      </c>
      <c r="D260" t="n">
        <v>2151.474</v>
      </c>
      <c r="E260" t="n">
        <v>3174.801</v>
      </c>
      <c r="F260" t="n">
        <v>15870.684</v>
      </c>
      <c r="G260" t="n">
        <v>98.56100000000001</v>
      </c>
      <c r="H260" t="n">
        <v>2343.786</v>
      </c>
      <c r="I260" t="n">
        <v>2711.619</v>
      </c>
      <c r="J260" t="n">
        <v>98.462</v>
      </c>
      <c r="K260" t="n">
        <v>10912.991</v>
      </c>
    </row>
    <row r="261">
      <c r="A261" s="93" t="n">
        <v>40817</v>
      </c>
      <c r="B261" t="n">
        <v>6.9</v>
      </c>
      <c r="C261" t="n">
        <v>1.4</v>
      </c>
      <c r="D261" t="n">
        <v>2167.652</v>
      </c>
      <c r="E261" t="n">
        <v>3172.535</v>
      </c>
      <c r="F261" t="n">
        <v>16048.702</v>
      </c>
      <c r="G261" t="n">
        <v>98.687</v>
      </c>
      <c r="H261" t="n">
        <v>2524.429</v>
      </c>
      <c r="I261" t="n">
        <v>2747.221</v>
      </c>
      <c r="J261" t="n">
        <v>98.813</v>
      </c>
      <c r="K261" t="n">
        <v>10931.828</v>
      </c>
    </row>
    <row r="262">
      <c r="A262" s="93" t="n">
        <v>40909</v>
      </c>
      <c r="B262" t="n">
        <v>7.9</v>
      </c>
      <c r="C262" t="n">
        <v>2.6</v>
      </c>
      <c r="D262" t="n">
        <v>2194.087</v>
      </c>
      <c r="E262" t="n">
        <v>3158.939</v>
      </c>
      <c r="F262" t="n">
        <v>16179.968</v>
      </c>
      <c r="G262" t="n">
        <v>99.277</v>
      </c>
      <c r="H262" t="n">
        <v>2577.157</v>
      </c>
      <c r="I262" t="n">
        <v>2760.748</v>
      </c>
      <c r="J262" t="n">
        <v>99.437</v>
      </c>
      <c r="K262" t="n">
        <v>11010.694</v>
      </c>
    </row>
    <row r="263">
      <c r="A263" s="93" t="n">
        <v>41000</v>
      </c>
      <c r="B263" t="n">
        <v>8.6</v>
      </c>
      <c r="C263" t="n">
        <v>1.7</v>
      </c>
      <c r="D263" t="n">
        <v>2215.753</v>
      </c>
      <c r="E263" t="n">
        <v>3142.418</v>
      </c>
      <c r="F263" t="n">
        <v>16253.726</v>
      </c>
      <c r="G263" t="n">
        <v>99.69</v>
      </c>
      <c r="H263" t="n">
        <v>2636.495</v>
      </c>
      <c r="I263" t="n">
        <v>2771.011</v>
      </c>
      <c r="J263" t="n">
        <v>99.848</v>
      </c>
      <c r="K263" t="n">
        <v>11030.026</v>
      </c>
    </row>
    <row r="264">
      <c r="A264" s="93" t="n">
        <v>41091</v>
      </c>
      <c r="B264" t="n">
        <v>7.8</v>
      </c>
      <c r="C264" t="n">
        <v>1.2</v>
      </c>
      <c r="D264" t="n">
        <v>2229.353</v>
      </c>
      <c r="E264" t="n">
        <v>3137.664</v>
      </c>
      <c r="F264" t="n">
        <v>16282.151</v>
      </c>
      <c r="G264" t="n">
        <v>100.304</v>
      </c>
      <c r="H264" t="n">
        <v>2648.459</v>
      </c>
      <c r="I264" t="n">
        <v>2785.883</v>
      </c>
      <c r="J264" t="n">
        <v>100.136</v>
      </c>
      <c r="K264" t="n">
        <v>11052.368</v>
      </c>
    </row>
    <row r="265">
      <c r="A265" s="93" t="n">
        <v>41183</v>
      </c>
      <c r="B265" t="n">
        <v>10</v>
      </c>
      <c r="C265" t="n">
        <v>1.8</v>
      </c>
      <c r="D265" t="n">
        <v>2231.607</v>
      </c>
      <c r="E265" t="n">
        <v>3106.86</v>
      </c>
      <c r="F265" t="n">
        <v>16300.035</v>
      </c>
      <c r="G265" t="n">
        <v>100.73</v>
      </c>
      <c r="H265" t="n">
        <v>2624.905</v>
      </c>
      <c r="I265" t="n">
        <v>2759.627</v>
      </c>
      <c r="J265" t="n">
        <v>100.579</v>
      </c>
      <c r="K265" t="n">
        <v>11096.365</v>
      </c>
    </row>
    <row r="266">
      <c r="A266" s="93" t="n">
        <v>41275</v>
      </c>
      <c r="B266" t="n">
        <v>5.8</v>
      </c>
      <c r="C266" t="n">
        <v>1.6</v>
      </c>
      <c r="D266" t="n">
        <v>2242.308</v>
      </c>
      <c r="E266" t="n">
        <v>3078.855</v>
      </c>
      <c r="F266" t="n">
        <v>16441.485</v>
      </c>
      <c r="G266" t="n">
        <v>101.124</v>
      </c>
      <c r="H266" t="n">
        <v>2722.778</v>
      </c>
      <c r="I266" t="n">
        <v>2757.265</v>
      </c>
      <c r="J266" t="n">
        <v>100.983</v>
      </c>
      <c r="K266" t="n">
        <v>11155.481</v>
      </c>
    </row>
    <row r="267">
      <c r="A267" s="93" t="n">
        <v>41365</v>
      </c>
      <c r="B267" t="n">
        <v>6.4</v>
      </c>
      <c r="C267" t="n">
        <v>1.2</v>
      </c>
      <c r="D267" t="n">
        <v>2262.524</v>
      </c>
      <c r="E267" t="n">
        <v>3073.677</v>
      </c>
      <c r="F267" t="n">
        <v>16464.402</v>
      </c>
      <c r="G267" t="n">
        <v>101.428</v>
      </c>
      <c r="H267" t="n">
        <v>2753.237</v>
      </c>
      <c r="I267" t="n">
        <v>2797.3</v>
      </c>
      <c r="J267" t="n">
        <v>101.291</v>
      </c>
      <c r="K267" t="n">
        <v>11172.647</v>
      </c>
    </row>
    <row r="268">
      <c r="A268" s="93" t="n">
        <v>41456</v>
      </c>
      <c r="B268" t="n">
        <v>6.4</v>
      </c>
      <c r="C268" t="n">
        <v>1.6</v>
      </c>
      <c r="D268" t="n">
        <v>2281.979</v>
      </c>
      <c r="E268" t="n">
        <v>3057.212</v>
      </c>
      <c r="F268" t="n">
        <v>16594.743</v>
      </c>
      <c r="G268" t="n">
        <v>101.973</v>
      </c>
      <c r="H268" t="n">
        <v>2859.751</v>
      </c>
      <c r="I268" t="n">
        <v>2817.399</v>
      </c>
      <c r="J268" t="n">
        <v>101.684</v>
      </c>
      <c r="K268" t="n">
        <v>11214.417</v>
      </c>
    </row>
    <row r="269">
      <c r="A269" s="93" t="n">
        <v>41548</v>
      </c>
      <c r="B269" t="n">
        <v>5.9</v>
      </c>
      <c r="C269" t="n">
        <v>2</v>
      </c>
      <c r="D269" t="n">
        <v>2347.579</v>
      </c>
      <c r="E269" t="n">
        <v>3033.118</v>
      </c>
      <c r="F269" t="n">
        <v>16712.76</v>
      </c>
      <c r="G269" t="n">
        <v>102.55</v>
      </c>
      <c r="H269" t="n">
        <v>2870.127</v>
      </c>
      <c r="I269" t="n">
        <v>2839.671</v>
      </c>
      <c r="J269" t="n">
        <v>102.181</v>
      </c>
      <c r="K269" t="n">
        <v>11304.3</v>
      </c>
    </row>
    <row r="270">
      <c r="A270" s="93" t="n">
        <v>41640</v>
      </c>
      <c r="B270" t="n">
        <v>6.7</v>
      </c>
      <c r="C270" t="n">
        <v>1.4</v>
      </c>
      <c r="D270" t="n">
        <v>2324.808</v>
      </c>
      <c r="E270" t="n">
        <v>3020.58</v>
      </c>
      <c r="F270" t="n">
        <v>16654.247</v>
      </c>
      <c r="G270" t="n">
        <v>102.965</v>
      </c>
      <c r="H270" t="n">
        <v>2838.287</v>
      </c>
      <c r="I270" t="n">
        <v>2876.337</v>
      </c>
      <c r="J270" t="n">
        <v>102.533</v>
      </c>
      <c r="K270" t="n">
        <v>11347.636</v>
      </c>
    </row>
    <row r="271">
      <c r="A271" s="93" t="n">
        <v>41730</v>
      </c>
      <c r="B271" t="n">
        <v>7</v>
      </c>
      <c r="C271" t="n">
        <v>2</v>
      </c>
      <c r="D271" t="n">
        <v>2375.121</v>
      </c>
      <c r="E271" t="n">
        <v>3024.424</v>
      </c>
      <c r="F271" t="n">
        <v>16868.109</v>
      </c>
      <c r="G271" t="n">
        <v>103.552</v>
      </c>
      <c r="H271" t="n">
        <v>2958.068</v>
      </c>
      <c r="I271" t="n">
        <v>2941.839</v>
      </c>
      <c r="J271" t="n">
        <v>103.04</v>
      </c>
      <c r="K271" t="n">
        <v>11453.014</v>
      </c>
    </row>
    <row r="272">
      <c r="A272" s="93" t="n">
        <v>41821</v>
      </c>
      <c r="B272" t="n">
        <v>7.1</v>
      </c>
      <c r="C272" t="n">
        <v>1.6</v>
      </c>
      <c r="D272" t="n">
        <v>2384.779</v>
      </c>
      <c r="E272" t="n">
        <v>3044.694</v>
      </c>
      <c r="F272" t="n">
        <v>17064.616</v>
      </c>
      <c r="G272" t="n">
        <v>104.029</v>
      </c>
      <c r="H272" t="n">
        <v>3018.582</v>
      </c>
      <c r="I272" t="n">
        <v>2947.352</v>
      </c>
      <c r="J272" t="n">
        <v>103.438</v>
      </c>
      <c r="K272" t="n">
        <v>11565.682</v>
      </c>
    </row>
    <row r="273">
      <c r="A273" s="93" t="n">
        <v>41913</v>
      </c>
      <c r="B273" t="n">
        <v>7.3</v>
      </c>
      <c r="C273" t="n">
        <v>1.2</v>
      </c>
      <c r="D273" t="n">
        <v>2404.43</v>
      </c>
      <c r="E273" t="n">
        <v>3043.215</v>
      </c>
      <c r="F273" t="n">
        <v>17141.235</v>
      </c>
      <c r="G273" t="n">
        <v>104.104</v>
      </c>
      <c r="H273" t="n">
        <v>3021.857</v>
      </c>
      <c r="I273" t="n">
        <v>3024.682</v>
      </c>
      <c r="J273" t="n">
        <v>103.735</v>
      </c>
      <c r="K273" t="n">
        <v>11694.917</v>
      </c>
    </row>
    <row r="274">
      <c r="A274" s="93" t="n">
        <v>42005</v>
      </c>
      <c r="B274" t="n">
        <v>7.9</v>
      </c>
      <c r="C274" t="n">
        <v>0.8</v>
      </c>
      <c r="D274" t="n">
        <v>2384.843</v>
      </c>
      <c r="E274" t="n">
        <v>3058.973</v>
      </c>
      <c r="F274" t="n">
        <v>17280.647</v>
      </c>
      <c r="G274" t="n">
        <v>104.092</v>
      </c>
      <c r="H274" t="n">
        <v>3127.274</v>
      </c>
      <c r="I274" t="n">
        <v>3068.49</v>
      </c>
      <c r="J274" t="n">
        <v>103.938</v>
      </c>
      <c r="K274" t="n">
        <v>11772.949</v>
      </c>
    </row>
    <row r="275">
      <c r="A275" s="93" t="n">
        <v>42095</v>
      </c>
      <c r="B275" t="n">
        <v>7.5</v>
      </c>
      <c r="C275" t="n">
        <v>1.7</v>
      </c>
      <c r="D275" t="n">
        <v>2391.145</v>
      </c>
      <c r="E275" t="n">
        <v>3085.089</v>
      </c>
      <c r="F275" t="n">
        <v>17380.875</v>
      </c>
      <c r="G275" t="n">
        <v>104.683</v>
      </c>
      <c r="H275" t="n">
        <v>3136.688</v>
      </c>
      <c r="I275" t="n">
        <v>3091.083</v>
      </c>
      <c r="J275" t="n">
        <v>104.384</v>
      </c>
      <c r="K275" t="n">
        <v>11852.652</v>
      </c>
    </row>
    <row r="276">
      <c r="A276" s="93" t="n">
        <v>42186</v>
      </c>
      <c r="B276" t="n">
        <v>7.3</v>
      </c>
      <c r="C276" t="n">
        <v>1.2</v>
      </c>
      <c r="D276" t="n">
        <v>2371.205</v>
      </c>
      <c r="E276" t="n">
        <v>3099.082</v>
      </c>
      <c r="F276" t="n">
        <v>17437.08</v>
      </c>
      <c r="G276" t="n">
        <v>104.939</v>
      </c>
      <c r="H276" t="n">
        <v>3130.354</v>
      </c>
      <c r="I276" t="n">
        <v>3117.762</v>
      </c>
      <c r="J276" t="n">
        <v>104.699</v>
      </c>
      <c r="K276" t="n">
        <v>11943.043</v>
      </c>
    </row>
    <row r="277">
      <c r="A277" s="93" t="n">
        <v>42278</v>
      </c>
      <c r="B277" t="n">
        <v>7.4</v>
      </c>
      <c r="C277" t="n">
        <v>0.9</v>
      </c>
      <c r="D277" t="n">
        <v>2367.667</v>
      </c>
      <c r="E277" t="n">
        <v>3110.257</v>
      </c>
      <c r="F277" t="n">
        <v>17462.579</v>
      </c>
      <c r="G277" t="n">
        <v>104.932</v>
      </c>
      <c r="H277" t="n">
        <v>3092.707</v>
      </c>
      <c r="I277" t="n">
        <v>3124.356</v>
      </c>
      <c r="J277" t="n">
        <v>104.926</v>
      </c>
      <c r="K277" t="n">
        <v>12003.146</v>
      </c>
    </row>
    <row r="278">
      <c r="A278" s="93" t="n">
        <v>42370</v>
      </c>
      <c r="B278" t="n">
        <v>7.5</v>
      </c>
      <c r="C278" t="n">
        <v>1.7</v>
      </c>
      <c r="D278" t="n">
        <v>2360.705</v>
      </c>
      <c r="E278" t="n">
        <v>3142.841</v>
      </c>
      <c r="F278" t="n">
        <v>17565.465</v>
      </c>
      <c r="G278" t="n">
        <v>104.873</v>
      </c>
      <c r="H278" t="n">
        <v>3079.449</v>
      </c>
      <c r="I278" t="n">
        <v>3119.978</v>
      </c>
      <c r="J278" t="n">
        <v>105.365</v>
      </c>
      <c r="K278" t="n">
        <v>12091.178</v>
      </c>
    </row>
    <row r="279">
      <c r="A279" s="93" t="n">
        <v>42461</v>
      </c>
      <c r="B279" t="n">
        <v>6.9</v>
      </c>
      <c r="C279" t="n">
        <v>2.2</v>
      </c>
      <c r="D279" t="n">
        <v>2378.612</v>
      </c>
      <c r="E279" t="n">
        <v>3137.91</v>
      </c>
      <c r="F279" t="n">
        <v>17618.581</v>
      </c>
      <c r="G279" t="n">
        <v>105.576</v>
      </c>
      <c r="H279" t="n">
        <v>3063.333</v>
      </c>
      <c r="I279" t="n">
        <v>3123.245</v>
      </c>
      <c r="J279" t="n">
        <v>105.937</v>
      </c>
      <c r="K279" t="n">
        <v>12152.627</v>
      </c>
    </row>
    <row r="280">
      <c r="A280" s="93" t="n">
        <v>42552</v>
      </c>
      <c r="B280" t="n">
        <v>6.8</v>
      </c>
      <c r="C280" t="n">
        <v>1.9</v>
      </c>
      <c r="D280" t="n">
        <v>2415.552</v>
      </c>
      <c r="E280" t="n">
        <v>3153.894</v>
      </c>
      <c r="F280" t="n">
        <v>17724.489</v>
      </c>
      <c r="G280" t="n">
        <v>105.894</v>
      </c>
      <c r="H280" t="n">
        <v>3069.298</v>
      </c>
      <c r="I280" t="n">
        <v>3145.977</v>
      </c>
      <c r="J280" t="n">
        <v>106.43</v>
      </c>
      <c r="K280" t="n">
        <v>12223.822</v>
      </c>
    </row>
    <row r="281">
      <c r="A281" s="93" t="n">
        <v>42644</v>
      </c>
      <c r="B281" t="n">
        <v>6.8</v>
      </c>
      <c r="C281" t="n">
        <v>1.5</v>
      </c>
      <c r="D281" t="n">
        <v>2398.552</v>
      </c>
      <c r="E281" t="n">
        <v>3160.471</v>
      </c>
      <c r="F281" t="n">
        <v>17812.56</v>
      </c>
      <c r="G281" t="n">
        <v>106.47</v>
      </c>
      <c r="H281" t="n">
        <v>3147.576</v>
      </c>
      <c r="I281" t="n">
        <v>3192.525</v>
      </c>
      <c r="J281" t="n">
        <v>106.818</v>
      </c>
      <c r="K281" t="n">
        <v>12283.076</v>
      </c>
    </row>
    <row r="282">
      <c r="A282" s="93" t="n">
        <v>42736</v>
      </c>
      <c r="B282" t="n">
        <v>7.1</v>
      </c>
      <c r="C282" t="n">
        <v>1.9</v>
      </c>
      <c r="D282" t="n">
        <v>2460.754</v>
      </c>
      <c r="E282" t="n">
        <v>3152.232</v>
      </c>
      <c r="F282" t="n">
        <v>17889.094</v>
      </c>
      <c r="G282" t="n">
        <v>107.022</v>
      </c>
      <c r="H282" t="n">
        <v>3131.917</v>
      </c>
      <c r="I282" t="n">
        <v>3241.836</v>
      </c>
      <c r="J282" t="n">
        <v>107.328</v>
      </c>
      <c r="K282" t="n">
        <v>12369.907</v>
      </c>
    </row>
    <row r="283">
      <c r="A283" s="93" t="n">
        <v>42826</v>
      </c>
      <c r="B283" t="n">
        <v>7.6</v>
      </c>
      <c r="C283" t="n">
        <v>1.5</v>
      </c>
      <c r="D283" t="n">
        <v>2468.946</v>
      </c>
      <c r="E283" t="n">
        <v>3157.874</v>
      </c>
      <c r="F283" t="n">
        <v>17979.218</v>
      </c>
      <c r="G283" t="n">
        <v>107.363</v>
      </c>
      <c r="H283" t="n">
        <v>3187.781</v>
      </c>
      <c r="I283" t="n">
        <v>3273.403</v>
      </c>
      <c r="J283" t="n">
        <v>107.738</v>
      </c>
      <c r="K283" t="n">
        <v>12419.407</v>
      </c>
    </row>
    <row r="284">
      <c r="A284" s="93" t="n">
        <v>42917</v>
      </c>
      <c r="B284" t="n">
        <v>7.5</v>
      </c>
      <c r="C284" t="n">
        <v>1.3</v>
      </c>
      <c r="D284" t="n">
        <v>2483.467</v>
      </c>
      <c r="E284" t="n">
        <v>3157.086</v>
      </c>
      <c r="F284" t="n">
        <v>18127.994</v>
      </c>
      <c r="G284" t="n">
        <v>107.948</v>
      </c>
      <c r="H284" t="n">
        <v>3250.825</v>
      </c>
      <c r="I284" t="n">
        <v>3270.757</v>
      </c>
      <c r="J284" t="n">
        <v>108.077</v>
      </c>
      <c r="K284" t="n">
        <v>12493.466</v>
      </c>
    </row>
    <row r="285">
      <c r="A285" s="93" t="n">
        <v>43009</v>
      </c>
      <c r="B285" t="n">
        <v>6.9</v>
      </c>
      <c r="C285" t="n">
        <v>2</v>
      </c>
      <c r="D285" t="n">
        <v>2547.997</v>
      </c>
      <c r="E285" t="n">
        <v>3181.999</v>
      </c>
      <c r="F285" t="n">
        <v>18310.3</v>
      </c>
      <c r="G285" t="n">
        <v>108.639</v>
      </c>
      <c r="H285" t="n">
        <v>3293.441</v>
      </c>
      <c r="I285" t="n">
        <v>3362.957</v>
      </c>
      <c r="J285" t="n">
        <v>108.608</v>
      </c>
      <c r="K285" t="n">
        <v>12630.132</v>
      </c>
    </row>
    <row r="286">
      <c r="A286" s="93" t="n">
        <v>43101</v>
      </c>
      <c r="B286" t="n">
        <v>7.2</v>
      </c>
      <c r="C286" t="n">
        <v>2.6</v>
      </c>
      <c r="D286" t="n">
        <v>2564.661</v>
      </c>
      <c r="E286" t="n">
        <v>3187.714</v>
      </c>
      <c r="F286" t="n">
        <v>18437.127</v>
      </c>
      <c r="G286" t="n">
        <v>109.365</v>
      </c>
      <c r="H286" t="n">
        <v>3342.884</v>
      </c>
      <c r="I286" t="n">
        <v>3391.258</v>
      </c>
      <c r="J286" t="n">
        <v>109.318</v>
      </c>
      <c r="K286" t="n">
        <v>12713.156</v>
      </c>
    </row>
    <row r="287">
      <c r="A287" s="93" t="n">
        <v>43191</v>
      </c>
      <c r="B287" t="n">
        <v>7.3</v>
      </c>
      <c r="C287" t="n">
        <v>2.2</v>
      </c>
      <c r="D287" t="n">
        <v>2578.61</v>
      </c>
      <c r="E287" t="n">
        <v>3210.037</v>
      </c>
      <c r="F287" t="n">
        <v>18565.697</v>
      </c>
      <c r="G287" t="n">
        <v>110.176</v>
      </c>
      <c r="H287" t="n">
        <v>3349.047</v>
      </c>
      <c r="I287" t="n">
        <v>3395.283</v>
      </c>
      <c r="J287" t="n">
        <v>109.926</v>
      </c>
      <c r="K287" t="n">
        <v>12805.609</v>
      </c>
    </row>
    <row r="288">
      <c r="A288" s="93" t="n">
        <v>43282</v>
      </c>
      <c r="B288" t="n">
        <v>7.6</v>
      </c>
      <c r="C288" t="n">
        <v>1.4</v>
      </c>
      <c r="D288" t="n">
        <v>2544.552</v>
      </c>
      <c r="E288" t="n">
        <v>3231.336</v>
      </c>
      <c r="F288" t="n">
        <v>18699.748</v>
      </c>
      <c r="G288" t="n">
        <v>110.68</v>
      </c>
      <c r="H288" t="n">
        <v>3453.059</v>
      </c>
      <c r="I288" t="n">
        <v>3441.068</v>
      </c>
      <c r="J288" t="n">
        <v>110.313</v>
      </c>
      <c r="K288" t="n">
        <v>12887.074</v>
      </c>
    </row>
    <row r="289">
      <c r="A289" s="93" t="n">
        <v>43374</v>
      </c>
      <c r="B289" t="n">
        <v>8.199999999999999</v>
      </c>
      <c r="C289" t="n">
        <v>1.9</v>
      </c>
      <c r="D289" t="n">
        <v>2552.437</v>
      </c>
      <c r="E289" t="n">
        <v>3232.303</v>
      </c>
      <c r="F289" t="n">
        <v>18733.741</v>
      </c>
      <c r="G289" t="n">
        <v>111.155</v>
      </c>
      <c r="H289" t="n">
        <v>3450.608</v>
      </c>
      <c r="I289" t="n">
        <v>3474.268</v>
      </c>
      <c r="J289" t="n">
        <v>110.822</v>
      </c>
      <c r="K289" t="n">
        <v>12943.375</v>
      </c>
    </row>
    <row r="290">
      <c r="A290" s="93" t="n">
        <v>43466</v>
      </c>
      <c r="B290" t="n">
        <v>9.300000000000001</v>
      </c>
      <c r="C290" t="n">
        <v>1.5</v>
      </c>
      <c r="D290" t="n">
        <v>2582.285</v>
      </c>
      <c r="E290" t="n">
        <v>3270.966</v>
      </c>
      <c r="F290" t="n">
        <v>18835.411</v>
      </c>
      <c r="G290" t="n">
        <v>111.56</v>
      </c>
      <c r="H290" t="n">
        <v>3484.349</v>
      </c>
      <c r="I290" t="n">
        <v>3485.931</v>
      </c>
      <c r="J290" t="n">
        <v>111.23</v>
      </c>
      <c r="K290" t="n">
        <v>12955.727</v>
      </c>
    </row>
    <row r="291">
      <c r="A291" s="93" t="n">
        <v>43556</v>
      </c>
      <c r="B291" t="n">
        <v>8.699999999999999</v>
      </c>
      <c r="C291" t="n">
        <v>2.1</v>
      </c>
      <c r="D291" t="n">
        <v>2567.281</v>
      </c>
      <c r="E291" t="n">
        <v>3313.8</v>
      </c>
      <c r="F291" t="n">
        <v>18962.175</v>
      </c>
      <c r="G291" t="n">
        <v>112.184</v>
      </c>
      <c r="H291" t="n">
        <v>3504.855</v>
      </c>
      <c r="I291" t="n">
        <v>3491.751</v>
      </c>
      <c r="J291" t="n">
        <v>111.808</v>
      </c>
      <c r="K291" t="n">
        <v>13038.854</v>
      </c>
    </row>
    <row r="292">
      <c r="A292" s="93" t="n">
        <v>43647</v>
      </c>
      <c r="B292" t="n">
        <v>8.6</v>
      </c>
      <c r="C292" t="n">
        <v>1.6</v>
      </c>
      <c r="D292" t="n">
        <v>2567.01</v>
      </c>
      <c r="E292" t="n">
        <v>3341.229</v>
      </c>
      <c r="F292" t="n">
        <v>19130.932</v>
      </c>
      <c r="G292" t="n">
        <v>112.558</v>
      </c>
      <c r="H292" t="n">
        <v>3527.193</v>
      </c>
      <c r="I292" t="n">
        <v>3476.382</v>
      </c>
      <c r="J292" t="n">
        <v>112.255</v>
      </c>
      <c r="K292" t="n">
        <v>13148.857</v>
      </c>
    </row>
    <row r="293">
      <c r="A293" s="93" t="n">
        <v>43739</v>
      </c>
      <c r="B293" t="n">
        <v>8.699999999999999</v>
      </c>
      <c r="C293" t="n">
        <v>1.2</v>
      </c>
      <c r="D293" t="n">
        <v>2571.845</v>
      </c>
      <c r="E293" t="n">
        <v>3360.85</v>
      </c>
      <c r="F293" t="n">
        <v>19215.691</v>
      </c>
      <c r="G293" t="n">
        <v>112.91</v>
      </c>
      <c r="H293" t="n">
        <v>3454.354</v>
      </c>
      <c r="I293" t="n">
        <v>3404.66</v>
      </c>
      <c r="J293" t="n">
        <v>112.597</v>
      </c>
      <c r="K293" t="n">
        <v>13225.609</v>
      </c>
    </row>
    <row r="294">
      <c r="A294" s="93" t="n">
        <v>43831</v>
      </c>
      <c r="B294" t="n">
        <v>10.7</v>
      </c>
      <c r="C294" t="n">
        <v>1.9</v>
      </c>
      <c r="D294" t="n">
        <v>2467.304</v>
      </c>
      <c r="E294" t="n">
        <v>3387.944</v>
      </c>
      <c r="F294" t="n">
        <v>18989.877</v>
      </c>
      <c r="G294" t="n">
        <v>113.427</v>
      </c>
      <c r="H294" t="n">
        <v>3409.883</v>
      </c>
      <c r="I294" t="n">
        <v>3295.493</v>
      </c>
      <c r="J294" t="n">
        <v>113.119</v>
      </c>
      <c r="K294" t="n">
        <v>13016.75</v>
      </c>
    </row>
    <row r="295">
      <c r="A295" s="93" t="n">
        <v>43922</v>
      </c>
      <c r="B295" t="n">
        <v>26.4</v>
      </c>
      <c r="C295" t="n">
        <v>-1</v>
      </c>
      <c r="D295" t="n">
        <v>1951.368</v>
      </c>
      <c r="E295" t="n">
        <v>3448.043</v>
      </c>
      <c r="F295" t="n">
        <v>17378.712</v>
      </c>
      <c r="G295" t="n">
        <v>113.053</v>
      </c>
      <c r="H295" t="n">
        <v>2884.223</v>
      </c>
      <c r="I295" t="n">
        <v>2718.619</v>
      </c>
      <c r="J295" t="n">
        <v>112.846</v>
      </c>
      <c r="K295" t="n">
        <v>11817.147</v>
      </c>
    </row>
    <row r="296">
      <c r="A296" s="93" t="n">
        <v>44013</v>
      </c>
      <c r="B296" t="n">
        <v>16.4</v>
      </c>
      <c r="C296" t="n">
        <v>3.2</v>
      </c>
      <c r="D296" t="n">
        <v>2193.033</v>
      </c>
      <c r="E296" t="n">
        <v>3395.877</v>
      </c>
      <c r="F296" t="n">
        <v>18743.72</v>
      </c>
      <c r="G296" t="n">
        <v>114.032</v>
      </c>
      <c r="H296" t="n">
        <v>3394.142</v>
      </c>
      <c r="I296" t="n">
        <v>3184.18</v>
      </c>
      <c r="J296" t="n">
        <v>113.729</v>
      </c>
      <c r="K296" t="n">
        <v>12922.381</v>
      </c>
    </row>
    <row r="297">
      <c r="A297" s="93" t="n">
        <v>44105</v>
      </c>
      <c r="B297" t="n">
        <v>13.7</v>
      </c>
      <c r="C297" t="n">
        <v>1.5</v>
      </c>
      <c r="D297" t="n">
        <v>2315.033</v>
      </c>
      <c r="E297" t="n">
        <v>3394.795</v>
      </c>
      <c r="F297" t="n">
        <v>18924.262</v>
      </c>
      <c r="G297" t="n">
        <v>114.744</v>
      </c>
      <c r="H297" t="n">
        <v>3537.645</v>
      </c>
      <c r="I297" t="n">
        <v>3419.001</v>
      </c>
      <c r="J297" t="n">
        <v>114.163</v>
      </c>
      <c r="K297" t="n">
        <v>13046.614</v>
      </c>
    </row>
    <row r="298">
      <c r="A298" s="93" t="n">
        <v>44197</v>
      </c>
      <c r="B298" t="n">
        <v>20.4</v>
      </c>
      <c r="C298" t="n">
        <v>3.2</v>
      </c>
      <c r="D298" t="n">
        <v>2317.505</v>
      </c>
      <c r="E298" t="n">
        <v>3448.743</v>
      </c>
      <c r="F298" t="n">
        <v>19216.224</v>
      </c>
      <c r="G298" t="n">
        <v>116.199</v>
      </c>
      <c r="H298" t="n">
        <v>3489.294</v>
      </c>
      <c r="I298" t="n">
        <v>3482.035</v>
      </c>
      <c r="J298" t="n">
        <v>115.072</v>
      </c>
      <c r="K298" t="n">
        <v>13386.763</v>
      </c>
    </row>
    <row r="299">
      <c r="A299" s="93" t="n">
        <v>44287</v>
      </c>
      <c r="B299" t="n">
        <v>10.8</v>
      </c>
      <c r="C299" t="n">
        <v>6</v>
      </c>
      <c r="D299" t="n">
        <v>2345.132</v>
      </c>
      <c r="E299" t="n">
        <v>3422.363</v>
      </c>
      <c r="F299" t="n">
        <v>19544.248</v>
      </c>
      <c r="G299" t="n">
        <v>117.974</v>
      </c>
      <c r="H299" t="n">
        <v>3496.867</v>
      </c>
      <c r="I299" t="n">
        <v>3549.002</v>
      </c>
      <c r="J299" t="n">
        <v>116.774</v>
      </c>
      <c r="K299" t="n">
        <v>13773.688</v>
      </c>
    </row>
    <row r="300">
      <c r="A300" s="93" t="n">
        <v>44378</v>
      </c>
      <c r="B300" t="n">
        <v>9.1</v>
      </c>
      <c r="C300" t="n">
        <v>4.8</v>
      </c>
      <c r="D300" t="n">
        <v>2338.825</v>
      </c>
      <c r="E300" t="n">
        <v>3421.046</v>
      </c>
      <c r="F300" t="n">
        <v>19672.594</v>
      </c>
      <c r="G300" t="n">
        <v>119.763</v>
      </c>
      <c r="H300" t="n">
        <v>3584.05</v>
      </c>
      <c r="I300" t="n">
        <v>3606.283</v>
      </c>
      <c r="J300" t="n">
        <v>118.152</v>
      </c>
      <c r="K300" t="n">
        <v>13874.396</v>
      </c>
    </row>
    <row r="301">
      <c r="A301" s="93" t="n">
        <v>44470</v>
      </c>
      <c r="B301" t="n">
        <v>7.3</v>
      </c>
      <c r="C301" t="n">
        <v>4.8</v>
      </c>
      <c r="D301" t="n">
        <v>2465.672</v>
      </c>
      <c r="E301" t="n">
        <v>3412.858</v>
      </c>
      <c r="F301" t="n">
        <v>20006.181</v>
      </c>
      <c r="G301" t="n">
        <v>121.758</v>
      </c>
      <c r="H301" t="n">
        <v>3841.771</v>
      </c>
      <c r="I301" t="n">
        <v>3763.316</v>
      </c>
      <c r="J301" t="n">
        <v>119.555</v>
      </c>
      <c r="K301" t="n">
        <v>13981.514</v>
      </c>
    </row>
    <row r="302">
      <c r="A302" s="93" t="n">
        <v>44562</v>
      </c>
      <c r="B302" t="n">
        <v>4.3</v>
      </c>
      <c r="C302" t="n">
        <v>5.6</v>
      </c>
      <c r="D302" t="n">
        <v>2436.934</v>
      </c>
      <c r="E302" t="n">
        <v>3393.389</v>
      </c>
      <c r="F302" t="n">
        <v>19924.088</v>
      </c>
      <c r="G302" t="n">
        <v>124.209</v>
      </c>
      <c r="H302" t="n">
        <v>3892.48</v>
      </c>
      <c r="I302" t="n">
        <v>3925.633</v>
      </c>
      <c r="J302" t="n">
        <v>121.206</v>
      </c>
      <c r="K302" t="n">
        <v>14028.383</v>
      </c>
    </row>
    <row r="303">
      <c r="A303" s="93" t="n">
        <v>44652</v>
      </c>
      <c r="B303" t="n">
        <v>3.2</v>
      </c>
      <c r="C303" t="n">
        <v>4.7</v>
      </c>
      <c r="D303" t="n">
        <v>2516.928</v>
      </c>
      <c r="E303" t="n">
        <v>3379.499</v>
      </c>
      <c r="F303" t="n">
        <v>19895.271</v>
      </c>
      <c r="G303" t="n">
        <v>126.914</v>
      </c>
      <c r="H303" t="n">
        <v>3746.973</v>
      </c>
      <c r="I303" t="n">
        <v>3947.472</v>
      </c>
      <c r="J303" t="n">
        <v>122.592</v>
      </c>
      <c r="K303" t="n">
        <v>14099.456</v>
      </c>
    </row>
    <row r="304">
      <c r="A304" s="93" t="n">
        <v>44743</v>
      </c>
      <c r="B304" t="n">
        <v>2.7</v>
      </c>
      <c r="C304" t="n">
        <v>4.7</v>
      </c>
      <c r="D304" t="n">
        <v>2604.137</v>
      </c>
      <c r="E304" t="n">
        <v>3410.625</v>
      </c>
      <c r="F304" t="n">
        <v>20054.663</v>
      </c>
      <c r="G304" t="n">
        <v>128.276</v>
      </c>
      <c r="H304" t="n">
        <v>3653.85</v>
      </c>
      <c r="I304" t="n">
        <v>3872.908</v>
      </c>
      <c r="J304" t="n">
        <v>123.997</v>
      </c>
      <c r="K304" t="n">
        <v>14178.562</v>
      </c>
    </row>
    <row r="305">
      <c r="A305" s="93" t="n">
        <v>44835</v>
      </c>
      <c r="B305" t="n">
        <v>2.9</v>
      </c>
      <c r="C305" t="n">
        <v>3.9</v>
      </c>
      <c r="D305" t="n">
        <v>2595.452</v>
      </c>
      <c r="E305" t="n">
        <v>3441.908</v>
      </c>
      <c r="F305" t="n">
        <v>20198.091</v>
      </c>
      <c r="G305" t="n">
        <v>129.374</v>
      </c>
      <c r="H305" t="n">
        <v>3666.902</v>
      </c>
      <c r="I305" t="n">
        <v>3827.869</v>
      </c>
      <c r="J305" t="n">
        <v>125.19</v>
      </c>
      <c r="K305" t="n">
        <v>14252.163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9"/>
  <sheetViews>
    <sheetView zoomScale="70" zoomScaleNormal="70" workbookViewId="0">
      <pane ySplit="5" topLeftCell="A273" activePane="bottomLeft" state="frozen"/>
      <selection activeCell="I311" sqref="I311"/>
      <selection pane="bottomLeft" activeCell="E313" sqref="E313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21.36328125" customWidth="1" style="89" min="5" max="5"/>
    <col width="10.81640625" customWidth="1" style="89" min="6" max="18"/>
  </cols>
  <sheetData>
    <row r="1" ht="16" customHeight="1" s="89">
      <c r="A1" s="33" t="inlineStr">
        <is>
          <t>GDPC1</t>
        </is>
      </c>
      <c r="B1" s="34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76" t="n"/>
      <c r="M1" s="76" t="n"/>
      <c r="N1" s="76" t="n"/>
      <c r="O1" s="76" t="n"/>
      <c r="P1" s="76" t="n"/>
    </row>
    <row r="2">
      <c r="A2" s="52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53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76" t="n"/>
      <c r="M2" s="76" t="n"/>
      <c r="N2" s="76" t="n"/>
      <c r="O2" s="76" t="n"/>
      <c r="P2" s="76" t="n"/>
    </row>
    <row r="3">
      <c r="A3" s="54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76" t="n"/>
      <c r="M3" s="76" t="n"/>
      <c r="N3" s="76" t="n"/>
      <c r="O3" s="76" t="n"/>
      <c r="P3" s="76" t="n"/>
    </row>
    <row r="4">
      <c r="A4" s="54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76" t="n"/>
      <c r="M4" s="76" t="n"/>
      <c r="N4" s="76" t="n"/>
      <c r="O4" s="76" t="n"/>
      <c r="P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GDP q/q %</t>
        </is>
      </c>
      <c r="D5" s="46" t="inlineStr">
        <is>
          <t>GDP y/y %</t>
        </is>
      </c>
      <c r="E5" s="47" t="inlineStr">
        <is>
          <t>GDP Annualized QoQ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conditionalFormatting sqref="C258:C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7"/>
  <sheetViews>
    <sheetView topLeftCell="C1" zoomScale="140" zoomScaleNormal="140" workbookViewId="0">
      <pane ySplit="3" topLeftCell="A37" activePane="bottomLeft" state="frozen"/>
      <selection activeCell="G310" sqref="G310"/>
      <selection pane="bottomLeft" activeCell="G310" sqref="G310"/>
    </sheetView>
  </sheetViews>
  <sheetFormatPr baseColWidth="8" defaultColWidth="8.81640625" defaultRowHeight="14.5"/>
  <cols>
    <col width="1" customWidth="1" style="76" min="1" max="2"/>
    <col width="6.36328125" customWidth="1" style="89" min="3" max="3"/>
    <col width="7.6328125" customWidth="1" style="89" min="4" max="4"/>
    <col width="5.6328125" customWidth="1" style="89" min="5" max="6"/>
    <col width="3.36328125" customWidth="1" style="76" min="7" max="7"/>
    <col width="6.453125" customWidth="1" style="89" min="8" max="8"/>
    <col width="7.6328125" customWidth="1" style="89" min="9" max="9"/>
    <col width="5.6328125" customWidth="1" style="89" min="10" max="11"/>
    <col width="3.36328125" customWidth="1" style="76" min="12" max="12"/>
    <col width="6.36328125" customWidth="1" style="89" min="13" max="13"/>
    <col width="9.1796875" customWidth="1" style="89" min="14" max="14"/>
    <col width="5.6328125" customWidth="1" style="89" min="15" max="16"/>
    <col width="3.453125" customWidth="1" style="76" min="17" max="17"/>
    <col width="5.6328125" customWidth="1" style="89" min="18" max="18"/>
    <col width="7.6328125" customWidth="1" style="89" min="19" max="19"/>
    <col width="5.6328125" customWidth="1" style="89" min="20" max="21"/>
    <col width="3.453125" customWidth="1" style="76" min="22" max="22"/>
    <col width="6.453125" customWidth="1" style="89" min="23" max="23"/>
    <col width="7.6328125" customWidth="1" style="89" min="24" max="24"/>
    <col width="5.6328125" customWidth="1" style="89" min="25" max="26"/>
    <col width="2.453125" customWidth="1" style="76" min="27" max="27"/>
    <col width="6" customWidth="1" style="89" min="28" max="28"/>
    <col width="7.6328125" customWidth="1" style="89" min="29" max="29"/>
    <col width="5.6328125" customWidth="1" style="89" min="30" max="31"/>
    <col width="2.6328125" customWidth="1" style="76" min="32" max="32"/>
    <col width="6" customWidth="1" style="89" min="33" max="33"/>
    <col width="7.6328125" customWidth="1" style="89" min="34" max="34"/>
    <col width="5.6328125" customWidth="1" style="89" min="35" max="36"/>
    <col width="3.36328125" customWidth="1" style="76" min="37" max="37"/>
    <col width="6" customWidth="1" style="89" min="38" max="38"/>
    <col width="7.6328125" customWidth="1" style="89" min="39" max="39"/>
    <col width="5.6328125" customWidth="1" style="89" min="40" max="41"/>
    <col width="9.1796875" customWidth="1" style="76" min="42" max="154"/>
  </cols>
  <sheetData>
    <row r="1" ht="16" customFormat="1" customHeight="1" s="76" thickBot="1">
      <c r="F1" s="27" t="n"/>
      <c r="K1" s="27" t="inlineStr">
        <is>
          <t>A072RC1Q156SBEA</t>
        </is>
      </c>
    </row>
    <row r="2" ht="16" customFormat="1" customHeight="1" s="76" thickBot="1">
      <c r="C2" s="85" t="inlineStr">
        <is>
          <t>US GDP</t>
        </is>
      </c>
      <c r="D2" s="79" t="n"/>
      <c r="E2" s="79" t="n"/>
      <c r="F2" s="80" t="n"/>
      <c r="H2" s="85" t="inlineStr">
        <is>
          <t>Personal Consumption</t>
        </is>
      </c>
      <c r="I2" s="79" t="n"/>
      <c r="J2" s="79" t="n"/>
      <c r="K2" s="80" t="n"/>
      <c r="M2" s="84" t="inlineStr">
        <is>
          <t>Private Investment</t>
        </is>
      </c>
      <c r="N2" s="79" t="n"/>
      <c r="O2" s="79" t="n"/>
      <c r="P2" s="80" t="n"/>
      <c r="R2" s="84" t="inlineStr">
        <is>
          <t>Exports</t>
        </is>
      </c>
      <c r="S2" s="79" t="n"/>
      <c r="T2" s="79" t="n"/>
      <c r="U2" s="80" t="n"/>
      <c r="W2" s="84" t="inlineStr">
        <is>
          <t>Imports</t>
        </is>
      </c>
      <c r="X2" s="79" t="n"/>
      <c r="Y2" s="79" t="n"/>
      <c r="Z2" s="80" t="n"/>
      <c r="AB2" s="84" t="inlineStr">
        <is>
          <t>Government</t>
        </is>
      </c>
      <c r="AC2" s="79" t="n"/>
      <c r="AD2" s="79" t="n"/>
      <c r="AE2" s="80" t="n"/>
      <c r="AG2" s="84" t="inlineStr">
        <is>
          <t>GDP Price index</t>
        </is>
      </c>
      <c r="AH2" s="79" t="n"/>
      <c r="AI2" s="79" t="n"/>
      <c r="AJ2" s="80" t="n"/>
      <c r="AL2" s="85" t="inlineStr">
        <is>
          <t>Core PCE QoQ</t>
        </is>
      </c>
      <c r="AM2" s="79" t="n"/>
      <c r="AN2" s="79" t="n"/>
      <c r="AO2" s="80" t="n"/>
    </row>
    <row r="3" ht="13" customFormat="1" customHeight="1" s="4">
      <c r="A3" s="7" t="n"/>
      <c r="B3" s="7" t="n"/>
      <c r="C3" s="58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59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59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59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59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59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59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59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0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0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0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0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0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0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0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0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0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0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0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0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0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0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0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0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0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0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0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0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0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0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0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0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0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0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0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0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0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0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0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0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0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0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0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0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0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0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0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0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0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0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0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0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0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0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0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0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0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0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0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0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0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0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0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0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0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0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0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0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0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0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0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0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0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0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0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0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0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0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0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0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0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0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0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0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0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0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0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0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0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0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0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0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0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0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0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0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0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0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0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0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0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0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0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0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0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0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0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0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0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0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0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0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0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0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0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0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0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0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0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0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0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0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0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0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0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0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0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0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0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0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0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0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0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0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0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0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0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0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0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0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0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0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0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0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0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0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0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0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0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0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0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0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0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0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0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0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0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0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0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0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0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0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0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0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0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0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0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0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0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0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0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0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0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0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0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0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0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0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0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0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0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0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0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0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0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0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0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0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0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0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0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0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0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0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0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0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0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0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0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0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0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0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0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0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0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0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0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0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76">
      <c r="C29" s="60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0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0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0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0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0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0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0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76">
      <c r="C30" s="60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0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0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0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0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0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0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0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76">
      <c r="C31" s="60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0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0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0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0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0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0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0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76">
      <c r="C32" s="60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0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0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0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0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0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0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0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76">
      <c r="C33" s="60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0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0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0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0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0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0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0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76">
      <c r="C34" s="60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0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0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0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0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0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0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0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76">
      <c r="C35" s="60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0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0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0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0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0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0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0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76">
      <c r="C36" s="60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0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0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0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0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0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0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0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76">
      <c r="C37" s="60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0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0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0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0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0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0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0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76">
      <c r="C38" s="60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0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0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0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0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0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0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0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76">
      <c r="C39" s="60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0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0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0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0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0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0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0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76">
      <c r="C40" s="60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0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0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0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0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0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0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0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76">
      <c r="C41" s="60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0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0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0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0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0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0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0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76">
      <c r="C42" s="60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0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0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0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0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0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0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0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76">
      <c r="C43" s="60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0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0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0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0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0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0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0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76">
      <c r="C44" s="60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0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0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0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0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0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0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0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76">
      <c r="C45" s="60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0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0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0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0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0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0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0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76">
      <c r="C46" s="60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0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0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0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0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0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0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0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76">
      <c r="C47" s="60">
        <f>'U.S. GDP'!A309</f>
        <v/>
      </c>
      <c r="D47" s="5">
        <f>'U.S. GDP'!B309</f>
        <v/>
      </c>
      <c r="E47" s="6">
        <f>'U.S. GDP'!C309</f>
        <v/>
      </c>
      <c r="F47" s="6">
        <f>'U.S. GDP'!E309</f>
        <v/>
      </c>
      <c r="H47" s="60">
        <f>PersonalConsumption!A309</f>
        <v/>
      </c>
      <c r="I47" s="5">
        <f>PersonalConsumption!B309</f>
        <v/>
      </c>
      <c r="J47" s="6">
        <f>PersonalConsumption!C309</f>
        <v/>
      </c>
      <c r="K47" s="6">
        <f>PersonalConsumption!E309</f>
        <v/>
      </c>
      <c r="M47" s="60">
        <f>PrivateInvestment!A309</f>
        <v/>
      </c>
      <c r="N47" s="5">
        <f>PrivateInvestment!B309</f>
        <v/>
      </c>
      <c r="O47" s="6">
        <f>PrivateInvestment!C309</f>
        <v/>
      </c>
      <c r="P47" s="6">
        <f>PrivateInvestment!E309</f>
        <v/>
      </c>
      <c r="R47" s="60">
        <f>Exports!A309</f>
        <v/>
      </c>
      <c r="S47" s="5">
        <f>Exports!B309</f>
        <v/>
      </c>
      <c r="T47" s="6">
        <f>Exports!C309</f>
        <v/>
      </c>
      <c r="U47" s="6">
        <f>Exports!E309</f>
        <v/>
      </c>
      <c r="W47" s="60">
        <f>Imports!A309</f>
        <v/>
      </c>
      <c r="X47" s="5">
        <f>Imports!B309</f>
        <v/>
      </c>
      <c r="Y47" s="6">
        <f>Imports!C309</f>
        <v/>
      </c>
      <c r="Z47" s="6">
        <f>Imports!E309</f>
        <v/>
      </c>
      <c r="AB47" s="60">
        <f>Government!A309</f>
        <v/>
      </c>
      <c r="AC47" s="5">
        <f>Government!B309</f>
        <v/>
      </c>
      <c r="AD47" s="6">
        <f>Government!C309</f>
        <v/>
      </c>
      <c r="AE47" s="6">
        <f>Government!E309</f>
        <v/>
      </c>
      <c r="AG47" s="60">
        <f>GDPPriceIndex!A309</f>
        <v/>
      </c>
      <c r="AH47" s="5">
        <f>GDPPriceIndex!B309</f>
        <v/>
      </c>
      <c r="AI47" s="6">
        <f>GDPPriceIndex!C309</f>
        <v/>
      </c>
      <c r="AJ47" s="6">
        <f>GDPPriceIndex!D309</f>
        <v/>
      </c>
      <c r="AL47" s="60">
        <f>CorePCE!A309</f>
        <v/>
      </c>
      <c r="AM47" s="5">
        <f>CorePCE!B309</f>
        <v/>
      </c>
      <c r="AN47" s="6">
        <f>CorePCE!C309</f>
        <v/>
      </c>
      <c r="AO47" s="6">
        <f>CorePCE!D309</f>
        <v/>
      </c>
    </row>
    <row r="48" customFormat="1" s="76"/>
    <row r="49" customFormat="1" s="76"/>
    <row r="50" customFormat="1" s="76"/>
    <row r="51" customFormat="1" s="76"/>
    <row r="52" customFormat="1" s="76"/>
    <row r="53" customFormat="1" s="76"/>
    <row r="54" customFormat="1" s="76"/>
    <row r="55" customFormat="1" s="76"/>
    <row r="56" customFormat="1" s="76"/>
    <row r="57" customFormat="1" s="76"/>
    <row r="58" customFormat="1" s="76"/>
    <row r="59" customFormat="1" s="76"/>
    <row r="60" customFormat="1" s="76"/>
    <row r="61" customFormat="1" s="76"/>
    <row r="62" customFormat="1" s="76"/>
    <row r="63" customFormat="1" s="76"/>
    <row r="64" customFormat="1" s="76"/>
    <row r="65" customFormat="1" s="76"/>
    <row r="66" customFormat="1" s="76"/>
    <row r="67" customFormat="1" s="76"/>
    <row r="68" customFormat="1" s="76"/>
    <row r="69" customFormat="1" s="76"/>
    <row r="70" customFormat="1" s="76"/>
    <row r="71" customFormat="1" s="76"/>
    <row r="72" customFormat="1" s="76"/>
    <row r="73" customFormat="1" s="76"/>
    <row r="74" customFormat="1" s="76"/>
    <row r="75" customFormat="1" s="76"/>
    <row r="76" customFormat="1" s="76"/>
    <row r="77" customFormat="1" s="76"/>
    <row r="78" customFormat="1" s="76"/>
    <row r="79" customFormat="1" s="76"/>
    <row r="80" customFormat="1" s="76"/>
    <row r="81" customFormat="1" s="76"/>
    <row r="82" customFormat="1" s="76"/>
    <row r="83" customFormat="1" s="76"/>
    <row r="84" customFormat="1" s="76"/>
    <row r="85" customFormat="1" s="76"/>
    <row r="86" customFormat="1" s="76"/>
    <row r="87" customFormat="1" s="76"/>
    <row r="88" customFormat="1" s="76"/>
    <row r="89" customFormat="1" s="76"/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  <row r="342" customFormat="1" s="76"/>
    <row r="343" customFormat="1" s="76"/>
    <row r="344" customFormat="1" s="76"/>
    <row r="345" customFormat="1" s="76"/>
    <row r="346" customFormat="1" s="76"/>
    <row r="347" customFormat="1" s="76"/>
    <row r="348" customFormat="1" s="76"/>
    <row r="349" customFormat="1" s="76"/>
    <row r="350" customFormat="1" s="76"/>
    <row r="351" customFormat="1" s="76"/>
    <row r="352" customFormat="1" s="76"/>
    <row r="353" customFormat="1" s="76"/>
    <row r="354" customFormat="1" s="76"/>
    <row r="355" customFormat="1" s="76"/>
    <row r="356" customFormat="1" s="76"/>
    <row r="357" customFormat="1" s="76"/>
    <row r="358" customFormat="1" s="76"/>
    <row r="359" customFormat="1" s="76"/>
    <row r="360" customFormat="1" s="76"/>
    <row r="361" customFormat="1" s="76"/>
    <row r="362" customFormat="1" s="76"/>
    <row r="363" customFormat="1" s="76"/>
    <row r="364" customFormat="1" s="76"/>
    <row r="365" customFormat="1" s="76"/>
    <row r="366" customFormat="1" s="76"/>
    <row r="367" customFormat="1" s="76"/>
    <row r="368" customFormat="1" s="76"/>
    <row r="369" customFormat="1" s="76"/>
    <row r="370" customFormat="1" s="76"/>
    <row r="371" customFormat="1" s="76"/>
    <row r="372" customFormat="1" s="76"/>
    <row r="373" customFormat="1" s="76"/>
    <row r="374" customFormat="1" s="76"/>
    <row r="375" customFormat="1" s="76"/>
    <row r="376" customFormat="1" s="76"/>
    <row r="377" customFormat="1" s="76"/>
    <row r="378" customFormat="1" s="76"/>
    <row r="379" customFormat="1" s="76"/>
    <row r="380" customFormat="1" s="76"/>
    <row r="381" customFormat="1" s="76"/>
    <row r="382" customFormat="1" s="76"/>
    <row r="383" customFormat="1" s="76"/>
    <row r="384" customFormat="1" s="76"/>
    <row r="385" customFormat="1" s="76"/>
    <row r="386" customFormat="1" s="76"/>
    <row r="387" customFormat="1" s="76"/>
    <row r="388" customFormat="1" s="76"/>
    <row r="389" customFormat="1" s="76"/>
    <row r="390" customFormat="1" s="76"/>
    <row r="391" customFormat="1" s="76"/>
    <row r="392" customFormat="1" s="76"/>
    <row r="393" customFormat="1" s="76"/>
    <row r="394" customFormat="1" s="76"/>
    <row r="395" customFormat="1" s="76"/>
    <row r="396" customFormat="1" s="76"/>
    <row r="397" customFormat="1" s="76"/>
    <row r="398" customFormat="1" s="76"/>
    <row r="399" customFormat="1" s="76"/>
    <row r="400" customFormat="1" s="76"/>
    <row r="401" customFormat="1" s="76"/>
    <row r="402" customFormat="1" s="76"/>
    <row r="403" customFormat="1" s="76"/>
    <row r="404" customFormat="1" s="76"/>
    <row r="405" customFormat="1" s="76"/>
    <row r="406" customFormat="1" s="76"/>
    <row r="407" customFormat="1" s="76"/>
    <row r="408" customFormat="1" s="76"/>
    <row r="409" customFormat="1" s="76"/>
    <row r="410" customFormat="1" s="76"/>
    <row r="411" customFormat="1" s="76"/>
    <row r="412" customFormat="1" s="76"/>
    <row r="413" customFormat="1" s="76"/>
    <row r="414" customFormat="1" s="76"/>
    <row r="415" customFormat="1" s="76"/>
    <row r="416" customFormat="1" s="76"/>
    <row r="417" customFormat="1" s="76"/>
    <row r="418" customFormat="1" s="76"/>
    <row r="419" customFormat="1" s="76"/>
    <row r="420" customFormat="1" s="76"/>
    <row r="421" customFormat="1" s="76"/>
    <row r="422" customFormat="1" s="76"/>
    <row r="423" customFormat="1" s="76"/>
    <row r="424" customFormat="1" s="76"/>
    <row r="425" customFormat="1" s="76"/>
    <row r="426" customFormat="1" s="76"/>
    <row r="427" customFormat="1" s="76"/>
    <row r="428" customFormat="1" s="76"/>
    <row r="429" customFormat="1" s="76"/>
    <row r="430" customFormat="1" s="76"/>
    <row r="431" customFormat="1" s="76"/>
    <row r="432" customFormat="1" s="76"/>
    <row r="433" customFormat="1" s="76"/>
    <row r="434" customFormat="1" s="76"/>
    <row r="435" customFormat="1" s="76"/>
    <row r="436" customFormat="1" s="76"/>
    <row r="437" customFormat="1" s="76"/>
    <row r="438" customFormat="1" s="76"/>
    <row r="439" customFormat="1" s="76"/>
    <row r="440" customFormat="1" s="76"/>
    <row r="441" customFormat="1" s="76"/>
    <row r="442" customFormat="1" s="76"/>
    <row r="443" customFormat="1" s="76"/>
    <row r="444" customFormat="1" s="76"/>
    <row r="445" customFormat="1" s="76"/>
    <row r="446" customFormat="1" s="76"/>
    <row r="447" customFormat="1" s="76"/>
    <row r="448" customFormat="1" s="76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7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9"/>
  <sheetViews>
    <sheetView zoomScale="120" zoomScaleNormal="120" workbookViewId="0">
      <pane ySplit="5" topLeftCell="A298" activePane="bottomLeft" state="frozen"/>
      <selection pane="bottomLeft" activeCell="T311" sqref="T311"/>
    </sheetView>
  </sheetViews>
  <sheetFormatPr baseColWidth="8" defaultColWidth="8.81640625" defaultRowHeight="14.5"/>
  <cols>
    <col width="10.81640625" customWidth="1" style="17" min="1" max="1"/>
    <col width="10.81640625" customWidth="1" style="61" min="2" max="3"/>
    <col width="10.81640625" customWidth="1" style="18" min="4" max="4"/>
    <col width="10.81640625" customWidth="1" style="19" min="5" max="6"/>
    <col width="15.90625" bestFit="1" customWidth="1" style="19" min="7" max="7"/>
    <col width="10.81640625" customWidth="1" style="18" min="8" max="8"/>
    <col width="10.81640625" customWidth="1" style="19" min="9" max="11"/>
    <col width="13" customWidth="1" style="19" min="12" max="12"/>
    <col width="9.1796875" customWidth="1" style="76" min="13" max="14"/>
    <col width="9.1796875" customWidth="1" style="23" min="15" max="15"/>
    <col width="9.1796875" customWidth="1" style="76" min="16" max="253"/>
    <col width="10.81640625" customWidth="1" style="76" min="254" max="254"/>
    <col width="18.1796875" customWidth="1" style="76" min="255" max="255"/>
    <col width="15" customWidth="1" style="76" min="256" max="256"/>
    <col width="13" customWidth="1" style="76" min="257" max="260"/>
    <col width="17.453125" customWidth="1" style="76" min="261" max="261"/>
    <col width="9.1796875" customWidth="1" style="76" min="262" max="509"/>
    <col width="10.81640625" customWidth="1" style="76" min="510" max="510"/>
    <col width="18.1796875" customWidth="1" style="76" min="511" max="511"/>
    <col width="15" customWidth="1" style="76" min="512" max="512"/>
    <col width="13" customWidth="1" style="76" min="513" max="516"/>
    <col width="17.453125" customWidth="1" style="76" min="517" max="517"/>
    <col width="9.1796875" customWidth="1" style="76" min="518" max="765"/>
    <col width="10.81640625" customWidth="1" style="76" min="766" max="766"/>
    <col width="18.1796875" customWidth="1" style="76" min="767" max="767"/>
    <col width="15" customWidth="1" style="76" min="768" max="768"/>
    <col width="13" customWidth="1" style="76" min="769" max="772"/>
    <col width="17.453125" customWidth="1" style="76" min="773" max="773"/>
    <col width="9.1796875" customWidth="1" style="76" min="774" max="1021"/>
    <col width="10.81640625" customWidth="1" style="76" min="1022" max="1022"/>
    <col width="18.1796875" customWidth="1" style="76" min="1023" max="1023"/>
    <col width="15" customWidth="1" style="76" min="1024" max="1024"/>
    <col width="13" customWidth="1" style="76" min="1025" max="1028"/>
    <col width="17.453125" customWidth="1" style="76" min="1029" max="1029"/>
    <col width="9.1796875" customWidth="1" style="76" min="1030" max="1277"/>
    <col width="10.81640625" customWidth="1" style="76" min="1278" max="1278"/>
    <col width="18.1796875" customWidth="1" style="76" min="1279" max="1279"/>
    <col width="15" customWidth="1" style="76" min="1280" max="1280"/>
    <col width="13" customWidth="1" style="76" min="1281" max="1284"/>
    <col width="17.453125" customWidth="1" style="76" min="1285" max="1285"/>
    <col width="9.1796875" customWidth="1" style="76" min="1286" max="1533"/>
    <col width="10.81640625" customWidth="1" style="76" min="1534" max="1534"/>
    <col width="18.1796875" customWidth="1" style="76" min="1535" max="1535"/>
    <col width="15" customWidth="1" style="76" min="1536" max="1536"/>
    <col width="13" customWidth="1" style="76" min="1537" max="1540"/>
    <col width="17.453125" customWidth="1" style="76" min="1541" max="1541"/>
    <col width="9.1796875" customWidth="1" style="76" min="1542" max="1789"/>
    <col width="10.81640625" customWidth="1" style="76" min="1790" max="1790"/>
    <col width="18.1796875" customWidth="1" style="76" min="1791" max="1791"/>
    <col width="15" customWidth="1" style="76" min="1792" max="1792"/>
    <col width="13" customWidth="1" style="76" min="1793" max="1796"/>
    <col width="17.453125" customWidth="1" style="76" min="1797" max="1797"/>
    <col width="9.1796875" customWidth="1" style="76" min="1798" max="2045"/>
    <col width="10.81640625" customWidth="1" style="76" min="2046" max="2046"/>
    <col width="18.1796875" customWidth="1" style="76" min="2047" max="2047"/>
    <col width="15" customWidth="1" style="76" min="2048" max="2048"/>
    <col width="13" customWidth="1" style="76" min="2049" max="2052"/>
    <col width="17.453125" customWidth="1" style="76" min="2053" max="2053"/>
    <col width="9.1796875" customWidth="1" style="76" min="2054" max="2301"/>
    <col width="10.81640625" customWidth="1" style="76" min="2302" max="2302"/>
    <col width="18.1796875" customWidth="1" style="76" min="2303" max="2303"/>
    <col width="15" customWidth="1" style="76" min="2304" max="2304"/>
    <col width="13" customWidth="1" style="76" min="2305" max="2308"/>
    <col width="17.453125" customWidth="1" style="76" min="2309" max="2309"/>
    <col width="9.1796875" customWidth="1" style="76" min="2310" max="2557"/>
    <col width="10.81640625" customWidth="1" style="76" min="2558" max="2558"/>
    <col width="18.1796875" customWidth="1" style="76" min="2559" max="2559"/>
    <col width="15" customWidth="1" style="76" min="2560" max="2560"/>
    <col width="13" customWidth="1" style="76" min="2561" max="2564"/>
    <col width="17.453125" customWidth="1" style="76" min="2565" max="2565"/>
    <col width="9.1796875" customWidth="1" style="76" min="2566" max="2813"/>
    <col width="10.81640625" customWidth="1" style="76" min="2814" max="2814"/>
    <col width="18.1796875" customWidth="1" style="76" min="2815" max="2815"/>
    <col width="15" customWidth="1" style="76" min="2816" max="2816"/>
    <col width="13" customWidth="1" style="76" min="2817" max="2820"/>
    <col width="17.453125" customWidth="1" style="76" min="2821" max="2821"/>
    <col width="9.1796875" customWidth="1" style="76" min="2822" max="3069"/>
    <col width="10.81640625" customWidth="1" style="76" min="3070" max="3070"/>
    <col width="18.1796875" customWidth="1" style="76" min="3071" max="3071"/>
    <col width="15" customWidth="1" style="76" min="3072" max="3072"/>
    <col width="13" customWidth="1" style="76" min="3073" max="3076"/>
    <col width="17.453125" customWidth="1" style="76" min="3077" max="3077"/>
    <col width="9.1796875" customWidth="1" style="76" min="3078" max="3325"/>
    <col width="10.81640625" customWidth="1" style="76" min="3326" max="3326"/>
    <col width="18.1796875" customWidth="1" style="76" min="3327" max="3327"/>
    <col width="15" customWidth="1" style="76" min="3328" max="3328"/>
    <col width="13" customWidth="1" style="76" min="3329" max="3332"/>
    <col width="17.453125" customWidth="1" style="76" min="3333" max="3333"/>
    <col width="9.1796875" customWidth="1" style="76" min="3334" max="3581"/>
    <col width="10.81640625" customWidth="1" style="76" min="3582" max="3582"/>
    <col width="18.1796875" customWidth="1" style="76" min="3583" max="3583"/>
    <col width="15" customWidth="1" style="76" min="3584" max="3584"/>
    <col width="13" customWidth="1" style="76" min="3585" max="3588"/>
    <col width="17.453125" customWidth="1" style="76" min="3589" max="3589"/>
    <col width="9.1796875" customWidth="1" style="76" min="3590" max="3837"/>
    <col width="10.81640625" customWidth="1" style="76" min="3838" max="3838"/>
    <col width="18.1796875" customWidth="1" style="76" min="3839" max="3839"/>
    <col width="15" customWidth="1" style="76" min="3840" max="3840"/>
    <col width="13" customWidth="1" style="76" min="3841" max="3844"/>
    <col width="17.453125" customWidth="1" style="76" min="3845" max="3845"/>
    <col width="9.1796875" customWidth="1" style="76" min="3846" max="4093"/>
    <col width="10.81640625" customWidth="1" style="76" min="4094" max="4094"/>
    <col width="18.1796875" customWidth="1" style="76" min="4095" max="4095"/>
    <col width="15" customWidth="1" style="76" min="4096" max="4096"/>
    <col width="13" customWidth="1" style="76" min="4097" max="4100"/>
    <col width="17.453125" customWidth="1" style="76" min="4101" max="4101"/>
    <col width="9.1796875" customWidth="1" style="76" min="4102" max="4349"/>
    <col width="10.81640625" customWidth="1" style="76" min="4350" max="4350"/>
    <col width="18.1796875" customWidth="1" style="76" min="4351" max="4351"/>
    <col width="15" customWidth="1" style="76" min="4352" max="4352"/>
    <col width="13" customWidth="1" style="76" min="4353" max="4356"/>
    <col width="17.453125" customWidth="1" style="76" min="4357" max="4357"/>
    <col width="9.1796875" customWidth="1" style="76" min="4358" max="4605"/>
    <col width="10.81640625" customWidth="1" style="76" min="4606" max="4606"/>
    <col width="18.1796875" customWidth="1" style="76" min="4607" max="4607"/>
    <col width="15" customWidth="1" style="76" min="4608" max="4608"/>
    <col width="13" customWidth="1" style="76" min="4609" max="4612"/>
    <col width="17.453125" customWidth="1" style="76" min="4613" max="4613"/>
    <col width="9.1796875" customWidth="1" style="76" min="4614" max="4861"/>
    <col width="10.81640625" customWidth="1" style="76" min="4862" max="4862"/>
    <col width="18.1796875" customWidth="1" style="76" min="4863" max="4863"/>
    <col width="15" customWidth="1" style="76" min="4864" max="4864"/>
    <col width="13" customWidth="1" style="76" min="4865" max="4868"/>
    <col width="17.453125" customWidth="1" style="76" min="4869" max="4869"/>
    <col width="9.1796875" customWidth="1" style="76" min="4870" max="5117"/>
    <col width="10.81640625" customWidth="1" style="76" min="5118" max="5118"/>
    <col width="18.1796875" customWidth="1" style="76" min="5119" max="5119"/>
    <col width="15" customWidth="1" style="76" min="5120" max="5120"/>
    <col width="13" customWidth="1" style="76" min="5121" max="5124"/>
    <col width="17.453125" customWidth="1" style="76" min="5125" max="5125"/>
    <col width="9.1796875" customWidth="1" style="76" min="5126" max="5373"/>
    <col width="10.81640625" customWidth="1" style="76" min="5374" max="5374"/>
    <col width="18.1796875" customWidth="1" style="76" min="5375" max="5375"/>
    <col width="15" customWidth="1" style="76" min="5376" max="5376"/>
    <col width="13" customWidth="1" style="76" min="5377" max="5380"/>
    <col width="17.453125" customWidth="1" style="76" min="5381" max="5381"/>
    <col width="9.1796875" customWidth="1" style="76" min="5382" max="5629"/>
    <col width="10.81640625" customWidth="1" style="76" min="5630" max="5630"/>
    <col width="18.1796875" customWidth="1" style="76" min="5631" max="5631"/>
    <col width="15" customWidth="1" style="76" min="5632" max="5632"/>
    <col width="13" customWidth="1" style="76" min="5633" max="5636"/>
    <col width="17.453125" customWidth="1" style="76" min="5637" max="5637"/>
    <col width="9.1796875" customWidth="1" style="76" min="5638" max="5885"/>
    <col width="10.81640625" customWidth="1" style="76" min="5886" max="5886"/>
    <col width="18.1796875" customWidth="1" style="76" min="5887" max="5887"/>
    <col width="15" customWidth="1" style="76" min="5888" max="5888"/>
    <col width="13" customWidth="1" style="76" min="5889" max="5892"/>
    <col width="17.453125" customWidth="1" style="76" min="5893" max="5893"/>
    <col width="9.1796875" customWidth="1" style="76" min="5894" max="6141"/>
    <col width="10.81640625" customWidth="1" style="76" min="6142" max="6142"/>
    <col width="18.1796875" customWidth="1" style="76" min="6143" max="6143"/>
    <col width="15" customWidth="1" style="76" min="6144" max="6144"/>
    <col width="13" customWidth="1" style="76" min="6145" max="6148"/>
    <col width="17.453125" customWidth="1" style="76" min="6149" max="6149"/>
    <col width="9.1796875" customWidth="1" style="76" min="6150" max="6397"/>
    <col width="10.81640625" customWidth="1" style="76" min="6398" max="6398"/>
    <col width="18.1796875" customWidth="1" style="76" min="6399" max="6399"/>
    <col width="15" customWidth="1" style="76" min="6400" max="6400"/>
    <col width="13" customWidth="1" style="76" min="6401" max="6404"/>
    <col width="17.453125" customWidth="1" style="76" min="6405" max="6405"/>
    <col width="9.1796875" customWidth="1" style="76" min="6406" max="6653"/>
    <col width="10.81640625" customWidth="1" style="76" min="6654" max="6654"/>
    <col width="18.1796875" customWidth="1" style="76" min="6655" max="6655"/>
    <col width="15" customWidth="1" style="76" min="6656" max="6656"/>
    <col width="13" customWidth="1" style="76" min="6657" max="6660"/>
    <col width="17.453125" customWidth="1" style="76" min="6661" max="6661"/>
    <col width="9.1796875" customWidth="1" style="76" min="6662" max="6909"/>
    <col width="10.81640625" customWidth="1" style="76" min="6910" max="6910"/>
    <col width="18.1796875" customWidth="1" style="76" min="6911" max="6911"/>
    <col width="15" customWidth="1" style="76" min="6912" max="6912"/>
    <col width="13" customWidth="1" style="76" min="6913" max="6916"/>
    <col width="17.453125" customWidth="1" style="76" min="6917" max="6917"/>
    <col width="9.1796875" customWidth="1" style="76" min="6918" max="7165"/>
    <col width="10.81640625" customWidth="1" style="76" min="7166" max="7166"/>
    <col width="18.1796875" customWidth="1" style="76" min="7167" max="7167"/>
    <col width="15" customWidth="1" style="76" min="7168" max="7168"/>
    <col width="13" customWidth="1" style="76" min="7169" max="7172"/>
    <col width="17.453125" customWidth="1" style="76" min="7173" max="7173"/>
    <col width="9.1796875" customWidth="1" style="76" min="7174" max="7421"/>
    <col width="10.81640625" customWidth="1" style="76" min="7422" max="7422"/>
    <col width="18.1796875" customWidth="1" style="76" min="7423" max="7423"/>
    <col width="15" customWidth="1" style="76" min="7424" max="7424"/>
    <col width="13" customWidth="1" style="76" min="7425" max="7428"/>
    <col width="17.453125" customWidth="1" style="76" min="7429" max="7429"/>
    <col width="9.1796875" customWidth="1" style="76" min="7430" max="7677"/>
    <col width="10.81640625" customWidth="1" style="76" min="7678" max="7678"/>
    <col width="18.1796875" customWidth="1" style="76" min="7679" max="7679"/>
    <col width="15" customWidth="1" style="76" min="7680" max="7680"/>
    <col width="13" customWidth="1" style="76" min="7681" max="7684"/>
    <col width="17.453125" customWidth="1" style="76" min="7685" max="7685"/>
    <col width="9.1796875" customWidth="1" style="76" min="7686" max="7933"/>
    <col width="10.81640625" customWidth="1" style="76" min="7934" max="7934"/>
    <col width="18.1796875" customWidth="1" style="76" min="7935" max="7935"/>
    <col width="15" customWidth="1" style="76" min="7936" max="7936"/>
    <col width="13" customWidth="1" style="76" min="7937" max="7940"/>
    <col width="17.453125" customWidth="1" style="76" min="7941" max="7941"/>
    <col width="9.1796875" customWidth="1" style="76" min="7942" max="8189"/>
    <col width="10.81640625" customWidth="1" style="76" min="8190" max="8190"/>
    <col width="18.1796875" customWidth="1" style="76" min="8191" max="8191"/>
    <col width="15" customWidth="1" style="76" min="8192" max="8192"/>
    <col width="13" customWidth="1" style="76" min="8193" max="8196"/>
    <col width="17.453125" customWidth="1" style="76" min="8197" max="8197"/>
    <col width="9.1796875" customWidth="1" style="76" min="8198" max="8445"/>
    <col width="10.81640625" customWidth="1" style="76" min="8446" max="8446"/>
    <col width="18.1796875" customWidth="1" style="76" min="8447" max="8447"/>
    <col width="15" customWidth="1" style="76" min="8448" max="8448"/>
    <col width="13" customWidth="1" style="76" min="8449" max="8452"/>
    <col width="17.453125" customWidth="1" style="76" min="8453" max="8453"/>
    <col width="9.1796875" customWidth="1" style="76" min="8454" max="8701"/>
    <col width="10.81640625" customWidth="1" style="76" min="8702" max="8702"/>
    <col width="18.1796875" customWidth="1" style="76" min="8703" max="8703"/>
    <col width="15" customWidth="1" style="76" min="8704" max="8704"/>
    <col width="13" customWidth="1" style="76" min="8705" max="8708"/>
    <col width="17.453125" customWidth="1" style="76" min="8709" max="8709"/>
    <col width="9.1796875" customWidth="1" style="76" min="8710" max="8957"/>
    <col width="10.81640625" customWidth="1" style="76" min="8958" max="8958"/>
    <col width="18.1796875" customWidth="1" style="76" min="8959" max="8959"/>
    <col width="15" customWidth="1" style="76" min="8960" max="8960"/>
    <col width="13" customWidth="1" style="76" min="8961" max="8964"/>
    <col width="17.453125" customWidth="1" style="76" min="8965" max="8965"/>
    <col width="9.1796875" customWidth="1" style="76" min="8966" max="9213"/>
    <col width="10.81640625" customWidth="1" style="76" min="9214" max="9214"/>
    <col width="18.1796875" customWidth="1" style="76" min="9215" max="9215"/>
    <col width="15" customWidth="1" style="76" min="9216" max="9216"/>
    <col width="13" customWidth="1" style="76" min="9217" max="9220"/>
    <col width="17.453125" customWidth="1" style="76" min="9221" max="9221"/>
    <col width="9.1796875" customWidth="1" style="76" min="9222" max="9469"/>
    <col width="10.81640625" customWidth="1" style="76" min="9470" max="9470"/>
    <col width="18.1796875" customWidth="1" style="76" min="9471" max="9471"/>
    <col width="15" customWidth="1" style="76" min="9472" max="9472"/>
    <col width="13" customWidth="1" style="76" min="9473" max="9476"/>
    <col width="17.453125" customWidth="1" style="76" min="9477" max="9477"/>
    <col width="9.1796875" customWidth="1" style="76" min="9478" max="9725"/>
    <col width="10.81640625" customWidth="1" style="76" min="9726" max="9726"/>
    <col width="18.1796875" customWidth="1" style="76" min="9727" max="9727"/>
    <col width="15" customWidth="1" style="76" min="9728" max="9728"/>
    <col width="13" customWidth="1" style="76" min="9729" max="9732"/>
    <col width="17.453125" customWidth="1" style="76" min="9733" max="9733"/>
    <col width="9.1796875" customWidth="1" style="76" min="9734" max="9981"/>
    <col width="10.81640625" customWidth="1" style="76" min="9982" max="9982"/>
    <col width="18.1796875" customWidth="1" style="76" min="9983" max="9983"/>
    <col width="15" customWidth="1" style="76" min="9984" max="9984"/>
    <col width="13" customWidth="1" style="76" min="9985" max="9988"/>
    <col width="17.453125" customWidth="1" style="76" min="9989" max="9989"/>
    <col width="9.1796875" customWidth="1" style="76" min="9990" max="10237"/>
    <col width="10.81640625" customWidth="1" style="76" min="10238" max="10238"/>
    <col width="18.1796875" customWidth="1" style="76" min="10239" max="10239"/>
    <col width="15" customWidth="1" style="76" min="10240" max="10240"/>
    <col width="13" customWidth="1" style="76" min="10241" max="10244"/>
    <col width="17.453125" customWidth="1" style="76" min="10245" max="10245"/>
    <col width="9.1796875" customWidth="1" style="76" min="10246" max="10493"/>
    <col width="10.81640625" customWidth="1" style="76" min="10494" max="10494"/>
    <col width="18.1796875" customWidth="1" style="76" min="10495" max="10495"/>
    <col width="15" customWidth="1" style="76" min="10496" max="10496"/>
    <col width="13" customWidth="1" style="76" min="10497" max="10500"/>
    <col width="17.453125" customWidth="1" style="76" min="10501" max="10501"/>
    <col width="9.1796875" customWidth="1" style="76" min="10502" max="10749"/>
    <col width="10.81640625" customWidth="1" style="76" min="10750" max="10750"/>
    <col width="18.1796875" customWidth="1" style="76" min="10751" max="10751"/>
    <col width="15" customWidth="1" style="76" min="10752" max="10752"/>
    <col width="13" customWidth="1" style="76" min="10753" max="10756"/>
    <col width="17.453125" customWidth="1" style="76" min="10757" max="10757"/>
    <col width="9.1796875" customWidth="1" style="76" min="10758" max="11005"/>
    <col width="10.81640625" customWidth="1" style="76" min="11006" max="11006"/>
    <col width="18.1796875" customWidth="1" style="76" min="11007" max="11007"/>
    <col width="15" customWidth="1" style="76" min="11008" max="11008"/>
    <col width="13" customWidth="1" style="76" min="11009" max="11012"/>
    <col width="17.453125" customWidth="1" style="76" min="11013" max="11013"/>
    <col width="9.1796875" customWidth="1" style="76" min="11014" max="11261"/>
    <col width="10.81640625" customWidth="1" style="76" min="11262" max="11262"/>
    <col width="18.1796875" customWidth="1" style="76" min="11263" max="11263"/>
    <col width="15" customWidth="1" style="76" min="11264" max="11264"/>
    <col width="13" customWidth="1" style="76" min="11265" max="11268"/>
    <col width="17.453125" customWidth="1" style="76" min="11269" max="11269"/>
    <col width="9.1796875" customWidth="1" style="76" min="11270" max="11517"/>
    <col width="10.81640625" customWidth="1" style="76" min="11518" max="11518"/>
    <col width="18.1796875" customWidth="1" style="76" min="11519" max="11519"/>
    <col width="15" customWidth="1" style="76" min="11520" max="11520"/>
    <col width="13" customWidth="1" style="76" min="11521" max="11524"/>
    <col width="17.453125" customWidth="1" style="76" min="11525" max="11525"/>
    <col width="9.1796875" customWidth="1" style="76" min="11526" max="11773"/>
    <col width="10.81640625" customWidth="1" style="76" min="11774" max="11774"/>
    <col width="18.1796875" customWidth="1" style="76" min="11775" max="11775"/>
    <col width="15" customWidth="1" style="76" min="11776" max="11776"/>
    <col width="13" customWidth="1" style="76" min="11777" max="11780"/>
    <col width="17.453125" customWidth="1" style="76" min="11781" max="11781"/>
    <col width="9.1796875" customWidth="1" style="76" min="11782" max="12029"/>
    <col width="10.81640625" customWidth="1" style="76" min="12030" max="12030"/>
    <col width="18.1796875" customWidth="1" style="76" min="12031" max="12031"/>
    <col width="15" customWidth="1" style="76" min="12032" max="12032"/>
    <col width="13" customWidth="1" style="76" min="12033" max="12036"/>
    <col width="17.453125" customWidth="1" style="76" min="12037" max="12037"/>
    <col width="9.1796875" customWidth="1" style="76" min="12038" max="12285"/>
    <col width="10.81640625" customWidth="1" style="76" min="12286" max="12286"/>
    <col width="18.1796875" customWidth="1" style="76" min="12287" max="12287"/>
    <col width="15" customWidth="1" style="76" min="12288" max="12288"/>
    <col width="13" customWidth="1" style="76" min="12289" max="12292"/>
    <col width="17.453125" customWidth="1" style="76" min="12293" max="12293"/>
    <col width="9.1796875" customWidth="1" style="76" min="12294" max="12541"/>
    <col width="10.81640625" customWidth="1" style="76" min="12542" max="12542"/>
    <col width="18.1796875" customWidth="1" style="76" min="12543" max="12543"/>
    <col width="15" customWidth="1" style="76" min="12544" max="12544"/>
    <col width="13" customWidth="1" style="76" min="12545" max="12548"/>
    <col width="17.453125" customWidth="1" style="76" min="12549" max="12549"/>
    <col width="9.1796875" customWidth="1" style="76" min="12550" max="12797"/>
    <col width="10.81640625" customWidth="1" style="76" min="12798" max="12798"/>
    <col width="18.1796875" customWidth="1" style="76" min="12799" max="12799"/>
    <col width="15" customWidth="1" style="76" min="12800" max="12800"/>
    <col width="13" customWidth="1" style="76" min="12801" max="12804"/>
    <col width="17.453125" customWidth="1" style="76" min="12805" max="12805"/>
    <col width="9.1796875" customWidth="1" style="76" min="12806" max="13053"/>
    <col width="10.81640625" customWidth="1" style="76" min="13054" max="13054"/>
    <col width="18.1796875" customWidth="1" style="76" min="13055" max="13055"/>
    <col width="15" customWidth="1" style="76" min="13056" max="13056"/>
    <col width="13" customWidth="1" style="76" min="13057" max="13060"/>
    <col width="17.453125" customWidth="1" style="76" min="13061" max="13061"/>
    <col width="9.1796875" customWidth="1" style="76" min="13062" max="13309"/>
    <col width="10.81640625" customWidth="1" style="76" min="13310" max="13310"/>
    <col width="18.1796875" customWidth="1" style="76" min="13311" max="13311"/>
    <col width="15" customWidth="1" style="76" min="13312" max="13312"/>
    <col width="13" customWidth="1" style="76" min="13313" max="13316"/>
    <col width="17.453125" customWidth="1" style="76" min="13317" max="13317"/>
    <col width="9.1796875" customWidth="1" style="76" min="13318" max="13565"/>
    <col width="10.81640625" customWidth="1" style="76" min="13566" max="13566"/>
    <col width="18.1796875" customWidth="1" style="76" min="13567" max="13567"/>
    <col width="15" customWidth="1" style="76" min="13568" max="13568"/>
    <col width="13" customWidth="1" style="76" min="13569" max="13572"/>
    <col width="17.453125" customWidth="1" style="76" min="13573" max="13573"/>
    <col width="9.1796875" customWidth="1" style="76" min="13574" max="13821"/>
    <col width="10.81640625" customWidth="1" style="76" min="13822" max="13822"/>
    <col width="18.1796875" customWidth="1" style="76" min="13823" max="13823"/>
    <col width="15" customWidth="1" style="76" min="13824" max="13824"/>
    <col width="13" customWidth="1" style="76" min="13825" max="13828"/>
    <col width="17.453125" customWidth="1" style="76" min="13829" max="13829"/>
    <col width="9.1796875" customWidth="1" style="76" min="13830" max="14077"/>
    <col width="10.81640625" customWidth="1" style="76" min="14078" max="14078"/>
    <col width="18.1796875" customWidth="1" style="76" min="14079" max="14079"/>
    <col width="15" customWidth="1" style="76" min="14080" max="14080"/>
    <col width="13" customWidth="1" style="76" min="14081" max="14084"/>
    <col width="17.453125" customWidth="1" style="76" min="14085" max="14085"/>
    <col width="9.1796875" customWidth="1" style="76" min="14086" max="14333"/>
    <col width="10.81640625" customWidth="1" style="76" min="14334" max="14334"/>
    <col width="18.1796875" customWidth="1" style="76" min="14335" max="14335"/>
    <col width="15" customWidth="1" style="76" min="14336" max="14336"/>
    <col width="13" customWidth="1" style="76" min="14337" max="14340"/>
    <col width="17.453125" customWidth="1" style="76" min="14341" max="14341"/>
    <col width="9.1796875" customWidth="1" style="76" min="14342" max="14589"/>
    <col width="10.81640625" customWidth="1" style="76" min="14590" max="14590"/>
    <col width="18.1796875" customWidth="1" style="76" min="14591" max="14591"/>
    <col width="15" customWidth="1" style="76" min="14592" max="14592"/>
    <col width="13" customWidth="1" style="76" min="14593" max="14596"/>
    <col width="17.453125" customWidth="1" style="76" min="14597" max="14597"/>
    <col width="9.1796875" customWidth="1" style="76" min="14598" max="14845"/>
    <col width="10.81640625" customWidth="1" style="76" min="14846" max="14846"/>
    <col width="18.1796875" customWidth="1" style="76" min="14847" max="14847"/>
    <col width="15" customWidth="1" style="76" min="14848" max="14848"/>
    <col width="13" customWidth="1" style="76" min="14849" max="14852"/>
    <col width="17.453125" customWidth="1" style="76" min="14853" max="14853"/>
    <col width="9.1796875" customWidth="1" style="76" min="14854" max="15101"/>
    <col width="10.81640625" customWidth="1" style="76" min="15102" max="15102"/>
    <col width="18.1796875" customWidth="1" style="76" min="15103" max="15103"/>
    <col width="15" customWidth="1" style="76" min="15104" max="15104"/>
    <col width="13" customWidth="1" style="76" min="15105" max="15108"/>
    <col width="17.453125" customWidth="1" style="76" min="15109" max="15109"/>
    <col width="9.1796875" customWidth="1" style="76" min="15110" max="15357"/>
    <col width="10.81640625" customWidth="1" style="76" min="15358" max="15358"/>
    <col width="18.1796875" customWidth="1" style="76" min="15359" max="15359"/>
    <col width="15" customWidth="1" style="76" min="15360" max="15360"/>
    <col width="13" customWidth="1" style="76" min="15361" max="15364"/>
    <col width="17.453125" customWidth="1" style="76" min="15365" max="15365"/>
    <col width="9.1796875" customWidth="1" style="76" min="15366" max="15613"/>
    <col width="10.81640625" customWidth="1" style="76" min="15614" max="15614"/>
    <col width="18.1796875" customWidth="1" style="76" min="15615" max="15615"/>
    <col width="15" customWidth="1" style="76" min="15616" max="15616"/>
    <col width="13" customWidth="1" style="76" min="15617" max="15620"/>
    <col width="17.453125" customWidth="1" style="76" min="15621" max="15621"/>
    <col width="9.1796875" customWidth="1" style="76" min="15622" max="15869"/>
    <col width="10.81640625" customWidth="1" style="76" min="15870" max="15870"/>
    <col width="18.1796875" customWidth="1" style="76" min="15871" max="15871"/>
    <col width="15" customWidth="1" style="76" min="15872" max="15872"/>
    <col width="13" customWidth="1" style="76" min="15873" max="15876"/>
    <col width="17.453125" customWidth="1" style="76" min="15877" max="15877"/>
    <col width="9.1796875" customWidth="1" style="76" min="15878" max="16125"/>
    <col width="10.81640625" customWidth="1" style="76" min="16126" max="16126"/>
    <col width="18.1796875" customWidth="1" style="76" min="16127" max="16127"/>
    <col width="15" customWidth="1" style="76" min="16128" max="16128"/>
    <col width="13" customWidth="1" style="76" min="16129" max="16132"/>
    <col width="17.453125" customWidth="1" style="76" min="16133" max="16133"/>
    <col width="9.1796875" customWidth="1" style="76" min="16134" max="16384"/>
  </cols>
  <sheetData>
    <row r="2">
      <c r="A2" s="62" t="n"/>
      <c r="B2" s="63" t="n"/>
      <c r="C2" s="63" t="n"/>
      <c r="P2" s="63" t="n"/>
      <c r="R2" s="20" t="n"/>
    </row>
    <row r="4" ht="16" customHeight="1" s="89" thickBot="1"/>
    <row r="5" ht="23.25" customFormat="1" customHeight="1" s="82">
      <c r="A5" s="35" t="inlineStr">
        <is>
          <t>Date</t>
        </is>
      </c>
      <c r="B5" s="64" t="inlineStr">
        <is>
          <t>GDP</t>
        </is>
      </c>
      <c r="C5" s="64" t="inlineStr">
        <is>
          <t>Personal Consumption</t>
        </is>
      </c>
      <c r="D5" s="36" t="inlineStr">
        <is>
          <t>Private Investment</t>
        </is>
      </c>
      <c r="E5" s="37" t="inlineStr">
        <is>
          <t>Exports</t>
        </is>
      </c>
      <c r="F5" s="37" t="inlineStr">
        <is>
          <t>Imports</t>
        </is>
      </c>
      <c r="G5" s="38" t="inlineStr">
        <is>
          <t>Government</t>
        </is>
      </c>
      <c r="H5" s="36" t="inlineStr">
        <is>
          <t>PC%</t>
        </is>
      </c>
      <c r="I5" s="38" t="inlineStr">
        <is>
          <t>I%</t>
        </is>
      </c>
      <c r="J5" s="38" t="inlineStr">
        <is>
          <t>E%</t>
        </is>
      </c>
      <c r="K5" s="38" t="inlineStr">
        <is>
          <t>I%2</t>
        </is>
      </c>
      <c r="L5" s="39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0" t="n">
        <v>17168</v>
      </c>
      <c r="B6" s="56">
        <f>VLOOKUP(A6,'U.S. GDP'!A:B,2,)</f>
        <v/>
      </c>
      <c r="C6" s="56">
        <f>VLOOKUP(A6,PersonalConsumption!A:B,2,)</f>
        <v/>
      </c>
      <c r="D6" s="56">
        <f>VLOOKUP(A6,PrivateInvestment!A:B,2,)</f>
        <v/>
      </c>
      <c r="E6" s="56">
        <f>VLOOKUP(A6,Exports!A:B,2,)</f>
        <v/>
      </c>
      <c r="F6" s="56">
        <f>VLOOKUP(A6,Imports!A:B,2,)</f>
        <v/>
      </c>
      <c r="G6" s="56">
        <f>VLOOKUP(A6,Government!A:B,2,)</f>
        <v/>
      </c>
      <c r="H6" s="32">
        <f>Table58[[#This Row],[Personal Consumption]]/Table58[[#This Row],[GDP]]</f>
        <v/>
      </c>
      <c r="I6" s="32">
        <f>Table58[[#This Row],[Private Investment]]/Table58[[#This Row],[GDP]]</f>
        <v/>
      </c>
      <c r="J6" s="32">
        <f>Table58[[#This Row],[Exports]]/Table58[[#This Row],[GDP]]</f>
        <v/>
      </c>
      <c r="K6" s="32">
        <f>-Table58[[#This Row],[Imports]]/Table58[[#This Row],[GDP]]</f>
        <v/>
      </c>
      <c r="L6" s="32">
        <f>Table58[[#This Row],[Government]]/Table58[[#This Row],[GDP]]</f>
        <v/>
      </c>
      <c r="N6" s="51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0" t="n">
        <v>17258</v>
      </c>
      <c r="B7" s="56">
        <f>VLOOKUP(A7,'U.S. GDP'!A:B,2,)</f>
        <v/>
      </c>
      <c r="C7" s="56">
        <f>VLOOKUP(A7,PersonalConsumption!A:B,2,)</f>
        <v/>
      </c>
      <c r="D7" s="56">
        <f>VLOOKUP(A7,PrivateInvestment!A:B,2,)</f>
        <v/>
      </c>
      <c r="E7" s="56">
        <f>VLOOKUP(A7,Exports!A:B,2,)</f>
        <v/>
      </c>
      <c r="F7" s="56">
        <f>VLOOKUP(A7,Imports!A:B,2,)</f>
        <v/>
      </c>
      <c r="G7" s="56">
        <f>VLOOKUP(A7,Government!A:B,2,)</f>
        <v/>
      </c>
      <c r="H7" s="32">
        <f>Table58[[#This Row],[Personal Consumption]]/Table58[[#This Row],[GDP]]</f>
        <v/>
      </c>
      <c r="I7" s="32">
        <f>Table58[[#This Row],[Private Investment]]/Table58[[#This Row],[GDP]]</f>
        <v/>
      </c>
      <c r="J7" s="32">
        <f>Table58[[#This Row],[Exports]]/Table58[[#This Row],[GDP]]</f>
        <v/>
      </c>
      <c r="K7" s="32">
        <f>-Table58[[#This Row],[Imports]]/Table58[[#This Row],[GDP]]</f>
        <v/>
      </c>
      <c r="L7" s="32">
        <f>Table58[[#This Row],[Government]]/Table58[[#This Row],[GDP]]</f>
        <v/>
      </c>
      <c r="N7" s="51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0" t="n">
        <v>17349</v>
      </c>
      <c r="B8" s="56">
        <f>VLOOKUP(A8,'U.S. GDP'!A:B,2,)</f>
        <v/>
      </c>
      <c r="C8" s="56">
        <f>VLOOKUP(A8,PersonalConsumption!A:B,2,)</f>
        <v/>
      </c>
      <c r="D8" s="56">
        <f>VLOOKUP(A8,PrivateInvestment!A:B,2,)</f>
        <v/>
      </c>
      <c r="E8" s="56">
        <f>VLOOKUP(A8,Exports!A:B,2,)</f>
        <v/>
      </c>
      <c r="F8" s="56">
        <f>VLOOKUP(A8,Imports!A:B,2,)</f>
        <v/>
      </c>
      <c r="G8" s="56">
        <f>VLOOKUP(A8,Government!A:B,2,)</f>
        <v/>
      </c>
      <c r="H8" s="32">
        <f>Table58[[#This Row],[Personal Consumption]]/Table58[[#This Row],[GDP]]</f>
        <v/>
      </c>
      <c r="I8" s="32">
        <f>Table58[[#This Row],[Private Investment]]/Table58[[#This Row],[GDP]]</f>
        <v/>
      </c>
      <c r="J8" s="32">
        <f>Table58[[#This Row],[Exports]]/Table58[[#This Row],[GDP]]</f>
        <v/>
      </c>
      <c r="K8" s="32">
        <f>-Table58[[#This Row],[Imports]]/Table58[[#This Row],[GDP]]</f>
        <v/>
      </c>
      <c r="L8" s="32">
        <f>Table58[[#This Row],[Government]]/Table58[[#This Row],[GDP]]</f>
        <v/>
      </c>
      <c r="N8" s="51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0" t="n">
        <v>17441</v>
      </c>
      <c r="B9" s="56">
        <f>VLOOKUP(A9,'U.S. GDP'!A:B,2,)</f>
        <v/>
      </c>
      <c r="C9" s="56">
        <f>VLOOKUP(A9,PersonalConsumption!A:B,2,)</f>
        <v/>
      </c>
      <c r="D9" s="56">
        <f>VLOOKUP(A9,PrivateInvestment!A:B,2,)</f>
        <v/>
      </c>
      <c r="E9" s="56">
        <f>VLOOKUP(A9,Exports!A:B,2,)</f>
        <v/>
      </c>
      <c r="F9" s="56">
        <f>VLOOKUP(A9,Imports!A:B,2,)</f>
        <v/>
      </c>
      <c r="G9" s="56">
        <f>VLOOKUP(A9,Government!A:B,2,)</f>
        <v/>
      </c>
      <c r="H9" s="32">
        <f>Table58[[#This Row],[Personal Consumption]]/Table58[[#This Row],[GDP]]</f>
        <v/>
      </c>
      <c r="I9" s="32">
        <f>Table58[[#This Row],[Private Investment]]/Table58[[#This Row],[GDP]]</f>
        <v/>
      </c>
      <c r="J9" s="32">
        <f>Table58[[#This Row],[Exports]]/Table58[[#This Row],[GDP]]</f>
        <v/>
      </c>
      <c r="K9" s="32">
        <f>-Table58[[#This Row],[Imports]]/Table58[[#This Row],[GDP]]</f>
        <v/>
      </c>
      <c r="L9" s="32">
        <f>Table58[[#This Row],[Government]]/Table58[[#This Row],[GDP]]</f>
        <v/>
      </c>
      <c r="N9" s="51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0" t="n">
        <v>17533</v>
      </c>
      <c r="B10" s="56">
        <f>VLOOKUP(A10,'U.S. GDP'!A:B,2,)</f>
        <v/>
      </c>
      <c r="C10" s="56">
        <f>VLOOKUP(A10,PersonalConsumption!A:B,2,)</f>
        <v/>
      </c>
      <c r="D10" s="56">
        <f>VLOOKUP(A10,PrivateInvestment!A:B,2,)</f>
        <v/>
      </c>
      <c r="E10" s="56">
        <f>VLOOKUP(A10,Exports!A:B,2,)</f>
        <v/>
      </c>
      <c r="F10" s="56">
        <f>VLOOKUP(A10,Imports!A:B,2,)</f>
        <v/>
      </c>
      <c r="G10" s="56">
        <f>VLOOKUP(A10,Government!A:B,2,)</f>
        <v/>
      </c>
      <c r="H10" s="32">
        <f>Table58[[#This Row],[Personal Consumption]]/Table58[[#This Row],[GDP]]</f>
        <v/>
      </c>
      <c r="I10" s="32">
        <f>Table58[[#This Row],[Private Investment]]/Table58[[#This Row],[GDP]]</f>
        <v/>
      </c>
      <c r="J10" s="32">
        <f>Table58[[#This Row],[Exports]]/Table58[[#This Row],[GDP]]</f>
        <v/>
      </c>
      <c r="K10" s="32">
        <f>-Table58[[#This Row],[Imports]]/Table58[[#This Row],[GDP]]</f>
        <v/>
      </c>
      <c r="L10" s="32">
        <f>Table58[[#This Row],[Government]]/Table58[[#This Row],[GDP]]</f>
        <v/>
      </c>
      <c r="N10" s="51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0" t="n">
        <v>17624</v>
      </c>
      <c r="B11" s="56">
        <f>VLOOKUP(A11,'U.S. GDP'!A:B,2,)</f>
        <v/>
      </c>
      <c r="C11" s="56">
        <f>VLOOKUP(A11,PersonalConsumption!A:B,2,)</f>
        <v/>
      </c>
      <c r="D11" s="56">
        <f>VLOOKUP(A11,PrivateInvestment!A:B,2,)</f>
        <v/>
      </c>
      <c r="E11" s="56">
        <f>VLOOKUP(A11,Exports!A:B,2,)</f>
        <v/>
      </c>
      <c r="F11" s="56">
        <f>VLOOKUP(A11,Imports!A:B,2,)</f>
        <v/>
      </c>
      <c r="G11" s="56">
        <f>VLOOKUP(A11,Government!A:B,2,)</f>
        <v/>
      </c>
      <c r="H11" s="32">
        <f>Table58[[#This Row],[Personal Consumption]]/Table58[[#This Row],[GDP]]</f>
        <v/>
      </c>
      <c r="I11" s="32">
        <f>Table58[[#This Row],[Private Investment]]/Table58[[#This Row],[GDP]]</f>
        <v/>
      </c>
      <c r="J11" s="32">
        <f>Table58[[#This Row],[Exports]]/Table58[[#This Row],[GDP]]</f>
        <v/>
      </c>
      <c r="K11" s="32">
        <f>-Table58[[#This Row],[Imports]]/Table58[[#This Row],[GDP]]</f>
        <v/>
      </c>
      <c r="L11" s="32">
        <f>Table58[[#This Row],[Government]]/Table58[[#This Row],[GDP]]</f>
        <v/>
      </c>
      <c r="N11" s="51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0" t="n">
        <v>17715</v>
      </c>
      <c r="B12" s="56">
        <f>VLOOKUP(A12,'U.S. GDP'!A:B,2,)</f>
        <v/>
      </c>
      <c r="C12" s="56">
        <f>VLOOKUP(A12,PersonalConsumption!A:B,2,)</f>
        <v/>
      </c>
      <c r="D12" s="56">
        <f>VLOOKUP(A12,PrivateInvestment!A:B,2,)</f>
        <v/>
      </c>
      <c r="E12" s="56">
        <f>VLOOKUP(A12,Exports!A:B,2,)</f>
        <v/>
      </c>
      <c r="F12" s="56">
        <f>VLOOKUP(A12,Imports!A:B,2,)</f>
        <v/>
      </c>
      <c r="G12" s="56">
        <f>VLOOKUP(A12,Government!A:B,2,)</f>
        <v/>
      </c>
      <c r="H12" s="32">
        <f>Table58[[#This Row],[Personal Consumption]]/Table58[[#This Row],[GDP]]</f>
        <v/>
      </c>
      <c r="I12" s="32">
        <f>Table58[[#This Row],[Private Investment]]/Table58[[#This Row],[GDP]]</f>
        <v/>
      </c>
      <c r="J12" s="32">
        <f>Table58[[#This Row],[Exports]]/Table58[[#This Row],[GDP]]</f>
        <v/>
      </c>
      <c r="K12" s="32">
        <f>-Table58[[#This Row],[Imports]]/Table58[[#This Row],[GDP]]</f>
        <v/>
      </c>
      <c r="L12" s="32">
        <f>Table58[[#This Row],[Government]]/Table58[[#This Row],[GDP]]</f>
        <v/>
      </c>
      <c r="N12" s="51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0" t="n">
        <v>17807</v>
      </c>
      <c r="B13" s="56">
        <f>VLOOKUP(A13,'U.S. GDP'!A:B,2,)</f>
        <v/>
      </c>
      <c r="C13" s="56">
        <f>VLOOKUP(A13,PersonalConsumption!A:B,2,)</f>
        <v/>
      </c>
      <c r="D13" s="56">
        <f>VLOOKUP(A13,PrivateInvestment!A:B,2,)</f>
        <v/>
      </c>
      <c r="E13" s="56">
        <f>VLOOKUP(A13,Exports!A:B,2,)</f>
        <v/>
      </c>
      <c r="F13" s="56">
        <f>VLOOKUP(A13,Imports!A:B,2,)</f>
        <v/>
      </c>
      <c r="G13" s="56">
        <f>VLOOKUP(A13,Government!A:B,2,)</f>
        <v/>
      </c>
      <c r="H13" s="32">
        <f>Table58[[#This Row],[Personal Consumption]]/Table58[[#This Row],[GDP]]</f>
        <v/>
      </c>
      <c r="I13" s="32">
        <f>Table58[[#This Row],[Private Investment]]/Table58[[#This Row],[GDP]]</f>
        <v/>
      </c>
      <c r="J13" s="32">
        <f>Table58[[#This Row],[Exports]]/Table58[[#This Row],[GDP]]</f>
        <v/>
      </c>
      <c r="K13" s="32">
        <f>-Table58[[#This Row],[Imports]]/Table58[[#This Row],[GDP]]</f>
        <v/>
      </c>
      <c r="L13" s="32">
        <f>Table58[[#This Row],[Government]]/Table58[[#This Row],[GDP]]</f>
        <v/>
      </c>
      <c r="N13" s="51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0" t="n">
        <v>17899</v>
      </c>
      <c r="B14" s="56">
        <f>VLOOKUP(A14,'U.S. GDP'!A:B,2,)</f>
        <v/>
      </c>
      <c r="C14" s="56">
        <f>VLOOKUP(A14,PersonalConsumption!A:B,2,)</f>
        <v/>
      </c>
      <c r="D14" s="56">
        <f>VLOOKUP(A14,PrivateInvestment!A:B,2,)</f>
        <v/>
      </c>
      <c r="E14" s="56">
        <f>VLOOKUP(A14,Exports!A:B,2,)</f>
        <v/>
      </c>
      <c r="F14" s="56">
        <f>VLOOKUP(A14,Imports!A:B,2,)</f>
        <v/>
      </c>
      <c r="G14" s="56">
        <f>VLOOKUP(A14,Government!A:B,2,)</f>
        <v/>
      </c>
      <c r="H14" s="32">
        <f>Table58[[#This Row],[Personal Consumption]]/Table58[[#This Row],[GDP]]</f>
        <v/>
      </c>
      <c r="I14" s="32">
        <f>Table58[[#This Row],[Private Investment]]/Table58[[#This Row],[GDP]]</f>
        <v/>
      </c>
      <c r="J14" s="32">
        <f>Table58[[#This Row],[Exports]]/Table58[[#This Row],[GDP]]</f>
        <v/>
      </c>
      <c r="K14" s="32">
        <f>-Table58[[#This Row],[Imports]]/Table58[[#This Row],[GDP]]</f>
        <v/>
      </c>
      <c r="L14" s="32">
        <f>Table58[[#This Row],[Government]]/Table58[[#This Row],[GDP]]</f>
        <v/>
      </c>
      <c r="N14" s="51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0" t="n">
        <v>17989</v>
      </c>
      <c r="B15" s="56">
        <f>VLOOKUP(A15,'U.S. GDP'!A:B,2,)</f>
        <v/>
      </c>
      <c r="C15" s="56">
        <f>VLOOKUP(A15,PersonalConsumption!A:B,2,)</f>
        <v/>
      </c>
      <c r="D15" s="56">
        <f>VLOOKUP(A15,PrivateInvestment!A:B,2,)</f>
        <v/>
      </c>
      <c r="E15" s="56">
        <f>VLOOKUP(A15,Exports!A:B,2,)</f>
        <v/>
      </c>
      <c r="F15" s="56">
        <f>VLOOKUP(A15,Imports!A:B,2,)</f>
        <v/>
      </c>
      <c r="G15" s="56">
        <f>VLOOKUP(A15,Government!A:B,2,)</f>
        <v/>
      </c>
      <c r="H15" s="32">
        <f>Table58[[#This Row],[Personal Consumption]]/Table58[[#This Row],[GDP]]</f>
        <v/>
      </c>
      <c r="I15" s="32">
        <f>Table58[[#This Row],[Private Investment]]/Table58[[#This Row],[GDP]]</f>
        <v/>
      </c>
      <c r="J15" s="32">
        <f>Table58[[#This Row],[Exports]]/Table58[[#This Row],[GDP]]</f>
        <v/>
      </c>
      <c r="K15" s="32">
        <f>-Table58[[#This Row],[Imports]]/Table58[[#This Row],[GDP]]</f>
        <v/>
      </c>
      <c r="L15" s="32">
        <f>Table58[[#This Row],[Government]]/Table58[[#This Row],[GDP]]</f>
        <v/>
      </c>
      <c r="N15" s="51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0" t="n">
        <v>18080</v>
      </c>
      <c r="B16" s="56">
        <f>VLOOKUP(A16,'U.S. GDP'!A:B,2,)</f>
        <v/>
      </c>
      <c r="C16" s="56">
        <f>VLOOKUP(A16,PersonalConsumption!A:B,2,)</f>
        <v/>
      </c>
      <c r="D16" s="56">
        <f>VLOOKUP(A16,PrivateInvestment!A:B,2,)</f>
        <v/>
      </c>
      <c r="E16" s="56">
        <f>VLOOKUP(A16,Exports!A:B,2,)</f>
        <v/>
      </c>
      <c r="F16" s="56">
        <f>VLOOKUP(A16,Imports!A:B,2,)</f>
        <v/>
      </c>
      <c r="G16" s="56">
        <f>VLOOKUP(A16,Government!A:B,2,)</f>
        <v/>
      </c>
      <c r="H16" s="32">
        <f>Table58[[#This Row],[Personal Consumption]]/Table58[[#This Row],[GDP]]</f>
        <v/>
      </c>
      <c r="I16" s="32">
        <f>Table58[[#This Row],[Private Investment]]/Table58[[#This Row],[GDP]]</f>
        <v/>
      </c>
      <c r="J16" s="32">
        <f>Table58[[#This Row],[Exports]]/Table58[[#This Row],[GDP]]</f>
        <v/>
      </c>
      <c r="K16" s="32">
        <f>-Table58[[#This Row],[Imports]]/Table58[[#This Row],[GDP]]</f>
        <v/>
      </c>
      <c r="L16" s="32">
        <f>Table58[[#This Row],[Government]]/Table58[[#This Row],[GDP]]</f>
        <v/>
      </c>
      <c r="N16" s="51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0" t="n">
        <v>18172</v>
      </c>
      <c r="B17" s="56">
        <f>VLOOKUP(A17,'U.S. GDP'!A:B,2,)</f>
        <v/>
      </c>
      <c r="C17" s="56">
        <f>VLOOKUP(A17,PersonalConsumption!A:B,2,)</f>
        <v/>
      </c>
      <c r="D17" s="56">
        <f>VLOOKUP(A17,PrivateInvestment!A:B,2,)</f>
        <v/>
      </c>
      <c r="E17" s="56">
        <f>VLOOKUP(A17,Exports!A:B,2,)</f>
        <v/>
      </c>
      <c r="F17" s="56">
        <f>VLOOKUP(A17,Imports!A:B,2,)</f>
        <v/>
      </c>
      <c r="G17" s="56">
        <f>VLOOKUP(A17,Government!A:B,2,)</f>
        <v/>
      </c>
      <c r="H17" s="32">
        <f>Table58[[#This Row],[Personal Consumption]]/Table58[[#This Row],[GDP]]</f>
        <v/>
      </c>
      <c r="I17" s="32">
        <f>Table58[[#This Row],[Private Investment]]/Table58[[#This Row],[GDP]]</f>
        <v/>
      </c>
      <c r="J17" s="32">
        <f>Table58[[#This Row],[Exports]]/Table58[[#This Row],[GDP]]</f>
        <v/>
      </c>
      <c r="K17" s="32">
        <f>-Table58[[#This Row],[Imports]]/Table58[[#This Row],[GDP]]</f>
        <v/>
      </c>
      <c r="L17" s="32">
        <f>Table58[[#This Row],[Government]]/Table58[[#This Row],[GDP]]</f>
        <v/>
      </c>
      <c r="N17" s="51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0" t="n">
        <v>18264</v>
      </c>
      <c r="B18" s="56">
        <f>VLOOKUP(A18,'U.S. GDP'!A:B,2,)</f>
        <v/>
      </c>
      <c r="C18" s="56">
        <f>VLOOKUP(A18,PersonalConsumption!A:B,2,)</f>
        <v/>
      </c>
      <c r="D18" s="56">
        <f>VLOOKUP(A18,PrivateInvestment!A:B,2,)</f>
        <v/>
      </c>
      <c r="E18" s="56">
        <f>VLOOKUP(A18,Exports!A:B,2,)</f>
        <v/>
      </c>
      <c r="F18" s="56">
        <f>VLOOKUP(A18,Imports!A:B,2,)</f>
        <v/>
      </c>
      <c r="G18" s="56">
        <f>VLOOKUP(A18,Government!A:B,2,)</f>
        <v/>
      </c>
      <c r="H18" s="32">
        <f>Table58[[#This Row],[Personal Consumption]]/Table58[[#This Row],[GDP]]</f>
        <v/>
      </c>
      <c r="I18" s="32">
        <f>Table58[[#This Row],[Private Investment]]/Table58[[#This Row],[GDP]]</f>
        <v/>
      </c>
      <c r="J18" s="32">
        <f>Table58[[#This Row],[Exports]]/Table58[[#This Row],[GDP]]</f>
        <v/>
      </c>
      <c r="K18" s="32">
        <f>-Table58[[#This Row],[Imports]]/Table58[[#This Row],[GDP]]</f>
        <v/>
      </c>
      <c r="L18" s="32">
        <f>Table58[[#This Row],[Government]]/Table58[[#This Row],[GDP]]</f>
        <v/>
      </c>
      <c r="N18" s="51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0" t="n">
        <v>18354</v>
      </c>
      <c r="B19" s="56">
        <f>VLOOKUP(A19,'U.S. GDP'!A:B,2,)</f>
        <v/>
      </c>
      <c r="C19" s="56">
        <f>VLOOKUP(A19,PersonalConsumption!A:B,2,)</f>
        <v/>
      </c>
      <c r="D19" s="56">
        <f>VLOOKUP(A19,PrivateInvestment!A:B,2,)</f>
        <v/>
      </c>
      <c r="E19" s="56">
        <f>VLOOKUP(A19,Exports!A:B,2,)</f>
        <v/>
      </c>
      <c r="F19" s="56">
        <f>VLOOKUP(A19,Imports!A:B,2,)</f>
        <v/>
      </c>
      <c r="G19" s="56">
        <f>VLOOKUP(A19,Government!A:B,2,)</f>
        <v/>
      </c>
      <c r="H19" s="32">
        <f>Table58[[#This Row],[Personal Consumption]]/Table58[[#This Row],[GDP]]</f>
        <v/>
      </c>
      <c r="I19" s="32">
        <f>Table58[[#This Row],[Private Investment]]/Table58[[#This Row],[GDP]]</f>
        <v/>
      </c>
      <c r="J19" s="32">
        <f>Table58[[#This Row],[Exports]]/Table58[[#This Row],[GDP]]</f>
        <v/>
      </c>
      <c r="K19" s="32">
        <f>-Table58[[#This Row],[Imports]]/Table58[[#This Row],[GDP]]</f>
        <v/>
      </c>
      <c r="L19" s="32">
        <f>Table58[[#This Row],[Government]]/Table58[[#This Row],[GDP]]</f>
        <v/>
      </c>
      <c r="N19" s="51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0" t="n">
        <v>18445</v>
      </c>
      <c r="B20" s="56">
        <f>VLOOKUP(A20,'U.S. GDP'!A:B,2,)</f>
        <v/>
      </c>
      <c r="C20" s="56">
        <f>VLOOKUP(A20,PersonalConsumption!A:B,2,)</f>
        <v/>
      </c>
      <c r="D20" s="56">
        <f>VLOOKUP(A20,PrivateInvestment!A:B,2,)</f>
        <v/>
      </c>
      <c r="E20" s="56">
        <f>VLOOKUP(A20,Exports!A:B,2,)</f>
        <v/>
      </c>
      <c r="F20" s="56">
        <f>VLOOKUP(A20,Imports!A:B,2,)</f>
        <v/>
      </c>
      <c r="G20" s="56">
        <f>VLOOKUP(A20,Government!A:B,2,)</f>
        <v/>
      </c>
      <c r="H20" s="32">
        <f>Table58[[#This Row],[Personal Consumption]]/Table58[[#This Row],[GDP]]</f>
        <v/>
      </c>
      <c r="I20" s="32">
        <f>Table58[[#This Row],[Private Investment]]/Table58[[#This Row],[GDP]]</f>
        <v/>
      </c>
      <c r="J20" s="32">
        <f>Table58[[#This Row],[Exports]]/Table58[[#This Row],[GDP]]</f>
        <v/>
      </c>
      <c r="K20" s="32">
        <f>-Table58[[#This Row],[Imports]]/Table58[[#This Row],[GDP]]</f>
        <v/>
      </c>
      <c r="L20" s="32">
        <f>Table58[[#This Row],[Government]]/Table58[[#This Row],[GDP]]</f>
        <v/>
      </c>
      <c r="N20" s="51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0" t="n">
        <v>18537</v>
      </c>
      <c r="B21" s="56">
        <f>VLOOKUP(A21,'U.S. GDP'!A:B,2,)</f>
        <v/>
      </c>
      <c r="C21" s="56">
        <f>VLOOKUP(A21,PersonalConsumption!A:B,2,)</f>
        <v/>
      </c>
      <c r="D21" s="56">
        <f>VLOOKUP(A21,PrivateInvestment!A:B,2,)</f>
        <v/>
      </c>
      <c r="E21" s="56">
        <f>VLOOKUP(A21,Exports!A:B,2,)</f>
        <v/>
      </c>
      <c r="F21" s="56">
        <f>VLOOKUP(A21,Imports!A:B,2,)</f>
        <v/>
      </c>
      <c r="G21" s="56">
        <f>VLOOKUP(A21,Government!A:B,2,)</f>
        <v/>
      </c>
      <c r="H21" s="32">
        <f>Table58[[#This Row],[Personal Consumption]]/Table58[[#This Row],[GDP]]</f>
        <v/>
      </c>
      <c r="I21" s="32">
        <f>Table58[[#This Row],[Private Investment]]/Table58[[#This Row],[GDP]]</f>
        <v/>
      </c>
      <c r="J21" s="32">
        <f>Table58[[#This Row],[Exports]]/Table58[[#This Row],[GDP]]</f>
        <v/>
      </c>
      <c r="K21" s="32">
        <f>-Table58[[#This Row],[Imports]]/Table58[[#This Row],[GDP]]</f>
        <v/>
      </c>
      <c r="L21" s="32">
        <f>Table58[[#This Row],[Government]]/Table58[[#This Row],[GDP]]</f>
        <v/>
      </c>
      <c r="N21" s="51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0" t="n">
        <v>18629</v>
      </c>
      <c r="B22" s="56">
        <f>VLOOKUP(A22,'U.S. GDP'!A:B,2,)</f>
        <v/>
      </c>
      <c r="C22" s="56">
        <f>VLOOKUP(A22,PersonalConsumption!A:B,2,)</f>
        <v/>
      </c>
      <c r="D22" s="56">
        <f>VLOOKUP(A22,PrivateInvestment!A:B,2,)</f>
        <v/>
      </c>
      <c r="E22" s="56">
        <f>VLOOKUP(A22,Exports!A:B,2,)</f>
        <v/>
      </c>
      <c r="F22" s="56">
        <f>VLOOKUP(A22,Imports!A:B,2,)</f>
        <v/>
      </c>
      <c r="G22" s="56">
        <f>VLOOKUP(A22,Government!A:B,2,)</f>
        <v/>
      </c>
      <c r="H22" s="32">
        <f>Table58[[#This Row],[Personal Consumption]]/Table58[[#This Row],[GDP]]</f>
        <v/>
      </c>
      <c r="I22" s="32">
        <f>Table58[[#This Row],[Private Investment]]/Table58[[#This Row],[GDP]]</f>
        <v/>
      </c>
      <c r="J22" s="32">
        <f>Table58[[#This Row],[Exports]]/Table58[[#This Row],[GDP]]</f>
        <v/>
      </c>
      <c r="K22" s="32">
        <f>-Table58[[#This Row],[Imports]]/Table58[[#This Row],[GDP]]</f>
        <v/>
      </c>
      <c r="L22" s="32">
        <f>Table58[[#This Row],[Government]]/Table58[[#This Row],[GDP]]</f>
        <v/>
      </c>
      <c r="N22" s="51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0" t="n">
        <v>18719</v>
      </c>
      <c r="B23" s="56">
        <f>VLOOKUP(A23,'U.S. GDP'!A:B,2,)</f>
        <v/>
      </c>
      <c r="C23" s="56">
        <f>VLOOKUP(A23,PersonalConsumption!A:B,2,)</f>
        <v/>
      </c>
      <c r="D23" s="56">
        <f>VLOOKUP(A23,PrivateInvestment!A:B,2,)</f>
        <v/>
      </c>
      <c r="E23" s="56">
        <f>VLOOKUP(A23,Exports!A:B,2,)</f>
        <v/>
      </c>
      <c r="F23" s="56">
        <f>VLOOKUP(A23,Imports!A:B,2,)</f>
        <v/>
      </c>
      <c r="G23" s="56">
        <f>VLOOKUP(A23,Government!A:B,2,)</f>
        <v/>
      </c>
      <c r="H23" s="32">
        <f>Table58[[#This Row],[Personal Consumption]]/Table58[[#This Row],[GDP]]</f>
        <v/>
      </c>
      <c r="I23" s="32">
        <f>Table58[[#This Row],[Private Investment]]/Table58[[#This Row],[GDP]]</f>
        <v/>
      </c>
      <c r="J23" s="32">
        <f>Table58[[#This Row],[Exports]]/Table58[[#This Row],[GDP]]</f>
        <v/>
      </c>
      <c r="K23" s="32">
        <f>-Table58[[#This Row],[Imports]]/Table58[[#This Row],[GDP]]</f>
        <v/>
      </c>
      <c r="L23" s="32">
        <f>Table58[[#This Row],[Government]]/Table58[[#This Row],[GDP]]</f>
        <v/>
      </c>
      <c r="N23" s="51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0" t="n">
        <v>18810</v>
      </c>
      <c r="B24" s="56">
        <f>VLOOKUP(A24,'U.S. GDP'!A:B,2,)</f>
        <v/>
      </c>
      <c r="C24" s="56">
        <f>VLOOKUP(A24,PersonalConsumption!A:B,2,)</f>
        <v/>
      </c>
      <c r="D24" s="56">
        <f>VLOOKUP(A24,PrivateInvestment!A:B,2,)</f>
        <v/>
      </c>
      <c r="E24" s="56">
        <f>VLOOKUP(A24,Exports!A:B,2,)</f>
        <v/>
      </c>
      <c r="F24" s="56">
        <f>VLOOKUP(A24,Imports!A:B,2,)</f>
        <v/>
      </c>
      <c r="G24" s="56">
        <f>VLOOKUP(A24,Government!A:B,2,)</f>
        <v/>
      </c>
      <c r="H24" s="32">
        <f>Table58[[#This Row],[Personal Consumption]]/Table58[[#This Row],[GDP]]</f>
        <v/>
      </c>
      <c r="I24" s="32">
        <f>Table58[[#This Row],[Private Investment]]/Table58[[#This Row],[GDP]]</f>
        <v/>
      </c>
      <c r="J24" s="32">
        <f>Table58[[#This Row],[Exports]]/Table58[[#This Row],[GDP]]</f>
        <v/>
      </c>
      <c r="K24" s="32">
        <f>-Table58[[#This Row],[Imports]]/Table58[[#This Row],[GDP]]</f>
        <v/>
      </c>
      <c r="L24" s="32">
        <f>Table58[[#This Row],[Government]]/Table58[[#This Row],[GDP]]</f>
        <v/>
      </c>
      <c r="N24" s="51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0" t="n">
        <v>18902</v>
      </c>
      <c r="B25" s="56">
        <f>VLOOKUP(A25,'U.S. GDP'!A:B,2,)</f>
        <v/>
      </c>
      <c r="C25" s="56">
        <f>VLOOKUP(A25,PersonalConsumption!A:B,2,)</f>
        <v/>
      </c>
      <c r="D25" s="56">
        <f>VLOOKUP(A25,PrivateInvestment!A:B,2,)</f>
        <v/>
      </c>
      <c r="E25" s="56">
        <f>VLOOKUP(A25,Exports!A:B,2,)</f>
        <v/>
      </c>
      <c r="F25" s="56">
        <f>VLOOKUP(A25,Imports!A:B,2,)</f>
        <v/>
      </c>
      <c r="G25" s="56">
        <f>VLOOKUP(A25,Government!A:B,2,)</f>
        <v/>
      </c>
      <c r="H25" s="32">
        <f>Table58[[#This Row],[Personal Consumption]]/Table58[[#This Row],[GDP]]</f>
        <v/>
      </c>
      <c r="I25" s="32">
        <f>Table58[[#This Row],[Private Investment]]/Table58[[#This Row],[GDP]]</f>
        <v/>
      </c>
      <c r="J25" s="32">
        <f>Table58[[#This Row],[Exports]]/Table58[[#This Row],[GDP]]</f>
        <v/>
      </c>
      <c r="K25" s="32">
        <f>-Table58[[#This Row],[Imports]]/Table58[[#This Row],[GDP]]</f>
        <v/>
      </c>
      <c r="L25" s="32">
        <f>Table58[[#This Row],[Government]]/Table58[[#This Row],[GDP]]</f>
        <v/>
      </c>
      <c r="N25" s="51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0" t="n">
        <v>18994</v>
      </c>
      <c r="B26" s="56">
        <f>VLOOKUP(A26,'U.S. GDP'!A:B,2,)</f>
        <v/>
      </c>
      <c r="C26" s="56">
        <f>VLOOKUP(A26,PersonalConsumption!A:B,2,)</f>
        <v/>
      </c>
      <c r="D26" s="56">
        <f>VLOOKUP(A26,PrivateInvestment!A:B,2,)</f>
        <v/>
      </c>
      <c r="E26" s="56">
        <f>VLOOKUP(A26,Exports!A:B,2,)</f>
        <v/>
      </c>
      <c r="F26" s="56">
        <f>VLOOKUP(A26,Imports!A:B,2,)</f>
        <v/>
      </c>
      <c r="G26" s="56">
        <f>VLOOKUP(A26,Government!A:B,2,)</f>
        <v/>
      </c>
      <c r="H26" s="32">
        <f>Table58[[#This Row],[Personal Consumption]]/Table58[[#This Row],[GDP]]</f>
        <v/>
      </c>
      <c r="I26" s="32">
        <f>Table58[[#This Row],[Private Investment]]/Table58[[#This Row],[GDP]]</f>
        <v/>
      </c>
      <c r="J26" s="32">
        <f>Table58[[#This Row],[Exports]]/Table58[[#This Row],[GDP]]</f>
        <v/>
      </c>
      <c r="K26" s="32">
        <f>-Table58[[#This Row],[Imports]]/Table58[[#This Row],[GDP]]</f>
        <v/>
      </c>
      <c r="L26" s="32">
        <f>Table58[[#This Row],[Government]]/Table58[[#This Row],[GDP]]</f>
        <v/>
      </c>
      <c r="N26" s="51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0" t="n">
        <v>19085</v>
      </c>
      <c r="B27" s="56">
        <f>VLOOKUP(A27,'U.S. GDP'!A:B,2,)</f>
        <v/>
      </c>
      <c r="C27" s="56">
        <f>VLOOKUP(A27,PersonalConsumption!A:B,2,)</f>
        <v/>
      </c>
      <c r="D27" s="56">
        <f>VLOOKUP(A27,PrivateInvestment!A:B,2,)</f>
        <v/>
      </c>
      <c r="E27" s="56">
        <f>VLOOKUP(A27,Exports!A:B,2,)</f>
        <v/>
      </c>
      <c r="F27" s="56">
        <f>VLOOKUP(A27,Imports!A:B,2,)</f>
        <v/>
      </c>
      <c r="G27" s="56">
        <f>VLOOKUP(A27,Government!A:B,2,)</f>
        <v/>
      </c>
      <c r="H27" s="32">
        <f>Table58[[#This Row],[Personal Consumption]]/Table58[[#This Row],[GDP]]</f>
        <v/>
      </c>
      <c r="I27" s="32">
        <f>Table58[[#This Row],[Private Investment]]/Table58[[#This Row],[GDP]]</f>
        <v/>
      </c>
      <c r="J27" s="32">
        <f>Table58[[#This Row],[Exports]]/Table58[[#This Row],[GDP]]</f>
        <v/>
      </c>
      <c r="K27" s="32">
        <f>-Table58[[#This Row],[Imports]]/Table58[[#This Row],[GDP]]</f>
        <v/>
      </c>
      <c r="L27" s="32">
        <f>Table58[[#This Row],[Government]]/Table58[[#This Row],[GDP]]</f>
        <v/>
      </c>
      <c r="N27" s="51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0" t="n">
        <v>19176</v>
      </c>
      <c r="B28" s="56">
        <f>VLOOKUP(A28,'U.S. GDP'!A:B,2,)</f>
        <v/>
      </c>
      <c r="C28" s="56">
        <f>VLOOKUP(A28,PersonalConsumption!A:B,2,)</f>
        <v/>
      </c>
      <c r="D28" s="56">
        <f>VLOOKUP(A28,PrivateInvestment!A:B,2,)</f>
        <v/>
      </c>
      <c r="E28" s="56">
        <f>VLOOKUP(A28,Exports!A:B,2,)</f>
        <v/>
      </c>
      <c r="F28" s="56">
        <f>VLOOKUP(A28,Imports!A:B,2,)</f>
        <v/>
      </c>
      <c r="G28" s="56">
        <f>VLOOKUP(A28,Government!A:B,2,)</f>
        <v/>
      </c>
      <c r="H28" s="32">
        <f>Table58[[#This Row],[Personal Consumption]]/Table58[[#This Row],[GDP]]</f>
        <v/>
      </c>
      <c r="I28" s="32">
        <f>Table58[[#This Row],[Private Investment]]/Table58[[#This Row],[GDP]]</f>
        <v/>
      </c>
      <c r="J28" s="32">
        <f>Table58[[#This Row],[Exports]]/Table58[[#This Row],[GDP]]</f>
        <v/>
      </c>
      <c r="K28" s="32">
        <f>-Table58[[#This Row],[Imports]]/Table58[[#This Row],[GDP]]</f>
        <v/>
      </c>
      <c r="L28" s="32">
        <f>Table58[[#This Row],[Government]]/Table58[[#This Row],[GDP]]</f>
        <v/>
      </c>
      <c r="N28" s="51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0" t="n">
        <v>19268</v>
      </c>
      <c r="B29" s="56">
        <f>VLOOKUP(A29,'U.S. GDP'!A:B,2,)</f>
        <v/>
      </c>
      <c r="C29" s="56">
        <f>VLOOKUP(A29,PersonalConsumption!A:B,2,)</f>
        <v/>
      </c>
      <c r="D29" s="56">
        <f>VLOOKUP(A29,PrivateInvestment!A:B,2,)</f>
        <v/>
      </c>
      <c r="E29" s="56">
        <f>VLOOKUP(A29,Exports!A:B,2,)</f>
        <v/>
      </c>
      <c r="F29" s="56">
        <f>VLOOKUP(A29,Imports!A:B,2,)</f>
        <v/>
      </c>
      <c r="G29" s="56">
        <f>VLOOKUP(A29,Government!A:B,2,)</f>
        <v/>
      </c>
      <c r="H29" s="32">
        <f>Table58[[#This Row],[Personal Consumption]]/Table58[[#This Row],[GDP]]</f>
        <v/>
      </c>
      <c r="I29" s="32">
        <f>Table58[[#This Row],[Private Investment]]/Table58[[#This Row],[GDP]]</f>
        <v/>
      </c>
      <c r="J29" s="32">
        <f>Table58[[#This Row],[Exports]]/Table58[[#This Row],[GDP]]</f>
        <v/>
      </c>
      <c r="K29" s="32">
        <f>-Table58[[#This Row],[Imports]]/Table58[[#This Row],[GDP]]</f>
        <v/>
      </c>
      <c r="L29" s="32">
        <f>Table58[[#This Row],[Government]]/Table58[[#This Row],[GDP]]</f>
        <v/>
      </c>
      <c r="N29" s="51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0" t="n">
        <v>19360</v>
      </c>
      <c r="B30" s="56">
        <f>VLOOKUP(A30,'U.S. GDP'!A:B,2,)</f>
        <v/>
      </c>
      <c r="C30" s="56">
        <f>VLOOKUP(A30,PersonalConsumption!A:B,2,)</f>
        <v/>
      </c>
      <c r="D30" s="56">
        <f>VLOOKUP(A30,PrivateInvestment!A:B,2,)</f>
        <v/>
      </c>
      <c r="E30" s="56">
        <f>VLOOKUP(A30,Exports!A:B,2,)</f>
        <v/>
      </c>
      <c r="F30" s="56">
        <f>VLOOKUP(A30,Imports!A:B,2,)</f>
        <v/>
      </c>
      <c r="G30" s="56">
        <f>VLOOKUP(A30,Government!A:B,2,)</f>
        <v/>
      </c>
      <c r="H30" s="32">
        <f>Table58[[#This Row],[Personal Consumption]]/Table58[[#This Row],[GDP]]</f>
        <v/>
      </c>
      <c r="I30" s="32">
        <f>Table58[[#This Row],[Private Investment]]/Table58[[#This Row],[GDP]]</f>
        <v/>
      </c>
      <c r="J30" s="32">
        <f>Table58[[#This Row],[Exports]]/Table58[[#This Row],[GDP]]</f>
        <v/>
      </c>
      <c r="K30" s="32">
        <f>-Table58[[#This Row],[Imports]]/Table58[[#This Row],[GDP]]</f>
        <v/>
      </c>
      <c r="L30" s="32">
        <f>Table58[[#This Row],[Government]]/Table58[[#This Row],[GDP]]</f>
        <v/>
      </c>
      <c r="N30" s="51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0" t="n">
        <v>19450</v>
      </c>
      <c r="B31" s="56">
        <f>VLOOKUP(A31,'U.S. GDP'!A:B,2,)</f>
        <v/>
      </c>
      <c r="C31" s="56">
        <f>VLOOKUP(A31,PersonalConsumption!A:B,2,)</f>
        <v/>
      </c>
      <c r="D31" s="56">
        <f>VLOOKUP(A31,PrivateInvestment!A:B,2,)</f>
        <v/>
      </c>
      <c r="E31" s="56">
        <f>VLOOKUP(A31,Exports!A:B,2,)</f>
        <v/>
      </c>
      <c r="F31" s="56">
        <f>VLOOKUP(A31,Imports!A:B,2,)</f>
        <v/>
      </c>
      <c r="G31" s="56">
        <f>VLOOKUP(A31,Government!A:B,2,)</f>
        <v/>
      </c>
      <c r="H31" s="32">
        <f>Table58[[#This Row],[Personal Consumption]]/Table58[[#This Row],[GDP]]</f>
        <v/>
      </c>
      <c r="I31" s="32">
        <f>Table58[[#This Row],[Private Investment]]/Table58[[#This Row],[GDP]]</f>
        <v/>
      </c>
      <c r="J31" s="32">
        <f>Table58[[#This Row],[Exports]]/Table58[[#This Row],[GDP]]</f>
        <v/>
      </c>
      <c r="K31" s="32">
        <f>-Table58[[#This Row],[Imports]]/Table58[[#This Row],[GDP]]</f>
        <v/>
      </c>
      <c r="L31" s="32">
        <f>Table58[[#This Row],[Government]]/Table58[[#This Row],[GDP]]</f>
        <v/>
      </c>
      <c r="N31" s="51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0" t="n">
        <v>19541</v>
      </c>
      <c r="B32" s="56">
        <f>VLOOKUP(A32,'U.S. GDP'!A:B,2,)</f>
        <v/>
      </c>
      <c r="C32" s="56">
        <f>VLOOKUP(A32,PersonalConsumption!A:B,2,)</f>
        <v/>
      </c>
      <c r="D32" s="56">
        <f>VLOOKUP(A32,PrivateInvestment!A:B,2,)</f>
        <v/>
      </c>
      <c r="E32" s="56">
        <f>VLOOKUP(A32,Exports!A:B,2,)</f>
        <v/>
      </c>
      <c r="F32" s="56">
        <f>VLOOKUP(A32,Imports!A:B,2,)</f>
        <v/>
      </c>
      <c r="G32" s="56">
        <f>VLOOKUP(A32,Government!A:B,2,)</f>
        <v/>
      </c>
      <c r="H32" s="32">
        <f>Table58[[#This Row],[Personal Consumption]]/Table58[[#This Row],[GDP]]</f>
        <v/>
      </c>
      <c r="I32" s="32">
        <f>Table58[[#This Row],[Private Investment]]/Table58[[#This Row],[GDP]]</f>
        <v/>
      </c>
      <c r="J32" s="32">
        <f>Table58[[#This Row],[Exports]]/Table58[[#This Row],[GDP]]</f>
        <v/>
      </c>
      <c r="K32" s="32">
        <f>-Table58[[#This Row],[Imports]]/Table58[[#This Row],[GDP]]</f>
        <v/>
      </c>
      <c r="L32" s="32">
        <f>Table58[[#This Row],[Government]]/Table58[[#This Row],[GDP]]</f>
        <v/>
      </c>
      <c r="N32" s="51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0" t="n">
        <v>19633</v>
      </c>
      <c r="B33" s="56">
        <f>VLOOKUP(A33,'U.S. GDP'!A:B,2,)</f>
        <v/>
      </c>
      <c r="C33" s="56">
        <f>VLOOKUP(A33,PersonalConsumption!A:B,2,)</f>
        <v/>
      </c>
      <c r="D33" s="56">
        <f>VLOOKUP(A33,PrivateInvestment!A:B,2,)</f>
        <v/>
      </c>
      <c r="E33" s="56">
        <f>VLOOKUP(A33,Exports!A:B,2,)</f>
        <v/>
      </c>
      <c r="F33" s="56">
        <f>VLOOKUP(A33,Imports!A:B,2,)</f>
        <v/>
      </c>
      <c r="G33" s="56">
        <f>VLOOKUP(A33,Government!A:B,2,)</f>
        <v/>
      </c>
      <c r="H33" s="32">
        <f>Table58[[#This Row],[Personal Consumption]]/Table58[[#This Row],[GDP]]</f>
        <v/>
      </c>
      <c r="I33" s="32">
        <f>Table58[[#This Row],[Private Investment]]/Table58[[#This Row],[GDP]]</f>
        <v/>
      </c>
      <c r="J33" s="32">
        <f>Table58[[#This Row],[Exports]]/Table58[[#This Row],[GDP]]</f>
        <v/>
      </c>
      <c r="K33" s="32">
        <f>-Table58[[#This Row],[Imports]]/Table58[[#This Row],[GDP]]</f>
        <v/>
      </c>
      <c r="L33" s="32">
        <f>Table58[[#This Row],[Government]]/Table58[[#This Row],[GDP]]</f>
        <v/>
      </c>
      <c r="N33" s="51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0" t="n">
        <v>19725</v>
      </c>
      <c r="B34" s="56">
        <f>VLOOKUP(A34,'U.S. GDP'!A:B,2,)</f>
        <v/>
      </c>
      <c r="C34" s="56">
        <f>VLOOKUP(A34,PersonalConsumption!A:B,2,)</f>
        <v/>
      </c>
      <c r="D34" s="56">
        <f>VLOOKUP(A34,PrivateInvestment!A:B,2,)</f>
        <v/>
      </c>
      <c r="E34" s="56">
        <f>VLOOKUP(A34,Exports!A:B,2,)</f>
        <v/>
      </c>
      <c r="F34" s="56">
        <f>VLOOKUP(A34,Imports!A:B,2,)</f>
        <v/>
      </c>
      <c r="G34" s="56">
        <f>VLOOKUP(A34,Government!A:B,2,)</f>
        <v/>
      </c>
      <c r="H34" s="32">
        <f>Table58[[#This Row],[Personal Consumption]]/Table58[[#This Row],[GDP]]</f>
        <v/>
      </c>
      <c r="I34" s="32">
        <f>Table58[[#This Row],[Private Investment]]/Table58[[#This Row],[GDP]]</f>
        <v/>
      </c>
      <c r="J34" s="32">
        <f>Table58[[#This Row],[Exports]]/Table58[[#This Row],[GDP]]</f>
        <v/>
      </c>
      <c r="K34" s="32">
        <f>-Table58[[#This Row],[Imports]]/Table58[[#This Row],[GDP]]</f>
        <v/>
      </c>
      <c r="L34" s="32">
        <f>Table58[[#This Row],[Government]]/Table58[[#This Row],[GDP]]</f>
        <v/>
      </c>
      <c r="N34" s="51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0" t="n">
        <v>19815</v>
      </c>
      <c r="B35" s="56">
        <f>VLOOKUP(A35,'U.S. GDP'!A:B,2,)</f>
        <v/>
      </c>
      <c r="C35" s="56">
        <f>VLOOKUP(A35,PersonalConsumption!A:B,2,)</f>
        <v/>
      </c>
      <c r="D35" s="56">
        <f>VLOOKUP(A35,PrivateInvestment!A:B,2,)</f>
        <v/>
      </c>
      <c r="E35" s="56">
        <f>VLOOKUP(A35,Exports!A:B,2,)</f>
        <v/>
      </c>
      <c r="F35" s="56">
        <f>VLOOKUP(A35,Imports!A:B,2,)</f>
        <v/>
      </c>
      <c r="G35" s="56">
        <f>VLOOKUP(A35,Government!A:B,2,)</f>
        <v/>
      </c>
      <c r="H35" s="32">
        <f>Table58[[#This Row],[Personal Consumption]]/Table58[[#This Row],[GDP]]</f>
        <v/>
      </c>
      <c r="I35" s="32">
        <f>Table58[[#This Row],[Private Investment]]/Table58[[#This Row],[GDP]]</f>
        <v/>
      </c>
      <c r="J35" s="32">
        <f>Table58[[#This Row],[Exports]]/Table58[[#This Row],[GDP]]</f>
        <v/>
      </c>
      <c r="K35" s="32">
        <f>-Table58[[#This Row],[Imports]]/Table58[[#This Row],[GDP]]</f>
        <v/>
      </c>
      <c r="L35" s="32">
        <f>Table58[[#This Row],[Government]]/Table58[[#This Row],[GDP]]</f>
        <v/>
      </c>
      <c r="N35" s="51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0" t="n">
        <v>19906</v>
      </c>
      <c r="B36" s="56">
        <f>VLOOKUP(A36,'U.S. GDP'!A:B,2,)</f>
        <v/>
      </c>
      <c r="C36" s="56">
        <f>VLOOKUP(A36,PersonalConsumption!A:B,2,)</f>
        <v/>
      </c>
      <c r="D36" s="56">
        <f>VLOOKUP(A36,PrivateInvestment!A:B,2,)</f>
        <v/>
      </c>
      <c r="E36" s="56">
        <f>VLOOKUP(A36,Exports!A:B,2,)</f>
        <v/>
      </c>
      <c r="F36" s="56">
        <f>VLOOKUP(A36,Imports!A:B,2,)</f>
        <v/>
      </c>
      <c r="G36" s="56">
        <f>VLOOKUP(A36,Government!A:B,2,)</f>
        <v/>
      </c>
      <c r="H36" s="32">
        <f>Table58[[#This Row],[Personal Consumption]]/Table58[[#This Row],[GDP]]</f>
        <v/>
      </c>
      <c r="I36" s="32">
        <f>Table58[[#This Row],[Private Investment]]/Table58[[#This Row],[GDP]]</f>
        <v/>
      </c>
      <c r="J36" s="32">
        <f>Table58[[#This Row],[Exports]]/Table58[[#This Row],[GDP]]</f>
        <v/>
      </c>
      <c r="K36" s="32">
        <f>-Table58[[#This Row],[Imports]]/Table58[[#This Row],[GDP]]</f>
        <v/>
      </c>
      <c r="L36" s="32">
        <f>Table58[[#This Row],[Government]]/Table58[[#This Row],[GDP]]</f>
        <v/>
      </c>
      <c r="N36" s="51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0" t="n">
        <v>19998</v>
      </c>
      <c r="B37" s="56">
        <f>VLOOKUP(A37,'U.S. GDP'!A:B,2,)</f>
        <v/>
      </c>
      <c r="C37" s="56">
        <f>VLOOKUP(A37,PersonalConsumption!A:B,2,)</f>
        <v/>
      </c>
      <c r="D37" s="56">
        <f>VLOOKUP(A37,PrivateInvestment!A:B,2,)</f>
        <v/>
      </c>
      <c r="E37" s="56">
        <f>VLOOKUP(A37,Exports!A:B,2,)</f>
        <v/>
      </c>
      <c r="F37" s="56">
        <f>VLOOKUP(A37,Imports!A:B,2,)</f>
        <v/>
      </c>
      <c r="G37" s="56">
        <f>VLOOKUP(A37,Government!A:B,2,)</f>
        <v/>
      </c>
      <c r="H37" s="32">
        <f>Table58[[#This Row],[Personal Consumption]]/Table58[[#This Row],[GDP]]</f>
        <v/>
      </c>
      <c r="I37" s="32">
        <f>Table58[[#This Row],[Private Investment]]/Table58[[#This Row],[GDP]]</f>
        <v/>
      </c>
      <c r="J37" s="32">
        <f>Table58[[#This Row],[Exports]]/Table58[[#This Row],[GDP]]</f>
        <v/>
      </c>
      <c r="K37" s="32">
        <f>-Table58[[#This Row],[Imports]]/Table58[[#This Row],[GDP]]</f>
        <v/>
      </c>
      <c r="L37" s="32">
        <f>Table58[[#This Row],[Government]]/Table58[[#This Row],[GDP]]</f>
        <v/>
      </c>
      <c r="N37" s="51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0" t="n">
        <v>20090</v>
      </c>
      <c r="B38" s="56">
        <f>VLOOKUP(A38,'U.S. GDP'!A:B,2,)</f>
        <v/>
      </c>
      <c r="C38" s="56">
        <f>VLOOKUP(A38,PersonalConsumption!A:B,2,)</f>
        <v/>
      </c>
      <c r="D38" s="56">
        <f>VLOOKUP(A38,PrivateInvestment!A:B,2,)</f>
        <v/>
      </c>
      <c r="E38" s="56">
        <f>VLOOKUP(A38,Exports!A:B,2,)</f>
        <v/>
      </c>
      <c r="F38" s="56">
        <f>VLOOKUP(A38,Imports!A:B,2,)</f>
        <v/>
      </c>
      <c r="G38" s="56">
        <f>VLOOKUP(A38,Government!A:B,2,)</f>
        <v/>
      </c>
      <c r="H38" s="32">
        <f>Table58[[#This Row],[Personal Consumption]]/Table58[[#This Row],[GDP]]</f>
        <v/>
      </c>
      <c r="I38" s="32">
        <f>Table58[[#This Row],[Private Investment]]/Table58[[#This Row],[GDP]]</f>
        <v/>
      </c>
      <c r="J38" s="32">
        <f>Table58[[#This Row],[Exports]]/Table58[[#This Row],[GDP]]</f>
        <v/>
      </c>
      <c r="K38" s="32">
        <f>-Table58[[#This Row],[Imports]]/Table58[[#This Row],[GDP]]</f>
        <v/>
      </c>
      <c r="L38" s="32">
        <f>Table58[[#This Row],[Government]]/Table58[[#This Row],[GDP]]</f>
        <v/>
      </c>
      <c r="N38" s="51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0" t="n">
        <v>20180</v>
      </c>
      <c r="B39" s="56">
        <f>VLOOKUP(A39,'U.S. GDP'!A:B,2,)</f>
        <v/>
      </c>
      <c r="C39" s="56">
        <f>VLOOKUP(A39,PersonalConsumption!A:B,2,)</f>
        <v/>
      </c>
      <c r="D39" s="56">
        <f>VLOOKUP(A39,PrivateInvestment!A:B,2,)</f>
        <v/>
      </c>
      <c r="E39" s="56">
        <f>VLOOKUP(A39,Exports!A:B,2,)</f>
        <v/>
      </c>
      <c r="F39" s="56">
        <f>VLOOKUP(A39,Imports!A:B,2,)</f>
        <v/>
      </c>
      <c r="G39" s="56">
        <f>VLOOKUP(A39,Government!A:B,2,)</f>
        <v/>
      </c>
      <c r="H39" s="32">
        <f>Table58[[#This Row],[Personal Consumption]]/Table58[[#This Row],[GDP]]</f>
        <v/>
      </c>
      <c r="I39" s="32">
        <f>Table58[[#This Row],[Private Investment]]/Table58[[#This Row],[GDP]]</f>
        <v/>
      </c>
      <c r="J39" s="32">
        <f>Table58[[#This Row],[Exports]]/Table58[[#This Row],[GDP]]</f>
        <v/>
      </c>
      <c r="K39" s="32">
        <f>-Table58[[#This Row],[Imports]]/Table58[[#This Row],[GDP]]</f>
        <v/>
      </c>
      <c r="L39" s="32">
        <f>Table58[[#This Row],[Government]]/Table58[[#This Row],[GDP]]</f>
        <v/>
      </c>
      <c r="N39" s="51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0" t="n">
        <v>20271</v>
      </c>
      <c r="B40" s="56">
        <f>VLOOKUP(A40,'U.S. GDP'!A:B,2,)</f>
        <v/>
      </c>
      <c r="C40" s="56">
        <f>VLOOKUP(A40,PersonalConsumption!A:B,2,)</f>
        <v/>
      </c>
      <c r="D40" s="56">
        <f>VLOOKUP(A40,PrivateInvestment!A:B,2,)</f>
        <v/>
      </c>
      <c r="E40" s="56">
        <f>VLOOKUP(A40,Exports!A:B,2,)</f>
        <v/>
      </c>
      <c r="F40" s="56">
        <f>VLOOKUP(A40,Imports!A:B,2,)</f>
        <v/>
      </c>
      <c r="G40" s="56">
        <f>VLOOKUP(A40,Government!A:B,2,)</f>
        <v/>
      </c>
      <c r="H40" s="32">
        <f>Table58[[#This Row],[Personal Consumption]]/Table58[[#This Row],[GDP]]</f>
        <v/>
      </c>
      <c r="I40" s="32">
        <f>Table58[[#This Row],[Private Investment]]/Table58[[#This Row],[GDP]]</f>
        <v/>
      </c>
      <c r="J40" s="32">
        <f>Table58[[#This Row],[Exports]]/Table58[[#This Row],[GDP]]</f>
        <v/>
      </c>
      <c r="K40" s="32">
        <f>-Table58[[#This Row],[Imports]]/Table58[[#This Row],[GDP]]</f>
        <v/>
      </c>
      <c r="L40" s="32">
        <f>Table58[[#This Row],[Government]]/Table58[[#This Row],[GDP]]</f>
        <v/>
      </c>
      <c r="N40" s="51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0" t="n">
        <v>20363</v>
      </c>
      <c r="B41" s="56">
        <f>VLOOKUP(A41,'U.S. GDP'!A:B,2,)</f>
        <v/>
      </c>
      <c r="C41" s="56">
        <f>VLOOKUP(A41,PersonalConsumption!A:B,2,)</f>
        <v/>
      </c>
      <c r="D41" s="56">
        <f>VLOOKUP(A41,PrivateInvestment!A:B,2,)</f>
        <v/>
      </c>
      <c r="E41" s="56">
        <f>VLOOKUP(A41,Exports!A:B,2,)</f>
        <v/>
      </c>
      <c r="F41" s="56">
        <f>VLOOKUP(A41,Imports!A:B,2,)</f>
        <v/>
      </c>
      <c r="G41" s="56">
        <f>VLOOKUP(A41,Government!A:B,2,)</f>
        <v/>
      </c>
      <c r="H41" s="32">
        <f>Table58[[#This Row],[Personal Consumption]]/Table58[[#This Row],[GDP]]</f>
        <v/>
      </c>
      <c r="I41" s="32">
        <f>Table58[[#This Row],[Private Investment]]/Table58[[#This Row],[GDP]]</f>
        <v/>
      </c>
      <c r="J41" s="32">
        <f>Table58[[#This Row],[Exports]]/Table58[[#This Row],[GDP]]</f>
        <v/>
      </c>
      <c r="K41" s="32">
        <f>-Table58[[#This Row],[Imports]]/Table58[[#This Row],[GDP]]</f>
        <v/>
      </c>
      <c r="L41" s="32">
        <f>Table58[[#This Row],[Government]]/Table58[[#This Row],[GDP]]</f>
        <v/>
      </c>
      <c r="N41" s="51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0" t="n">
        <v>20455</v>
      </c>
      <c r="B42" s="56">
        <f>VLOOKUP(A42,'U.S. GDP'!A:B,2,)</f>
        <v/>
      </c>
      <c r="C42" s="56">
        <f>VLOOKUP(A42,PersonalConsumption!A:B,2,)</f>
        <v/>
      </c>
      <c r="D42" s="56">
        <f>VLOOKUP(A42,PrivateInvestment!A:B,2,)</f>
        <v/>
      </c>
      <c r="E42" s="56">
        <f>VLOOKUP(A42,Exports!A:B,2,)</f>
        <v/>
      </c>
      <c r="F42" s="56">
        <f>VLOOKUP(A42,Imports!A:B,2,)</f>
        <v/>
      </c>
      <c r="G42" s="56">
        <f>VLOOKUP(A42,Government!A:B,2,)</f>
        <v/>
      </c>
      <c r="H42" s="32">
        <f>Table58[[#This Row],[Personal Consumption]]/Table58[[#This Row],[GDP]]</f>
        <v/>
      </c>
      <c r="I42" s="32">
        <f>Table58[[#This Row],[Private Investment]]/Table58[[#This Row],[GDP]]</f>
        <v/>
      </c>
      <c r="J42" s="32">
        <f>Table58[[#This Row],[Exports]]/Table58[[#This Row],[GDP]]</f>
        <v/>
      </c>
      <c r="K42" s="32">
        <f>-Table58[[#This Row],[Imports]]/Table58[[#This Row],[GDP]]</f>
        <v/>
      </c>
      <c r="L42" s="32">
        <f>Table58[[#This Row],[Government]]/Table58[[#This Row],[GDP]]</f>
        <v/>
      </c>
      <c r="N42" s="51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0" t="n">
        <v>20546</v>
      </c>
      <c r="B43" s="56">
        <f>VLOOKUP(A43,'U.S. GDP'!A:B,2,)</f>
        <v/>
      </c>
      <c r="C43" s="56">
        <f>VLOOKUP(A43,PersonalConsumption!A:B,2,)</f>
        <v/>
      </c>
      <c r="D43" s="56">
        <f>VLOOKUP(A43,PrivateInvestment!A:B,2,)</f>
        <v/>
      </c>
      <c r="E43" s="56">
        <f>VLOOKUP(A43,Exports!A:B,2,)</f>
        <v/>
      </c>
      <c r="F43" s="56">
        <f>VLOOKUP(A43,Imports!A:B,2,)</f>
        <v/>
      </c>
      <c r="G43" s="56">
        <f>VLOOKUP(A43,Government!A:B,2,)</f>
        <v/>
      </c>
      <c r="H43" s="32">
        <f>Table58[[#This Row],[Personal Consumption]]/Table58[[#This Row],[GDP]]</f>
        <v/>
      </c>
      <c r="I43" s="32">
        <f>Table58[[#This Row],[Private Investment]]/Table58[[#This Row],[GDP]]</f>
        <v/>
      </c>
      <c r="J43" s="32">
        <f>Table58[[#This Row],[Exports]]/Table58[[#This Row],[GDP]]</f>
        <v/>
      </c>
      <c r="K43" s="32">
        <f>-Table58[[#This Row],[Imports]]/Table58[[#This Row],[GDP]]</f>
        <v/>
      </c>
      <c r="L43" s="32">
        <f>Table58[[#This Row],[Government]]/Table58[[#This Row],[GDP]]</f>
        <v/>
      </c>
      <c r="N43" s="51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0" t="n">
        <v>20637</v>
      </c>
      <c r="B44" s="56">
        <f>VLOOKUP(A44,'U.S. GDP'!A:B,2,)</f>
        <v/>
      </c>
      <c r="C44" s="56">
        <f>VLOOKUP(A44,PersonalConsumption!A:B,2,)</f>
        <v/>
      </c>
      <c r="D44" s="56">
        <f>VLOOKUP(A44,PrivateInvestment!A:B,2,)</f>
        <v/>
      </c>
      <c r="E44" s="56">
        <f>VLOOKUP(A44,Exports!A:B,2,)</f>
        <v/>
      </c>
      <c r="F44" s="56">
        <f>VLOOKUP(A44,Imports!A:B,2,)</f>
        <v/>
      </c>
      <c r="G44" s="56">
        <f>VLOOKUP(A44,Government!A:B,2,)</f>
        <v/>
      </c>
      <c r="H44" s="32">
        <f>Table58[[#This Row],[Personal Consumption]]/Table58[[#This Row],[GDP]]</f>
        <v/>
      </c>
      <c r="I44" s="32">
        <f>Table58[[#This Row],[Private Investment]]/Table58[[#This Row],[GDP]]</f>
        <v/>
      </c>
      <c r="J44" s="32">
        <f>Table58[[#This Row],[Exports]]/Table58[[#This Row],[GDP]]</f>
        <v/>
      </c>
      <c r="K44" s="32">
        <f>-Table58[[#This Row],[Imports]]/Table58[[#This Row],[GDP]]</f>
        <v/>
      </c>
      <c r="L44" s="32">
        <f>Table58[[#This Row],[Government]]/Table58[[#This Row],[GDP]]</f>
        <v/>
      </c>
      <c r="N44" s="51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0" t="n">
        <v>20729</v>
      </c>
      <c r="B45" s="56">
        <f>VLOOKUP(A45,'U.S. GDP'!A:B,2,)</f>
        <v/>
      </c>
      <c r="C45" s="56">
        <f>VLOOKUP(A45,PersonalConsumption!A:B,2,)</f>
        <v/>
      </c>
      <c r="D45" s="56">
        <f>VLOOKUP(A45,PrivateInvestment!A:B,2,)</f>
        <v/>
      </c>
      <c r="E45" s="56">
        <f>VLOOKUP(A45,Exports!A:B,2,)</f>
        <v/>
      </c>
      <c r="F45" s="56">
        <f>VLOOKUP(A45,Imports!A:B,2,)</f>
        <v/>
      </c>
      <c r="G45" s="56">
        <f>VLOOKUP(A45,Government!A:B,2,)</f>
        <v/>
      </c>
      <c r="H45" s="32">
        <f>Table58[[#This Row],[Personal Consumption]]/Table58[[#This Row],[GDP]]</f>
        <v/>
      </c>
      <c r="I45" s="32">
        <f>Table58[[#This Row],[Private Investment]]/Table58[[#This Row],[GDP]]</f>
        <v/>
      </c>
      <c r="J45" s="32">
        <f>Table58[[#This Row],[Exports]]/Table58[[#This Row],[GDP]]</f>
        <v/>
      </c>
      <c r="K45" s="32">
        <f>-Table58[[#This Row],[Imports]]/Table58[[#This Row],[GDP]]</f>
        <v/>
      </c>
      <c r="L45" s="32">
        <f>Table58[[#This Row],[Government]]/Table58[[#This Row],[GDP]]</f>
        <v/>
      </c>
      <c r="N45" s="51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0" t="n">
        <v>20821</v>
      </c>
      <c r="B46" s="56">
        <f>VLOOKUP(A46,'U.S. GDP'!A:B,2,)</f>
        <v/>
      </c>
      <c r="C46" s="56">
        <f>VLOOKUP(A46,PersonalConsumption!A:B,2,)</f>
        <v/>
      </c>
      <c r="D46" s="56">
        <f>VLOOKUP(A46,PrivateInvestment!A:B,2,)</f>
        <v/>
      </c>
      <c r="E46" s="56">
        <f>VLOOKUP(A46,Exports!A:B,2,)</f>
        <v/>
      </c>
      <c r="F46" s="56">
        <f>VLOOKUP(A46,Imports!A:B,2,)</f>
        <v/>
      </c>
      <c r="G46" s="56">
        <f>VLOOKUP(A46,Government!A:B,2,)</f>
        <v/>
      </c>
      <c r="H46" s="32">
        <f>Table58[[#This Row],[Personal Consumption]]/Table58[[#This Row],[GDP]]</f>
        <v/>
      </c>
      <c r="I46" s="32">
        <f>Table58[[#This Row],[Private Investment]]/Table58[[#This Row],[GDP]]</f>
        <v/>
      </c>
      <c r="J46" s="32">
        <f>Table58[[#This Row],[Exports]]/Table58[[#This Row],[GDP]]</f>
        <v/>
      </c>
      <c r="K46" s="32">
        <f>-Table58[[#This Row],[Imports]]/Table58[[#This Row],[GDP]]</f>
        <v/>
      </c>
      <c r="L46" s="32">
        <f>Table58[[#This Row],[Government]]/Table58[[#This Row],[GDP]]</f>
        <v/>
      </c>
      <c r="N46" s="51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0" t="n">
        <v>20911</v>
      </c>
      <c r="B47" s="56">
        <f>VLOOKUP(A47,'U.S. GDP'!A:B,2,)</f>
        <v/>
      </c>
      <c r="C47" s="56">
        <f>VLOOKUP(A47,PersonalConsumption!A:B,2,)</f>
        <v/>
      </c>
      <c r="D47" s="56">
        <f>VLOOKUP(A47,PrivateInvestment!A:B,2,)</f>
        <v/>
      </c>
      <c r="E47" s="56">
        <f>VLOOKUP(A47,Exports!A:B,2,)</f>
        <v/>
      </c>
      <c r="F47" s="56">
        <f>VLOOKUP(A47,Imports!A:B,2,)</f>
        <v/>
      </c>
      <c r="G47" s="56">
        <f>VLOOKUP(A47,Government!A:B,2,)</f>
        <v/>
      </c>
      <c r="H47" s="32">
        <f>Table58[[#This Row],[Personal Consumption]]/Table58[[#This Row],[GDP]]</f>
        <v/>
      </c>
      <c r="I47" s="32">
        <f>Table58[[#This Row],[Private Investment]]/Table58[[#This Row],[GDP]]</f>
        <v/>
      </c>
      <c r="J47" s="32">
        <f>Table58[[#This Row],[Exports]]/Table58[[#This Row],[GDP]]</f>
        <v/>
      </c>
      <c r="K47" s="32">
        <f>-Table58[[#This Row],[Imports]]/Table58[[#This Row],[GDP]]</f>
        <v/>
      </c>
      <c r="L47" s="32">
        <f>Table58[[#This Row],[Government]]/Table58[[#This Row],[GDP]]</f>
        <v/>
      </c>
      <c r="N47" s="51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0" t="n">
        <v>21002</v>
      </c>
      <c r="B48" s="56">
        <f>VLOOKUP(A48,'U.S. GDP'!A:B,2,)</f>
        <v/>
      </c>
      <c r="C48" s="56">
        <f>VLOOKUP(A48,PersonalConsumption!A:B,2,)</f>
        <v/>
      </c>
      <c r="D48" s="56">
        <f>VLOOKUP(A48,PrivateInvestment!A:B,2,)</f>
        <v/>
      </c>
      <c r="E48" s="56">
        <f>VLOOKUP(A48,Exports!A:B,2,)</f>
        <v/>
      </c>
      <c r="F48" s="56">
        <f>VLOOKUP(A48,Imports!A:B,2,)</f>
        <v/>
      </c>
      <c r="G48" s="56">
        <f>VLOOKUP(A48,Government!A:B,2,)</f>
        <v/>
      </c>
      <c r="H48" s="32">
        <f>Table58[[#This Row],[Personal Consumption]]/Table58[[#This Row],[GDP]]</f>
        <v/>
      </c>
      <c r="I48" s="32">
        <f>Table58[[#This Row],[Private Investment]]/Table58[[#This Row],[GDP]]</f>
        <v/>
      </c>
      <c r="J48" s="32">
        <f>Table58[[#This Row],[Exports]]/Table58[[#This Row],[GDP]]</f>
        <v/>
      </c>
      <c r="K48" s="32">
        <f>-Table58[[#This Row],[Imports]]/Table58[[#This Row],[GDP]]</f>
        <v/>
      </c>
      <c r="L48" s="32">
        <f>Table58[[#This Row],[Government]]/Table58[[#This Row],[GDP]]</f>
        <v/>
      </c>
      <c r="N48" s="51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0" t="n">
        <v>21094</v>
      </c>
      <c r="B49" s="56">
        <f>VLOOKUP(A49,'U.S. GDP'!A:B,2,)</f>
        <v/>
      </c>
      <c r="C49" s="56">
        <f>VLOOKUP(A49,PersonalConsumption!A:B,2,)</f>
        <v/>
      </c>
      <c r="D49" s="56">
        <f>VLOOKUP(A49,PrivateInvestment!A:B,2,)</f>
        <v/>
      </c>
      <c r="E49" s="56">
        <f>VLOOKUP(A49,Exports!A:B,2,)</f>
        <v/>
      </c>
      <c r="F49" s="56">
        <f>VLOOKUP(A49,Imports!A:B,2,)</f>
        <v/>
      </c>
      <c r="G49" s="56">
        <f>VLOOKUP(A49,Government!A:B,2,)</f>
        <v/>
      </c>
      <c r="H49" s="32">
        <f>Table58[[#This Row],[Personal Consumption]]/Table58[[#This Row],[GDP]]</f>
        <v/>
      </c>
      <c r="I49" s="32">
        <f>Table58[[#This Row],[Private Investment]]/Table58[[#This Row],[GDP]]</f>
        <v/>
      </c>
      <c r="J49" s="32">
        <f>Table58[[#This Row],[Exports]]/Table58[[#This Row],[GDP]]</f>
        <v/>
      </c>
      <c r="K49" s="32">
        <f>-Table58[[#This Row],[Imports]]/Table58[[#This Row],[GDP]]</f>
        <v/>
      </c>
      <c r="L49" s="32">
        <f>Table58[[#This Row],[Government]]/Table58[[#This Row],[GDP]]</f>
        <v/>
      </c>
      <c r="N49" s="51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0" t="n">
        <v>21186</v>
      </c>
      <c r="B50" s="56">
        <f>VLOOKUP(A50,'U.S. GDP'!A:B,2,)</f>
        <v/>
      </c>
      <c r="C50" s="56">
        <f>VLOOKUP(A50,PersonalConsumption!A:B,2,)</f>
        <v/>
      </c>
      <c r="D50" s="56">
        <f>VLOOKUP(A50,PrivateInvestment!A:B,2,)</f>
        <v/>
      </c>
      <c r="E50" s="56">
        <f>VLOOKUP(A50,Exports!A:B,2,)</f>
        <v/>
      </c>
      <c r="F50" s="56">
        <f>VLOOKUP(A50,Imports!A:B,2,)</f>
        <v/>
      </c>
      <c r="G50" s="56">
        <f>VLOOKUP(A50,Government!A:B,2,)</f>
        <v/>
      </c>
      <c r="H50" s="32">
        <f>Table58[[#This Row],[Personal Consumption]]/Table58[[#This Row],[GDP]]</f>
        <v/>
      </c>
      <c r="I50" s="32">
        <f>Table58[[#This Row],[Private Investment]]/Table58[[#This Row],[GDP]]</f>
        <v/>
      </c>
      <c r="J50" s="32">
        <f>Table58[[#This Row],[Exports]]/Table58[[#This Row],[GDP]]</f>
        <v/>
      </c>
      <c r="K50" s="32">
        <f>-Table58[[#This Row],[Imports]]/Table58[[#This Row],[GDP]]</f>
        <v/>
      </c>
      <c r="L50" s="32">
        <f>Table58[[#This Row],[Government]]/Table58[[#This Row],[GDP]]</f>
        <v/>
      </c>
      <c r="N50" s="51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0" t="n">
        <v>21276</v>
      </c>
      <c r="B51" s="56">
        <f>VLOOKUP(A51,'U.S. GDP'!A:B,2,)</f>
        <v/>
      </c>
      <c r="C51" s="56">
        <f>VLOOKUP(A51,PersonalConsumption!A:B,2,)</f>
        <v/>
      </c>
      <c r="D51" s="56">
        <f>VLOOKUP(A51,PrivateInvestment!A:B,2,)</f>
        <v/>
      </c>
      <c r="E51" s="56">
        <f>VLOOKUP(A51,Exports!A:B,2,)</f>
        <v/>
      </c>
      <c r="F51" s="56">
        <f>VLOOKUP(A51,Imports!A:B,2,)</f>
        <v/>
      </c>
      <c r="G51" s="56">
        <f>VLOOKUP(A51,Government!A:B,2,)</f>
        <v/>
      </c>
      <c r="H51" s="32">
        <f>Table58[[#This Row],[Personal Consumption]]/Table58[[#This Row],[GDP]]</f>
        <v/>
      </c>
      <c r="I51" s="32">
        <f>Table58[[#This Row],[Private Investment]]/Table58[[#This Row],[GDP]]</f>
        <v/>
      </c>
      <c r="J51" s="32">
        <f>Table58[[#This Row],[Exports]]/Table58[[#This Row],[GDP]]</f>
        <v/>
      </c>
      <c r="K51" s="32">
        <f>-Table58[[#This Row],[Imports]]/Table58[[#This Row],[GDP]]</f>
        <v/>
      </c>
      <c r="L51" s="32">
        <f>Table58[[#This Row],[Government]]/Table58[[#This Row],[GDP]]</f>
        <v/>
      </c>
      <c r="N51" s="51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0" t="n">
        <v>21367</v>
      </c>
      <c r="B52" s="56">
        <f>VLOOKUP(A52,'U.S. GDP'!A:B,2,)</f>
        <v/>
      </c>
      <c r="C52" s="56">
        <f>VLOOKUP(A52,PersonalConsumption!A:B,2,)</f>
        <v/>
      </c>
      <c r="D52" s="56">
        <f>VLOOKUP(A52,PrivateInvestment!A:B,2,)</f>
        <v/>
      </c>
      <c r="E52" s="56">
        <f>VLOOKUP(A52,Exports!A:B,2,)</f>
        <v/>
      </c>
      <c r="F52" s="56">
        <f>VLOOKUP(A52,Imports!A:B,2,)</f>
        <v/>
      </c>
      <c r="G52" s="56">
        <f>VLOOKUP(A52,Government!A:B,2,)</f>
        <v/>
      </c>
      <c r="H52" s="32">
        <f>Table58[[#This Row],[Personal Consumption]]/Table58[[#This Row],[GDP]]</f>
        <v/>
      </c>
      <c r="I52" s="32">
        <f>Table58[[#This Row],[Private Investment]]/Table58[[#This Row],[GDP]]</f>
        <v/>
      </c>
      <c r="J52" s="32">
        <f>Table58[[#This Row],[Exports]]/Table58[[#This Row],[GDP]]</f>
        <v/>
      </c>
      <c r="K52" s="32">
        <f>-Table58[[#This Row],[Imports]]/Table58[[#This Row],[GDP]]</f>
        <v/>
      </c>
      <c r="L52" s="32">
        <f>Table58[[#This Row],[Government]]/Table58[[#This Row],[GDP]]</f>
        <v/>
      </c>
      <c r="N52" s="51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0" t="n">
        <v>21459</v>
      </c>
      <c r="B53" s="56">
        <f>VLOOKUP(A53,'U.S. GDP'!A:B,2,)</f>
        <v/>
      </c>
      <c r="C53" s="56">
        <f>VLOOKUP(A53,PersonalConsumption!A:B,2,)</f>
        <v/>
      </c>
      <c r="D53" s="56">
        <f>VLOOKUP(A53,PrivateInvestment!A:B,2,)</f>
        <v/>
      </c>
      <c r="E53" s="56">
        <f>VLOOKUP(A53,Exports!A:B,2,)</f>
        <v/>
      </c>
      <c r="F53" s="56">
        <f>VLOOKUP(A53,Imports!A:B,2,)</f>
        <v/>
      </c>
      <c r="G53" s="56">
        <f>VLOOKUP(A53,Government!A:B,2,)</f>
        <v/>
      </c>
      <c r="H53" s="32">
        <f>Table58[[#This Row],[Personal Consumption]]/Table58[[#This Row],[GDP]]</f>
        <v/>
      </c>
      <c r="I53" s="32">
        <f>Table58[[#This Row],[Private Investment]]/Table58[[#This Row],[GDP]]</f>
        <v/>
      </c>
      <c r="J53" s="32">
        <f>Table58[[#This Row],[Exports]]/Table58[[#This Row],[GDP]]</f>
        <v/>
      </c>
      <c r="K53" s="32">
        <f>-Table58[[#This Row],[Imports]]/Table58[[#This Row],[GDP]]</f>
        <v/>
      </c>
      <c r="L53" s="32">
        <f>Table58[[#This Row],[Government]]/Table58[[#This Row],[GDP]]</f>
        <v/>
      </c>
      <c r="N53" s="51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0" t="n">
        <v>21551</v>
      </c>
      <c r="B54" s="56">
        <f>VLOOKUP(A54,'U.S. GDP'!A:B,2,)</f>
        <v/>
      </c>
      <c r="C54" s="56">
        <f>VLOOKUP(A54,PersonalConsumption!A:B,2,)</f>
        <v/>
      </c>
      <c r="D54" s="56">
        <f>VLOOKUP(A54,PrivateInvestment!A:B,2,)</f>
        <v/>
      </c>
      <c r="E54" s="56">
        <f>VLOOKUP(A54,Exports!A:B,2,)</f>
        <v/>
      </c>
      <c r="F54" s="56">
        <f>VLOOKUP(A54,Imports!A:B,2,)</f>
        <v/>
      </c>
      <c r="G54" s="56">
        <f>VLOOKUP(A54,Government!A:B,2,)</f>
        <v/>
      </c>
      <c r="H54" s="32">
        <f>Table58[[#This Row],[Personal Consumption]]/Table58[[#This Row],[GDP]]</f>
        <v/>
      </c>
      <c r="I54" s="32">
        <f>Table58[[#This Row],[Private Investment]]/Table58[[#This Row],[GDP]]</f>
        <v/>
      </c>
      <c r="J54" s="32">
        <f>Table58[[#This Row],[Exports]]/Table58[[#This Row],[GDP]]</f>
        <v/>
      </c>
      <c r="K54" s="32">
        <f>-Table58[[#This Row],[Imports]]/Table58[[#This Row],[GDP]]</f>
        <v/>
      </c>
      <c r="L54" s="32">
        <f>Table58[[#This Row],[Government]]/Table58[[#This Row],[GDP]]</f>
        <v/>
      </c>
      <c r="N54" s="51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0" t="n">
        <v>21641</v>
      </c>
      <c r="B55" s="56">
        <f>VLOOKUP(A55,'U.S. GDP'!A:B,2,)</f>
        <v/>
      </c>
      <c r="C55" s="56">
        <f>VLOOKUP(A55,PersonalConsumption!A:B,2,)</f>
        <v/>
      </c>
      <c r="D55" s="56">
        <f>VLOOKUP(A55,PrivateInvestment!A:B,2,)</f>
        <v/>
      </c>
      <c r="E55" s="56">
        <f>VLOOKUP(A55,Exports!A:B,2,)</f>
        <v/>
      </c>
      <c r="F55" s="56">
        <f>VLOOKUP(A55,Imports!A:B,2,)</f>
        <v/>
      </c>
      <c r="G55" s="56">
        <f>VLOOKUP(A55,Government!A:B,2,)</f>
        <v/>
      </c>
      <c r="H55" s="32">
        <f>Table58[[#This Row],[Personal Consumption]]/Table58[[#This Row],[GDP]]</f>
        <v/>
      </c>
      <c r="I55" s="32">
        <f>Table58[[#This Row],[Private Investment]]/Table58[[#This Row],[GDP]]</f>
        <v/>
      </c>
      <c r="J55" s="32">
        <f>Table58[[#This Row],[Exports]]/Table58[[#This Row],[GDP]]</f>
        <v/>
      </c>
      <c r="K55" s="32">
        <f>-Table58[[#This Row],[Imports]]/Table58[[#This Row],[GDP]]</f>
        <v/>
      </c>
      <c r="L55" s="32">
        <f>Table58[[#This Row],[Government]]/Table58[[#This Row],[GDP]]</f>
        <v/>
      </c>
      <c r="N55" s="51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0" t="n">
        <v>21732</v>
      </c>
      <c r="B56" s="56">
        <f>VLOOKUP(A56,'U.S. GDP'!A:B,2,)</f>
        <v/>
      </c>
      <c r="C56" s="56">
        <f>VLOOKUP(A56,PersonalConsumption!A:B,2,)</f>
        <v/>
      </c>
      <c r="D56" s="56">
        <f>VLOOKUP(A56,PrivateInvestment!A:B,2,)</f>
        <v/>
      </c>
      <c r="E56" s="56">
        <f>VLOOKUP(A56,Exports!A:B,2,)</f>
        <v/>
      </c>
      <c r="F56" s="56">
        <f>VLOOKUP(A56,Imports!A:B,2,)</f>
        <v/>
      </c>
      <c r="G56" s="56">
        <f>VLOOKUP(A56,Government!A:B,2,)</f>
        <v/>
      </c>
      <c r="H56" s="32">
        <f>Table58[[#This Row],[Personal Consumption]]/Table58[[#This Row],[GDP]]</f>
        <v/>
      </c>
      <c r="I56" s="32">
        <f>Table58[[#This Row],[Private Investment]]/Table58[[#This Row],[GDP]]</f>
        <v/>
      </c>
      <c r="J56" s="32">
        <f>Table58[[#This Row],[Exports]]/Table58[[#This Row],[GDP]]</f>
        <v/>
      </c>
      <c r="K56" s="32">
        <f>-Table58[[#This Row],[Imports]]/Table58[[#This Row],[GDP]]</f>
        <v/>
      </c>
      <c r="L56" s="32">
        <f>Table58[[#This Row],[Government]]/Table58[[#This Row],[GDP]]</f>
        <v/>
      </c>
      <c r="N56" s="51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0" t="n">
        <v>21824</v>
      </c>
      <c r="B57" s="56">
        <f>VLOOKUP(A57,'U.S. GDP'!A:B,2,)</f>
        <v/>
      </c>
      <c r="C57" s="56">
        <f>VLOOKUP(A57,PersonalConsumption!A:B,2,)</f>
        <v/>
      </c>
      <c r="D57" s="56">
        <f>VLOOKUP(A57,PrivateInvestment!A:B,2,)</f>
        <v/>
      </c>
      <c r="E57" s="56">
        <f>VLOOKUP(A57,Exports!A:B,2,)</f>
        <v/>
      </c>
      <c r="F57" s="56">
        <f>VLOOKUP(A57,Imports!A:B,2,)</f>
        <v/>
      </c>
      <c r="G57" s="56">
        <f>VLOOKUP(A57,Government!A:B,2,)</f>
        <v/>
      </c>
      <c r="H57" s="32">
        <f>Table58[[#This Row],[Personal Consumption]]/Table58[[#This Row],[GDP]]</f>
        <v/>
      </c>
      <c r="I57" s="32">
        <f>Table58[[#This Row],[Private Investment]]/Table58[[#This Row],[GDP]]</f>
        <v/>
      </c>
      <c r="J57" s="32">
        <f>Table58[[#This Row],[Exports]]/Table58[[#This Row],[GDP]]</f>
        <v/>
      </c>
      <c r="K57" s="32">
        <f>-Table58[[#This Row],[Imports]]/Table58[[#This Row],[GDP]]</f>
        <v/>
      </c>
      <c r="L57" s="32">
        <f>Table58[[#This Row],[Government]]/Table58[[#This Row],[GDP]]</f>
        <v/>
      </c>
      <c r="N57" s="51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0" t="n">
        <v>21916</v>
      </c>
      <c r="B58" s="56">
        <f>VLOOKUP(A58,'U.S. GDP'!A:B,2,)</f>
        <v/>
      </c>
      <c r="C58" s="56">
        <f>VLOOKUP(A58,PersonalConsumption!A:B,2,)</f>
        <v/>
      </c>
      <c r="D58" s="56">
        <f>VLOOKUP(A58,PrivateInvestment!A:B,2,)</f>
        <v/>
      </c>
      <c r="E58" s="56">
        <f>VLOOKUP(A58,Exports!A:B,2,)</f>
        <v/>
      </c>
      <c r="F58" s="56">
        <f>VLOOKUP(A58,Imports!A:B,2,)</f>
        <v/>
      </c>
      <c r="G58" s="56">
        <f>VLOOKUP(A58,Government!A:B,2,)</f>
        <v/>
      </c>
      <c r="H58" s="32">
        <f>Table58[[#This Row],[Personal Consumption]]/Table58[[#This Row],[GDP]]</f>
        <v/>
      </c>
      <c r="I58" s="32">
        <f>Table58[[#This Row],[Private Investment]]/Table58[[#This Row],[GDP]]</f>
        <v/>
      </c>
      <c r="J58" s="32">
        <f>Table58[[#This Row],[Exports]]/Table58[[#This Row],[GDP]]</f>
        <v/>
      </c>
      <c r="K58" s="32">
        <f>-Table58[[#This Row],[Imports]]/Table58[[#This Row],[GDP]]</f>
        <v/>
      </c>
      <c r="L58" s="32">
        <f>Table58[[#This Row],[Government]]/Table58[[#This Row],[GDP]]</f>
        <v/>
      </c>
      <c r="N58" s="51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0" t="n">
        <v>22007</v>
      </c>
      <c r="B59" s="56">
        <f>VLOOKUP(A59,'U.S. GDP'!A:B,2,)</f>
        <v/>
      </c>
      <c r="C59" s="56">
        <f>VLOOKUP(A59,PersonalConsumption!A:B,2,)</f>
        <v/>
      </c>
      <c r="D59" s="56">
        <f>VLOOKUP(A59,PrivateInvestment!A:B,2,)</f>
        <v/>
      </c>
      <c r="E59" s="56">
        <f>VLOOKUP(A59,Exports!A:B,2,)</f>
        <v/>
      </c>
      <c r="F59" s="56">
        <f>VLOOKUP(A59,Imports!A:B,2,)</f>
        <v/>
      </c>
      <c r="G59" s="56">
        <f>VLOOKUP(A59,Government!A:B,2,)</f>
        <v/>
      </c>
      <c r="H59" s="32">
        <f>Table58[[#This Row],[Personal Consumption]]/Table58[[#This Row],[GDP]]</f>
        <v/>
      </c>
      <c r="I59" s="32">
        <f>Table58[[#This Row],[Private Investment]]/Table58[[#This Row],[GDP]]</f>
        <v/>
      </c>
      <c r="J59" s="32">
        <f>Table58[[#This Row],[Exports]]/Table58[[#This Row],[GDP]]</f>
        <v/>
      </c>
      <c r="K59" s="32">
        <f>-Table58[[#This Row],[Imports]]/Table58[[#This Row],[GDP]]</f>
        <v/>
      </c>
      <c r="L59" s="32">
        <f>Table58[[#This Row],[Government]]/Table58[[#This Row],[GDP]]</f>
        <v/>
      </c>
      <c r="N59" s="51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0" t="n">
        <v>22098</v>
      </c>
      <c r="B60" s="56">
        <f>VLOOKUP(A60,'U.S. GDP'!A:B,2,)</f>
        <v/>
      </c>
      <c r="C60" s="56">
        <f>VLOOKUP(A60,PersonalConsumption!A:B,2,)</f>
        <v/>
      </c>
      <c r="D60" s="56">
        <f>VLOOKUP(A60,PrivateInvestment!A:B,2,)</f>
        <v/>
      </c>
      <c r="E60" s="56">
        <f>VLOOKUP(A60,Exports!A:B,2,)</f>
        <v/>
      </c>
      <c r="F60" s="56">
        <f>VLOOKUP(A60,Imports!A:B,2,)</f>
        <v/>
      </c>
      <c r="G60" s="56">
        <f>VLOOKUP(A60,Government!A:B,2,)</f>
        <v/>
      </c>
      <c r="H60" s="32">
        <f>Table58[[#This Row],[Personal Consumption]]/Table58[[#This Row],[GDP]]</f>
        <v/>
      </c>
      <c r="I60" s="32">
        <f>Table58[[#This Row],[Private Investment]]/Table58[[#This Row],[GDP]]</f>
        <v/>
      </c>
      <c r="J60" s="32">
        <f>Table58[[#This Row],[Exports]]/Table58[[#This Row],[GDP]]</f>
        <v/>
      </c>
      <c r="K60" s="32">
        <f>-Table58[[#This Row],[Imports]]/Table58[[#This Row],[GDP]]</f>
        <v/>
      </c>
      <c r="L60" s="32">
        <f>Table58[[#This Row],[Government]]/Table58[[#This Row],[GDP]]</f>
        <v/>
      </c>
      <c r="N60" s="51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0" t="n">
        <v>22190</v>
      </c>
      <c r="B61" s="56">
        <f>VLOOKUP(A61,'U.S. GDP'!A:B,2,)</f>
        <v/>
      </c>
      <c r="C61" s="56">
        <f>VLOOKUP(A61,PersonalConsumption!A:B,2,)</f>
        <v/>
      </c>
      <c r="D61" s="56">
        <f>VLOOKUP(A61,PrivateInvestment!A:B,2,)</f>
        <v/>
      </c>
      <c r="E61" s="56">
        <f>VLOOKUP(A61,Exports!A:B,2,)</f>
        <v/>
      </c>
      <c r="F61" s="56">
        <f>VLOOKUP(A61,Imports!A:B,2,)</f>
        <v/>
      </c>
      <c r="G61" s="56">
        <f>VLOOKUP(A61,Government!A:B,2,)</f>
        <v/>
      </c>
      <c r="H61" s="32">
        <f>Table58[[#This Row],[Personal Consumption]]/Table58[[#This Row],[GDP]]</f>
        <v/>
      </c>
      <c r="I61" s="32">
        <f>Table58[[#This Row],[Private Investment]]/Table58[[#This Row],[GDP]]</f>
        <v/>
      </c>
      <c r="J61" s="32">
        <f>Table58[[#This Row],[Exports]]/Table58[[#This Row],[GDP]]</f>
        <v/>
      </c>
      <c r="K61" s="32">
        <f>-Table58[[#This Row],[Imports]]/Table58[[#This Row],[GDP]]</f>
        <v/>
      </c>
      <c r="L61" s="32">
        <f>Table58[[#This Row],[Government]]/Table58[[#This Row],[GDP]]</f>
        <v/>
      </c>
      <c r="N61" s="51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0" t="n">
        <v>22282</v>
      </c>
      <c r="B62" s="56">
        <f>VLOOKUP(A62,'U.S. GDP'!A:B,2,)</f>
        <v/>
      </c>
      <c r="C62" s="56">
        <f>VLOOKUP(A62,PersonalConsumption!A:B,2,)</f>
        <v/>
      </c>
      <c r="D62" s="56">
        <f>VLOOKUP(A62,PrivateInvestment!A:B,2,)</f>
        <v/>
      </c>
      <c r="E62" s="56">
        <f>VLOOKUP(A62,Exports!A:B,2,)</f>
        <v/>
      </c>
      <c r="F62" s="56">
        <f>VLOOKUP(A62,Imports!A:B,2,)</f>
        <v/>
      </c>
      <c r="G62" s="56">
        <f>VLOOKUP(A62,Government!A:B,2,)</f>
        <v/>
      </c>
      <c r="H62" s="32">
        <f>Table58[[#This Row],[Personal Consumption]]/Table58[[#This Row],[GDP]]</f>
        <v/>
      </c>
      <c r="I62" s="32">
        <f>Table58[[#This Row],[Private Investment]]/Table58[[#This Row],[GDP]]</f>
        <v/>
      </c>
      <c r="J62" s="32">
        <f>Table58[[#This Row],[Exports]]/Table58[[#This Row],[GDP]]</f>
        <v/>
      </c>
      <c r="K62" s="32">
        <f>-Table58[[#This Row],[Imports]]/Table58[[#This Row],[GDP]]</f>
        <v/>
      </c>
      <c r="L62" s="32">
        <f>Table58[[#This Row],[Government]]/Table58[[#This Row],[GDP]]</f>
        <v/>
      </c>
      <c r="N62" s="51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0" t="n">
        <v>22372</v>
      </c>
      <c r="B63" s="56">
        <f>VLOOKUP(A63,'U.S. GDP'!A:B,2,)</f>
        <v/>
      </c>
      <c r="C63" s="56">
        <f>VLOOKUP(A63,PersonalConsumption!A:B,2,)</f>
        <v/>
      </c>
      <c r="D63" s="56">
        <f>VLOOKUP(A63,PrivateInvestment!A:B,2,)</f>
        <v/>
      </c>
      <c r="E63" s="56">
        <f>VLOOKUP(A63,Exports!A:B,2,)</f>
        <v/>
      </c>
      <c r="F63" s="56">
        <f>VLOOKUP(A63,Imports!A:B,2,)</f>
        <v/>
      </c>
      <c r="G63" s="56">
        <f>VLOOKUP(A63,Government!A:B,2,)</f>
        <v/>
      </c>
      <c r="H63" s="32">
        <f>Table58[[#This Row],[Personal Consumption]]/Table58[[#This Row],[GDP]]</f>
        <v/>
      </c>
      <c r="I63" s="32">
        <f>Table58[[#This Row],[Private Investment]]/Table58[[#This Row],[GDP]]</f>
        <v/>
      </c>
      <c r="J63" s="32">
        <f>Table58[[#This Row],[Exports]]/Table58[[#This Row],[GDP]]</f>
        <v/>
      </c>
      <c r="K63" s="32">
        <f>-Table58[[#This Row],[Imports]]/Table58[[#This Row],[GDP]]</f>
        <v/>
      </c>
      <c r="L63" s="32">
        <f>Table58[[#This Row],[Government]]/Table58[[#This Row],[GDP]]</f>
        <v/>
      </c>
      <c r="N63" s="51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0" t="n">
        <v>22463</v>
      </c>
      <c r="B64" s="56">
        <f>VLOOKUP(A64,'U.S. GDP'!A:B,2,)</f>
        <v/>
      </c>
      <c r="C64" s="56">
        <f>VLOOKUP(A64,PersonalConsumption!A:B,2,)</f>
        <v/>
      </c>
      <c r="D64" s="56">
        <f>VLOOKUP(A64,PrivateInvestment!A:B,2,)</f>
        <v/>
      </c>
      <c r="E64" s="56">
        <f>VLOOKUP(A64,Exports!A:B,2,)</f>
        <v/>
      </c>
      <c r="F64" s="56">
        <f>VLOOKUP(A64,Imports!A:B,2,)</f>
        <v/>
      </c>
      <c r="G64" s="56">
        <f>VLOOKUP(A64,Government!A:B,2,)</f>
        <v/>
      </c>
      <c r="H64" s="32">
        <f>Table58[[#This Row],[Personal Consumption]]/Table58[[#This Row],[GDP]]</f>
        <v/>
      </c>
      <c r="I64" s="32">
        <f>Table58[[#This Row],[Private Investment]]/Table58[[#This Row],[GDP]]</f>
        <v/>
      </c>
      <c r="J64" s="32">
        <f>Table58[[#This Row],[Exports]]/Table58[[#This Row],[GDP]]</f>
        <v/>
      </c>
      <c r="K64" s="32">
        <f>-Table58[[#This Row],[Imports]]/Table58[[#This Row],[GDP]]</f>
        <v/>
      </c>
      <c r="L64" s="32">
        <f>Table58[[#This Row],[Government]]/Table58[[#This Row],[GDP]]</f>
        <v/>
      </c>
      <c r="N64" s="51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0" t="n">
        <v>22555</v>
      </c>
      <c r="B65" s="56">
        <f>VLOOKUP(A65,'U.S. GDP'!A:B,2,)</f>
        <v/>
      </c>
      <c r="C65" s="56">
        <f>VLOOKUP(A65,PersonalConsumption!A:B,2,)</f>
        <v/>
      </c>
      <c r="D65" s="56">
        <f>VLOOKUP(A65,PrivateInvestment!A:B,2,)</f>
        <v/>
      </c>
      <c r="E65" s="56">
        <f>VLOOKUP(A65,Exports!A:B,2,)</f>
        <v/>
      </c>
      <c r="F65" s="56">
        <f>VLOOKUP(A65,Imports!A:B,2,)</f>
        <v/>
      </c>
      <c r="G65" s="56">
        <f>VLOOKUP(A65,Government!A:B,2,)</f>
        <v/>
      </c>
      <c r="H65" s="32">
        <f>Table58[[#This Row],[Personal Consumption]]/Table58[[#This Row],[GDP]]</f>
        <v/>
      </c>
      <c r="I65" s="32">
        <f>Table58[[#This Row],[Private Investment]]/Table58[[#This Row],[GDP]]</f>
        <v/>
      </c>
      <c r="J65" s="32">
        <f>Table58[[#This Row],[Exports]]/Table58[[#This Row],[GDP]]</f>
        <v/>
      </c>
      <c r="K65" s="32">
        <f>-Table58[[#This Row],[Imports]]/Table58[[#This Row],[GDP]]</f>
        <v/>
      </c>
      <c r="L65" s="32">
        <f>Table58[[#This Row],[Government]]/Table58[[#This Row],[GDP]]</f>
        <v/>
      </c>
      <c r="N65" s="51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0" t="n">
        <v>22647</v>
      </c>
      <c r="B66" s="56">
        <f>VLOOKUP(A66,'U.S. GDP'!A:B,2,)</f>
        <v/>
      </c>
      <c r="C66" s="56">
        <f>VLOOKUP(A66,PersonalConsumption!A:B,2,)</f>
        <v/>
      </c>
      <c r="D66" s="56">
        <f>VLOOKUP(A66,PrivateInvestment!A:B,2,)</f>
        <v/>
      </c>
      <c r="E66" s="56">
        <f>VLOOKUP(A66,Exports!A:B,2,)</f>
        <v/>
      </c>
      <c r="F66" s="56">
        <f>VLOOKUP(A66,Imports!A:B,2,)</f>
        <v/>
      </c>
      <c r="G66" s="56">
        <f>VLOOKUP(A66,Government!A:B,2,)</f>
        <v/>
      </c>
      <c r="H66" s="32">
        <f>Table58[[#This Row],[Personal Consumption]]/Table58[[#This Row],[GDP]]</f>
        <v/>
      </c>
      <c r="I66" s="32">
        <f>Table58[[#This Row],[Private Investment]]/Table58[[#This Row],[GDP]]</f>
        <v/>
      </c>
      <c r="J66" s="32">
        <f>Table58[[#This Row],[Exports]]/Table58[[#This Row],[GDP]]</f>
        <v/>
      </c>
      <c r="K66" s="32">
        <f>-Table58[[#This Row],[Imports]]/Table58[[#This Row],[GDP]]</f>
        <v/>
      </c>
      <c r="L66" s="32">
        <f>Table58[[#This Row],[Government]]/Table58[[#This Row],[GDP]]</f>
        <v/>
      </c>
      <c r="N66" s="51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0" t="n">
        <v>22737</v>
      </c>
      <c r="B67" s="56">
        <f>VLOOKUP(A67,'U.S. GDP'!A:B,2,)</f>
        <v/>
      </c>
      <c r="C67" s="56">
        <f>VLOOKUP(A67,PersonalConsumption!A:B,2,)</f>
        <v/>
      </c>
      <c r="D67" s="56">
        <f>VLOOKUP(A67,PrivateInvestment!A:B,2,)</f>
        <v/>
      </c>
      <c r="E67" s="56">
        <f>VLOOKUP(A67,Exports!A:B,2,)</f>
        <v/>
      </c>
      <c r="F67" s="56">
        <f>VLOOKUP(A67,Imports!A:B,2,)</f>
        <v/>
      </c>
      <c r="G67" s="56">
        <f>VLOOKUP(A67,Government!A:B,2,)</f>
        <v/>
      </c>
      <c r="H67" s="32">
        <f>Table58[[#This Row],[Personal Consumption]]/Table58[[#This Row],[GDP]]</f>
        <v/>
      </c>
      <c r="I67" s="32">
        <f>Table58[[#This Row],[Private Investment]]/Table58[[#This Row],[GDP]]</f>
        <v/>
      </c>
      <c r="J67" s="32">
        <f>Table58[[#This Row],[Exports]]/Table58[[#This Row],[GDP]]</f>
        <v/>
      </c>
      <c r="K67" s="32">
        <f>-Table58[[#This Row],[Imports]]/Table58[[#This Row],[GDP]]</f>
        <v/>
      </c>
      <c r="L67" s="32">
        <f>Table58[[#This Row],[Government]]/Table58[[#This Row],[GDP]]</f>
        <v/>
      </c>
      <c r="N67" s="51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0" t="n">
        <v>22828</v>
      </c>
      <c r="B68" s="56">
        <f>VLOOKUP(A68,'U.S. GDP'!A:B,2,)</f>
        <v/>
      </c>
      <c r="C68" s="56">
        <f>VLOOKUP(A68,PersonalConsumption!A:B,2,)</f>
        <v/>
      </c>
      <c r="D68" s="56">
        <f>VLOOKUP(A68,PrivateInvestment!A:B,2,)</f>
        <v/>
      </c>
      <c r="E68" s="56">
        <f>VLOOKUP(A68,Exports!A:B,2,)</f>
        <v/>
      </c>
      <c r="F68" s="56">
        <f>VLOOKUP(A68,Imports!A:B,2,)</f>
        <v/>
      </c>
      <c r="G68" s="56">
        <f>VLOOKUP(A68,Government!A:B,2,)</f>
        <v/>
      </c>
      <c r="H68" s="32">
        <f>Table58[[#This Row],[Personal Consumption]]/Table58[[#This Row],[GDP]]</f>
        <v/>
      </c>
      <c r="I68" s="32">
        <f>Table58[[#This Row],[Private Investment]]/Table58[[#This Row],[GDP]]</f>
        <v/>
      </c>
      <c r="J68" s="32">
        <f>Table58[[#This Row],[Exports]]/Table58[[#This Row],[GDP]]</f>
        <v/>
      </c>
      <c r="K68" s="32">
        <f>-Table58[[#This Row],[Imports]]/Table58[[#This Row],[GDP]]</f>
        <v/>
      </c>
      <c r="L68" s="32">
        <f>Table58[[#This Row],[Government]]/Table58[[#This Row],[GDP]]</f>
        <v/>
      </c>
      <c r="N68" s="51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0" t="n">
        <v>22920</v>
      </c>
      <c r="B69" s="56">
        <f>VLOOKUP(A69,'U.S. GDP'!A:B,2,)</f>
        <v/>
      </c>
      <c r="C69" s="56">
        <f>VLOOKUP(A69,PersonalConsumption!A:B,2,)</f>
        <v/>
      </c>
      <c r="D69" s="56">
        <f>VLOOKUP(A69,PrivateInvestment!A:B,2,)</f>
        <v/>
      </c>
      <c r="E69" s="56">
        <f>VLOOKUP(A69,Exports!A:B,2,)</f>
        <v/>
      </c>
      <c r="F69" s="56">
        <f>VLOOKUP(A69,Imports!A:B,2,)</f>
        <v/>
      </c>
      <c r="G69" s="56">
        <f>VLOOKUP(A69,Government!A:B,2,)</f>
        <v/>
      </c>
      <c r="H69" s="32">
        <f>Table58[[#This Row],[Personal Consumption]]/Table58[[#This Row],[GDP]]</f>
        <v/>
      </c>
      <c r="I69" s="32">
        <f>Table58[[#This Row],[Private Investment]]/Table58[[#This Row],[GDP]]</f>
        <v/>
      </c>
      <c r="J69" s="32">
        <f>Table58[[#This Row],[Exports]]/Table58[[#This Row],[GDP]]</f>
        <v/>
      </c>
      <c r="K69" s="32">
        <f>-Table58[[#This Row],[Imports]]/Table58[[#This Row],[GDP]]</f>
        <v/>
      </c>
      <c r="L69" s="32">
        <f>Table58[[#This Row],[Government]]/Table58[[#This Row],[GDP]]</f>
        <v/>
      </c>
      <c r="N69" s="51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0" t="n">
        <v>23012</v>
      </c>
      <c r="B70" s="56">
        <f>VLOOKUP(A70,'U.S. GDP'!A:B,2,)</f>
        <v/>
      </c>
      <c r="C70" s="56">
        <f>VLOOKUP(A70,PersonalConsumption!A:B,2,)</f>
        <v/>
      </c>
      <c r="D70" s="56">
        <f>VLOOKUP(A70,PrivateInvestment!A:B,2,)</f>
        <v/>
      </c>
      <c r="E70" s="56">
        <f>VLOOKUP(A70,Exports!A:B,2,)</f>
        <v/>
      </c>
      <c r="F70" s="56">
        <f>VLOOKUP(A70,Imports!A:B,2,)</f>
        <v/>
      </c>
      <c r="G70" s="56">
        <f>VLOOKUP(A70,Government!A:B,2,)</f>
        <v/>
      </c>
      <c r="H70" s="32">
        <f>Table58[[#This Row],[Personal Consumption]]/Table58[[#This Row],[GDP]]</f>
        <v/>
      </c>
      <c r="I70" s="32">
        <f>Table58[[#This Row],[Private Investment]]/Table58[[#This Row],[GDP]]</f>
        <v/>
      </c>
      <c r="J70" s="32">
        <f>Table58[[#This Row],[Exports]]/Table58[[#This Row],[GDP]]</f>
        <v/>
      </c>
      <c r="K70" s="32">
        <f>-Table58[[#This Row],[Imports]]/Table58[[#This Row],[GDP]]</f>
        <v/>
      </c>
      <c r="L70" s="32">
        <f>Table58[[#This Row],[Government]]/Table58[[#This Row],[GDP]]</f>
        <v/>
      </c>
      <c r="N70" s="51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0" t="n">
        <v>23102</v>
      </c>
      <c r="B71" s="56">
        <f>VLOOKUP(A71,'U.S. GDP'!A:B,2,)</f>
        <v/>
      </c>
      <c r="C71" s="56">
        <f>VLOOKUP(A71,PersonalConsumption!A:B,2,)</f>
        <v/>
      </c>
      <c r="D71" s="56">
        <f>VLOOKUP(A71,PrivateInvestment!A:B,2,)</f>
        <v/>
      </c>
      <c r="E71" s="56">
        <f>VLOOKUP(A71,Exports!A:B,2,)</f>
        <v/>
      </c>
      <c r="F71" s="56">
        <f>VLOOKUP(A71,Imports!A:B,2,)</f>
        <v/>
      </c>
      <c r="G71" s="56">
        <f>VLOOKUP(A71,Government!A:B,2,)</f>
        <v/>
      </c>
      <c r="H71" s="32">
        <f>Table58[[#This Row],[Personal Consumption]]/Table58[[#This Row],[GDP]]</f>
        <v/>
      </c>
      <c r="I71" s="32">
        <f>Table58[[#This Row],[Private Investment]]/Table58[[#This Row],[GDP]]</f>
        <v/>
      </c>
      <c r="J71" s="32">
        <f>Table58[[#This Row],[Exports]]/Table58[[#This Row],[GDP]]</f>
        <v/>
      </c>
      <c r="K71" s="32">
        <f>-Table58[[#This Row],[Imports]]/Table58[[#This Row],[GDP]]</f>
        <v/>
      </c>
      <c r="L71" s="32">
        <f>Table58[[#This Row],[Government]]/Table58[[#This Row],[GDP]]</f>
        <v/>
      </c>
      <c r="N71" s="51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0" t="n">
        <v>23193</v>
      </c>
      <c r="B72" s="56">
        <f>VLOOKUP(A72,'U.S. GDP'!A:B,2,)</f>
        <v/>
      </c>
      <c r="C72" s="56">
        <f>VLOOKUP(A72,PersonalConsumption!A:B,2,)</f>
        <v/>
      </c>
      <c r="D72" s="56">
        <f>VLOOKUP(A72,PrivateInvestment!A:B,2,)</f>
        <v/>
      </c>
      <c r="E72" s="56">
        <f>VLOOKUP(A72,Exports!A:B,2,)</f>
        <v/>
      </c>
      <c r="F72" s="56">
        <f>VLOOKUP(A72,Imports!A:B,2,)</f>
        <v/>
      </c>
      <c r="G72" s="56">
        <f>VLOOKUP(A72,Government!A:B,2,)</f>
        <v/>
      </c>
      <c r="H72" s="32">
        <f>Table58[[#This Row],[Personal Consumption]]/Table58[[#This Row],[GDP]]</f>
        <v/>
      </c>
      <c r="I72" s="32">
        <f>Table58[[#This Row],[Private Investment]]/Table58[[#This Row],[GDP]]</f>
        <v/>
      </c>
      <c r="J72" s="32">
        <f>Table58[[#This Row],[Exports]]/Table58[[#This Row],[GDP]]</f>
        <v/>
      </c>
      <c r="K72" s="32">
        <f>-Table58[[#This Row],[Imports]]/Table58[[#This Row],[GDP]]</f>
        <v/>
      </c>
      <c r="L72" s="32">
        <f>Table58[[#This Row],[Government]]/Table58[[#This Row],[GDP]]</f>
        <v/>
      </c>
      <c r="N72" s="51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0" t="n">
        <v>23285</v>
      </c>
      <c r="B73" s="56">
        <f>VLOOKUP(A73,'U.S. GDP'!A:B,2,)</f>
        <v/>
      </c>
      <c r="C73" s="56">
        <f>VLOOKUP(A73,PersonalConsumption!A:B,2,)</f>
        <v/>
      </c>
      <c r="D73" s="56">
        <f>VLOOKUP(A73,PrivateInvestment!A:B,2,)</f>
        <v/>
      </c>
      <c r="E73" s="56">
        <f>VLOOKUP(A73,Exports!A:B,2,)</f>
        <v/>
      </c>
      <c r="F73" s="56">
        <f>VLOOKUP(A73,Imports!A:B,2,)</f>
        <v/>
      </c>
      <c r="G73" s="56">
        <f>VLOOKUP(A73,Government!A:B,2,)</f>
        <v/>
      </c>
      <c r="H73" s="32">
        <f>Table58[[#This Row],[Personal Consumption]]/Table58[[#This Row],[GDP]]</f>
        <v/>
      </c>
      <c r="I73" s="32">
        <f>Table58[[#This Row],[Private Investment]]/Table58[[#This Row],[GDP]]</f>
        <v/>
      </c>
      <c r="J73" s="32">
        <f>Table58[[#This Row],[Exports]]/Table58[[#This Row],[GDP]]</f>
        <v/>
      </c>
      <c r="K73" s="32">
        <f>-Table58[[#This Row],[Imports]]/Table58[[#This Row],[GDP]]</f>
        <v/>
      </c>
      <c r="L73" s="32">
        <f>Table58[[#This Row],[Government]]/Table58[[#This Row],[GDP]]</f>
        <v/>
      </c>
      <c r="N73" s="51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0" t="n">
        <v>23377</v>
      </c>
      <c r="B74" s="56">
        <f>VLOOKUP(A74,'U.S. GDP'!A:B,2,)</f>
        <v/>
      </c>
      <c r="C74" s="56">
        <f>VLOOKUP(A74,PersonalConsumption!A:B,2,)</f>
        <v/>
      </c>
      <c r="D74" s="56">
        <f>VLOOKUP(A74,PrivateInvestment!A:B,2,)</f>
        <v/>
      </c>
      <c r="E74" s="56">
        <f>VLOOKUP(A74,Exports!A:B,2,)</f>
        <v/>
      </c>
      <c r="F74" s="56">
        <f>VLOOKUP(A74,Imports!A:B,2,)</f>
        <v/>
      </c>
      <c r="G74" s="56">
        <f>VLOOKUP(A74,Government!A:B,2,)</f>
        <v/>
      </c>
      <c r="H74" s="32">
        <f>Table58[[#This Row],[Personal Consumption]]/Table58[[#This Row],[GDP]]</f>
        <v/>
      </c>
      <c r="I74" s="32">
        <f>Table58[[#This Row],[Private Investment]]/Table58[[#This Row],[GDP]]</f>
        <v/>
      </c>
      <c r="J74" s="32">
        <f>Table58[[#This Row],[Exports]]/Table58[[#This Row],[GDP]]</f>
        <v/>
      </c>
      <c r="K74" s="32">
        <f>-Table58[[#This Row],[Imports]]/Table58[[#This Row],[GDP]]</f>
        <v/>
      </c>
      <c r="L74" s="32">
        <f>Table58[[#This Row],[Government]]/Table58[[#This Row],[GDP]]</f>
        <v/>
      </c>
      <c r="N74" s="51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0" t="n">
        <v>23468</v>
      </c>
      <c r="B75" s="56">
        <f>VLOOKUP(A75,'U.S. GDP'!A:B,2,)</f>
        <v/>
      </c>
      <c r="C75" s="56">
        <f>VLOOKUP(A75,PersonalConsumption!A:B,2,)</f>
        <v/>
      </c>
      <c r="D75" s="56">
        <f>VLOOKUP(A75,PrivateInvestment!A:B,2,)</f>
        <v/>
      </c>
      <c r="E75" s="56">
        <f>VLOOKUP(A75,Exports!A:B,2,)</f>
        <v/>
      </c>
      <c r="F75" s="56">
        <f>VLOOKUP(A75,Imports!A:B,2,)</f>
        <v/>
      </c>
      <c r="G75" s="56">
        <f>VLOOKUP(A75,Government!A:B,2,)</f>
        <v/>
      </c>
      <c r="H75" s="32">
        <f>Table58[[#This Row],[Personal Consumption]]/Table58[[#This Row],[GDP]]</f>
        <v/>
      </c>
      <c r="I75" s="32">
        <f>Table58[[#This Row],[Private Investment]]/Table58[[#This Row],[GDP]]</f>
        <v/>
      </c>
      <c r="J75" s="32">
        <f>Table58[[#This Row],[Exports]]/Table58[[#This Row],[GDP]]</f>
        <v/>
      </c>
      <c r="K75" s="32">
        <f>-Table58[[#This Row],[Imports]]/Table58[[#This Row],[GDP]]</f>
        <v/>
      </c>
      <c r="L75" s="32">
        <f>Table58[[#This Row],[Government]]/Table58[[#This Row],[GDP]]</f>
        <v/>
      </c>
      <c r="N75" s="51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0" t="n">
        <v>23559</v>
      </c>
      <c r="B76" s="56">
        <f>VLOOKUP(A76,'U.S. GDP'!A:B,2,)</f>
        <v/>
      </c>
      <c r="C76" s="56">
        <f>VLOOKUP(A76,PersonalConsumption!A:B,2,)</f>
        <v/>
      </c>
      <c r="D76" s="56">
        <f>VLOOKUP(A76,PrivateInvestment!A:B,2,)</f>
        <v/>
      </c>
      <c r="E76" s="56">
        <f>VLOOKUP(A76,Exports!A:B,2,)</f>
        <v/>
      </c>
      <c r="F76" s="56">
        <f>VLOOKUP(A76,Imports!A:B,2,)</f>
        <v/>
      </c>
      <c r="G76" s="56">
        <f>VLOOKUP(A76,Government!A:B,2,)</f>
        <v/>
      </c>
      <c r="H76" s="32">
        <f>Table58[[#This Row],[Personal Consumption]]/Table58[[#This Row],[GDP]]</f>
        <v/>
      </c>
      <c r="I76" s="32">
        <f>Table58[[#This Row],[Private Investment]]/Table58[[#This Row],[GDP]]</f>
        <v/>
      </c>
      <c r="J76" s="32">
        <f>Table58[[#This Row],[Exports]]/Table58[[#This Row],[GDP]]</f>
        <v/>
      </c>
      <c r="K76" s="32">
        <f>-Table58[[#This Row],[Imports]]/Table58[[#This Row],[GDP]]</f>
        <v/>
      </c>
      <c r="L76" s="32">
        <f>Table58[[#This Row],[Government]]/Table58[[#This Row],[GDP]]</f>
        <v/>
      </c>
      <c r="N76" s="51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0" t="n">
        <v>23651</v>
      </c>
      <c r="B77" s="56">
        <f>VLOOKUP(A77,'U.S. GDP'!A:B,2,)</f>
        <v/>
      </c>
      <c r="C77" s="56">
        <f>VLOOKUP(A77,PersonalConsumption!A:B,2,)</f>
        <v/>
      </c>
      <c r="D77" s="56">
        <f>VLOOKUP(A77,PrivateInvestment!A:B,2,)</f>
        <v/>
      </c>
      <c r="E77" s="56">
        <f>VLOOKUP(A77,Exports!A:B,2,)</f>
        <v/>
      </c>
      <c r="F77" s="56">
        <f>VLOOKUP(A77,Imports!A:B,2,)</f>
        <v/>
      </c>
      <c r="G77" s="56">
        <f>VLOOKUP(A77,Government!A:B,2,)</f>
        <v/>
      </c>
      <c r="H77" s="32">
        <f>Table58[[#This Row],[Personal Consumption]]/Table58[[#This Row],[GDP]]</f>
        <v/>
      </c>
      <c r="I77" s="32">
        <f>Table58[[#This Row],[Private Investment]]/Table58[[#This Row],[GDP]]</f>
        <v/>
      </c>
      <c r="J77" s="32">
        <f>Table58[[#This Row],[Exports]]/Table58[[#This Row],[GDP]]</f>
        <v/>
      </c>
      <c r="K77" s="32">
        <f>-Table58[[#This Row],[Imports]]/Table58[[#This Row],[GDP]]</f>
        <v/>
      </c>
      <c r="L77" s="32">
        <f>Table58[[#This Row],[Government]]/Table58[[#This Row],[GDP]]</f>
        <v/>
      </c>
      <c r="N77" s="51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0" t="n">
        <v>23743</v>
      </c>
      <c r="B78" s="56">
        <f>VLOOKUP(A78,'U.S. GDP'!A:B,2,)</f>
        <v/>
      </c>
      <c r="C78" s="56">
        <f>VLOOKUP(A78,PersonalConsumption!A:B,2,)</f>
        <v/>
      </c>
      <c r="D78" s="56">
        <f>VLOOKUP(A78,PrivateInvestment!A:B,2,)</f>
        <v/>
      </c>
      <c r="E78" s="56">
        <f>VLOOKUP(A78,Exports!A:B,2,)</f>
        <v/>
      </c>
      <c r="F78" s="56">
        <f>VLOOKUP(A78,Imports!A:B,2,)</f>
        <v/>
      </c>
      <c r="G78" s="56">
        <f>VLOOKUP(A78,Government!A:B,2,)</f>
        <v/>
      </c>
      <c r="H78" s="32">
        <f>Table58[[#This Row],[Personal Consumption]]/Table58[[#This Row],[GDP]]</f>
        <v/>
      </c>
      <c r="I78" s="32">
        <f>Table58[[#This Row],[Private Investment]]/Table58[[#This Row],[GDP]]</f>
        <v/>
      </c>
      <c r="J78" s="32">
        <f>Table58[[#This Row],[Exports]]/Table58[[#This Row],[GDP]]</f>
        <v/>
      </c>
      <c r="K78" s="32">
        <f>-Table58[[#This Row],[Imports]]/Table58[[#This Row],[GDP]]</f>
        <v/>
      </c>
      <c r="L78" s="32">
        <f>Table58[[#This Row],[Government]]/Table58[[#This Row],[GDP]]</f>
        <v/>
      </c>
      <c r="N78" s="51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0" t="n">
        <v>23833</v>
      </c>
      <c r="B79" s="56">
        <f>VLOOKUP(A79,'U.S. GDP'!A:B,2,)</f>
        <v/>
      </c>
      <c r="C79" s="56">
        <f>VLOOKUP(A79,PersonalConsumption!A:B,2,)</f>
        <v/>
      </c>
      <c r="D79" s="56">
        <f>VLOOKUP(A79,PrivateInvestment!A:B,2,)</f>
        <v/>
      </c>
      <c r="E79" s="56">
        <f>VLOOKUP(A79,Exports!A:B,2,)</f>
        <v/>
      </c>
      <c r="F79" s="56">
        <f>VLOOKUP(A79,Imports!A:B,2,)</f>
        <v/>
      </c>
      <c r="G79" s="56">
        <f>VLOOKUP(A79,Government!A:B,2,)</f>
        <v/>
      </c>
      <c r="H79" s="32">
        <f>Table58[[#This Row],[Personal Consumption]]/Table58[[#This Row],[GDP]]</f>
        <v/>
      </c>
      <c r="I79" s="32">
        <f>Table58[[#This Row],[Private Investment]]/Table58[[#This Row],[GDP]]</f>
        <v/>
      </c>
      <c r="J79" s="32">
        <f>Table58[[#This Row],[Exports]]/Table58[[#This Row],[GDP]]</f>
        <v/>
      </c>
      <c r="K79" s="32">
        <f>-Table58[[#This Row],[Imports]]/Table58[[#This Row],[GDP]]</f>
        <v/>
      </c>
      <c r="L79" s="32">
        <f>Table58[[#This Row],[Government]]/Table58[[#This Row],[GDP]]</f>
        <v/>
      </c>
      <c r="N79" s="51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0" t="n">
        <v>23924</v>
      </c>
      <c r="B80" s="56">
        <f>VLOOKUP(A80,'U.S. GDP'!A:B,2,)</f>
        <v/>
      </c>
      <c r="C80" s="56">
        <f>VLOOKUP(A80,PersonalConsumption!A:B,2,)</f>
        <v/>
      </c>
      <c r="D80" s="56">
        <f>VLOOKUP(A80,PrivateInvestment!A:B,2,)</f>
        <v/>
      </c>
      <c r="E80" s="56">
        <f>VLOOKUP(A80,Exports!A:B,2,)</f>
        <v/>
      </c>
      <c r="F80" s="56">
        <f>VLOOKUP(A80,Imports!A:B,2,)</f>
        <v/>
      </c>
      <c r="G80" s="56">
        <f>VLOOKUP(A80,Government!A:B,2,)</f>
        <v/>
      </c>
      <c r="H80" s="32">
        <f>Table58[[#This Row],[Personal Consumption]]/Table58[[#This Row],[GDP]]</f>
        <v/>
      </c>
      <c r="I80" s="32">
        <f>Table58[[#This Row],[Private Investment]]/Table58[[#This Row],[GDP]]</f>
        <v/>
      </c>
      <c r="J80" s="32">
        <f>Table58[[#This Row],[Exports]]/Table58[[#This Row],[GDP]]</f>
        <v/>
      </c>
      <c r="K80" s="32">
        <f>-Table58[[#This Row],[Imports]]/Table58[[#This Row],[GDP]]</f>
        <v/>
      </c>
      <c r="L80" s="32">
        <f>Table58[[#This Row],[Government]]/Table58[[#This Row],[GDP]]</f>
        <v/>
      </c>
      <c r="N80" s="51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0" t="n">
        <v>24016</v>
      </c>
      <c r="B81" s="56">
        <f>VLOOKUP(A81,'U.S. GDP'!A:B,2,)</f>
        <v/>
      </c>
      <c r="C81" s="56">
        <f>VLOOKUP(A81,PersonalConsumption!A:B,2,)</f>
        <v/>
      </c>
      <c r="D81" s="56">
        <f>VLOOKUP(A81,PrivateInvestment!A:B,2,)</f>
        <v/>
      </c>
      <c r="E81" s="56">
        <f>VLOOKUP(A81,Exports!A:B,2,)</f>
        <v/>
      </c>
      <c r="F81" s="56">
        <f>VLOOKUP(A81,Imports!A:B,2,)</f>
        <v/>
      </c>
      <c r="G81" s="56">
        <f>VLOOKUP(A81,Government!A:B,2,)</f>
        <v/>
      </c>
      <c r="H81" s="32">
        <f>Table58[[#This Row],[Personal Consumption]]/Table58[[#This Row],[GDP]]</f>
        <v/>
      </c>
      <c r="I81" s="32">
        <f>Table58[[#This Row],[Private Investment]]/Table58[[#This Row],[GDP]]</f>
        <v/>
      </c>
      <c r="J81" s="32">
        <f>Table58[[#This Row],[Exports]]/Table58[[#This Row],[GDP]]</f>
        <v/>
      </c>
      <c r="K81" s="32">
        <f>-Table58[[#This Row],[Imports]]/Table58[[#This Row],[GDP]]</f>
        <v/>
      </c>
      <c r="L81" s="32">
        <f>Table58[[#This Row],[Government]]/Table58[[#This Row],[GDP]]</f>
        <v/>
      </c>
      <c r="N81" s="51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0" t="n">
        <v>24108</v>
      </c>
      <c r="B82" s="56">
        <f>VLOOKUP(A82,'U.S. GDP'!A:B,2,)</f>
        <v/>
      </c>
      <c r="C82" s="56">
        <f>VLOOKUP(A82,PersonalConsumption!A:B,2,)</f>
        <v/>
      </c>
      <c r="D82" s="56">
        <f>VLOOKUP(A82,PrivateInvestment!A:B,2,)</f>
        <v/>
      </c>
      <c r="E82" s="56">
        <f>VLOOKUP(A82,Exports!A:B,2,)</f>
        <v/>
      </c>
      <c r="F82" s="56">
        <f>VLOOKUP(A82,Imports!A:B,2,)</f>
        <v/>
      </c>
      <c r="G82" s="56">
        <f>VLOOKUP(A82,Government!A:B,2,)</f>
        <v/>
      </c>
      <c r="H82" s="32">
        <f>Table58[[#This Row],[Personal Consumption]]/Table58[[#This Row],[GDP]]</f>
        <v/>
      </c>
      <c r="I82" s="32">
        <f>Table58[[#This Row],[Private Investment]]/Table58[[#This Row],[GDP]]</f>
        <v/>
      </c>
      <c r="J82" s="32">
        <f>Table58[[#This Row],[Exports]]/Table58[[#This Row],[GDP]]</f>
        <v/>
      </c>
      <c r="K82" s="32">
        <f>-Table58[[#This Row],[Imports]]/Table58[[#This Row],[GDP]]</f>
        <v/>
      </c>
      <c r="L82" s="32">
        <f>Table58[[#This Row],[Government]]/Table58[[#This Row],[GDP]]</f>
        <v/>
      </c>
      <c r="N82" s="51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0" t="n">
        <v>24198</v>
      </c>
      <c r="B83" s="56">
        <f>VLOOKUP(A83,'U.S. GDP'!A:B,2,)</f>
        <v/>
      </c>
      <c r="C83" s="56">
        <f>VLOOKUP(A83,PersonalConsumption!A:B,2,)</f>
        <v/>
      </c>
      <c r="D83" s="56">
        <f>VLOOKUP(A83,PrivateInvestment!A:B,2,)</f>
        <v/>
      </c>
      <c r="E83" s="56">
        <f>VLOOKUP(A83,Exports!A:B,2,)</f>
        <v/>
      </c>
      <c r="F83" s="56">
        <f>VLOOKUP(A83,Imports!A:B,2,)</f>
        <v/>
      </c>
      <c r="G83" s="56">
        <f>VLOOKUP(A83,Government!A:B,2,)</f>
        <v/>
      </c>
      <c r="H83" s="32">
        <f>Table58[[#This Row],[Personal Consumption]]/Table58[[#This Row],[GDP]]</f>
        <v/>
      </c>
      <c r="I83" s="32">
        <f>Table58[[#This Row],[Private Investment]]/Table58[[#This Row],[GDP]]</f>
        <v/>
      </c>
      <c r="J83" s="32">
        <f>Table58[[#This Row],[Exports]]/Table58[[#This Row],[GDP]]</f>
        <v/>
      </c>
      <c r="K83" s="32">
        <f>-Table58[[#This Row],[Imports]]/Table58[[#This Row],[GDP]]</f>
        <v/>
      </c>
      <c r="L83" s="32">
        <f>Table58[[#This Row],[Government]]/Table58[[#This Row],[GDP]]</f>
        <v/>
      </c>
      <c r="N83" s="51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0" t="n">
        <v>24289</v>
      </c>
      <c r="B84" s="56">
        <f>VLOOKUP(A84,'U.S. GDP'!A:B,2,)</f>
        <v/>
      </c>
      <c r="C84" s="56">
        <f>VLOOKUP(A84,PersonalConsumption!A:B,2,)</f>
        <v/>
      </c>
      <c r="D84" s="56">
        <f>VLOOKUP(A84,PrivateInvestment!A:B,2,)</f>
        <v/>
      </c>
      <c r="E84" s="56">
        <f>VLOOKUP(A84,Exports!A:B,2,)</f>
        <v/>
      </c>
      <c r="F84" s="56">
        <f>VLOOKUP(A84,Imports!A:B,2,)</f>
        <v/>
      </c>
      <c r="G84" s="56">
        <f>VLOOKUP(A84,Government!A:B,2,)</f>
        <v/>
      </c>
      <c r="H84" s="32">
        <f>Table58[[#This Row],[Personal Consumption]]/Table58[[#This Row],[GDP]]</f>
        <v/>
      </c>
      <c r="I84" s="32">
        <f>Table58[[#This Row],[Private Investment]]/Table58[[#This Row],[GDP]]</f>
        <v/>
      </c>
      <c r="J84" s="32">
        <f>Table58[[#This Row],[Exports]]/Table58[[#This Row],[GDP]]</f>
        <v/>
      </c>
      <c r="K84" s="32">
        <f>-Table58[[#This Row],[Imports]]/Table58[[#This Row],[GDP]]</f>
        <v/>
      </c>
      <c r="L84" s="32">
        <f>Table58[[#This Row],[Government]]/Table58[[#This Row],[GDP]]</f>
        <v/>
      </c>
      <c r="N84" s="51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0" t="n">
        <v>24381</v>
      </c>
      <c r="B85" s="56">
        <f>VLOOKUP(A85,'U.S. GDP'!A:B,2,)</f>
        <v/>
      </c>
      <c r="C85" s="56">
        <f>VLOOKUP(A85,PersonalConsumption!A:B,2,)</f>
        <v/>
      </c>
      <c r="D85" s="56">
        <f>VLOOKUP(A85,PrivateInvestment!A:B,2,)</f>
        <v/>
      </c>
      <c r="E85" s="56">
        <f>VLOOKUP(A85,Exports!A:B,2,)</f>
        <v/>
      </c>
      <c r="F85" s="56">
        <f>VLOOKUP(A85,Imports!A:B,2,)</f>
        <v/>
      </c>
      <c r="G85" s="56">
        <f>VLOOKUP(A85,Government!A:B,2,)</f>
        <v/>
      </c>
      <c r="H85" s="32">
        <f>Table58[[#This Row],[Personal Consumption]]/Table58[[#This Row],[GDP]]</f>
        <v/>
      </c>
      <c r="I85" s="32">
        <f>Table58[[#This Row],[Private Investment]]/Table58[[#This Row],[GDP]]</f>
        <v/>
      </c>
      <c r="J85" s="32">
        <f>Table58[[#This Row],[Exports]]/Table58[[#This Row],[GDP]]</f>
        <v/>
      </c>
      <c r="K85" s="32">
        <f>-Table58[[#This Row],[Imports]]/Table58[[#This Row],[GDP]]</f>
        <v/>
      </c>
      <c r="L85" s="32">
        <f>Table58[[#This Row],[Government]]/Table58[[#This Row],[GDP]]</f>
        <v/>
      </c>
      <c r="N85" s="51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0" t="n">
        <v>24473</v>
      </c>
      <c r="B86" s="56">
        <f>VLOOKUP(A86,'U.S. GDP'!A:B,2,)</f>
        <v/>
      </c>
      <c r="C86" s="56">
        <f>VLOOKUP(A86,PersonalConsumption!A:B,2,)</f>
        <v/>
      </c>
      <c r="D86" s="56">
        <f>VLOOKUP(A86,PrivateInvestment!A:B,2,)</f>
        <v/>
      </c>
      <c r="E86" s="56">
        <f>VLOOKUP(A86,Exports!A:B,2,)</f>
        <v/>
      </c>
      <c r="F86" s="56">
        <f>VLOOKUP(A86,Imports!A:B,2,)</f>
        <v/>
      </c>
      <c r="G86" s="56">
        <f>VLOOKUP(A86,Government!A:B,2,)</f>
        <v/>
      </c>
      <c r="H86" s="32">
        <f>Table58[[#This Row],[Personal Consumption]]/Table58[[#This Row],[GDP]]</f>
        <v/>
      </c>
      <c r="I86" s="32">
        <f>Table58[[#This Row],[Private Investment]]/Table58[[#This Row],[GDP]]</f>
        <v/>
      </c>
      <c r="J86" s="32">
        <f>Table58[[#This Row],[Exports]]/Table58[[#This Row],[GDP]]</f>
        <v/>
      </c>
      <c r="K86" s="32">
        <f>-Table58[[#This Row],[Imports]]/Table58[[#This Row],[GDP]]</f>
        <v/>
      </c>
      <c r="L86" s="32">
        <f>Table58[[#This Row],[Government]]/Table58[[#This Row],[GDP]]</f>
        <v/>
      </c>
      <c r="N86" s="51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0" t="n">
        <v>24563</v>
      </c>
      <c r="B87" s="56">
        <f>VLOOKUP(A87,'U.S. GDP'!A:B,2,)</f>
        <v/>
      </c>
      <c r="C87" s="56">
        <f>VLOOKUP(A87,PersonalConsumption!A:B,2,)</f>
        <v/>
      </c>
      <c r="D87" s="56">
        <f>VLOOKUP(A87,PrivateInvestment!A:B,2,)</f>
        <v/>
      </c>
      <c r="E87" s="56">
        <f>VLOOKUP(A87,Exports!A:B,2,)</f>
        <v/>
      </c>
      <c r="F87" s="56">
        <f>VLOOKUP(A87,Imports!A:B,2,)</f>
        <v/>
      </c>
      <c r="G87" s="56">
        <f>VLOOKUP(A87,Government!A:B,2,)</f>
        <v/>
      </c>
      <c r="H87" s="32">
        <f>Table58[[#This Row],[Personal Consumption]]/Table58[[#This Row],[GDP]]</f>
        <v/>
      </c>
      <c r="I87" s="32">
        <f>Table58[[#This Row],[Private Investment]]/Table58[[#This Row],[GDP]]</f>
        <v/>
      </c>
      <c r="J87" s="32">
        <f>Table58[[#This Row],[Exports]]/Table58[[#This Row],[GDP]]</f>
        <v/>
      </c>
      <c r="K87" s="32">
        <f>-Table58[[#This Row],[Imports]]/Table58[[#This Row],[GDP]]</f>
        <v/>
      </c>
      <c r="L87" s="32">
        <f>Table58[[#This Row],[Government]]/Table58[[#This Row],[GDP]]</f>
        <v/>
      </c>
      <c r="N87" s="51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0" t="n">
        <v>24654</v>
      </c>
      <c r="B88" s="56">
        <f>VLOOKUP(A88,'U.S. GDP'!A:B,2,)</f>
        <v/>
      </c>
      <c r="C88" s="56">
        <f>VLOOKUP(A88,PersonalConsumption!A:B,2,)</f>
        <v/>
      </c>
      <c r="D88" s="56">
        <f>VLOOKUP(A88,PrivateInvestment!A:B,2,)</f>
        <v/>
      </c>
      <c r="E88" s="56">
        <f>VLOOKUP(A88,Exports!A:B,2,)</f>
        <v/>
      </c>
      <c r="F88" s="56">
        <f>VLOOKUP(A88,Imports!A:B,2,)</f>
        <v/>
      </c>
      <c r="G88" s="56">
        <f>VLOOKUP(A88,Government!A:B,2,)</f>
        <v/>
      </c>
      <c r="H88" s="32">
        <f>Table58[[#This Row],[Personal Consumption]]/Table58[[#This Row],[GDP]]</f>
        <v/>
      </c>
      <c r="I88" s="32">
        <f>Table58[[#This Row],[Private Investment]]/Table58[[#This Row],[GDP]]</f>
        <v/>
      </c>
      <c r="J88" s="32">
        <f>Table58[[#This Row],[Exports]]/Table58[[#This Row],[GDP]]</f>
        <v/>
      </c>
      <c r="K88" s="32">
        <f>-Table58[[#This Row],[Imports]]/Table58[[#This Row],[GDP]]</f>
        <v/>
      </c>
      <c r="L88" s="32">
        <f>Table58[[#This Row],[Government]]/Table58[[#This Row],[GDP]]</f>
        <v/>
      </c>
      <c r="N88" s="51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0" t="n">
        <v>24746</v>
      </c>
      <c r="B89" s="56">
        <f>VLOOKUP(A89,'U.S. GDP'!A:B,2,)</f>
        <v/>
      </c>
      <c r="C89" s="56">
        <f>VLOOKUP(A89,PersonalConsumption!A:B,2,)</f>
        <v/>
      </c>
      <c r="D89" s="56">
        <f>VLOOKUP(A89,PrivateInvestment!A:B,2,)</f>
        <v/>
      </c>
      <c r="E89" s="56">
        <f>VLOOKUP(A89,Exports!A:B,2,)</f>
        <v/>
      </c>
      <c r="F89" s="56">
        <f>VLOOKUP(A89,Imports!A:B,2,)</f>
        <v/>
      </c>
      <c r="G89" s="56">
        <f>VLOOKUP(A89,Government!A:B,2,)</f>
        <v/>
      </c>
      <c r="H89" s="32">
        <f>Table58[[#This Row],[Personal Consumption]]/Table58[[#This Row],[GDP]]</f>
        <v/>
      </c>
      <c r="I89" s="32">
        <f>Table58[[#This Row],[Private Investment]]/Table58[[#This Row],[GDP]]</f>
        <v/>
      </c>
      <c r="J89" s="32">
        <f>Table58[[#This Row],[Exports]]/Table58[[#This Row],[GDP]]</f>
        <v/>
      </c>
      <c r="K89" s="32">
        <f>-Table58[[#This Row],[Imports]]/Table58[[#This Row],[GDP]]</f>
        <v/>
      </c>
      <c r="L89" s="32">
        <f>Table58[[#This Row],[Government]]/Table58[[#This Row],[GDP]]</f>
        <v/>
      </c>
      <c r="N89" s="51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0" t="n">
        <v>24838</v>
      </c>
      <c r="B90" s="56">
        <f>VLOOKUP(A90,'U.S. GDP'!A:B,2,)</f>
        <v/>
      </c>
      <c r="C90" s="56">
        <f>VLOOKUP(A90,PersonalConsumption!A:B,2,)</f>
        <v/>
      </c>
      <c r="D90" s="56">
        <f>VLOOKUP(A90,PrivateInvestment!A:B,2,)</f>
        <v/>
      </c>
      <c r="E90" s="56">
        <f>VLOOKUP(A90,Exports!A:B,2,)</f>
        <v/>
      </c>
      <c r="F90" s="56">
        <f>VLOOKUP(A90,Imports!A:B,2,)</f>
        <v/>
      </c>
      <c r="G90" s="56">
        <f>VLOOKUP(A90,Government!A:B,2,)</f>
        <v/>
      </c>
      <c r="H90" s="32">
        <f>Table58[[#This Row],[Personal Consumption]]/Table58[[#This Row],[GDP]]</f>
        <v/>
      </c>
      <c r="I90" s="32">
        <f>Table58[[#This Row],[Private Investment]]/Table58[[#This Row],[GDP]]</f>
        <v/>
      </c>
      <c r="J90" s="32">
        <f>Table58[[#This Row],[Exports]]/Table58[[#This Row],[GDP]]</f>
        <v/>
      </c>
      <c r="K90" s="32">
        <f>-Table58[[#This Row],[Imports]]/Table58[[#This Row],[GDP]]</f>
        <v/>
      </c>
      <c r="L90" s="32">
        <f>Table58[[#This Row],[Government]]/Table58[[#This Row],[GDP]]</f>
        <v/>
      </c>
      <c r="N90" s="51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0" t="n">
        <v>24929</v>
      </c>
      <c r="B91" s="56">
        <f>VLOOKUP(A91,'U.S. GDP'!A:B,2,)</f>
        <v/>
      </c>
      <c r="C91" s="56">
        <f>VLOOKUP(A91,PersonalConsumption!A:B,2,)</f>
        <v/>
      </c>
      <c r="D91" s="56">
        <f>VLOOKUP(A91,PrivateInvestment!A:B,2,)</f>
        <v/>
      </c>
      <c r="E91" s="56">
        <f>VLOOKUP(A91,Exports!A:B,2,)</f>
        <v/>
      </c>
      <c r="F91" s="56">
        <f>VLOOKUP(A91,Imports!A:B,2,)</f>
        <v/>
      </c>
      <c r="G91" s="56">
        <f>VLOOKUP(A91,Government!A:B,2,)</f>
        <v/>
      </c>
      <c r="H91" s="32">
        <f>Table58[[#This Row],[Personal Consumption]]/Table58[[#This Row],[GDP]]</f>
        <v/>
      </c>
      <c r="I91" s="32">
        <f>Table58[[#This Row],[Private Investment]]/Table58[[#This Row],[GDP]]</f>
        <v/>
      </c>
      <c r="J91" s="32">
        <f>Table58[[#This Row],[Exports]]/Table58[[#This Row],[GDP]]</f>
        <v/>
      </c>
      <c r="K91" s="32">
        <f>-Table58[[#This Row],[Imports]]/Table58[[#This Row],[GDP]]</f>
        <v/>
      </c>
      <c r="L91" s="32">
        <f>Table58[[#This Row],[Government]]/Table58[[#This Row],[GDP]]</f>
        <v/>
      </c>
      <c r="N91" s="51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0" t="n">
        <v>25020</v>
      </c>
      <c r="B92" s="56">
        <f>VLOOKUP(A92,'U.S. GDP'!A:B,2,)</f>
        <v/>
      </c>
      <c r="C92" s="56">
        <f>VLOOKUP(A92,PersonalConsumption!A:B,2,)</f>
        <v/>
      </c>
      <c r="D92" s="56">
        <f>VLOOKUP(A92,PrivateInvestment!A:B,2,)</f>
        <v/>
      </c>
      <c r="E92" s="56">
        <f>VLOOKUP(A92,Exports!A:B,2,)</f>
        <v/>
      </c>
      <c r="F92" s="56">
        <f>VLOOKUP(A92,Imports!A:B,2,)</f>
        <v/>
      </c>
      <c r="G92" s="56">
        <f>VLOOKUP(A92,Government!A:B,2,)</f>
        <v/>
      </c>
      <c r="H92" s="32">
        <f>Table58[[#This Row],[Personal Consumption]]/Table58[[#This Row],[GDP]]</f>
        <v/>
      </c>
      <c r="I92" s="32">
        <f>Table58[[#This Row],[Private Investment]]/Table58[[#This Row],[GDP]]</f>
        <v/>
      </c>
      <c r="J92" s="32">
        <f>Table58[[#This Row],[Exports]]/Table58[[#This Row],[GDP]]</f>
        <v/>
      </c>
      <c r="K92" s="32">
        <f>-Table58[[#This Row],[Imports]]/Table58[[#This Row],[GDP]]</f>
        <v/>
      </c>
      <c r="L92" s="32">
        <f>Table58[[#This Row],[Government]]/Table58[[#This Row],[GDP]]</f>
        <v/>
      </c>
      <c r="N92" s="51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0" t="n">
        <v>25112</v>
      </c>
      <c r="B93" s="56">
        <f>VLOOKUP(A93,'U.S. GDP'!A:B,2,)</f>
        <v/>
      </c>
      <c r="C93" s="56">
        <f>VLOOKUP(A93,PersonalConsumption!A:B,2,)</f>
        <v/>
      </c>
      <c r="D93" s="56">
        <f>VLOOKUP(A93,PrivateInvestment!A:B,2,)</f>
        <v/>
      </c>
      <c r="E93" s="56">
        <f>VLOOKUP(A93,Exports!A:B,2,)</f>
        <v/>
      </c>
      <c r="F93" s="56">
        <f>VLOOKUP(A93,Imports!A:B,2,)</f>
        <v/>
      </c>
      <c r="G93" s="56">
        <f>VLOOKUP(A93,Government!A:B,2,)</f>
        <v/>
      </c>
      <c r="H93" s="32">
        <f>Table58[[#This Row],[Personal Consumption]]/Table58[[#This Row],[GDP]]</f>
        <v/>
      </c>
      <c r="I93" s="32">
        <f>Table58[[#This Row],[Private Investment]]/Table58[[#This Row],[GDP]]</f>
        <v/>
      </c>
      <c r="J93" s="32">
        <f>Table58[[#This Row],[Exports]]/Table58[[#This Row],[GDP]]</f>
        <v/>
      </c>
      <c r="K93" s="32">
        <f>-Table58[[#This Row],[Imports]]/Table58[[#This Row],[GDP]]</f>
        <v/>
      </c>
      <c r="L93" s="32">
        <f>Table58[[#This Row],[Government]]/Table58[[#This Row],[GDP]]</f>
        <v/>
      </c>
      <c r="N93" s="51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0" t="n">
        <v>25204</v>
      </c>
      <c r="B94" s="56">
        <f>VLOOKUP(A94,'U.S. GDP'!A:B,2,)</f>
        <v/>
      </c>
      <c r="C94" s="56">
        <f>VLOOKUP(A94,PersonalConsumption!A:B,2,)</f>
        <v/>
      </c>
      <c r="D94" s="56">
        <f>VLOOKUP(A94,PrivateInvestment!A:B,2,)</f>
        <v/>
      </c>
      <c r="E94" s="56">
        <f>VLOOKUP(A94,Exports!A:B,2,)</f>
        <v/>
      </c>
      <c r="F94" s="56">
        <f>VLOOKUP(A94,Imports!A:B,2,)</f>
        <v/>
      </c>
      <c r="G94" s="56">
        <f>VLOOKUP(A94,Government!A:B,2,)</f>
        <v/>
      </c>
      <c r="H94" s="32">
        <f>Table58[[#This Row],[Personal Consumption]]/Table58[[#This Row],[GDP]]</f>
        <v/>
      </c>
      <c r="I94" s="32">
        <f>Table58[[#This Row],[Private Investment]]/Table58[[#This Row],[GDP]]</f>
        <v/>
      </c>
      <c r="J94" s="32">
        <f>Table58[[#This Row],[Exports]]/Table58[[#This Row],[GDP]]</f>
        <v/>
      </c>
      <c r="K94" s="32">
        <f>-Table58[[#This Row],[Imports]]/Table58[[#This Row],[GDP]]</f>
        <v/>
      </c>
      <c r="L94" s="32">
        <f>Table58[[#This Row],[Government]]/Table58[[#This Row],[GDP]]</f>
        <v/>
      </c>
      <c r="N94" s="51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0" t="n">
        <v>25294</v>
      </c>
      <c r="B95" s="56">
        <f>VLOOKUP(A95,'U.S. GDP'!A:B,2,)</f>
        <v/>
      </c>
      <c r="C95" s="56">
        <f>VLOOKUP(A95,PersonalConsumption!A:B,2,)</f>
        <v/>
      </c>
      <c r="D95" s="56">
        <f>VLOOKUP(A95,PrivateInvestment!A:B,2,)</f>
        <v/>
      </c>
      <c r="E95" s="56">
        <f>VLOOKUP(A95,Exports!A:B,2,)</f>
        <v/>
      </c>
      <c r="F95" s="56">
        <f>VLOOKUP(A95,Imports!A:B,2,)</f>
        <v/>
      </c>
      <c r="G95" s="56">
        <f>VLOOKUP(A95,Government!A:B,2,)</f>
        <v/>
      </c>
      <c r="H95" s="32">
        <f>Table58[[#This Row],[Personal Consumption]]/Table58[[#This Row],[GDP]]</f>
        <v/>
      </c>
      <c r="I95" s="32">
        <f>Table58[[#This Row],[Private Investment]]/Table58[[#This Row],[GDP]]</f>
        <v/>
      </c>
      <c r="J95" s="32">
        <f>Table58[[#This Row],[Exports]]/Table58[[#This Row],[GDP]]</f>
        <v/>
      </c>
      <c r="K95" s="32">
        <f>-Table58[[#This Row],[Imports]]/Table58[[#This Row],[GDP]]</f>
        <v/>
      </c>
      <c r="L95" s="32">
        <f>Table58[[#This Row],[Government]]/Table58[[#This Row],[GDP]]</f>
        <v/>
      </c>
      <c r="N95" s="51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0" t="n">
        <v>25385</v>
      </c>
      <c r="B96" s="56">
        <f>VLOOKUP(A96,'U.S. GDP'!A:B,2,)</f>
        <v/>
      </c>
      <c r="C96" s="56">
        <f>VLOOKUP(A96,PersonalConsumption!A:B,2,)</f>
        <v/>
      </c>
      <c r="D96" s="56">
        <f>VLOOKUP(A96,PrivateInvestment!A:B,2,)</f>
        <v/>
      </c>
      <c r="E96" s="56">
        <f>VLOOKUP(A96,Exports!A:B,2,)</f>
        <v/>
      </c>
      <c r="F96" s="56">
        <f>VLOOKUP(A96,Imports!A:B,2,)</f>
        <v/>
      </c>
      <c r="G96" s="56">
        <f>VLOOKUP(A96,Government!A:B,2,)</f>
        <v/>
      </c>
      <c r="H96" s="32">
        <f>Table58[[#This Row],[Personal Consumption]]/Table58[[#This Row],[GDP]]</f>
        <v/>
      </c>
      <c r="I96" s="32">
        <f>Table58[[#This Row],[Private Investment]]/Table58[[#This Row],[GDP]]</f>
        <v/>
      </c>
      <c r="J96" s="32">
        <f>Table58[[#This Row],[Exports]]/Table58[[#This Row],[GDP]]</f>
        <v/>
      </c>
      <c r="K96" s="32">
        <f>-Table58[[#This Row],[Imports]]/Table58[[#This Row],[GDP]]</f>
        <v/>
      </c>
      <c r="L96" s="32">
        <f>Table58[[#This Row],[Government]]/Table58[[#This Row],[GDP]]</f>
        <v/>
      </c>
      <c r="N96" s="51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0" t="n">
        <v>25477</v>
      </c>
      <c r="B97" s="56">
        <f>VLOOKUP(A97,'U.S. GDP'!A:B,2,)</f>
        <v/>
      </c>
      <c r="C97" s="56">
        <f>VLOOKUP(A97,PersonalConsumption!A:B,2,)</f>
        <v/>
      </c>
      <c r="D97" s="56">
        <f>VLOOKUP(A97,PrivateInvestment!A:B,2,)</f>
        <v/>
      </c>
      <c r="E97" s="56">
        <f>VLOOKUP(A97,Exports!A:B,2,)</f>
        <v/>
      </c>
      <c r="F97" s="56">
        <f>VLOOKUP(A97,Imports!A:B,2,)</f>
        <v/>
      </c>
      <c r="G97" s="56">
        <f>VLOOKUP(A97,Government!A:B,2,)</f>
        <v/>
      </c>
      <c r="H97" s="32">
        <f>Table58[[#This Row],[Personal Consumption]]/Table58[[#This Row],[GDP]]</f>
        <v/>
      </c>
      <c r="I97" s="32">
        <f>Table58[[#This Row],[Private Investment]]/Table58[[#This Row],[GDP]]</f>
        <v/>
      </c>
      <c r="J97" s="32">
        <f>Table58[[#This Row],[Exports]]/Table58[[#This Row],[GDP]]</f>
        <v/>
      </c>
      <c r="K97" s="32">
        <f>-Table58[[#This Row],[Imports]]/Table58[[#This Row],[GDP]]</f>
        <v/>
      </c>
      <c r="L97" s="32">
        <f>Table58[[#This Row],[Government]]/Table58[[#This Row],[GDP]]</f>
        <v/>
      </c>
      <c r="N97" s="51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0" t="n">
        <v>25569</v>
      </c>
      <c r="B98" s="56">
        <f>VLOOKUP(A98,'U.S. GDP'!A:B,2,)</f>
        <v/>
      </c>
      <c r="C98" s="56">
        <f>VLOOKUP(A98,PersonalConsumption!A:B,2,)</f>
        <v/>
      </c>
      <c r="D98" s="56">
        <f>VLOOKUP(A98,PrivateInvestment!A:B,2,)</f>
        <v/>
      </c>
      <c r="E98" s="56">
        <f>VLOOKUP(A98,Exports!A:B,2,)</f>
        <v/>
      </c>
      <c r="F98" s="56">
        <f>VLOOKUP(A98,Imports!A:B,2,)</f>
        <v/>
      </c>
      <c r="G98" s="56">
        <f>VLOOKUP(A98,Government!A:B,2,)</f>
        <v/>
      </c>
      <c r="H98" s="32">
        <f>Table58[[#This Row],[Personal Consumption]]/Table58[[#This Row],[GDP]]</f>
        <v/>
      </c>
      <c r="I98" s="32">
        <f>Table58[[#This Row],[Private Investment]]/Table58[[#This Row],[GDP]]</f>
        <v/>
      </c>
      <c r="J98" s="32">
        <f>Table58[[#This Row],[Exports]]/Table58[[#This Row],[GDP]]</f>
        <v/>
      </c>
      <c r="K98" s="32">
        <f>-Table58[[#This Row],[Imports]]/Table58[[#This Row],[GDP]]</f>
        <v/>
      </c>
      <c r="L98" s="32">
        <f>Table58[[#This Row],[Government]]/Table58[[#This Row],[GDP]]</f>
        <v/>
      </c>
      <c r="N98" s="51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0" t="n">
        <v>25659</v>
      </c>
      <c r="B99" s="56">
        <f>VLOOKUP(A99,'U.S. GDP'!A:B,2,)</f>
        <v/>
      </c>
      <c r="C99" s="56">
        <f>VLOOKUP(A99,PersonalConsumption!A:B,2,)</f>
        <v/>
      </c>
      <c r="D99" s="56">
        <f>VLOOKUP(A99,PrivateInvestment!A:B,2,)</f>
        <v/>
      </c>
      <c r="E99" s="56">
        <f>VLOOKUP(A99,Exports!A:B,2,)</f>
        <v/>
      </c>
      <c r="F99" s="56">
        <f>VLOOKUP(A99,Imports!A:B,2,)</f>
        <v/>
      </c>
      <c r="G99" s="56">
        <f>VLOOKUP(A99,Government!A:B,2,)</f>
        <v/>
      </c>
      <c r="H99" s="32">
        <f>Table58[[#This Row],[Personal Consumption]]/Table58[[#This Row],[GDP]]</f>
        <v/>
      </c>
      <c r="I99" s="32">
        <f>Table58[[#This Row],[Private Investment]]/Table58[[#This Row],[GDP]]</f>
        <v/>
      </c>
      <c r="J99" s="32">
        <f>Table58[[#This Row],[Exports]]/Table58[[#This Row],[GDP]]</f>
        <v/>
      </c>
      <c r="K99" s="32">
        <f>-Table58[[#This Row],[Imports]]/Table58[[#This Row],[GDP]]</f>
        <v/>
      </c>
      <c r="L99" s="32">
        <f>Table58[[#This Row],[Government]]/Table58[[#This Row],[GDP]]</f>
        <v/>
      </c>
      <c r="N99" s="51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0" t="n">
        <v>25750</v>
      </c>
      <c r="B100" s="56">
        <f>VLOOKUP(A100,'U.S. GDP'!A:B,2,)</f>
        <v/>
      </c>
      <c r="C100" s="56">
        <f>VLOOKUP(A100,PersonalConsumption!A:B,2,)</f>
        <v/>
      </c>
      <c r="D100" s="56">
        <f>VLOOKUP(A100,PrivateInvestment!A:B,2,)</f>
        <v/>
      </c>
      <c r="E100" s="56">
        <f>VLOOKUP(A100,Exports!A:B,2,)</f>
        <v/>
      </c>
      <c r="F100" s="56">
        <f>VLOOKUP(A100,Imports!A:B,2,)</f>
        <v/>
      </c>
      <c r="G100" s="56">
        <f>VLOOKUP(A100,Government!A:B,2,)</f>
        <v/>
      </c>
      <c r="H100" s="32">
        <f>Table58[[#This Row],[Personal Consumption]]/Table58[[#This Row],[GDP]]</f>
        <v/>
      </c>
      <c r="I100" s="32">
        <f>Table58[[#This Row],[Private Investment]]/Table58[[#This Row],[GDP]]</f>
        <v/>
      </c>
      <c r="J100" s="32">
        <f>Table58[[#This Row],[Exports]]/Table58[[#This Row],[GDP]]</f>
        <v/>
      </c>
      <c r="K100" s="32">
        <f>-Table58[[#This Row],[Imports]]/Table58[[#This Row],[GDP]]</f>
        <v/>
      </c>
      <c r="L100" s="32">
        <f>Table58[[#This Row],[Government]]/Table58[[#This Row],[GDP]]</f>
        <v/>
      </c>
      <c r="N100" s="51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0" t="n">
        <v>25842</v>
      </c>
      <c r="B101" s="56">
        <f>VLOOKUP(A101,'U.S. GDP'!A:B,2,)</f>
        <v/>
      </c>
      <c r="C101" s="56">
        <f>VLOOKUP(A101,PersonalConsumption!A:B,2,)</f>
        <v/>
      </c>
      <c r="D101" s="56">
        <f>VLOOKUP(A101,PrivateInvestment!A:B,2,)</f>
        <v/>
      </c>
      <c r="E101" s="56">
        <f>VLOOKUP(A101,Exports!A:B,2,)</f>
        <v/>
      </c>
      <c r="F101" s="56">
        <f>VLOOKUP(A101,Imports!A:B,2,)</f>
        <v/>
      </c>
      <c r="G101" s="56">
        <f>VLOOKUP(A101,Government!A:B,2,)</f>
        <v/>
      </c>
      <c r="H101" s="32">
        <f>Table58[[#This Row],[Personal Consumption]]/Table58[[#This Row],[GDP]]</f>
        <v/>
      </c>
      <c r="I101" s="32">
        <f>Table58[[#This Row],[Private Investment]]/Table58[[#This Row],[GDP]]</f>
        <v/>
      </c>
      <c r="J101" s="32">
        <f>Table58[[#This Row],[Exports]]/Table58[[#This Row],[GDP]]</f>
        <v/>
      </c>
      <c r="K101" s="32">
        <f>-Table58[[#This Row],[Imports]]/Table58[[#This Row],[GDP]]</f>
        <v/>
      </c>
      <c r="L101" s="32">
        <f>Table58[[#This Row],[Government]]/Table58[[#This Row],[GDP]]</f>
        <v/>
      </c>
      <c r="N101" s="51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0" t="n">
        <v>25934</v>
      </c>
      <c r="B102" s="56">
        <f>VLOOKUP(A102,'U.S. GDP'!A:B,2,)</f>
        <v/>
      </c>
      <c r="C102" s="56">
        <f>VLOOKUP(A102,PersonalConsumption!A:B,2,)</f>
        <v/>
      </c>
      <c r="D102" s="56">
        <f>VLOOKUP(A102,PrivateInvestment!A:B,2,)</f>
        <v/>
      </c>
      <c r="E102" s="56">
        <f>VLOOKUP(A102,Exports!A:B,2,)</f>
        <v/>
      </c>
      <c r="F102" s="56">
        <f>VLOOKUP(A102,Imports!A:B,2,)</f>
        <v/>
      </c>
      <c r="G102" s="56">
        <f>VLOOKUP(A102,Government!A:B,2,)</f>
        <v/>
      </c>
      <c r="H102" s="32">
        <f>Table58[[#This Row],[Personal Consumption]]/Table58[[#This Row],[GDP]]</f>
        <v/>
      </c>
      <c r="I102" s="32">
        <f>Table58[[#This Row],[Private Investment]]/Table58[[#This Row],[GDP]]</f>
        <v/>
      </c>
      <c r="J102" s="32">
        <f>Table58[[#This Row],[Exports]]/Table58[[#This Row],[GDP]]</f>
        <v/>
      </c>
      <c r="K102" s="32">
        <f>-Table58[[#This Row],[Imports]]/Table58[[#This Row],[GDP]]</f>
        <v/>
      </c>
      <c r="L102" s="32">
        <f>Table58[[#This Row],[Government]]/Table58[[#This Row],[GDP]]</f>
        <v/>
      </c>
      <c r="N102" s="51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0" t="n">
        <v>26024</v>
      </c>
      <c r="B103" s="56">
        <f>VLOOKUP(A103,'U.S. GDP'!A:B,2,)</f>
        <v/>
      </c>
      <c r="C103" s="56">
        <f>VLOOKUP(A103,PersonalConsumption!A:B,2,)</f>
        <v/>
      </c>
      <c r="D103" s="56">
        <f>VLOOKUP(A103,PrivateInvestment!A:B,2,)</f>
        <v/>
      </c>
      <c r="E103" s="56">
        <f>VLOOKUP(A103,Exports!A:B,2,)</f>
        <v/>
      </c>
      <c r="F103" s="56">
        <f>VLOOKUP(A103,Imports!A:B,2,)</f>
        <v/>
      </c>
      <c r="G103" s="56">
        <f>VLOOKUP(A103,Government!A:B,2,)</f>
        <v/>
      </c>
      <c r="H103" s="32">
        <f>Table58[[#This Row],[Personal Consumption]]/Table58[[#This Row],[GDP]]</f>
        <v/>
      </c>
      <c r="I103" s="32">
        <f>Table58[[#This Row],[Private Investment]]/Table58[[#This Row],[GDP]]</f>
        <v/>
      </c>
      <c r="J103" s="32">
        <f>Table58[[#This Row],[Exports]]/Table58[[#This Row],[GDP]]</f>
        <v/>
      </c>
      <c r="K103" s="32">
        <f>-Table58[[#This Row],[Imports]]/Table58[[#This Row],[GDP]]</f>
        <v/>
      </c>
      <c r="L103" s="32">
        <f>Table58[[#This Row],[Government]]/Table58[[#This Row],[GDP]]</f>
        <v/>
      </c>
      <c r="N103" s="51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0" t="n">
        <v>26115</v>
      </c>
      <c r="B104" s="56">
        <f>VLOOKUP(A104,'U.S. GDP'!A:B,2,)</f>
        <v/>
      </c>
      <c r="C104" s="56">
        <f>VLOOKUP(A104,PersonalConsumption!A:B,2,)</f>
        <v/>
      </c>
      <c r="D104" s="56">
        <f>VLOOKUP(A104,PrivateInvestment!A:B,2,)</f>
        <v/>
      </c>
      <c r="E104" s="56">
        <f>VLOOKUP(A104,Exports!A:B,2,)</f>
        <v/>
      </c>
      <c r="F104" s="56">
        <f>VLOOKUP(A104,Imports!A:B,2,)</f>
        <v/>
      </c>
      <c r="G104" s="56">
        <f>VLOOKUP(A104,Government!A:B,2,)</f>
        <v/>
      </c>
      <c r="H104" s="32">
        <f>Table58[[#This Row],[Personal Consumption]]/Table58[[#This Row],[GDP]]</f>
        <v/>
      </c>
      <c r="I104" s="32">
        <f>Table58[[#This Row],[Private Investment]]/Table58[[#This Row],[GDP]]</f>
        <v/>
      </c>
      <c r="J104" s="32">
        <f>Table58[[#This Row],[Exports]]/Table58[[#This Row],[GDP]]</f>
        <v/>
      </c>
      <c r="K104" s="32">
        <f>-Table58[[#This Row],[Imports]]/Table58[[#This Row],[GDP]]</f>
        <v/>
      </c>
      <c r="L104" s="32">
        <f>Table58[[#This Row],[Government]]/Table58[[#This Row],[GDP]]</f>
        <v/>
      </c>
      <c r="N104" s="51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0" t="n">
        <v>26207</v>
      </c>
      <c r="B105" s="56">
        <f>VLOOKUP(A105,'U.S. GDP'!A:B,2,)</f>
        <v/>
      </c>
      <c r="C105" s="56">
        <f>VLOOKUP(A105,PersonalConsumption!A:B,2,)</f>
        <v/>
      </c>
      <c r="D105" s="56">
        <f>VLOOKUP(A105,PrivateInvestment!A:B,2,)</f>
        <v/>
      </c>
      <c r="E105" s="56">
        <f>VLOOKUP(A105,Exports!A:B,2,)</f>
        <v/>
      </c>
      <c r="F105" s="56">
        <f>VLOOKUP(A105,Imports!A:B,2,)</f>
        <v/>
      </c>
      <c r="G105" s="56">
        <f>VLOOKUP(A105,Government!A:B,2,)</f>
        <v/>
      </c>
      <c r="H105" s="32">
        <f>Table58[[#This Row],[Personal Consumption]]/Table58[[#This Row],[GDP]]</f>
        <v/>
      </c>
      <c r="I105" s="32">
        <f>Table58[[#This Row],[Private Investment]]/Table58[[#This Row],[GDP]]</f>
        <v/>
      </c>
      <c r="J105" s="32">
        <f>Table58[[#This Row],[Exports]]/Table58[[#This Row],[GDP]]</f>
        <v/>
      </c>
      <c r="K105" s="32">
        <f>-Table58[[#This Row],[Imports]]/Table58[[#This Row],[GDP]]</f>
        <v/>
      </c>
      <c r="L105" s="32">
        <f>Table58[[#This Row],[Government]]/Table58[[#This Row],[GDP]]</f>
        <v/>
      </c>
      <c r="N105" s="51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0" t="n">
        <v>26299</v>
      </c>
      <c r="B106" s="56">
        <f>VLOOKUP(A106,'U.S. GDP'!A:B,2,)</f>
        <v/>
      </c>
      <c r="C106" s="56">
        <f>VLOOKUP(A106,PersonalConsumption!A:B,2,)</f>
        <v/>
      </c>
      <c r="D106" s="56">
        <f>VLOOKUP(A106,PrivateInvestment!A:B,2,)</f>
        <v/>
      </c>
      <c r="E106" s="56">
        <f>VLOOKUP(A106,Exports!A:B,2,)</f>
        <v/>
      </c>
      <c r="F106" s="56">
        <f>VLOOKUP(A106,Imports!A:B,2,)</f>
        <v/>
      </c>
      <c r="G106" s="56">
        <f>VLOOKUP(A106,Government!A:B,2,)</f>
        <v/>
      </c>
      <c r="H106" s="32">
        <f>Table58[[#This Row],[Personal Consumption]]/Table58[[#This Row],[GDP]]</f>
        <v/>
      </c>
      <c r="I106" s="32">
        <f>Table58[[#This Row],[Private Investment]]/Table58[[#This Row],[GDP]]</f>
        <v/>
      </c>
      <c r="J106" s="32">
        <f>Table58[[#This Row],[Exports]]/Table58[[#This Row],[GDP]]</f>
        <v/>
      </c>
      <c r="K106" s="32">
        <f>-Table58[[#This Row],[Imports]]/Table58[[#This Row],[GDP]]</f>
        <v/>
      </c>
      <c r="L106" s="32">
        <f>Table58[[#This Row],[Government]]/Table58[[#This Row],[GDP]]</f>
        <v/>
      </c>
      <c r="N106" s="51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0" t="n">
        <v>26390</v>
      </c>
      <c r="B107" s="56">
        <f>VLOOKUP(A107,'U.S. GDP'!A:B,2,)</f>
        <v/>
      </c>
      <c r="C107" s="56">
        <f>VLOOKUP(A107,PersonalConsumption!A:B,2,)</f>
        <v/>
      </c>
      <c r="D107" s="56">
        <f>VLOOKUP(A107,PrivateInvestment!A:B,2,)</f>
        <v/>
      </c>
      <c r="E107" s="56">
        <f>VLOOKUP(A107,Exports!A:B,2,)</f>
        <v/>
      </c>
      <c r="F107" s="56">
        <f>VLOOKUP(A107,Imports!A:B,2,)</f>
        <v/>
      </c>
      <c r="G107" s="56">
        <f>VLOOKUP(A107,Government!A:B,2,)</f>
        <v/>
      </c>
      <c r="H107" s="32">
        <f>Table58[[#This Row],[Personal Consumption]]/Table58[[#This Row],[GDP]]</f>
        <v/>
      </c>
      <c r="I107" s="32">
        <f>Table58[[#This Row],[Private Investment]]/Table58[[#This Row],[GDP]]</f>
        <v/>
      </c>
      <c r="J107" s="32">
        <f>Table58[[#This Row],[Exports]]/Table58[[#This Row],[GDP]]</f>
        <v/>
      </c>
      <c r="K107" s="32">
        <f>-Table58[[#This Row],[Imports]]/Table58[[#This Row],[GDP]]</f>
        <v/>
      </c>
      <c r="L107" s="32">
        <f>Table58[[#This Row],[Government]]/Table58[[#This Row],[GDP]]</f>
        <v/>
      </c>
      <c r="N107" s="51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0" t="n">
        <v>26481</v>
      </c>
      <c r="B108" s="56">
        <f>VLOOKUP(A108,'U.S. GDP'!A:B,2,)</f>
        <v/>
      </c>
      <c r="C108" s="56">
        <f>VLOOKUP(A108,PersonalConsumption!A:B,2,)</f>
        <v/>
      </c>
      <c r="D108" s="56">
        <f>VLOOKUP(A108,PrivateInvestment!A:B,2,)</f>
        <v/>
      </c>
      <c r="E108" s="56">
        <f>VLOOKUP(A108,Exports!A:B,2,)</f>
        <v/>
      </c>
      <c r="F108" s="56">
        <f>VLOOKUP(A108,Imports!A:B,2,)</f>
        <v/>
      </c>
      <c r="G108" s="56">
        <f>VLOOKUP(A108,Government!A:B,2,)</f>
        <v/>
      </c>
      <c r="H108" s="32">
        <f>Table58[[#This Row],[Personal Consumption]]/Table58[[#This Row],[GDP]]</f>
        <v/>
      </c>
      <c r="I108" s="32">
        <f>Table58[[#This Row],[Private Investment]]/Table58[[#This Row],[GDP]]</f>
        <v/>
      </c>
      <c r="J108" s="32">
        <f>Table58[[#This Row],[Exports]]/Table58[[#This Row],[GDP]]</f>
        <v/>
      </c>
      <c r="K108" s="32">
        <f>-Table58[[#This Row],[Imports]]/Table58[[#This Row],[GDP]]</f>
        <v/>
      </c>
      <c r="L108" s="32">
        <f>Table58[[#This Row],[Government]]/Table58[[#This Row],[GDP]]</f>
        <v/>
      </c>
      <c r="N108" s="51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0" t="n">
        <v>26573</v>
      </c>
      <c r="B109" s="56">
        <f>VLOOKUP(A109,'U.S. GDP'!A:B,2,)</f>
        <v/>
      </c>
      <c r="C109" s="56">
        <f>VLOOKUP(A109,PersonalConsumption!A:B,2,)</f>
        <v/>
      </c>
      <c r="D109" s="56">
        <f>VLOOKUP(A109,PrivateInvestment!A:B,2,)</f>
        <v/>
      </c>
      <c r="E109" s="56">
        <f>VLOOKUP(A109,Exports!A:B,2,)</f>
        <v/>
      </c>
      <c r="F109" s="56">
        <f>VLOOKUP(A109,Imports!A:B,2,)</f>
        <v/>
      </c>
      <c r="G109" s="56">
        <f>VLOOKUP(A109,Government!A:B,2,)</f>
        <v/>
      </c>
      <c r="H109" s="32">
        <f>Table58[[#This Row],[Personal Consumption]]/Table58[[#This Row],[GDP]]</f>
        <v/>
      </c>
      <c r="I109" s="32">
        <f>Table58[[#This Row],[Private Investment]]/Table58[[#This Row],[GDP]]</f>
        <v/>
      </c>
      <c r="J109" s="32">
        <f>Table58[[#This Row],[Exports]]/Table58[[#This Row],[GDP]]</f>
        <v/>
      </c>
      <c r="K109" s="32">
        <f>-Table58[[#This Row],[Imports]]/Table58[[#This Row],[GDP]]</f>
        <v/>
      </c>
      <c r="L109" s="32">
        <f>Table58[[#This Row],[Government]]/Table58[[#This Row],[GDP]]</f>
        <v/>
      </c>
      <c r="N109" s="51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0" t="n">
        <v>26665</v>
      </c>
      <c r="B110" s="56">
        <f>VLOOKUP(A110,'U.S. GDP'!A:B,2,)</f>
        <v/>
      </c>
      <c r="C110" s="56">
        <f>VLOOKUP(A110,PersonalConsumption!A:B,2,)</f>
        <v/>
      </c>
      <c r="D110" s="56">
        <f>VLOOKUP(A110,PrivateInvestment!A:B,2,)</f>
        <v/>
      </c>
      <c r="E110" s="56">
        <f>VLOOKUP(A110,Exports!A:B,2,)</f>
        <v/>
      </c>
      <c r="F110" s="56">
        <f>VLOOKUP(A110,Imports!A:B,2,)</f>
        <v/>
      </c>
      <c r="G110" s="56">
        <f>VLOOKUP(A110,Government!A:B,2,)</f>
        <v/>
      </c>
      <c r="H110" s="32">
        <f>Table58[[#This Row],[Personal Consumption]]/Table58[[#This Row],[GDP]]</f>
        <v/>
      </c>
      <c r="I110" s="32">
        <f>Table58[[#This Row],[Private Investment]]/Table58[[#This Row],[GDP]]</f>
        <v/>
      </c>
      <c r="J110" s="32">
        <f>Table58[[#This Row],[Exports]]/Table58[[#This Row],[GDP]]</f>
        <v/>
      </c>
      <c r="K110" s="32">
        <f>-Table58[[#This Row],[Imports]]/Table58[[#This Row],[GDP]]</f>
        <v/>
      </c>
      <c r="L110" s="32">
        <f>Table58[[#This Row],[Government]]/Table58[[#This Row],[GDP]]</f>
        <v/>
      </c>
      <c r="N110" s="51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0" t="n">
        <v>26755</v>
      </c>
      <c r="B111" s="56">
        <f>VLOOKUP(A111,'U.S. GDP'!A:B,2,)</f>
        <v/>
      </c>
      <c r="C111" s="56">
        <f>VLOOKUP(A111,PersonalConsumption!A:B,2,)</f>
        <v/>
      </c>
      <c r="D111" s="56">
        <f>VLOOKUP(A111,PrivateInvestment!A:B,2,)</f>
        <v/>
      </c>
      <c r="E111" s="56">
        <f>VLOOKUP(A111,Exports!A:B,2,)</f>
        <v/>
      </c>
      <c r="F111" s="56">
        <f>VLOOKUP(A111,Imports!A:B,2,)</f>
        <v/>
      </c>
      <c r="G111" s="56">
        <f>VLOOKUP(A111,Government!A:B,2,)</f>
        <v/>
      </c>
      <c r="H111" s="32">
        <f>Table58[[#This Row],[Personal Consumption]]/Table58[[#This Row],[GDP]]</f>
        <v/>
      </c>
      <c r="I111" s="32">
        <f>Table58[[#This Row],[Private Investment]]/Table58[[#This Row],[GDP]]</f>
        <v/>
      </c>
      <c r="J111" s="32">
        <f>Table58[[#This Row],[Exports]]/Table58[[#This Row],[GDP]]</f>
        <v/>
      </c>
      <c r="K111" s="32">
        <f>-Table58[[#This Row],[Imports]]/Table58[[#This Row],[GDP]]</f>
        <v/>
      </c>
      <c r="L111" s="32">
        <f>Table58[[#This Row],[Government]]/Table58[[#This Row],[GDP]]</f>
        <v/>
      </c>
      <c r="N111" s="51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0" t="n">
        <v>26846</v>
      </c>
      <c r="B112" s="56">
        <f>VLOOKUP(A112,'U.S. GDP'!A:B,2,)</f>
        <v/>
      </c>
      <c r="C112" s="56">
        <f>VLOOKUP(A112,PersonalConsumption!A:B,2,)</f>
        <v/>
      </c>
      <c r="D112" s="56">
        <f>VLOOKUP(A112,PrivateInvestment!A:B,2,)</f>
        <v/>
      </c>
      <c r="E112" s="56">
        <f>VLOOKUP(A112,Exports!A:B,2,)</f>
        <v/>
      </c>
      <c r="F112" s="56">
        <f>VLOOKUP(A112,Imports!A:B,2,)</f>
        <v/>
      </c>
      <c r="G112" s="56">
        <f>VLOOKUP(A112,Government!A:B,2,)</f>
        <v/>
      </c>
      <c r="H112" s="32">
        <f>Table58[[#This Row],[Personal Consumption]]/Table58[[#This Row],[GDP]]</f>
        <v/>
      </c>
      <c r="I112" s="32">
        <f>Table58[[#This Row],[Private Investment]]/Table58[[#This Row],[GDP]]</f>
        <v/>
      </c>
      <c r="J112" s="32">
        <f>Table58[[#This Row],[Exports]]/Table58[[#This Row],[GDP]]</f>
        <v/>
      </c>
      <c r="K112" s="32">
        <f>-Table58[[#This Row],[Imports]]/Table58[[#This Row],[GDP]]</f>
        <v/>
      </c>
      <c r="L112" s="32">
        <f>Table58[[#This Row],[Government]]/Table58[[#This Row],[GDP]]</f>
        <v/>
      </c>
      <c r="N112" s="51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0" t="n">
        <v>26938</v>
      </c>
      <c r="B113" s="56">
        <f>VLOOKUP(A113,'U.S. GDP'!A:B,2,)</f>
        <v/>
      </c>
      <c r="C113" s="56">
        <f>VLOOKUP(A113,PersonalConsumption!A:B,2,)</f>
        <v/>
      </c>
      <c r="D113" s="56">
        <f>VLOOKUP(A113,PrivateInvestment!A:B,2,)</f>
        <v/>
      </c>
      <c r="E113" s="56">
        <f>VLOOKUP(A113,Exports!A:B,2,)</f>
        <v/>
      </c>
      <c r="F113" s="56">
        <f>VLOOKUP(A113,Imports!A:B,2,)</f>
        <v/>
      </c>
      <c r="G113" s="56">
        <f>VLOOKUP(A113,Government!A:B,2,)</f>
        <v/>
      </c>
      <c r="H113" s="32">
        <f>Table58[[#This Row],[Personal Consumption]]/Table58[[#This Row],[GDP]]</f>
        <v/>
      </c>
      <c r="I113" s="32">
        <f>Table58[[#This Row],[Private Investment]]/Table58[[#This Row],[GDP]]</f>
        <v/>
      </c>
      <c r="J113" s="32">
        <f>Table58[[#This Row],[Exports]]/Table58[[#This Row],[GDP]]</f>
        <v/>
      </c>
      <c r="K113" s="32">
        <f>-Table58[[#This Row],[Imports]]/Table58[[#This Row],[GDP]]</f>
        <v/>
      </c>
      <c r="L113" s="32">
        <f>Table58[[#This Row],[Government]]/Table58[[#This Row],[GDP]]</f>
        <v/>
      </c>
      <c r="N113" s="51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0" t="n">
        <v>27030</v>
      </c>
      <c r="B114" s="56">
        <f>VLOOKUP(A114,'U.S. GDP'!A:B,2,)</f>
        <v/>
      </c>
      <c r="C114" s="56">
        <f>VLOOKUP(A114,PersonalConsumption!A:B,2,)</f>
        <v/>
      </c>
      <c r="D114" s="56">
        <f>VLOOKUP(A114,PrivateInvestment!A:B,2,)</f>
        <v/>
      </c>
      <c r="E114" s="56">
        <f>VLOOKUP(A114,Exports!A:B,2,)</f>
        <v/>
      </c>
      <c r="F114" s="56">
        <f>VLOOKUP(A114,Imports!A:B,2,)</f>
        <v/>
      </c>
      <c r="G114" s="56">
        <f>VLOOKUP(A114,Government!A:B,2,)</f>
        <v/>
      </c>
      <c r="H114" s="32">
        <f>Table58[[#This Row],[Personal Consumption]]/Table58[[#This Row],[GDP]]</f>
        <v/>
      </c>
      <c r="I114" s="32">
        <f>Table58[[#This Row],[Private Investment]]/Table58[[#This Row],[GDP]]</f>
        <v/>
      </c>
      <c r="J114" s="32">
        <f>Table58[[#This Row],[Exports]]/Table58[[#This Row],[GDP]]</f>
        <v/>
      </c>
      <c r="K114" s="32">
        <f>-Table58[[#This Row],[Imports]]/Table58[[#This Row],[GDP]]</f>
        <v/>
      </c>
      <c r="L114" s="32">
        <f>Table58[[#This Row],[Government]]/Table58[[#This Row],[GDP]]</f>
        <v/>
      </c>
      <c r="N114" s="51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0" t="n">
        <v>27120</v>
      </c>
      <c r="B115" s="56">
        <f>VLOOKUP(A115,'U.S. GDP'!A:B,2,)</f>
        <v/>
      </c>
      <c r="C115" s="56">
        <f>VLOOKUP(A115,PersonalConsumption!A:B,2,)</f>
        <v/>
      </c>
      <c r="D115" s="56">
        <f>VLOOKUP(A115,PrivateInvestment!A:B,2,)</f>
        <v/>
      </c>
      <c r="E115" s="56">
        <f>VLOOKUP(A115,Exports!A:B,2,)</f>
        <v/>
      </c>
      <c r="F115" s="56">
        <f>VLOOKUP(A115,Imports!A:B,2,)</f>
        <v/>
      </c>
      <c r="G115" s="56">
        <f>VLOOKUP(A115,Government!A:B,2,)</f>
        <v/>
      </c>
      <c r="H115" s="32">
        <f>Table58[[#This Row],[Personal Consumption]]/Table58[[#This Row],[GDP]]</f>
        <v/>
      </c>
      <c r="I115" s="32">
        <f>Table58[[#This Row],[Private Investment]]/Table58[[#This Row],[GDP]]</f>
        <v/>
      </c>
      <c r="J115" s="32">
        <f>Table58[[#This Row],[Exports]]/Table58[[#This Row],[GDP]]</f>
        <v/>
      </c>
      <c r="K115" s="32">
        <f>-Table58[[#This Row],[Imports]]/Table58[[#This Row],[GDP]]</f>
        <v/>
      </c>
      <c r="L115" s="32">
        <f>Table58[[#This Row],[Government]]/Table58[[#This Row],[GDP]]</f>
        <v/>
      </c>
      <c r="N115" s="51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0" t="n">
        <v>27211</v>
      </c>
      <c r="B116" s="56">
        <f>VLOOKUP(A116,'U.S. GDP'!A:B,2,)</f>
        <v/>
      </c>
      <c r="C116" s="56">
        <f>VLOOKUP(A116,PersonalConsumption!A:B,2,)</f>
        <v/>
      </c>
      <c r="D116" s="56">
        <f>VLOOKUP(A116,PrivateInvestment!A:B,2,)</f>
        <v/>
      </c>
      <c r="E116" s="56">
        <f>VLOOKUP(A116,Exports!A:B,2,)</f>
        <v/>
      </c>
      <c r="F116" s="56">
        <f>VLOOKUP(A116,Imports!A:B,2,)</f>
        <v/>
      </c>
      <c r="G116" s="56">
        <f>VLOOKUP(A116,Government!A:B,2,)</f>
        <v/>
      </c>
      <c r="H116" s="32">
        <f>Table58[[#This Row],[Personal Consumption]]/Table58[[#This Row],[GDP]]</f>
        <v/>
      </c>
      <c r="I116" s="32">
        <f>Table58[[#This Row],[Private Investment]]/Table58[[#This Row],[GDP]]</f>
        <v/>
      </c>
      <c r="J116" s="32">
        <f>Table58[[#This Row],[Exports]]/Table58[[#This Row],[GDP]]</f>
        <v/>
      </c>
      <c r="K116" s="32">
        <f>-Table58[[#This Row],[Imports]]/Table58[[#This Row],[GDP]]</f>
        <v/>
      </c>
      <c r="L116" s="32">
        <f>Table58[[#This Row],[Government]]/Table58[[#This Row],[GDP]]</f>
        <v/>
      </c>
      <c r="N116" s="51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0" t="n">
        <v>27303</v>
      </c>
      <c r="B117" s="56">
        <f>VLOOKUP(A117,'U.S. GDP'!A:B,2,)</f>
        <v/>
      </c>
      <c r="C117" s="56">
        <f>VLOOKUP(A117,PersonalConsumption!A:B,2,)</f>
        <v/>
      </c>
      <c r="D117" s="56">
        <f>VLOOKUP(A117,PrivateInvestment!A:B,2,)</f>
        <v/>
      </c>
      <c r="E117" s="56">
        <f>VLOOKUP(A117,Exports!A:B,2,)</f>
        <v/>
      </c>
      <c r="F117" s="56">
        <f>VLOOKUP(A117,Imports!A:B,2,)</f>
        <v/>
      </c>
      <c r="G117" s="56">
        <f>VLOOKUP(A117,Government!A:B,2,)</f>
        <v/>
      </c>
      <c r="H117" s="32">
        <f>Table58[[#This Row],[Personal Consumption]]/Table58[[#This Row],[GDP]]</f>
        <v/>
      </c>
      <c r="I117" s="32">
        <f>Table58[[#This Row],[Private Investment]]/Table58[[#This Row],[GDP]]</f>
        <v/>
      </c>
      <c r="J117" s="32">
        <f>Table58[[#This Row],[Exports]]/Table58[[#This Row],[GDP]]</f>
        <v/>
      </c>
      <c r="K117" s="32">
        <f>-Table58[[#This Row],[Imports]]/Table58[[#This Row],[GDP]]</f>
        <v/>
      </c>
      <c r="L117" s="32">
        <f>Table58[[#This Row],[Government]]/Table58[[#This Row],[GDP]]</f>
        <v/>
      </c>
      <c r="N117" s="51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0" t="n">
        <v>27395</v>
      </c>
      <c r="B118" s="56">
        <f>VLOOKUP(A118,'U.S. GDP'!A:B,2,)</f>
        <v/>
      </c>
      <c r="C118" s="56">
        <f>VLOOKUP(A118,PersonalConsumption!A:B,2,)</f>
        <v/>
      </c>
      <c r="D118" s="56">
        <f>VLOOKUP(A118,PrivateInvestment!A:B,2,)</f>
        <v/>
      </c>
      <c r="E118" s="56">
        <f>VLOOKUP(A118,Exports!A:B,2,)</f>
        <v/>
      </c>
      <c r="F118" s="56">
        <f>VLOOKUP(A118,Imports!A:B,2,)</f>
        <v/>
      </c>
      <c r="G118" s="56">
        <f>VLOOKUP(A118,Government!A:B,2,)</f>
        <v/>
      </c>
      <c r="H118" s="32">
        <f>Table58[[#This Row],[Personal Consumption]]/Table58[[#This Row],[GDP]]</f>
        <v/>
      </c>
      <c r="I118" s="32">
        <f>Table58[[#This Row],[Private Investment]]/Table58[[#This Row],[GDP]]</f>
        <v/>
      </c>
      <c r="J118" s="32">
        <f>Table58[[#This Row],[Exports]]/Table58[[#This Row],[GDP]]</f>
        <v/>
      </c>
      <c r="K118" s="32">
        <f>-Table58[[#This Row],[Imports]]/Table58[[#This Row],[GDP]]</f>
        <v/>
      </c>
      <c r="L118" s="32">
        <f>Table58[[#This Row],[Government]]/Table58[[#This Row],[GDP]]</f>
        <v/>
      </c>
      <c r="N118" s="51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0" t="n">
        <v>27485</v>
      </c>
      <c r="B119" s="56">
        <f>VLOOKUP(A119,'U.S. GDP'!A:B,2,)</f>
        <v/>
      </c>
      <c r="C119" s="56">
        <f>VLOOKUP(A119,PersonalConsumption!A:B,2,)</f>
        <v/>
      </c>
      <c r="D119" s="56">
        <f>VLOOKUP(A119,PrivateInvestment!A:B,2,)</f>
        <v/>
      </c>
      <c r="E119" s="56">
        <f>VLOOKUP(A119,Exports!A:B,2,)</f>
        <v/>
      </c>
      <c r="F119" s="56">
        <f>VLOOKUP(A119,Imports!A:B,2,)</f>
        <v/>
      </c>
      <c r="G119" s="56">
        <f>VLOOKUP(A119,Government!A:B,2,)</f>
        <v/>
      </c>
      <c r="H119" s="32">
        <f>Table58[[#This Row],[Personal Consumption]]/Table58[[#This Row],[GDP]]</f>
        <v/>
      </c>
      <c r="I119" s="32">
        <f>Table58[[#This Row],[Private Investment]]/Table58[[#This Row],[GDP]]</f>
        <v/>
      </c>
      <c r="J119" s="32">
        <f>Table58[[#This Row],[Exports]]/Table58[[#This Row],[GDP]]</f>
        <v/>
      </c>
      <c r="K119" s="32">
        <f>-Table58[[#This Row],[Imports]]/Table58[[#This Row],[GDP]]</f>
        <v/>
      </c>
      <c r="L119" s="32">
        <f>Table58[[#This Row],[Government]]/Table58[[#This Row],[GDP]]</f>
        <v/>
      </c>
      <c r="N119" s="51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0" t="n">
        <v>27576</v>
      </c>
      <c r="B120" s="56">
        <f>VLOOKUP(A120,'U.S. GDP'!A:B,2,)</f>
        <v/>
      </c>
      <c r="C120" s="56">
        <f>VLOOKUP(A120,PersonalConsumption!A:B,2,)</f>
        <v/>
      </c>
      <c r="D120" s="56">
        <f>VLOOKUP(A120,PrivateInvestment!A:B,2,)</f>
        <v/>
      </c>
      <c r="E120" s="56">
        <f>VLOOKUP(A120,Exports!A:B,2,)</f>
        <v/>
      </c>
      <c r="F120" s="56">
        <f>VLOOKUP(A120,Imports!A:B,2,)</f>
        <v/>
      </c>
      <c r="G120" s="56">
        <f>VLOOKUP(A120,Government!A:B,2,)</f>
        <v/>
      </c>
      <c r="H120" s="32">
        <f>Table58[[#This Row],[Personal Consumption]]/Table58[[#This Row],[GDP]]</f>
        <v/>
      </c>
      <c r="I120" s="32">
        <f>Table58[[#This Row],[Private Investment]]/Table58[[#This Row],[GDP]]</f>
        <v/>
      </c>
      <c r="J120" s="32">
        <f>Table58[[#This Row],[Exports]]/Table58[[#This Row],[GDP]]</f>
        <v/>
      </c>
      <c r="K120" s="32">
        <f>-Table58[[#This Row],[Imports]]/Table58[[#This Row],[GDP]]</f>
        <v/>
      </c>
      <c r="L120" s="32">
        <f>Table58[[#This Row],[Government]]/Table58[[#This Row],[GDP]]</f>
        <v/>
      </c>
      <c r="N120" s="51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0" t="n">
        <v>27668</v>
      </c>
      <c r="B121" s="56">
        <f>VLOOKUP(A121,'U.S. GDP'!A:B,2,)</f>
        <v/>
      </c>
      <c r="C121" s="56">
        <f>VLOOKUP(A121,PersonalConsumption!A:B,2,)</f>
        <v/>
      </c>
      <c r="D121" s="56">
        <f>VLOOKUP(A121,PrivateInvestment!A:B,2,)</f>
        <v/>
      </c>
      <c r="E121" s="56">
        <f>VLOOKUP(A121,Exports!A:B,2,)</f>
        <v/>
      </c>
      <c r="F121" s="56">
        <f>VLOOKUP(A121,Imports!A:B,2,)</f>
        <v/>
      </c>
      <c r="G121" s="56">
        <f>VLOOKUP(A121,Government!A:B,2,)</f>
        <v/>
      </c>
      <c r="H121" s="32">
        <f>Table58[[#This Row],[Personal Consumption]]/Table58[[#This Row],[GDP]]</f>
        <v/>
      </c>
      <c r="I121" s="32">
        <f>Table58[[#This Row],[Private Investment]]/Table58[[#This Row],[GDP]]</f>
        <v/>
      </c>
      <c r="J121" s="32">
        <f>Table58[[#This Row],[Exports]]/Table58[[#This Row],[GDP]]</f>
        <v/>
      </c>
      <c r="K121" s="32">
        <f>-Table58[[#This Row],[Imports]]/Table58[[#This Row],[GDP]]</f>
        <v/>
      </c>
      <c r="L121" s="32">
        <f>Table58[[#This Row],[Government]]/Table58[[#This Row],[GDP]]</f>
        <v/>
      </c>
      <c r="N121" s="51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0" t="n">
        <v>27760</v>
      </c>
      <c r="B122" s="56">
        <f>VLOOKUP(A122,'U.S. GDP'!A:B,2,)</f>
        <v/>
      </c>
      <c r="C122" s="56">
        <f>VLOOKUP(A122,PersonalConsumption!A:B,2,)</f>
        <v/>
      </c>
      <c r="D122" s="56">
        <f>VLOOKUP(A122,PrivateInvestment!A:B,2,)</f>
        <v/>
      </c>
      <c r="E122" s="56">
        <f>VLOOKUP(A122,Exports!A:B,2,)</f>
        <v/>
      </c>
      <c r="F122" s="56">
        <f>VLOOKUP(A122,Imports!A:B,2,)</f>
        <v/>
      </c>
      <c r="G122" s="56">
        <f>VLOOKUP(A122,Government!A:B,2,)</f>
        <v/>
      </c>
      <c r="H122" s="32">
        <f>Table58[[#This Row],[Personal Consumption]]/Table58[[#This Row],[GDP]]</f>
        <v/>
      </c>
      <c r="I122" s="32">
        <f>Table58[[#This Row],[Private Investment]]/Table58[[#This Row],[GDP]]</f>
        <v/>
      </c>
      <c r="J122" s="32">
        <f>Table58[[#This Row],[Exports]]/Table58[[#This Row],[GDP]]</f>
        <v/>
      </c>
      <c r="K122" s="32">
        <f>-Table58[[#This Row],[Imports]]/Table58[[#This Row],[GDP]]</f>
        <v/>
      </c>
      <c r="L122" s="32">
        <f>Table58[[#This Row],[Government]]/Table58[[#This Row],[GDP]]</f>
        <v/>
      </c>
      <c r="N122" s="51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0" t="n">
        <v>27851</v>
      </c>
      <c r="B123" s="56">
        <f>VLOOKUP(A123,'U.S. GDP'!A:B,2,)</f>
        <v/>
      </c>
      <c r="C123" s="56">
        <f>VLOOKUP(A123,PersonalConsumption!A:B,2,)</f>
        <v/>
      </c>
      <c r="D123" s="56">
        <f>VLOOKUP(A123,PrivateInvestment!A:B,2,)</f>
        <v/>
      </c>
      <c r="E123" s="56">
        <f>VLOOKUP(A123,Exports!A:B,2,)</f>
        <v/>
      </c>
      <c r="F123" s="56">
        <f>VLOOKUP(A123,Imports!A:B,2,)</f>
        <v/>
      </c>
      <c r="G123" s="56">
        <f>VLOOKUP(A123,Government!A:B,2,)</f>
        <v/>
      </c>
      <c r="H123" s="32">
        <f>Table58[[#This Row],[Personal Consumption]]/Table58[[#This Row],[GDP]]</f>
        <v/>
      </c>
      <c r="I123" s="32">
        <f>Table58[[#This Row],[Private Investment]]/Table58[[#This Row],[GDP]]</f>
        <v/>
      </c>
      <c r="J123" s="32">
        <f>Table58[[#This Row],[Exports]]/Table58[[#This Row],[GDP]]</f>
        <v/>
      </c>
      <c r="K123" s="32">
        <f>-Table58[[#This Row],[Imports]]/Table58[[#This Row],[GDP]]</f>
        <v/>
      </c>
      <c r="L123" s="32">
        <f>Table58[[#This Row],[Government]]/Table58[[#This Row],[GDP]]</f>
        <v/>
      </c>
      <c r="N123" s="51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0" t="n">
        <v>27942</v>
      </c>
      <c r="B124" s="56">
        <f>VLOOKUP(A124,'U.S. GDP'!A:B,2,)</f>
        <v/>
      </c>
      <c r="C124" s="56">
        <f>VLOOKUP(A124,PersonalConsumption!A:B,2,)</f>
        <v/>
      </c>
      <c r="D124" s="56">
        <f>VLOOKUP(A124,PrivateInvestment!A:B,2,)</f>
        <v/>
      </c>
      <c r="E124" s="56">
        <f>VLOOKUP(A124,Exports!A:B,2,)</f>
        <v/>
      </c>
      <c r="F124" s="56">
        <f>VLOOKUP(A124,Imports!A:B,2,)</f>
        <v/>
      </c>
      <c r="G124" s="56">
        <f>VLOOKUP(A124,Government!A:B,2,)</f>
        <v/>
      </c>
      <c r="H124" s="32">
        <f>Table58[[#This Row],[Personal Consumption]]/Table58[[#This Row],[GDP]]</f>
        <v/>
      </c>
      <c r="I124" s="32">
        <f>Table58[[#This Row],[Private Investment]]/Table58[[#This Row],[GDP]]</f>
        <v/>
      </c>
      <c r="J124" s="32">
        <f>Table58[[#This Row],[Exports]]/Table58[[#This Row],[GDP]]</f>
        <v/>
      </c>
      <c r="K124" s="32">
        <f>-Table58[[#This Row],[Imports]]/Table58[[#This Row],[GDP]]</f>
        <v/>
      </c>
      <c r="L124" s="32">
        <f>Table58[[#This Row],[Government]]/Table58[[#This Row],[GDP]]</f>
        <v/>
      </c>
      <c r="N124" s="51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0" t="n">
        <v>28034</v>
      </c>
      <c r="B125" s="56">
        <f>VLOOKUP(A125,'U.S. GDP'!A:B,2,)</f>
        <v/>
      </c>
      <c r="C125" s="56">
        <f>VLOOKUP(A125,PersonalConsumption!A:B,2,)</f>
        <v/>
      </c>
      <c r="D125" s="56">
        <f>VLOOKUP(A125,PrivateInvestment!A:B,2,)</f>
        <v/>
      </c>
      <c r="E125" s="56">
        <f>VLOOKUP(A125,Exports!A:B,2,)</f>
        <v/>
      </c>
      <c r="F125" s="56">
        <f>VLOOKUP(A125,Imports!A:B,2,)</f>
        <v/>
      </c>
      <c r="G125" s="56">
        <f>VLOOKUP(A125,Government!A:B,2,)</f>
        <v/>
      </c>
      <c r="H125" s="32">
        <f>Table58[[#This Row],[Personal Consumption]]/Table58[[#This Row],[GDP]]</f>
        <v/>
      </c>
      <c r="I125" s="32">
        <f>Table58[[#This Row],[Private Investment]]/Table58[[#This Row],[GDP]]</f>
        <v/>
      </c>
      <c r="J125" s="32">
        <f>Table58[[#This Row],[Exports]]/Table58[[#This Row],[GDP]]</f>
        <v/>
      </c>
      <c r="K125" s="32">
        <f>-Table58[[#This Row],[Imports]]/Table58[[#This Row],[GDP]]</f>
        <v/>
      </c>
      <c r="L125" s="32">
        <f>Table58[[#This Row],[Government]]/Table58[[#This Row],[GDP]]</f>
        <v/>
      </c>
      <c r="N125" s="51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0" t="n">
        <v>28126</v>
      </c>
      <c r="B126" s="56">
        <f>VLOOKUP(A126,'U.S. GDP'!A:B,2,)</f>
        <v/>
      </c>
      <c r="C126" s="56">
        <f>VLOOKUP(A126,PersonalConsumption!A:B,2,)</f>
        <v/>
      </c>
      <c r="D126" s="56">
        <f>VLOOKUP(A126,PrivateInvestment!A:B,2,)</f>
        <v/>
      </c>
      <c r="E126" s="56">
        <f>VLOOKUP(A126,Exports!A:B,2,)</f>
        <v/>
      </c>
      <c r="F126" s="56">
        <f>VLOOKUP(A126,Imports!A:B,2,)</f>
        <v/>
      </c>
      <c r="G126" s="56">
        <f>VLOOKUP(A126,Government!A:B,2,)</f>
        <v/>
      </c>
      <c r="H126" s="32">
        <f>Table58[[#This Row],[Personal Consumption]]/Table58[[#This Row],[GDP]]</f>
        <v/>
      </c>
      <c r="I126" s="32">
        <f>Table58[[#This Row],[Private Investment]]/Table58[[#This Row],[GDP]]</f>
        <v/>
      </c>
      <c r="J126" s="32">
        <f>Table58[[#This Row],[Exports]]/Table58[[#This Row],[GDP]]</f>
        <v/>
      </c>
      <c r="K126" s="32">
        <f>-Table58[[#This Row],[Imports]]/Table58[[#This Row],[GDP]]</f>
        <v/>
      </c>
      <c r="L126" s="32">
        <f>Table58[[#This Row],[Government]]/Table58[[#This Row],[GDP]]</f>
        <v/>
      </c>
      <c r="N126" s="51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0" t="n">
        <v>28216</v>
      </c>
      <c r="B127" s="56">
        <f>VLOOKUP(A127,'U.S. GDP'!A:B,2,)</f>
        <v/>
      </c>
      <c r="C127" s="56">
        <f>VLOOKUP(A127,PersonalConsumption!A:B,2,)</f>
        <v/>
      </c>
      <c r="D127" s="56">
        <f>VLOOKUP(A127,PrivateInvestment!A:B,2,)</f>
        <v/>
      </c>
      <c r="E127" s="56">
        <f>VLOOKUP(A127,Exports!A:B,2,)</f>
        <v/>
      </c>
      <c r="F127" s="56">
        <f>VLOOKUP(A127,Imports!A:B,2,)</f>
        <v/>
      </c>
      <c r="G127" s="56">
        <f>VLOOKUP(A127,Government!A:B,2,)</f>
        <v/>
      </c>
      <c r="H127" s="32">
        <f>Table58[[#This Row],[Personal Consumption]]/Table58[[#This Row],[GDP]]</f>
        <v/>
      </c>
      <c r="I127" s="32">
        <f>Table58[[#This Row],[Private Investment]]/Table58[[#This Row],[GDP]]</f>
        <v/>
      </c>
      <c r="J127" s="32">
        <f>Table58[[#This Row],[Exports]]/Table58[[#This Row],[GDP]]</f>
        <v/>
      </c>
      <c r="K127" s="32">
        <f>-Table58[[#This Row],[Imports]]/Table58[[#This Row],[GDP]]</f>
        <v/>
      </c>
      <c r="L127" s="32">
        <f>Table58[[#This Row],[Government]]/Table58[[#This Row],[GDP]]</f>
        <v/>
      </c>
      <c r="N127" s="51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0" t="n">
        <v>28307</v>
      </c>
      <c r="B128" s="56">
        <f>VLOOKUP(A128,'U.S. GDP'!A:B,2,)</f>
        <v/>
      </c>
      <c r="C128" s="56">
        <f>VLOOKUP(A128,PersonalConsumption!A:B,2,)</f>
        <v/>
      </c>
      <c r="D128" s="56">
        <f>VLOOKUP(A128,PrivateInvestment!A:B,2,)</f>
        <v/>
      </c>
      <c r="E128" s="56">
        <f>VLOOKUP(A128,Exports!A:B,2,)</f>
        <v/>
      </c>
      <c r="F128" s="56">
        <f>VLOOKUP(A128,Imports!A:B,2,)</f>
        <v/>
      </c>
      <c r="G128" s="56">
        <f>VLOOKUP(A128,Government!A:B,2,)</f>
        <v/>
      </c>
      <c r="H128" s="32">
        <f>Table58[[#This Row],[Personal Consumption]]/Table58[[#This Row],[GDP]]</f>
        <v/>
      </c>
      <c r="I128" s="32">
        <f>Table58[[#This Row],[Private Investment]]/Table58[[#This Row],[GDP]]</f>
        <v/>
      </c>
      <c r="J128" s="32">
        <f>Table58[[#This Row],[Exports]]/Table58[[#This Row],[GDP]]</f>
        <v/>
      </c>
      <c r="K128" s="32">
        <f>-Table58[[#This Row],[Imports]]/Table58[[#This Row],[GDP]]</f>
        <v/>
      </c>
      <c r="L128" s="32">
        <f>Table58[[#This Row],[Government]]/Table58[[#This Row],[GDP]]</f>
        <v/>
      </c>
      <c r="N128" s="51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0" t="n">
        <v>28399</v>
      </c>
      <c r="B129" s="56">
        <f>VLOOKUP(A129,'U.S. GDP'!A:B,2,)</f>
        <v/>
      </c>
      <c r="C129" s="56">
        <f>VLOOKUP(A129,PersonalConsumption!A:B,2,)</f>
        <v/>
      </c>
      <c r="D129" s="56">
        <f>VLOOKUP(A129,PrivateInvestment!A:B,2,)</f>
        <v/>
      </c>
      <c r="E129" s="56">
        <f>VLOOKUP(A129,Exports!A:B,2,)</f>
        <v/>
      </c>
      <c r="F129" s="56">
        <f>VLOOKUP(A129,Imports!A:B,2,)</f>
        <v/>
      </c>
      <c r="G129" s="56">
        <f>VLOOKUP(A129,Government!A:B,2,)</f>
        <v/>
      </c>
      <c r="H129" s="32">
        <f>Table58[[#This Row],[Personal Consumption]]/Table58[[#This Row],[GDP]]</f>
        <v/>
      </c>
      <c r="I129" s="32">
        <f>Table58[[#This Row],[Private Investment]]/Table58[[#This Row],[GDP]]</f>
        <v/>
      </c>
      <c r="J129" s="32">
        <f>Table58[[#This Row],[Exports]]/Table58[[#This Row],[GDP]]</f>
        <v/>
      </c>
      <c r="K129" s="32">
        <f>-Table58[[#This Row],[Imports]]/Table58[[#This Row],[GDP]]</f>
        <v/>
      </c>
      <c r="L129" s="32">
        <f>Table58[[#This Row],[Government]]/Table58[[#This Row],[GDP]]</f>
        <v/>
      </c>
      <c r="N129" s="51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0" t="n">
        <v>28491</v>
      </c>
      <c r="B130" s="56">
        <f>VLOOKUP(A130,'U.S. GDP'!A:B,2,)</f>
        <v/>
      </c>
      <c r="C130" s="56">
        <f>VLOOKUP(A130,PersonalConsumption!A:B,2,)</f>
        <v/>
      </c>
      <c r="D130" s="56">
        <f>VLOOKUP(A130,PrivateInvestment!A:B,2,)</f>
        <v/>
      </c>
      <c r="E130" s="56">
        <f>VLOOKUP(A130,Exports!A:B,2,)</f>
        <v/>
      </c>
      <c r="F130" s="56">
        <f>VLOOKUP(A130,Imports!A:B,2,)</f>
        <v/>
      </c>
      <c r="G130" s="56">
        <f>VLOOKUP(A130,Government!A:B,2,)</f>
        <v/>
      </c>
      <c r="H130" s="32">
        <f>Table58[[#This Row],[Personal Consumption]]/Table58[[#This Row],[GDP]]</f>
        <v/>
      </c>
      <c r="I130" s="32">
        <f>Table58[[#This Row],[Private Investment]]/Table58[[#This Row],[GDP]]</f>
        <v/>
      </c>
      <c r="J130" s="32">
        <f>Table58[[#This Row],[Exports]]/Table58[[#This Row],[GDP]]</f>
        <v/>
      </c>
      <c r="K130" s="32">
        <f>-Table58[[#This Row],[Imports]]/Table58[[#This Row],[GDP]]</f>
        <v/>
      </c>
      <c r="L130" s="32">
        <f>Table58[[#This Row],[Government]]/Table58[[#This Row],[GDP]]</f>
        <v/>
      </c>
      <c r="N130" s="51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0" t="n">
        <v>28581</v>
      </c>
      <c r="B131" s="56">
        <f>VLOOKUP(A131,'U.S. GDP'!A:B,2,)</f>
        <v/>
      </c>
      <c r="C131" s="56">
        <f>VLOOKUP(A131,PersonalConsumption!A:B,2,)</f>
        <v/>
      </c>
      <c r="D131" s="56">
        <f>VLOOKUP(A131,PrivateInvestment!A:B,2,)</f>
        <v/>
      </c>
      <c r="E131" s="56">
        <f>VLOOKUP(A131,Exports!A:B,2,)</f>
        <v/>
      </c>
      <c r="F131" s="56">
        <f>VLOOKUP(A131,Imports!A:B,2,)</f>
        <v/>
      </c>
      <c r="G131" s="56">
        <f>VLOOKUP(A131,Government!A:B,2,)</f>
        <v/>
      </c>
      <c r="H131" s="32">
        <f>Table58[[#This Row],[Personal Consumption]]/Table58[[#This Row],[GDP]]</f>
        <v/>
      </c>
      <c r="I131" s="32">
        <f>Table58[[#This Row],[Private Investment]]/Table58[[#This Row],[GDP]]</f>
        <v/>
      </c>
      <c r="J131" s="32">
        <f>Table58[[#This Row],[Exports]]/Table58[[#This Row],[GDP]]</f>
        <v/>
      </c>
      <c r="K131" s="32">
        <f>-Table58[[#This Row],[Imports]]/Table58[[#This Row],[GDP]]</f>
        <v/>
      </c>
      <c r="L131" s="32">
        <f>Table58[[#This Row],[Government]]/Table58[[#This Row],[GDP]]</f>
        <v/>
      </c>
      <c r="N131" s="51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0" t="n">
        <v>28672</v>
      </c>
      <c r="B132" s="56">
        <f>VLOOKUP(A132,'U.S. GDP'!A:B,2,)</f>
        <v/>
      </c>
      <c r="C132" s="56">
        <f>VLOOKUP(A132,PersonalConsumption!A:B,2,)</f>
        <v/>
      </c>
      <c r="D132" s="56">
        <f>VLOOKUP(A132,PrivateInvestment!A:B,2,)</f>
        <v/>
      </c>
      <c r="E132" s="56">
        <f>VLOOKUP(A132,Exports!A:B,2,)</f>
        <v/>
      </c>
      <c r="F132" s="56">
        <f>VLOOKUP(A132,Imports!A:B,2,)</f>
        <v/>
      </c>
      <c r="G132" s="56">
        <f>VLOOKUP(A132,Government!A:B,2,)</f>
        <v/>
      </c>
      <c r="H132" s="32">
        <f>Table58[[#This Row],[Personal Consumption]]/Table58[[#This Row],[GDP]]</f>
        <v/>
      </c>
      <c r="I132" s="32">
        <f>Table58[[#This Row],[Private Investment]]/Table58[[#This Row],[GDP]]</f>
        <v/>
      </c>
      <c r="J132" s="32">
        <f>Table58[[#This Row],[Exports]]/Table58[[#This Row],[GDP]]</f>
        <v/>
      </c>
      <c r="K132" s="32">
        <f>-Table58[[#This Row],[Imports]]/Table58[[#This Row],[GDP]]</f>
        <v/>
      </c>
      <c r="L132" s="32">
        <f>Table58[[#This Row],[Government]]/Table58[[#This Row],[GDP]]</f>
        <v/>
      </c>
      <c r="N132" s="51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0" t="n">
        <v>28764</v>
      </c>
      <c r="B133" s="56">
        <f>VLOOKUP(A133,'U.S. GDP'!A:B,2,)</f>
        <v/>
      </c>
      <c r="C133" s="56">
        <f>VLOOKUP(A133,PersonalConsumption!A:B,2,)</f>
        <v/>
      </c>
      <c r="D133" s="56">
        <f>VLOOKUP(A133,PrivateInvestment!A:B,2,)</f>
        <v/>
      </c>
      <c r="E133" s="56">
        <f>VLOOKUP(A133,Exports!A:B,2,)</f>
        <v/>
      </c>
      <c r="F133" s="56">
        <f>VLOOKUP(A133,Imports!A:B,2,)</f>
        <v/>
      </c>
      <c r="G133" s="56">
        <f>VLOOKUP(A133,Government!A:B,2,)</f>
        <v/>
      </c>
      <c r="H133" s="32">
        <f>Table58[[#This Row],[Personal Consumption]]/Table58[[#This Row],[GDP]]</f>
        <v/>
      </c>
      <c r="I133" s="32">
        <f>Table58[[#This Row],[Private Investment]]/Table58[[#This Row],[GDP]]</f>
        <v/>
      </c>
      <c r="J133" s="32">
        <f>Table58[[#This Row],[Exports]]/Table58[[#This Row],[GDP]]</f>
        <v/>
      </c>
      <c r="K133" s="32">
        <f>-Table58[[#This Row],[Imports]]/Table58[[#This Row],[GDP]]</f>
        <v/>
      </c>
      <c r="L133" s="32">
        <f>Table58[[#This Row],[Government]]/Table58[[#This Row],[GDP]]</f>
        <v/>
      </c>
      <c r="N133" s="51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0" t="n">
        <v>28856</v>
      </c>
      <c r="B134" s="56">
        <f>VLOOKUP(A134,'U.S. GDP'!A:B,2,)</f>
        <v/>
      </c>
      <c r="C134" s="56">
        <f>VLOOKUP(A134,PersonalConsumption!A:B,2,)</f>
        <v/>
      </c>
      <c r="D134" s="56">
        <f>VLOOKUP(A134,PrivateInvestment!A:B,2,)</f>
        <v/>
      </c>
      <c r="E134" s="56">
        <f>VLOOKUP(A134,Exports!A:B,2,)</f>
        <v/>
      </c>
      <c r="F134" s="56">
        <f>VLOOKUP(A134,Imports!A:B,2,)</f>
        <v/>
      </c>
      <c r="G134" s="56">
        <f>VLOOKUP(A134,Government!A:B,2,)</f>
        <v/>
      </c>
      <c r="H134" s="32">
        <f>Table58[[#This Row],[Personal Consumption]]/Table58[[#This Row],[GDP]]</f>
        <v/>
      </c>
      <c r="I134" s="32">
        <f>Table58[[#This Row],[Private Investment]]/Table58[[#This Row],[GDP]]</f>
        <v/>
      </c>
      <c r="J134" s="32">
        <f>Table58[[#This Row],[Exports]]/Table58[[#This Row],[GDP]]</f>
        <v/>
      </c>
      <c r="K134" s="32">
        <f>-Table58[[#This Row],[Imports]]/Table58[[#This Row],[GDP]]</f>
        <v/>
      </c>
      <c r="L134" s="32">
        <f>Table58[[#This Row],[Government]]/Table58[[#This Row],[GDP]]</f>
        <v/>
      </c>
      <c r="N134" s="51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0" t="n">
        <v>28946</v>
      </c>
      <c r="B135" s="56">
        <f>VLOOKUP(A135,'U.S. GDP'!A:B,2,)</f>
        <v/>
      </c>
      <c r="C135" s="56">
        <f>VLOOKUP(A135,PersonalConsumption!A:B,2,)</f>
        <v/>
      </c>
      <c r="D135" s="56">
        <f>VLOOKUP(A135,PrivateInvestment!A:B,2,)</f>
        <v/>
      </c>
      <c r="E135" s="56">
        <f>VLOOKUP(A135,Exports!A:B,2,)</f>
        <v/>
      </c>
      <c r="F135" s="56">
        <f>VLOOKUP(A135,Imports!A:B,2,)</f>
        <v/>
      </c>
      <c r="G135" s="56">
        <f>VLOOKUP(A135,Government!A:B,2,)</f>
        <v/>
      </c>
      <c r="H135" s="32">
        <f>Table58[[#This Row],[Personal Consumption]]/Table58[[#This Row],[GDP]]</f>
        <v/>
      </c>
      <c r="I135" s="32">
        <f>Table58[[#This Row],[Private Investment]]/Table58[[#This Row],[GDP]]</f>
        <v/>
      </c>
      <c r="J135" s="32">
        <f>Table58[[#This Row],[Exports]]/Table58[[#This Row],[GDP]]</f>
        <v/>
      </c>
      <c r="K135" s="32">
        <f>-Table58[[#This Row],[Imports]]/Table58[[#This Row],[GDP]]</f>
        <v/>
      </c>
      <c r="L135" s="32">
        <f>Table58[[#This Row],[Government]]/Table58[[#This Row],[GDP]]</f>
        <v/>
      </c>
      <c r="N135" s="51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0" t="n">
        <v>29037</v>
      </c>
      <c r="B136" s="56">
        <f>VLOOKUP(A136,'U.S. GDP'!A:B,2,)</f>
        <v/>
      </c>
      <c r="C136" s="56">
        <f>VLOOKUP(A136,PersonalConsumption!A:B,2,)</f>
        <v/>
      </c>
      <c r="D136" s="56">
        <f>VLOOKUP(A136,PrivateInvestment!A:B,2,)</f>
        <v/>
      </c>
      <c r="E136" s="56">
        <f>VLOOKUP(A136,Exports!A:B,2,)</f>
        <v/>
      </c>
      <c r="F136" s="56">
        <f>VLOOKUP(A136,Imports!A:B,2,)</f>
        <v/>
      </c>
      <c r="G136" s="56">
        <f>VLOOKUP(A136,Government!A:B,2,)</f>
        <v/>
      </c>
      <c r="H136" s="32">
        <f>Table58[[#This Row],[Personal Consumption]]/Table58[[#This Row],[GDP]]</f>
        <v/>
      </c>
      <c r="I136" s="32">
        <f>Table58[[#This Row],[Private Investment]]/Table58[[#This Row],[GDP]]</f>
        <v/>
      </c>
      <c r="J136" s="32">
        <f>Table58[[#This Row],[Exports]]/Table58[[#This Row],[GDP]]</f>
        <v/>
      </c>
      <c r="K136" s="32">
        <f>-Table58[[#This Row],[Imports]]/Table58[[#This Row],[GDP]]</f>
        <v/>
      </c>
      <c r="L136" s="32">
        <f>Table58[[#This Row],[Government]]/Table58[[#This Row],[GDP]]</f>
        <v/>
      </c>
      <c r="N136" s="51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0" t="n">
        <v>29129</v>
      </c>
      <c r="B137" s="56">
        <f>VLOOKUP(A137,'U.S. GDP'!A:B,2,)</f>
        <v/>
      </c>
      <c r="C137" s="56">
        <f>VLOOKUP(A137,PersonalConsumption!A:B,2,)</f>
        <v/>
      </c>
      <c r="D137" s="56">
        <f>VLOOKUP(A137,PrivateInvestment!A:B,2,)</f>
        <v/>
      </c>
      <c r="E137" s="56">
        <f>VLOOKUP(A137,Exports!A:B,2,)</f>
        <v/>
      </c>
      <c r="F137" s="56">
        <f>VLOOKUP(A137,Imports!A:B,2,)</f>
        <v/>
      </c>
      <c r="G137" s="56">
        <f>VLOOKUP(A137,Government!A:B,2,)</f>
        <v/>
      </c>
      <c r="H137" s="32">
        <f>Table58[[#This Row],[Personal Consumption]]/Table58[[#This Row],[GDP]]</f>
        <v/>
      </c>
      <c r="I137" s="32">
        <f>Table58[[#This Row],[Private Investment]]/Table58[[#This Row],[GDP]]</f>
        <v/>
      </c>
      <c r="J137" s="32">
        <f>Table58[[#This Row],[Exports]]/Table58[[#This Row],[GDP]]</f>
        <v/>
      </c>
      <c r="K137" s="32">
        <f>-Table58[[#This Row],[Imports]]/Table58[[#This Row],[GDP]]</f>
        <v/>
      </c>
      <c r="L137" s="32">
        <f>Table58[[#This Row],[Government]]/Table58[[#This Row],[GDP]]</f>
        <v/>
      </c>
      <c r="N137" s="51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0" t="n">
        <v>29221</v>
      </c>
      <c r="B138" s="56">
        <f>VLOOKUP(A138,'U.S. GDP'!A:B,2,)</f>
        <v/>
      </c>
      <c r="C138" s="56">
        <f>VLOOKUP(A138,PersonalConsumption!A:B,2,)</f>
        <v/>
      </c>
      <c r="D138" s="56">
        <f>VLOOKUP(A138,PrivateInvestment!A:B,2,)</f>
        <v/>
      </c>
      <c r="E138" s="56">
        <f>VLOOKUP(A138,Exports!A:B,2,)</f>
        <v/>
      </c>
      <c r="F138" s="56">
        <f>VLOOKUP(A138,Imports!A:B,2,)</f>
        <v/>
      </c>
      <c r="G138" s="56">
        <f>VLOOKUP(A138,Government!A:B,2,)</f>
        <v/>
      </c>
      <c r="H138" s="32">
        <f>Table58[[#This Row],[Personal Consumption]]/Table58[[#This Row],[GDP]]</f>
        <v/>
      </c>
      <c r="I138" s="32">
        <f>Table58[[#This Row],[Private Investment]]/Table58[[#This Row],[GDP]]</f>
        <v/>
      </c>
      <c r="J138" s="32">
        <f>Table58[[#This Row],[Exports]]/Table58[[#This Row],[GDP]]</f>
        <v/>
      </c>
      <c r="K138" s="32">
        <f>-Table58[[#This Row],[Imports]]/Table58[[#This Row],[GDP]]</f>
        <v/>
      </c>
      <c r="L138" s="32">
        <f>Table58[[#This Row],[Government]]/Table58[[#This Row],[GDP]]</f>
        <v/>
      </c>
      <c r="N138" s="51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0" t="n">
        <v>29312</v>
      </c>
      <c r="B139" s="56">
        <f>VLOOKUP(A139,'U.S. GDP'!A:B,2,)</f>
        <v/>
      </c>
      <c r="C139" s="56">
        <f>VLOOKUP(A139,PersonalConsumption!A:B,2,)</f>
        <v/>
      </c>
      <c r="D139" s="56">
        <f>VLOOKUP(A139,PrivateInvestment!A:B,2,)</f>
        <v/>
      </c>
      <c r="E139" s="56">
        <f>VLOOKUP(A139,Exports!A:B,2,)</f>
        <v/>
      </c>
      <c r="F139" s="56">
        <f>VLOOKUP(A139,Imports!A:B,2,)</f>
        <v/>
      </c>
      <c r="G139" s="56">
        <f>VLOOKUP(A139,Government!A:B,2,)</f>
        <v/>
      </c>
      <c r="H139" s="32">
        <f>Table58[[#This Row],[Personal Consumption]]/Table58[[#This Row],[GDP]]</f>
        <v/>
      </c>
      <c r="I139" s="32">
        <f>Table58[[#This Row],[Private Investment]]/Table58[[#This Row],[GDP]]</f>
        <v/>
      </c>
      <c r="J139" s="32">
        <f>Table58[[#This Row],[Exports]]/Table58[[#This Row],[GDP]]</f>
        <v/>
      </c>
      <c r="K139" s="32">
        <f>-Table58[[#This Row],[Imports]]/Table58[[#This Row],[GDP]]</f>
        <v/>
      </c>
      <c r="L139" s="32">
        <f>Table58[[#This Row],[Government]]/Table58[[#This Row],[GDP]]</f>
        <v/>
      </c>
      <c r="N139" s="51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0" t="n">
        <v>29403</v>
      </c>
      <c r="B140" s="56">
        <f>VLOOKUP(A140,'U.S. GDP'!A:B,2,)</f>
        <v/>
      </c>
      <c r="C140" s="56">
        <f>VLOOKUP(A140,PersonalConsumption!A:B,2,)</f>
        <v/>
      </c>
      <c r="D140" s="56">
        <f>VLOOKUP(A140,PrivateInvestment!A:B,2,)</f>
        <v/>
      </c>
      <c r="E140" s="56">
        <f>VLOOKUP(A140,Exports!A:B,2,)</f>
        <v/>
      </c>
      <c r="F140" s="56">
        <f>VLOOKUP(A140,Imports!A:B,2,)</f>
        <v/>
      </c>
      <c r="G140" s="56">
        <f>VLOOKUP(A140,Government!A:B,2,)</f>
        <v/>
      </c>
      <c r="H140" s="32">
        <f>Table58[[#This Row],[Personal Consumption]]/Table58[[#This Row],[GDP]]</f>
        <v/>
      </c>
      <c r="I140" s="32">
        <f>Table58[[#This Row],[Private Investment]]/Table58[[#This Row],[GDP]]</f>
        <v/>
      </c>
      <c r="J140" s="32">
        <f>Table58[[#This Row],[Exports]]/Table58[[#This Row],[GDP]]</f>
        <v/>
      </c>
      <c r="K140" s="32">
        <f>-Table58[[#This Row],[Imports]]/Table58[[#This Row],[GDP]]</f>
        <v/>
      </c>
      <c r="L140" s="32">
        <f>Table58[[#This Row],[Government]]/Table58[[#This Row],[GDP]]</f>
        <v/>
      </c>
      <c r="N140" s="51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0" t="n">
        <v>29495</v>
      </c>
      <c r="B141" s="56">
        <f>VLOOKUP(A141,'U.S. GDP'!A:B,2,)</f>
        <v/>
      </c>
      <c r="C141" s="56">
        <f>VLOOKUP(A141,PersonalConsumption!A:B,2,)</f>
        <v/>
      </c>
      <c r="D141" s="56">
        <f>VLOOKUP(A141,PrivateInvestment!A:B,2,)</f>
        <v/>
      </c>
      <c r="E141" s="56">
        <f>VLOOKUP(A141,Exports!A:B,2,)</f>
        <v/>
      </c>
      <c r="F141" s="56">
        <f>VLOOKUP(A141,Imports!A:B,2,)</f>
        <v/>
      </c>
      <c r="G141" s="56">
        <f>VLOOKUP(A141,Government!A:B,2,)</f>
        <v/>
      </c>
      <c r="H141" s="32">
        <f>Table58[[#This Row],[Personal Consumption]]/Table58[[#This Row],[GDP]]</f>
        <v/>
      </c>
      <c r="I141" s="32">
        <f>Table58[[#This Row],[Private Investment]]/Table58[[#This Row],[GDP]]</f>
        <v/>
      </c>
      <c r="J141" s="32">
        <f>Table58[[#This Row],[Exports]]/Table58[[#This Row],[GDP]]</f>
        <v/>
      </c>
      <c r="K141" s="32">
        <f>-Table58[[#This Row],[Imports]]/Table58[[#This Row],[GDP]]</f>
        <v/>
      </c>
      <c r="L141" s="32">
        <f>Table58[[#This Row],[Government]]/Table58[[#This Row],[GDP]]</f>
        <v/>
      </c>
      <c r="N141" s="51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0" t="n">
        <v>29587</v>
      </c>
      <c r="B142" s="56">
        <f>VLOOKUP(A142,'U.S. GDP'!A:B,2,)</f>
        <v/>
      </c>
      <c r="C142" s="56">
        <f>VLOOKUP(A142,PersonalConsumption!A:B,2,)</f>
        <v/>
      </c>
      <c r="D142" s="56">
        <f>VLOOKUP(A142,PrivateInvestment!A:B,2,)</f>
        <v/>
      </c>
      <c r="E142" s="56">
        <f>VLOOKUP(A142,Exports!A:B,2,)</f>
        <v/>
      </c>
      <c r="F142" s="56">
        <f>VLOOKUP(A142,Imports!A:B,2,)</f>
        <v/>
      </c>
      <c r="G142" s="56">
        <f>VLOOKUP(A142,Government!A:B,2,)</f>
        <v/>
      </c>
      <c r="H142" s="32">
        <f>Table58[[#This Row],[Personal Consumption]]/Table58[[#This Row],[GDP]]</f>
        <v/>
      </c>
      <c r="I142" s="32">
        <f>Table58[[#This Row],[Private Investment]]/Table58[[#This Row],[GDP]]</f>
        <v/>
      </c>
      <c r="J142" s="32">
        <f>Table58[[#This Row],[Exports]]/Table58[[#This Row],[GDP]]</f>
        <v/>
      </c>
      <c r="K142" s="32">
        <f>-Table58[[#This Row],[Imports]]/Table58[[#This Row],[GDP]]</f>
        <v/>
      </c>
      <c r="L142" s="32">
        <f>Table58[[#This Row],[Government]]/Table58[[#This Row],[GDP]]</f>
        <v/>
      </c>
      <c r="N142" s="51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0" t="n">
        <v>29677</v>
      </c>
      <c r="B143" s="56">
        <f>VLOOKUP(A143,'U.S. GDP'!A:B,2,)</f>
        <v/>
      </c>
      <c r="C143" s="56">
        <f>VLOOKUP(A143,PersonalConsumption!A:B,2,)</f>
        <v/>
      </c>
      <c r="D143" s="56">
        <f>VLOOKUP(A143,PrivateInvestment!A:B,2,)</f>
        <v/>
      </c>
      <c r="E143" s="56">
        <f>VLOOKUP(A143,Exports!A:B,2,)</f>
        <v/>
      </c>
      <c r="F143" s="56">
        <f>VLOOKUP(A143,Imports!A:B,2,)</f>
        <v/>
      </c>
      <c r="G143" s="56">
        <f>VLOOKUP(A143,Government!A:B,2,)</f>
        <v/>
      </c>
      <c r="H143" s="32">
        <f>Table58[[#This Row],[Personal Consumption]]/Table58[[#This Row],[GDP]]</f>
        <v/>
      </c>
      <c r="I143" s="32">
        <f>Table58[[#This Row],[Private Investment]]/Table58[[#This Row],[GDP]]</f>
        <v/>
      </c>
      <c r="J143" s="32">
        <f>Table58[[#This Row],[Exports]]/Table58[[#This Row],[GDP]]</f>
        <v/>
      </c>
      <c r="K143" s="32">
        <f>-Table58[[#This Row],[Imports]]/Table58[[#This Row],[GDP]]</f>
        <v/>
      </c>
      <c r="L143" s="32">
        <f>Table58[[#This Row],[Government]]/Table58[[#This Row],[GDP]]</f>
        <v/>
      </c>
      <c r="N143" s="51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0" t="n">
        <v>29768</v>
      </c>
      <c r="B144" s="56">
        <f>VLOOKUP(A144,'U.S. GDP'!A:B,2,)</f>
        <v/>
      </c>
      <c r="C144" s="56">
        <f>VLOOKUP(A144,PersonalConsumption!A:B,2,)</f>
        <v/>
      </c>
      <c r="D144" s="56">
        <f>VLOOKUP(A144,PrivateInvestment!A:B,2,)</f>
        <v/>
      </c>
      <c r="E144" s="56">
        <f>VLOOKUP(A144,Exports!A:B,2,)</f>
        <v/>
      </c>
      <c r="F144" s="56">
        <f>VLOOKUP(A144,Imports!A:B,2,)</f>
        <v/>
      </c>
      <c r="G144" s="56">
        <f>VLOOKUP(A144,Government!A:B,2,)</f>
        <v/>
      </c>
      <c r="H144" s="32">
        <f>Table58[[#This Row],[Personal Consumption]]/Table58[[#This Row],[GDP]]</f>
        <v/>
      </c>
      <c r="I144" s="32">
        <f>Table58[[#This Row],[Private Investment]]/Table58[[#This Row],[GDP]]</f>
        <v/>
      </c>
      <c r="J144" s="32">
        <f>Table58[[#This Row],[Exports]]/Table58[[#This Row],[GDP]]</f>
        <v/>
      </c>
      <c r="K144" s="32">
        <f>-Table58[[#This Row],[Imports]]/Table58[[#This Row],[GDP]]</f>
        <v/>
      </c>
      <c r="L144" s="32">
        <f>Table58[[#This Row],[Government]]/Table58[[#This Row],[GDP]]</f>
        <v/>
      </c>
      <c r="N144" s="51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0" t="n">
        <v>29860</v>
      </c>
      <c r="B145" s="56">
        <f>VLOOKUP(A145,'U.S. GDP'!A:B,2,)</f>
        <v/>
      </c>
      <c r="C145" s="56">
        <f>VLOOKUP(A145,PersonalConsumption!A:B,2,)</f>
        <v/>
      </c>
      <c r="D145" s="56">
        <f>VLOOKUP(A145,PrivateInvestment!A:B,2,)</f>
        <v/>
      </c>
      <c r="E145" s="56">
        <f>VLOOKUP(A145,Exports!A:B,2,)</f>
        <v/>
      </c>
      <c r="F145" s="56">
        <f>VLOOKUP(A145,Imports!A:B,2,)</f>
        <v/>
      </c>
      <c r="G145" s="56">
        <f>VLOOKUP(A145,Government!A:B,2,)</f>
        <v/>
      </c>
      <c r="H145" s="32">
        <f>Table58[[#This Row],[Personal Consumption]]/Table58[[#This Row],[GDP]]</f>
        <v/>
      </c>
      <c r="I145" s="32">
        <f>Table58[[#This Row],[Private Investment]]/Table58[[#This Row],[GDP]]</f>
        <v/>
      </c>
      <c r="J145" s="32">
        <f>Table58[[#This Row],[Exports]]/Table58[[#This Row],[GDP]]</f>
        <v/>
      </c>
      <c r="K145" s="32">
        <f>-Table58[[#This Row],[Imports]]/Table58[[#This Row],[GDP]]</f>
        <v/>
      </c>
      <c r="L145" s="32">
        <f>Table58[[#This Row],[Government]]/Table58[[#This Row],[GDP]]</f>
        <v/>
      </c>
      <c r="N145" s="51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0" t="n">
        <v>29952</v>
      </c>
      <c r="B146" s="56">
        <f>VLOOKUP(A146,'U.S. GDP'!A:B,2,)</f>
        <v/>
      </c>
      <c r="C146" s="56">
        <f>VLOOKUP(A146,PersonalConsumption!A:B,2,)</f>
        <v/>
      </c>
      <c r="D146" s="56">
        <f>VLOOKUP(A146,PrivateInvestment!A:B,2,)</f>
        <v/>
      </c>
      <c r="E146" s="56">
        <f>VLOOKUP(A146,Exports!A:B,2,)</f>
        <v/>
      </c>
      <c r="F146" s="56">
        <f>VLOOKUP(A146,Imports!A:B,2,)</f>
        <v/>
      </c>
      <c r="G146" s="56">
        <f>VLOOKUP(A146,Government!A:B,2,)</f>
        <v/>
      </c>
      <c r="H146" s="32">
        <f>Table58[[#This Row],[Personal Consumption]]/Table58[[#This Row],[GDP]]</f>
        <v/>
      </c>
      <c r="I146" s="32">
        <f>Table58[[#This Row],[Private Investment]]/Table58[[#This Row],[GDP]]</f>
        <v/>
      </c>
      <c r="J146" s="32">
        <f>Table58[[#This Row],[Exports]]/Table58[[#This Row],[GDP]]</f>
        <v/>
      </c>
      <c r="K146" s="32">
        <f>-Table58[[#This Row],[Imports]]/Table58[[#This Row],[GDP]]</f>
        <v/>
      </c>
      <c r="L146" s="32">
        <f>Table58[[#This Row],[Government]]/Table58[[#This Row],[GDP]]</f>
        <v/>
      </c>
      <c r="N146" s="51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0" t="n">
        <v>30042</v>
      </c>
      <c r="B147" s="56">
        <f>VLOOKUP(A147,'U.S. GDP'!A:B,2,)</f>
        <v/>
      </c>
      <c r="C147" s="56">
        <f>VLOOKUP(A147,PersonalConsumption!A:B,2,)</f>
        <v/>
      </c>
      <c r="D147" s="56">
        <f>VLOOKUP(A147,PrivateInvestment!A:B,2,)</f>
        <v/>
      </c>
      <c r="E147" s="56">
        <f>VLOOKUP(A147,Exports!A:B,2,)</f>
        <v/>
      </c>
      <c r="F147" s="56">
        <f>VLOOKUP(A147,Imports!A:B,2,)</f>
        <v/>
      </c>
      <c r="G147" s="56">
        <f>VLOOKUP(A147,Government!A:B,2,)</f>
        <v/>
      </c>
      <c r="H147" s="32">
        <f>Table58[[#This Row],[Personal Consumption]]/Table58[[#This Row],[GDP]]</f>
        <v/>
      </c>
      <c r="I147" s="32">
        <f>Table58[[#This Row],[Private Investment]]/Table58[[#This Row],[GDP]]</f>
        <v/>
      </c>
      <c r="J147" s="32">
        <f>Table58[[#This Row],[Exports]]/Table58[[#This Row],[GDP]]</f>
        <v/>
      </c>
      <c r="K147" s="32">
        <f>-Table58[[#This Row],[Imports]]/Table58[[#This Row],[GDP]]</f>
        <v/>
      </c>
      <c r="L147" s="32">
        <f>Table58[[#This Row],[Government]]/Table58[[#This Row],[GDP]]</f>
        <v/>
      </c>
      <c r="N147" s="51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0" t="n">
        <v>30133</v>
      </c>
      <c r="B148" s="56">
        <f>VLOOKUP(A148,'U.S. GDP'!A:B,2,)</f>
        <v/>
      </c>
      <c r="C148" s="56">
        <f>VLOOKUP(A148,PersonalConsumption!A:B,2,)</f>
        <v/>
      </c>
      <c r="D148" s="56">
        <f>VLOOKUP(A148,PrivateInvestment!A:B,2,)</f>
        <v/>
      </c>
      <c r="E148" s="56">
        <f>VLOOKUP(A148,Exports!A:B,2,)</f>
        <v/>
      </c>
      <c r="F148" s="56">
        <f>VLOOKUP(A148,Imports!A:B,2,)</f>
        <v/>
      </c>
      <c r="G148" s="56">
        <f>VLOOKUP(A148,Government!A:B,2,)</f>
        <v/>
      </c>
      <c r="H148" s="32">
        <f>Table58[[#This Row],[Personal Consumption]]/Table58[[#This Row],[GDP]]</f>
        <v/>
      </c>
      <c r="I148" s="32">
        <f>Table58[[#This Row],[Private Investment]]/Table58[[#This Row],[GDP]]</f>
        <v/>
      </c>
      <c r="J148" s="32">
        <f>Table58[[#This Row],[Exports]]/Table58[[#This Row],[GDP]]</f>
        <v/>
      </c>
      <c r="K148" s="32">
        <f>-Table58[[#This Row],[Imports]]/Table58[[#This Row],[GDP]]</f>
        <v/>
      </c>
      <c r="L148" s="32">
        <f>Table58[[#This Row],[Government]]/Table58[[#This Row],[GDP]]</f>
        <v/>
      </c>
      <c r="N148" s="51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0" t="n">
        <v>30225</v>
      </c>
      <c r="B149" s="56">
        <f>VLOOKUP(A149,'U.S. GDP'!A:B,2,)</f>
        <v/>
      </c>
      <c r="C149" s="56">
        <f>VLOOKUP(A149,PersonalConsumption!A:B,2,)</f>
        <v/>
      </c>
      <c r="D149" s="56">
        <f>VLOOKUP(A149,PrivateInvestment!A:B,2,)</f>
        <v/>
      </c>
      <c r="E149" s="56">
        <f>VLOOKUP(A149,Exports!A:B,2,)</f>
        <v/>
      </c>
      <c r="F149" s="56">
        <f>VLOOKUP(A149,Imports!A:B,2,)</f>
        <v/>
      </c>
      <c r="G149" s="56">
        <f>VLOOKUP(A149,Government!A:B,2,)</f>
        <v/>
      </c>
      <c r="H149" s="32">
        <f>Table58[[#This Row],[Personal Consumption]]/Table58[[#This Row],[GDP]]</f>
        <v/>
      </c>
      <c r="I149" s="32">
        <f>Table58[[#This Row],[Private Investment]]/Table58[[#This Row],[GDP]]</f>
        <v/>
      </c>
      <c r="J149" s="32">
        <f>Table58[[#This Row],[Exports]]/Table58[[#This Row],[GDP]]</f>
        <v/>
      </c>
      <c r="K149" s="32">
        <f>-Table58[[#This Row],[Imports]]/Table58[[#This Row],[GDP]]</f>
        <v/>
      </c>
      <c r="L149" s="32">
        <f>Table58[[#This Row],[Government]]/Table58[[#This Row],[GDP]]</f>
        <v/>
      </c>
      <c r="N149" s="51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0" t="n">
        <v>30317</v>
      </c>
      <c r="B150" s="56">
        <f>VLOOKUP(A150,'U.S. GDP'!A:B,2,)</f>
        <v/>
      </c>
      <c r="C150" s="56">
        <f>VLOOKUP(A150,PersonalConsumption!A:B,2,)</f>
        <v/>
      </c>
      <c r="D150" s="56">
        <f>VLOOKUP(A150,PrivateInvestment!A:B,2,)</f>
        <v/>
      </c>
      <c r="E150" s="56">
        <f>VLOOKUP(A150,Exports!A:B,2,)</f>
        <v/>
      </c>
      <c r="F150" s="56">
        <f>VLOOKUP(A150,Imports!A:B,2,)</f>
        <v/>
      </c>
      <c r="G150" s="56">
        <f>VLOOKUP(A150,Government!A:B,2,)</f>
        <v/>
      </c>
      <c r="H150" s="32">
        <f>Table58[[#This Row],[Personal Consumption]]/Table58[[#This Row],[GDP]]</f>
        <v/>
      </c>
      <c r="I150" s="32">
        <f>Table58[[#This Row],[Private Investment]]/Table58[[#This Row],[GDP]]</f>
        <v/>
      </c>
      <c r="J150" s="32">
        <f>Table58[[#This Row],[Exports]]/Table58[[#This Row],[GDP]]</f>
        <v/>
      </c>
      <c r="K150" s="32">
        <f>-Table58[[#This Row],[Imports]]/Table58[[#This Row],[GDP]]</f>
        <v/>
      </c>
      <c r="L150" s="32">
        <f>Table58[[#This Row],[Government]]/Table58[[#This Row],[GDP]]</f>
        <v/>
      </c>
      <c r="N150" s="51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0" t="n">
        <v>30407</v>
      </c>
      <c r="B151" s="56">
        <f>VLOOKUP(A151,'U.S. GDP'!A:B,2,)</f>
        <v/>
      </c>
      <c r="C151" s="56">
        <f>VLOOKUP(A151,PersonalConsumption!A:B,2,)</f>
        <v/>
      </c>
      <c r="D151" s="56">
        <f>VLOOKUP(A151,PrivateInvestment!A:B,2,)</f>
        <v/>
      </c>
      <c r="E151" s="56">
        <f>VLOOKUP(A151,Exports!A:B,2,)</f>
        <v/>
      </c>
      <c r="F151" s="56">
        <f>VLOOKUP(A151,Imports!A:B,2,)</f>
        <v/>
      </c>
      <c r="G151" s="56">
        <f>VLOOKUP(A151,Government!A:B,2,)</f>
        <v/>
      </c>
      <c r="H151" s="32">
        <f>Table58[[#This Row],[Personal Consumption]]/Table58[[#This Row],[GDP]]</f>
        <v/>
      </c>
      <c r="I151" s="32">
        <f>Table58[[#This Row],[Private Investment]]/Table58[[#This Row],[GDP]]</f>
        <v/>
      </c>
      <c r="J151" s="32">
        <f>Table58[[#This Row],[Exports]]/Table58[[#This Row],[GDP]]</f>
        <v/>
      </c>
      <c r="K151" s="32">
        <f>-Table58[[#This Row],[Imports]]/Table58[[#This Row],[GDP]]</f>
        <v/>
      </c>
      <c r="L151" s="32">
        <f>Table58[[#This Row],[Government]]/Table58[[#This Row],[GDP]]</f>
        <v/>
      </c>
      <c r="N151" s="51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0" t="n">
        <v>30498</v>
      </c>
      <c r="B152" s="56">
        <f>VLOOKUP(A152,'U.S. GDP'!A:B,2,)</f>
        <v/>
      </c>
      <c r="C152" s="56">
        <f>VLOOKUP(A152,PersonalConsumption!A:B,2,)</f>
        <v/>
      </c>
      <c r="D152" s="56">
        <f>VLOOKUP(A152,PrivateInvestment!A:B,2,)</f>
        <v/>
      </c>
      <c r="E152" s="56">
        <f>VLOOKUP(A152,Exports!A:B,2,)</f>
        <v/>
      </c>
      <c r="F152" s="56">
        <f>VLOOKUP(A152,Imports!A:B,2,)</f>
        <v/>
      </c>
      <c r="G152" s="56">
        <f>VLOOKUP(A152,Government!A:B,2,)</f>
        <v/>
      </c>
      <c r="H152" s="32">
        <f>Table58[[#This Row],[Personal Consumption]]/Table58[[#This Row],[GDP]]</f>
        <v/>
      </c>
      <c r="I152" s="32">
        <f>Table58[[#This Row],[Private Investment]]/Table58[[#This Row],[GDP]]</f>
        <v/>
      </c>
      <c r="J152" s="32">
        <f>Table58[[#This Row],[Exports]]/Table58[[#This Row],[GDP]]</f>
        <v/>
      </c>
      <c r="K152" s="32">
        <f>-Table58[[#This Row],[Imports]]/Table58[[#This Row],[GDP]]</f>
        <v/>
      </c>
      <c r="L152" s="32">
        <f>Table58[[#This Row],[Government]]/Table58[[#This Row],[GDP]]</f>
        <v/>
      </c>
      <c r="N152" s="51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0" t="n">
        <v>30590</v>
      </c>
      <c r="B153" s="56">
        <f>VLOOKUP(A153,'U.S. GDP'!A:B,2,)</f>
        <v/>
      </c>
      <c r="C153" s="56">
        <f>VLOOKUP(A153,PersonalConsumption!A:B,2,)</f>
        <v/>
      </c>
      <c r="D153" s="56">
        <f>VLOOKUP(A153,PrivateInvestment!A:B,2,)</f>
        <v/>
      </c>
      <c r="E153" s="56">
        <f>VLOOKUP(A153,Exports!A:B,2,)</f>
        <v/>
      </c>
      <c r="F153" s="56">
        <f>VLOOKUP(A153,Imports!A:B,2,)</f>
        <v/>
      </c>
      <c r="G153" s="56">
        <f>VLOOKUP(A153,Government!A:B,2,)</f>
        <v/>
      </c>
      <c r="H153" s="32">
        <f>Table58[[#This Row],[Personal Consumption]]/Table58[[#This Row],[GDP]]</f>
        <v/>
      </c>
      <c r="I153" s="32">
        <f>Table58[[#This Row],[Private Investment]]/Table58[[#This Row],[GDP]]</f>
        <v/>
      </c>
      <c r="J153" s="32">
        <f>Table58[[#This Row],[Exports]]/Table58[[#This Row],[GDP]]</f>
        <v/>
      </c>
      <c r="K153" s="32">
        <f>-Table58[[#This Row],[Imports]]/Table58[[#This Row],[GDP]]</f>
        <v/>
      </c>
      <c r="L153" s="32">
        <f>Table58[[#This Row],[Government]]/Table58[[#This Row],[GDP]]</f>
        <v/>
      </c>
      <c r="N153" s="51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0" t="n">
        <v>30682</v>
      </c>
      <c r="B154" s="56">
        <f>VLOOKUP(A154,'U.S. GDP'!A:B,2,)</f>
        <v/>
      </c>
      <c r="C154" s="56">
        <f>VLOOKUP(A154,PersonalConsumption!A:B,2,)</f>
        <v/>
      </c>
      <c r="D154" s="56">
        <f>VLOOKUP(A154,PrivateInvestment!A:B,2,)</f>
        <v/>
      </c>
      <c r="E154" s="56">
        <f>VLOOKUP(A154,Exports!A:B,2,)</f>
        <v/>
      </c>
      <c r="F154" s="56">
        <f>VLOOKUP(A154,Imports!A:B,2,)</f>
        <v/>
      </c>
      <c r="G154" s="56">
        <f>VLOOKUP(A154,Government!A:B,2,)</f>
        <v/>
      </c>
      <c r="H154" s="32">
        <f>Table58[[#This Row],[Personal Consumption]]/Table58[[#This Row],[GDP]]</f>
        <v/>
      </c>
      <c r="I154" s="32">
        <f>Table58[[#This Row],[Private Investment]]/Table58[[#This Row],[GDP]]</f>
        <v/>
      </c>
      <c r="J154" s="32">
        <f>Table58[[#This Row],[Exports]]/Table58[[#This Row],[GDP]]</f>
        <v/>
      </c>
      <c r="K154" s="32">
        <f>-Table58[[#This Row],[Imports]]/Table58[[#This Row],[GDP]]</f>
        <v/>
      </c>
      <c r="L154" s="32">
        <f>Table58[[#This Row],[Government]]/Table58[[#This Row],[GDP]]</f>
        <v/>
      </c>
      <c r="N154" s="51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0" t="n">
        <v>30773</v>
      </c>
      <c r="B155" s="56">
        <f>VLOOKUP(A155,'U.S. GDP'!A:B,2,)</f>
        <v/>
      </c>
      <c r="C155" s="56">
        <f>VLOOKUP(A155,PersonalConsumption!A:B,2,)</f>
        <v/>
      </c>
      <c r="D155" s="56">
        <f>VLOOKUP(A155,PrivateInvestment!A:B,2,)</f>
        <v/>
      </c>
      <c r="E155" s="56">
        <f>VLOOKUP(A155,Exports!A:B,2,)</f>
        <v/>
      </c>
      <c r="F155" s="56">
        <f>VLOOKUP(A155,Imports!A:B,2,)</f>
        <v/>
      </c>
      <c r="G155" s="56">
        <f>VLOOKUP(A155,Government!A:B,2,)</f>
        <v/>
      </c>
      <c r="H155" s="32">
        <f>Table58[[#This Row],[Personal Consumption]]/Table58[[#This Row],[GDP]]</f>
        <v/>
      </c>
      <c r="I155" s="32">
        <f>Table58[[#This Row],[Private Investment]]/Table58[[#This Row],[GDP]]</f>
        <v/>
      </c>
      <c r="J155" s="32">
        <f>Table58[[#This Row],[Exports]]/Table58[[#This Row],[GDP]]</f>
        <v/>
      </c>
      <c r="K155" s="32">
        <f>-Table58[[#This Row],[Imports]]/Table58[[#This Row],[GDP]]</f>
        <v/>
      </c>
      <c r="L155" s="32">
        <f>Table58[[#This Row],[Government]]/Table58[[#This Row],[GDP]]</f>
        <v/>
      </c>
      <c r="N155" s="51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0" t="n">
        <v>30864</v>
      </c>
      <c r="B156" s="56">
        <f>VLOOKUP(A156,'U.S. GDP'!A:B,2,)</f>
        <v/>
      </c>
      <c r="C156" s="56">
        <f>VLOOKUP(A156,PersonalConsumption!A:B,2,)</f>
        <v/>
      </c>
      <c r="D156" s="56">
        <f>VLOOKUP(A156,PrivateInvestment!A:B,2,)</f>
        <v/>
      </c>
      <c r="E156" s="56">
        <f>VLOOKUP(A156,Exports!A:B,2,)</f>
        <v/>
      </c>
      <c r="F156" s="56">
        <f>VLOOKUP(A156,Imports!A:B,2,)</f>
        <v/>
      </c>
      <c r="G156" s="56">
        <f>VLOOKUP(A156,Government!A:B,2,)</f>
        <v/>
      </c>
      <c r="H156" s="32">
        <f>Table58[[#This Row],[Personal Consumption]]/Table58[[#This Row],[GDP]]</f>
        <v/>
      </c>
      <c r="I156" s="32">
        <f>Table58[[#This Row],[Private Investment]]/Table58[[#This Row],[GDP]]</f>
        <v/>
      </c>
      <c r="J156" s="32">
        <f>Table58[[#This Row],[Exports]]/Table58[[#This Row],[GDP]]</f>
        <v/>
      </c>
      <c r="K156" s="32">
        <f>-Table58[[#This Row],[Imports]]/Table58[[#This Row],[GDP]]</f>
        <v/>
      </c>
      <c r="L156" s="32">
        <f>Table58[[#This Row],[Government]]/Table58[[#This Row],[GDP]]</f>
        <v/>
      </c>
      <c r="N156" s="51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0" t="n">
        <v>30956</v>
      </c>
      <c r="B157" s="56">
        <f>VLOOKUP(A157,'U.S. GDP'!A:B,2,)</f>
        <v/>
      </c>
      <c r="C157" s="56">
        <f>VLOOKUP(A157,PersonalConsumption!A:B,2,)</f>
        <v/>
      </c>
      <c r="D157" s="56">
        <f>VLOOKUP(A157,PrivateInvestment!A:B,2,)</f>
        <v/>
      </c>
      <c r="E157" s="56">
        <f>VLOOKUP(A157,Exports!A:B,2,)</f>
        <v/>
      </c>
      <c r="F157" s="56">
        <f>VLOOKUP(A157,Imports!A:B,2,)</f>
        <v/>
      </c>
      <c r="G157" s="56">
        <f>VLOOKUP(A157,Government!A:B,2,)</f>
        <v/>
      </c>
      <c r="H157" s="32">
        <f>Table58[[#This Row],[Personal Consumption]]/Table58[[#This Row],[GDP]]</f>
        <v/>
      </c>
      <c r="I157" s="32">
        <f>Table58[[#This Row],[Private Investment]]/Table58[[#This Row],[GDP]]</f>
        <v/>
      </c>
      <c r="J157" s="32">
        <f>Table58[[#This Row],[Exports]]/Table58[[#This Row],[GDP]]</f>
        <v/>
      </c>
      <c r="K157" s="32">
        <f>-Table58[[#This Row],[Imports]]/Table58[[#This Row],[GDP]]</f>
        <v/>
      </c>
      <c r="L157" s="32">
        <f>Table58[[#This Row],[Government]]/Table58[[#This Row],[GDP]]</f>
        <v/>
      </c>
      <c r="N157" s="51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0" t="n">
        <v>31048</v>
      </c>
      <c r="B158" s="56">
        <f>VLOOKUP(A158,'U.S. GDP'!A:B,2,)</f>
        <v/>
      </c>
      <c r="C158" s="56">
        <f>VLOOKUP(A158,PersonalConsumption!A:B,2,)</f>
        <v/>
      </c>
      <c r="D158" s="56">
        <f>VLOOKUP(A158,PrivateInvestment!A:B,2,)</f>
        <v/>
      </c>
      <c r="E158" s="56">
        <f>VLOOKUP(A158,Exports!A:B,2,)</f>
        <v/>
      </c>
      <c r="F158" s="56">
        <f>VLOOKUP(A158,Imports!A:B,2,)</f>
        <v/>
      </c>
      <c r="G158" s="56">
        <f>VLOOKUP(A158,Government!A:B,2,)</f>
        <v/>
      </c>
      <c r="H158" s="32">
        <f>Table58[[#This Row],[Personal Consumption]]/Table58[[#This Row],[GDP]]</f>
        <v/>
      </c>
      <c r="I158" s="32">
        <f>Table58[[#This Row],[Private Investment]]/Table58[[#This Row],[GDP]]</f>
        <v/>
      </c>
      <c r="J158" s="32">
        <f>Table58[[#This Row],[Exports]]/Table58[[#This Row],[GDP]]</f>
        <v/>
      </c>
      <c r="K158" s="32">
        <f>-Table58[[#This Row],[Imports]]/Table58[[#This Row],[GDP]]</f>
        <v/>
      </c>
      <c r="L158" s="32">
        <f>Table58[[#This Row],[Government]]/Table58[[#This Row],[GDP]]</f>
        <v/>
      </c>
      <c r="N158" s="51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0" t="n">
        <v>31138</v>
      </c>
      <c r="B159" s="56">
        <f>VLOOKUP(A159,'U.S. GDP'!A:B,2,)</f>
        <v/>
      </c>
      <c r="C159" s="56">
        <f>VLOOKUP(A159,PersonalConsumption!A:B,2,)</f>
        <v/>
      </c>
      <c r="D159" s="56">
        <f>VLOOKUP(A159,PrivateInvestment!A:B,2,)</f>
        <v/>
      </c>
      <c r="E159" s="56">
        <f>VLOOKUP(A159,Exports!A:B,2,)</f>
        <v/>
      </c>
      <c r="F159" s="56">
        <f>VLOOKUP(A159,Imports!A:B,2,)</f>
        <v/>
      </c>
      <c r="G159" s="56">
        <f>VLOOKUP(A159,Government!A:B,2,)</f>
        <v/>
      </c>
      <c r="H159" s="32">
        <f>Table58[[#This Row],[Personal Consumption]]/Table58[[#This Row],[GDP]]</f>
        <v/>
      </c>
      <c r="I159" s="32">
        <f>Table58[[#This Row],[Private Investment]]/Table58[[#This Row],[GDP]]</f>
        <v/>
      </c>
      <c r="J159" s="32">
        <f>Table58[[#This Row],[Exports]]/Table58[[#This Row],[GDP]]</f>
        <v/>
      </c>
      <c r="K159" s="32">
        <f>-Table58[[#This Row],[Imports]]/Table58[[#This Row],[GDP]]</f>
        <v/>
      </c>
      <c r="L159" s="32">
        <f>Table58[[#This Row],[Government]]/Table58[[#This Row],[GDP]]</f>
        <v/>
      </c>
      <c r="N159" s="51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0" t="n">
        <v>31229</v>
      </c>
      <c r="B160" s="56">
        <f>VLOOKUP(A160,'U.S. GDP'!A:B,2,)</f>
        <v/>
      </c>
      <c r="C160" s="56">
        <f>VLOOKUP(A160,PersonalConsumption!A:B,2,)</f>
        <v/>
      </c>
      <c r="D160" s="56">
        <f>VLOOKUP(A160,PrivateInvestment!A:B,2,)</f>
        <v/>
      </c>
      <c r="E160" s="56">
        <f>VLOOKUP(A160,Exports!A:B,2,)</f>
        <v/>
      </c>
      <c r="F160" s="56">
        <f>VLOOKUP(A160,Imports!A:B,2,)</f>
        <v/>
      </c>
      <c r="G160" s="56">
        <f>VLOOKUP(A160,Government!A:B,2,)</f>
        <v/>
      </c>
      <c r="H160" s="32">
        <f>Table58[[#This Row],[Personal Consumption]]/Table58[[#This Row],[GDP]]</f>
        <v/>
      </c>
      <c r="I160" s="32">
        <f>Table58[[#This Row],[Private Investment]]/Table58[[#This Row],[GDP]]</f>
        <v/>
      </c>
      <c r="J160" s="32">
        <f>Table58[[#This Row],[Exports]]/Table58[[#This Row],[GDP]]</f>
        <v/>
      </c>
      <c r="K160" s="32">
        <f>-Table58[[#This Row],[Imports]]/Table58[[#This Row],[GDP]]</f>
        <v/>
      </c>
      <c r="L160" s="32">
        <f>Table58[[#This Row],[Government]]/Table58[[#This Row],[GDP]]</f>
        <v/>
      </c>
      <c r="N160" s="51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0" t="n">
        <v>31321</v>
      </c>
      <c r="B161" s="56">
        <f>VLOOKUP(A161,'U.S. GDP'!A:B,2,)</f>
        <v/>
      </c>
      <c r="C161" s="56">
        <f>VLOOKUP(A161,PersonalConsumption!A:B,2,)</f>
        <v/>
      </c>
      <c r="D161" s="56">
        <f>VLOOKUP(A161,PrivateInvestment!A:B,2,)</f>
        <v/>
      </c>
      <c r="E161" s="56">
        <f>VLOOKUP(A161,Exports!A:B,2,)</f>
        <v/>
      </c>
      <c r="F161" s="56">
        <f>VLOOKUP(A161,Imports!A:B,2,)</f>
        <v/>
      </c>
      <c r="G161" s="56">
        <f>VLOOKUP(A161,Government!A:B,2,)</f>
        <v/>
      </c>
      <c r="H161" s="32">
        <f>Table58[[#This Row],[Personal Consumption]]/Table58[[#This Row],[GDP]]</f>
        <v/>
      </c>
      <c r="I161" s="32">
        <f>Table58[[#This Row],[Private Investment]]/Table58[[#This Row],[GDP]]</f>
        <v/>
      </c>
      <c r="J161" s="32">
        <f>Table58[[#This Row],[Exports]]/Table58[[#This Row],[GDP]]</f>
        <v/>
      </c>
      <c r="K161" s="32">
        <f>-Table58[[#This Row],[Imports]]/Table58[[#This Row],[GDP]]</f>
        <v/>
      </c>
      <c r="L161" s="32">
        <f>Table58[[#This Row],[Government]]/Table58[[#This Row],[GDP]]</f>
        <v/>
      </c>
      <c r="N161" s="51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0" t="n">
        <v>31413</v>
      </c>
      <c r="B162" s="56">
        <f>VLOOKUP(A162,'U.S. GDP'!A:B,2,)</f>
        <v/>
      </c>
      <c r="C162" s="56">
        <f>VLOOKUP(A162,PersonalConsumption!A:B,2,)</f>
        <v/>
      </c>
      <c r="D162" s="56">
        <f>VLOOKUP(A162,PrivateInvestment!A:B,2,)</f>
        <v/>
      </c>
      <c r="E162" s="56">
        <f>VLOOKUP(A162,Exports!A:B,2,)</f>
        <v/>
      </c>
      <c r="F162" s="56">
        <f>VLOOKUP(A162,Imports!A:B,2,)</f>
        <v/>
      </c>
      <c r="G162" s="56">
        <f>VLOOKUP(A162,Government!A:B,2,)</f>
        <v/>
      </c>
      <c r="H162" s="32">
        <f>Table58[[#This Row],[Personal Consumption]]/Table58[[#This Row],[GDP]]</f>
        <v/>
      </c>
      <c r="I162" s="32">
        <f>Table58[[#This Row],[Private Investment]]/Table58[[#This Row],[GDP]]</f>
        <v/>
      </c>
      <c r="J162" s="32">
        <f>Table58[[#This Row],[Exports]]/Table58[[#This Row],[GDP]]</f>
        <v/>
      </c>
      <c r="K162" s="32">
        <f>-Table58[[#This Row],[Imports]]/Table58[[#This Row],[GDP]]</f>
        <v/>
      </c>
      <c r="L162" s="32">
        <f>Table58[[#This Row],[Government]]/Table58[[#This Row],[GDP]]</f>
        <v/>
      </c>
      <c r="N162" s="51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0" t="n">
        <v>31503</v>
      </c>
      <c r="B163" s="56">
        <f>VLOOKUP(A163,'U.S. GDP'!A:B,2,)</f>
        <v/>
      </c>
      <c r="C163" s="56">
        <f>VLOOKUP(A163,PersonalConsumption!A:B,2,)</f>
        <v/>
      </c>
      <c r="D163" s="56">
        <f>VLOOKUP(A163,PrivateInvestment!A:B,2,)</f>
        <v/>
      </c>
      <c r="E163" s="56">
        <f>VLOOKUP(A163,Exports!A:B,2,)</f>
        <v/>
      </c>
      <c r="F163" s="56">
        <f>VLOOKUP(A163,Imports!A:B,2,)</f>
        <v/>
      </c>
      <c r="G163" s="56">
        <f>VLOOKUP(A163,Government!A:B,2,)</f>
        <v/>
      </c>
      <c r="H163" s="32">
        <f>Table58[[#This Row],[Personal Consumption]]/Table58[[#This Row],[GDP]]</f>
        <v/>
      </c>
      <c r="I163" s="32">
        <f>Table58[[#This Row],[Private Investment]]/Table58[[#This Row],[GDP]]</f>
        <v/>
      </c>
      <c r="J163" s="32">
        <f>Table58[[#This Row],[Exports]]/Table58[[#This Row],[GDP]]</f>
        <v/>
      </c>
      <c r="K163" s="32">
        <f>-Table58[[#This Row],[Imports]]/Table58[[#This Row],[GDP]]</f>
        <v/>
      </c>
      <c r="L163" s="32">
        <f>Table58[[#This Row],[Government]]/Table58[[#This Row],[GDP]]</f>
        <v/>
      </c>
      <c r="N163" s="51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0" t="n">
        <v>31594</v>
      </c>
      <c r="B164" s="56">
        <f>VLOOKUP(A164,'U.S. GDP'!A:B,2,)</f>
        <v/>
      </c>
      <c r="C164" s="56">
        <f>VLOOKUP(A164,PersonalConsumption!A:B,2,)</f>
        <v/>
      </c>
      <c r="D164" s="56">
        <f>VLOOKUP(A164,PrivateInvestment!A:B,2,)</f>
        <v/>
      </c>
      <c r="E164" s="56">
        <f>VLOOKUP(A164,Exports!A:B,2,)</f>
        <v/>
      </c>
      <c r="F164" s="56">
        <f>VLOOKUP(A164,Imports!A:B,2,)</f>
        <v/>
      </c>
      <c r="G164" s="56">
        <f>VLOOKUP(A164,Government!A:B,2,)</f>
        <v/>
      </c>
      <c r="H164" s="32">
        <f>Table58[[#This Row],[Personal Consumption]]/Table58[[#This Row],[GDP]]</f>
        <v/>
      </c>
      <c r="I164" s="32">
        <f>Table58[[#This Row],[Private Investment]]/Table58[[#This Row],[GDP]]</f>
        <v/>
      </c>
      <c r="J164" s="32">
        <f>Table58[[#This Row],[Exports]]/Table58[[#This Row],[GDP]]</f>
        <v/>
      </c>
      <c r="K164" s="32">
        <f>-Table58[[#This Row],[Imports]]/Table58[[#This Row],[GDP]]</f>
        <v/>
      </c>
      <c r="L164" s="32">
        <f>Table58[[#This Row],[Government]]/Table58[[#This Row],[GDP]]</f>
        <v/>
      </c>
      <c r="N164" s="51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0" t="n">
        <v>31686</v>
      </c>
      <c r="B165" s="56">
        <f>VLOOKUP(A165,'U.S. GDP'!A:B,2,)</f>
        <v/>
      </c>
      <c r="C165" s="56">
        <f>VLOOKUP(A165,PersonalConsumption!A:B,2,)</f>
        <v/>
      </c>
      <c r="D165" s="56">
        <f>VLOOKUP(A165,PrivateInvestment!A:B,2,)</f>
        <v/>
      </c>
      <c r="E165" s="56">
        <f>VLOOKUP(A165,Exports!A:B,2,)</f>
        <v/>
      </c>
      <c r="F165" s="56">
        <f>VLOOKUP(A165,Imports!A:B,2,)</f>
        <v/>
      </c>
      <c r="G165" s="56">
        <f>VLOOKUP(A165,Government!A:B,2,)</f>
        <v/>
      </c>
      <c r="H165" s="32">
        <f>Table58[[#This Row],[Personal Consumption]]/Table58[[#This Row],[GDP]]</f>
        <v/>
      </c>
      <c r="I165" s="32">
        <f>Table58[[#This Row],[Private Investment]]/Table58[[#This Row],[GDP]]</f>
        <v/>
      </c>
      <c r="J165" s="32">
        <f>Table58[[#This Row],[Exports]]/Table58[[#This Row],[GDP]]</f>
        <v/>
      </c>
      <c r="K165" s="32">
        <f>-Table58[[#This Row],[Imports]]/Table58[[#This Row],[GDP]]</f>
        <v/>
      </c>
      <c r="L165" s="32">
        <f>Table58[[#This Row],[Government]]/Table58[[#This Row],[GDP]]</f>
        <v/>
      </c>
      <c r="N165" s="51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0" t="n">
        <v>31778</v>
      </c>
      <c r="B166" s="56">
        <f>VLOOKUP(A166,'U.S. GDP'!A:B,2,)</f>
        <v/>
      </c>
      <c r="C166" s="56">
        <f>VLOOKUP(A166,PersonalConsumption!A:B,2,)</f>
        <v/>
      </c>
      <c r="D166" s="56">
        <f>VLOOKUP(A166,PrivateInvestment!A:B,2,)</f>
        <v/>
      </c>
      <c r="E166" s="56">
        <f>VLOOKUP(A166,Exports!A:B,2,)</f>
        <v/>
      </c>
      <c r="F166" s="56">
        <f>VLOOKUP(A166,Imports!A:B,2,)</f>
        <v/>
      </c>
      <c r="G166" s="56">
        <f>VLOOKUP(A166,Government!A:B,2,)</f>
        <v/>
      </c>
      <c r="H166" s="32">
        <f>Table58[[#This Row],[Personal Consumption]]/Table58[[#This Row],[GDP]]</f>
        <v/>
      </c>
      <c r="I166" s="32">
        <f>Table58[[#This Row],[Private Investment]]/Table58[[#This Row],[GDP]]</f>
        <v/>
      </c>
      <c r="J166" s="32">
        <f>Table58[[#This Row],[Exports]]/Table58[[#This Row],[GDP]]</f>
        <v/>
      </c>
      <c r="K166" s="32">
        <f>-Table58[[#This Row],[Imports]]/Table58[[#This Row],[GDP]]</f>
        <v/>
      </c>
      <c r="L166" s="32">
        <f>Table58[[#This Row],[Government]]/Table58[[#This Row],[GDP]]</f>
        <v/>
      </c>
      <c r="N166" s="51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0" t="n">
        <v>31868</v>
      </c>
      <c r="B167" s="56">
        <f>VLOOKUP(A167,'U.S. GDP'!A:B,2,)</f>
        <v/>
      </c>
      <c r="C167" s="56">
        <f>VLOOKUP(A167,PersonalConsumption!A:B,2,)</f>
        <v/>
      </c>
      <c r="D167" s="56">
        <f>VLOOKUP(A167,PrivateInvestment!A:B,2,)</f>
        <v/>
      </c>
      <c r="E167" s="56">
        <f>VLOOKUP(A167,Exports!A:B,2,)</f>
        <v/>
      </c>
      <c r="F167" s="56">
        <f>VLOOKUP(A167,Imports!A:B,2,)</f>
        <v/>
      </c>
      <c r="G167" s="56">
        <f>VLOOKUP(A167,Government!A:B,2,)</f>
        <v/>
      </c>
      <c r="H167" s="32">
        <f>Table58[[#This Row],[Personal Consumption]]/Table58[[#This Row],[GDP]]</f>
        <v/>
      </c>
      <c r="I167" s="32">
        <f>Table58[[#This Row],[Private Investment]]/Table58[[#This Row],[GDP]]</f>
        <v/>
      </c>
      <c r="J167" s="32">
        <f>Table58[[#This Row],[Exports]]/Table58[[#This Row],[GDP]]</f>
        <v/>
      </c>
      <c r="K167" s="32">
        <f>-Table58[[#This Row],[Imports]]/Table58[[#This Row],[GDP]]</f>
        <v/>
      </c>
      <c r="L167" s="32">
        <f>Table58[[#This Row],[Government]]/Table58[[#This Row],[GDP]]</f>
        <v/>
      </c>
      <c r="N167" s="51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0" t="n">
        <v>31959</v>
      </c>
      <c r="B168" s="56">
        <f>VLOOKUP(A168,'U.S. GDP'!A:B,2,)</f>
        <v/>
      </c>
      <c r="C168" s="56">
        <f>VLOOKUP(A168,PersonalConsumption!A:B,2,)</f>
        <v/>
      </c>
      <c r="D168" s="56">
        <f>VLOOKUP(A168,PrivateInvestment!A:B,2,)</f>
        <v/>
      </c>
      <c r="E168" s="56">
        <f>VLOOKUP(A168,Exports!A:B,2,)</f>
        <v/>
      </c>
      <c r="F168" s="56">
        <f>VLOOKUP(A168,Imports!A:B,2,)</f>
        <v/>
      </c>
      <c r="G168" s="56">
        <f>VLOOKUP(A168,Government!A:B,2,)</f>
        <v/>
      </c>
      <c r="H168" s="32">
        <f>Table58[[#This Row],[Personal Consumption]]/Table58[[#This Row],[GDP]]</f>
        <v/>
      </c>
      <c r="I168" s="32">
        <f>Table58[[#This Row],[Private Investment]]/Table58[[#This Row],[GDP]]</f>
        <v/>
      </c>
      <c r="J168" s="32">
        <f>Table58[[#This Row],[Exports]]/Table58[[#This Row],[GDP]]</f>
        <v/>
      </c>
      <c r="K168" s="32">
        <f>-Table58[[#This Row],[Imports]]/Table58[[#This Row],[GDP]]</f>
        <v/>
      </c>
      <c r="L168" s="32">
        <f>Table58[[#This Row],[Government]]/Table58[[#This Row],[GDP]]</f>
        <v/>
      </c>
      <c r="N168" s="51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0" t="n">
        <v>32051</v>
      </c>
      <c r="B169" s="56">
        <f>VLOOKUP(A169,'U.S. GDP'!A:B,2,)</f>
        <v/>
      </c>
      <c r="C169" s="56">
        <f>VLOOKUP(A169,PersonalConsumption!A:B,2,)</f>
        <v/>
      </c>
      <c r="D169" s="56">
        <f>VLOOKUP(A169,PrivateInvestment!A:B,2,)</f>
        <v/>
      </c>
      <c r="E169" s="56">
        <f>VLOOKUP(A169,Exports!A:B,2,)</f>
        <v/>
      </c>
      <c r="F169" s="56">
        <f>VLOOKUP(A169,Imports!A:B,2,)</f>
        <v/>
      </c>
      <c r="G169" s="56">
        <f>VLOOKUP(A169,Government!A:B,2,)</f>
        <v/>
      </c>
      <c r="H169" s="32">
        <f>Table58[[#This Row],[Personal Consumption]]/Table58[[#This Row],[GDP]]</f>
        <v/>
      </c>
      <c r="I169" s="32">
        <f>Table58[[#This Row],[Private Investment]]/Table58[[#This Row],[GDP]]</f>
        <v/>
      </c>
      <c r="J169" s="32">
        <f>Table58[[#This Row],[Exports]]/Table58[[#This Row],[GDP]]</f>
        <v/>
      </c>
      <c r="K169" s="32">
        <f>-Table58[[#This Row],[Imports]]/Table58[[#This Row],[GDP]]</f>
        <v/>
      </c>
      <c r="L169" s="32">
        <f>Table58[[#This Row],[Government]]/Table58[[#This Row],[GDP]]</f>
        <v/>
      </c>
      <c r="N169" s="51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0" t="n">
        <v>32143</v>
      </c>
      <c r="B170" s="56">
        <f>VLOOKUP(A170,'U.S. GDP'!A:B,2,)</f>
        <v/>
      </c>
      <c r="C170" s="56">
        <f>VLOOKUP(A170,PersonalConsumption!A:B,2,)</f>
        <v/>
      </c>
      <c r="D170" s="56">
        <f>VLOOKUP(A170,PrivateInvestment!A:B,2,)</f>
        <v/>
      </c>
      <c r="E170" s="56">
        <f>VLOOKUP(A170,Exports!A:B,2,)</f>
        <v/>
      </c>
      <c r="F170" s="56">
        <f>VLOOKUP(A170,Imports!A:B,2,)</f>
        <v/>
      </c>
      <c r="G170" s="56">
        <f>VLOOKUP(A170,Government!A:B,2,)</f>
        <v/>
      </c>
      <c r="H170" s="32">
        <f>Table58[[#This Row],[Personal Consumption]]/Table58[[#This Row],[GDP]]</f>
        <v/>
      </c>
      <c r="I170" s="32">
        <f>Table58[[#This Row],[Private Investment]]/Table58[[#This Row],[GDP]]</f>
        <v/>
      </c>
      <c r="J170" s="32">
        <f>Table58[[#This Row],[Exports]]/Table58[[#This Row],[GDP]]</f>
        <v/>
      </c>
      <c r="K170" s="32">
        <f>-Table58[[#This Row],[Imports]]/Table58[[#This Row],[GDP]]</f>
        <v/>
      </c>
      <c r="L170" s="32">
        <f>Table58[[#This Row],[Government]]/Table58[[#This Row],[GDP]]</f>
        <v/>
      </c>
      <c r="N170" s="51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0" t="n">
        <v>32234</v>
      </c>
      <c r="B171" s="56">
        <f>VLOOKUP(A171,'U.S. GDP'!A:B,2,)</f>
        <v/>
      </c>
      <c r="C171" s="56">
        <f>VLOOKUP(A171,PersonalConsumption!A:B,2,)</f>
        <v/>
      </c>
      <c r="D171" s="56">
        <f>VLOOKUP(A171,PrivateInvestment!A:B,2,)</f>
        <v/>
      </c>
      <c r="E171" s="56">
        <f>VLOOKUP(A171,Exports!A:B,2,)</f>
        <v/>
      </c>
      <c r="F171" s="56">
        <f>VLOOKUP(A171,Imports!A:B,2,)</f>
        <v/>
      </c>
      <c r="G171" s="56">
        <f>VLOOKUP(A171,Government!A:B,2,)</f>
        <v/>
      </c>
      <c r="H171" s="32">
        <f>Table58[[#This Row],[Personal Consumption]]/Table58[[#This Row],[GDP]]</f>
        <v/>
      </c>
      <c r="I171" s="32">
        <f>Table58[[#This Row],[Private Investment]]/Table58[[#This Row],[GDP]]</f>
        <v/>
      </c>
      <c r="J171" s="32">
        <f>Table58[[#This Row],[Exports]]/Table58[[#This Row],[GDP]]</f>
        <v/>
      </c>
      <c r="K171" s="32">
        <f>-Table58[[#This Row],[Imports]]/Table58[[#This Row],[GDP]]</f>
        <v/>
      </c>
      <c r="L171" s="32">
        <f>Table58[[#This Row],[Government]]/Table58[[#This Row],[GDP]]</f>
        <v/>
      </c>
      <c r="N171" s="51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0" t="n">
        <v>32325</v>
      </c>
      <c r="B172" s="56">
        <f>VLOOKUP(A172,'U.S. GDP'!A:B,2,)</f>
        <v/>
      </c>
      <c r="C172" s="56">
        <f>VLOOKUP(A172,PersonalConsumption!A:B,2,)</f>
        <v/>
      </c>
      <c r="D172" s="56">
        <f>VLOOKUP(A172,PrivateInvestment!A:B,2,)</f>
        <v/>
      </c>
      <c r="E172" s="56">
        <f>VLOOKUP(A172,Exports!A:B,2,)</f>
        <v/>
      </c>
      <c r="F172" s="56">
        <f>VLOOKUP(A172,Imports!A:B,2,)</f>
        <v/>
      </c>
      <c r="G172" s="56">
        <f>VLOOKUP(A172,Government!A:B,2,)</f>
        <v/>
      </c>
      <c r="H172" s="32">
        <f>Table58[[#This Row],[Personal Consumption]]/Table58[[#This Row],[GDP]]</f>
        <v/>
      </c>
      <c r="I172" s="32">
        <f>Table58[[#This Row],[Private Investment]]/Table58[[#This Row],[GDP]]</f>
        <v/>
      </c>
      <c r="J172" s="32">
        <f>Table58[[#This Row],[Exports]]/Table58[[#This Row],[GDP]]</f>
        <v/>
      </c>
      <c r="K172" s="32">
        <f>-Table58[[#This Row],[Imports]]/Table58[[#This Row],[GDP]]</f>
        <v/>
      </c>
      <c r="L172" s="32">
        <f>Table58[[#This Row],[Government]]/Table58[[#This Row],[GDP]]</f>
        <v/>
      </c>
      <c r="N172" s="51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0" t="n">
        <v>32417</v>
      </c>
      <c r="B173" s="56">
        <f>VLOOKUP(A173,'U.S. GDP'!A:B,2,)</f>
        <v/>
      </c>
      <c r="C173" s="56">
        <f>VLOOKUP(A173,PersonalConsumption!A:B,2,)</f>
        <v/>
      </c>
      <c r="D173" s="56">
        <f>VLOOKUP(A173,PrivateInvestment!A:B,2,)</f>
        <v/>
      </c>
      <c r="E173" s="56">
        <f>VLOOKUP(A173,Exports!A:B,2,)</f>
        <v/>
      </c>
      <c r="F173" s="56">
        <f>VLOOKUP(A173,Imports!A:B,2,)</f>
        <v/>
      </c>
      <c r="G173" s="56">
        <f>VLOOKUP(A173,Government!A:B,2,)</f>
        <v/>
      </c>
      <c r="H173" s="32">
        <f>Table58[[#This Row],[Personal Consumption]]/Table58[[#This Row],[GDP]]</f>
        <v/>
      </c>
      <c r="I173" s="32">
        <f>Table58[[#This Row],[Private Investment]]/Table58[[#This Row],[GDP]]</f>
        <v/>
      </c>
      <c r="J173" s="32">
        <f>Table58[[#This Row],[Exports]]/Table58[[#This Row],[GDP]]</f>
        <v/>
      </c>
      <c r="K173" s="32">
        <f>-Table58[[#This Row],[Imports]]/Table58[[#This Row],[GDP]]</f>
        <v/>
      </c>
      <c r="L173" s="32">
        <f>Table58[[#This Row],[Government]]/Table58[[#This Row],[GDP]]</f>
        <v/>
      </c>
      <c r="N173" s="51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0" t="n">
        <v>32509</v>
      </c>
      <c r="B174" s="56">
        <f>VLOOKUP(A174,'U.S. GDP'!A:B,2,)</f>
        <v/>
      </c>
      <c r="C174" s="56">
        <f>VLOOKUP(A174,PersonalConsumption!A:B,2,)</f>
        <v/>
      </c>
      <c r="D174" s="56">
        <f>VLOOKUP(A174,PrivateInvestment!A:B,2,)</f>
        <v/>
      </c>
      <c r="E174" s="56">
        <f>VLOOKUP(A174,Exports!A:B,2,)</f>
        <v/>
      </c>
      <c r="F174" s="56">
        <f>VLOOKUP(A174,Imports!A:B,2,)</f>
        <v/>
      </c>
      <c r="G174" s="56">
        <f>VLOOKUP(A174,Government!A:B,2,)</f>
        <v/>
      </c>
      <c r="H174" s="32">
        <f>Table58[[#This Row],[Personal Consumption]]/Table58[[#This Row],[GDP]]</f>
        <v/>
      </c>
      <c r="I174" s="32">
        <f>Table58[[#This Row],[Private Investment]]/Table58[[#This Row],[GDP]]</f>
        <v/>
      </c>
      <c r="J174" s="32">
        <f>Table58[[#This Row],[Exports]]/Table58[[#This Row],[GDP]]</f>
        <v/>
      </c>
      <c r="K174" s="32">
        <f>-Table58[[#This Row],[Imports]]/Table58[[#This Row],[GDP]]</f>
        <v/>
      </c>
      <c r="L174" s="32">
        <f>Table58[[#This Row],[Government]]/Table58[[#This Row],[GDP]]</f>
        <v/>
      </c>
      <c r="N174" s="51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0" t="n">
        <v>32599</v>
      </c>
      <c r="B175" s="56">
        <f>VLOOKUP(A175,'U.S. GDP'!A:B,2,)</f>
        <v/>
      </c>
      <c r="C175" s="56">
        <f>VLOOKUP(A175,PersonalConsumption!A:B,2,)</f>
        <v/>
      </c>
      <c r="D175" s="56">
        <f>VLOOKUP(A175,PrivateInvestment!A:B,2,)</f>
        <v/>
      </c>
      <c r="E175" s="56">
        <f>VLOOKUP(A175,Exports!A:B,2,)</f>
        <v/>
      </c>
      <c r="F175" s="56">
        <f>VLOOKUP(A175,Imports!A:B,2,)</f>
        <v/>
      </c>
      <c r="G175" s="56">
        <f>VLOOKUP(A175,Government!A:B,2,)</f>
        <v/>
      </c>
      <c r="H175" s="32">
        <f>Table58[[#This Row],[Personal Consumption]]/Table58[[#This Row],[GDP]]</f>
        <v/>
      </c>
      <c r="I175" s="32">
        <f>Table58[[#This Row],[Private Investment]]/Table58[[#This Row],[GDP]]</f>
        <v/>
      </c>
      <c r="J175" s="32">
        <f>Table58[[#This Row],[Exports]]/Table58[[#This Row],[GDP]]</f>
        <v/>
      </c>
      <c r="K175" s="32">
        <f>-Table58[[#This Row],[Imports]]/Table58[[#This Row],[GDP]]</f>
        <v/>
      </c>
      <c r="L175" s="32">
        <f>Table58[[#This Row],[Government]]/Table58[[#This Row],[GDP]]</f>
        <v/>
      </c>
      <c r="N175" s="51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0" t="n">
        <v>32690</v>
      </c>
      <c r="B176" s="56">
        <f>VLOOKUP(A176,'U.S. GDP'!A:B,2,)</f>
        <v/>
      </c>
      <c r="C176" s="56">
        <f>VLOOKUP(A176,PersonalConsumption!A:B,2,)</f>
        <v/>
      </c>
      <c r="D176" s="56">
        <f>VLOOKUP(A176,PrivateInvestment!A:B,2,)</f>
        <v/>
      </c>
      <c r="E176" s="56">
        <f>VLOOKUP(A176,Exports!A:B,2,)</f>
        <v/>
      </c>
      <c r="F176" s="56">
        <f>VLOOKUP(A176,Imports!A:B,2,)</f>
        <v/>
      </c>
      <c r="G176" s="56">
        <f>VLOOKUP(A176,Government!A:B,2,)</f>
        <v/>
      </c>
      <c r="H176" s="32">
        <f>Table58[[#This Row],[Personal Consumption]]/Table58[[#This Row],[GDP]]</f>
        <v/>
      </c>
      <c r="I176" s="32">
        <f>Table58[[#This Row],[Private Investment]]/Table58[[#This Row],[GDP]]</f>
        <v/>
      </c>
      <c r="J176" s="32">
        <f>Table58[[#This Row],[Exports]]/Table58[[#This Row],[GDP]]</f>
        <v/>
      </c>
      <c r="K176" s="32">
        <f>-Table58[[#This Row],[Imports]]/Table58[[#This Row],[GDP]]</f>
        <v/>
      </c>
      <c r="L176" s="32">
        <f>Table58[[#This Row],[Government]]/Table58[[#This Row],[GDP]]</f>
        <v/>
      </c>
      <c r="N176" s="51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0" t="n">
        <v>32782</v>
      </c>
      <c r="B177" s="56">
        <f>VLOOKUP(A177,'U.S. GDP'!A:B,2,)</f>
        <v/>
      </c>
      <c r="C177" s="56">
        <f>VLOOKUP(A177,PersonalConsumption!A:B,2,)</f>
        <v/>
      </c>
      <c r="D177" s="56">
        <f>VLOOKUP(A177,PrivateInvestment!A:B,2,)</f>
        <v/>
      </c>
      <c r="E177" s="56">
        <f>VLOOKUP(A177,Exports!A:B,2,)</f>
        <v/>
      </c>
      <c r="F177" s="56">
        <f>VLOOKUP(A177,Imports!A:B,2,)</f>
        <v/>
      </c>
      <c r="G177" s="56">
        <f>VLOOKUP(A177,Government!A:B,2,)</f>
        <v/>
      </c>
      <c r="H177" s="32">
        <f>Table58[[#This Row],[Personal Consumption]]/Table58[[#This Row],[GDP]]</f>
        <v/>
      </c>
      <c r="I177" s="32">
        <f>Table58[[#This Row],[Private Investment]]/Table58[[#This Row],[GDP]]</f>
        <v/>
      </c>
      <c r="J177" s="32">
        <f>Table58[[#This Row],[Exports]]/Table58[[#This Row],[GDP]]</f>
        <v/>
      </c>
      <c r="K177" s="32">
        <f>-Table58[[#This Row],[Imports]]/Table58[[#This Row],[GDP]]</f>
        <v/>
      </c>
      <c r="L177" s="32">
        <f>Table58[[#This Row],[Government]]/Table58[[#This Row],[GDP]]</f>
        <v/>
      </c>
      <c r="N177" s="51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0" t="n">
        <v>32874</v>
      </c>
      <c r="B178" s="56">
        <f>VLOOKUP(A178,'U.S. GDP'!A:B,2,)</f>
        <v/>
      </c>
      <c r="C178" s="56">
        <f>VLOOKUP(A178,PersonalConsumption!A:B,2,)</f>
        <v/>
      </c>
      <c r="D178" s="56">
        <f>VLOOKUP(A178,PrivateInvestment!A:B,2,)</f>
        <v/>
      </c>
      <c r="E178" s="56">
        <f>VLOOKUP(A178,Exports!A:B,2,)</f>
        <v/>
      </c>
      <c r="F178" s="56">
        <f>VLOOKUP(A178,Imports!A:B,2,)</f>
        <v/>
      </c>
      <c r="G178" s="56">
        <f>VLOOKUP(A178,Government!A:B,2,)</f>
        <v/>
      </c>
      <c r="H178" s="32">
        <f>Table58[[#This Row],[Personal Consumption]]/Table58[[#This Row],[GDP]]</f>
        <v/>
      </c>
      <c r="I178" s="32">
        <f>Table58[[#This Row],[Private Investment]]/Table58[[#This Row],[GDP]]</f>
        <v/>
      </c>
      <c r="J178" s="32">
        <f>Table58[[#This Row],[Exports]]/Table58[[#This Row],[GDP]]</f>
        <v/>
      </c>
      <c r="K178" s="32">
        <f>-Table58[[#This Row],[Imports]]/Table58[[#This Row],[GDP]]</f>
        <v/>
      </c>
      <c r="L178" s="32">
        <f>Table58[[#This Row],[Government]]/Table58[[#This Row],[GDP]]</f>
        <v/>
      </c>
      <c r="N178" s="51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0" t="n">
        <v>32964</v>
      </c>
      <c r="B179" s="56">
        <f>VLOOKUP(A179,'U.S. GDP'!A:B,2,)</f>
        <v/>
      </c>
      <c r="C179" s="56">
        <f>VLOOKUP(A179,PersonalConsumption!A:B,2,)</f>
        <v/>
      </c>
      <c r="D179" s="56">
        <f>VLOOKUP(A179,PrivateInvestment!A:B,2,)</f>
        <v/>
      </c>
      <c r="E179" s="56">
        <f>VLOOKUP(A179,Exports!A:B,2,)</f>
        <v/>
      </c>
      <c r="F179" s="56">
        <f>VLOOKUP(A179,Imports!A:B,2,)</f>
        <v/>
      </c>
      <c r="G179" s="56">
        <f>VLOOKUP(A179,Government!A:B,2,)</f>
        <v/>
      </c>
      <c r="H179" s="32">
        <f>Table58[[#This Row],[Personal Consumption]]/Table58[[#This Row],[GDP]]</f>
        <v/>
      </c>
      <c r="I179" s="32">
        <f>Table58[[#This Row],[Private Investment]]/Table58[[#This Row],[GDP]]</f>
        <v/>
      </c>
      <c r="J179" s="32">
        <f>Table58[[#This Row],[Exports]]/Table58[[#This Row],[GDP]]</f>
        <v/>
      </c>
      <c r="K179" s="32">
        <f>-Table58[[#This Row],[Imports]]/Table58[[#This Row],[GDP]]</f>
        <v/>
      </c>
      <c r="L179" s="32">
        <f>Table58[[#This Row],[Government]]/Table58[[#This Row],[GDP]]</f>
        <v/>
      </c>
      <c r="N179" s="51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0" t="n">
        <v>33055</v>
      </c>
      <c r="B180" s="56">
        <f>VLOOKUP(A180,'U.S. GDP'!A:B,2,)</f>
        <v/>
      </c>
      <c r="C180" s="56">
        <f>VLOOKUP(A180,PersonalConsumption!A:B,2,)</f>
        <v/>
      </c>
      <c r="D180" s="56">
        <f>VLOOKUP(A180,PrivateInvestment!A:B,2,)</f>
        <v/>
      </c>
      <c r="E180" s="56">
        <f>VLOOKUP(A180,Exports!A:B,2,)</f>
        <v/>
      </c>
      <c r="F180" s="56">
        <f>VLOOKUP(A180,Imports!A:B,2,)</f>
        <v/>
      </c>
      <c r="G180" s="56">
        <f>VLOOKUP(A180,Government!A:B,2,)</f>
        <v/>
      </c>
      <c r="H180" s="32">
        <f>Table58[[#This Row],[Personal Consumption]]/Table58[[#This Row],[GDP]]</f>
        <v/>
      </c>
      <c r="I180" s="32">
        <f>Table58[[#This Row],[Private Investment]]/Table58[[#This Row],[GDP]]</f>
        <v/>
      </c>
      <c r="J180" s="32">
        <f>Table58[[#This Row],[Exports]]/Table58[[#This Row],[GDP]]</f>
        <v/>
      </c>
      <c r="K180" s="32">
        <f>-Table58[[#This Row],[Imports]]/Table58[[#This Row],[GDP]]</f>
        <v/>
      </c>
      <c r="L180" s="32">
        <f>Table58[[#This Row],[Government]]/Table58[[#This Row],[GDP]]</f>
        <v/>
      </c>
      <c r="N180" s="51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0" t="n">
        <v>33147</v>
      </c>
      <c r="B181" s="56">
        <f>VLOOKUP(A181,'U.S. GDP'!A:B,2,)</f>
        <v/>
      </c>
      <c r="C181" s="56">
        <f>VLOOKUP(A181,PersonalConsumption!A:B,2,)</f>
        <v/>
      </c>
      <c r="D181" s="56">
        <f>VLOOKUP(A181,PrivateInvestment!A:B,2,)</f>
        <v/>
      </c>
      <c r="E181" s="56">
        <f>VLOOKUP(A181,Exports!A:B,2,)</f>
        <v/>
      </c>
      <c r="F181" s="56">
        <f>VLOOKUP(A181,Imports!A:B,2,)</f>
        <v/>
      </c>
      <c r="G181" s="56">
        <f>VLOOKUP(A181,Government!A:B,2,)</f>
        <v/>
      </c>
      <c r="H181" s="32">
        <f>Table58[[#This Row],[Personal Consumption]]/Table58[[#This Row],[GDP]]</f>
        <v/>
      </c>
      <c r="I181" s="32">
        <f>Table58[[#This Row],[Private Investment]]/Table58[[#This Row],[GDP]]</f>
        <v/>
      </c>
      <c r="J181" s="32">
        <f>Table58[[#This Row],[Exports]]/Table58[[#This Row],[GDP]]</f>
        <v/>
      </c>
      <c r="K181" s="32">
        <f>-Table58[[#This Row],[Imports]]/Table58[[#This Row],[GDP]]</f>
        <v/>
      </c>
      <c r="L181" s="32">
        <f>Table58[[#This Row],[Government]]/Table58[[#This Row],[GDP]]</f>
        <v/>
      </c>
      <c r="N181" s="51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0" t="n">
        <v>33239</v>
      </c>
      <c r="B182" s="56">
        <f>VLOOKUP(A182,'U.S. GDP'!A:B,2,)</f>
        <v/>
      </c>
      <c r="C182" s="56">
        <f>VLOOKUP(A182,PersonalConsumption!A:B,2,)</f>
        <v/>
      </c>
      <c r="D182" s="56">
        <f>VLOOKUP(A182,PrivateInvestment!A:B,2,)</f>
        <v/>
      </c>
      <c r="E182" s="56">
        <f>VLOOKUP(A182,Exports!A:B,2,)</f>
        <v/>
      </c>
      <c r="F182" s="56">
        <f>VLOOKUP(A182,Imports!A:B,2,)</f>
        <v/>
      </c>
      <c r="G182" s="56">
        <f>VLOOKUP(A182,Government!A:B,2,)</f>
        <v/>
      </c>
      <c r="H182" s="32">
        <f>Table58[[#This Row],[Personal Consumption]]/Table58[[#This Row],[GDP]]</f>
        <v/>
      </c>
      <c r="I182" s="32">
        <f>Table58[[#This Row],[Private Investment]]/Table58[[#This Row],[GDP]]</f>
        <v/>
      </c>
      <c r="J182" s="32">
        <f>Table58[[#This Row],[Exports]]/Table58[[#This Row],[GDP]]</f>
        <v/>
      </c>
      <c r="K182" s="32">
        <f>-Table58[[#This Row],[Imports]]/Table58[[#This Row],[GDP]]</f>
        <v/>
      </c>
      <c r="L182" s="32">
        <f>Table58[[#This Row],[Government]]/Table58[[#This Row],[GDP]]</f>
        <v/>
      </c>
      <c r="N182" s="51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0" t="n">
        <v>33329</v>
      </c>
      <c r="B183" s="56">
        <f>VLOOKUP(A183,'U.S. GDP'!A:B,2,)</f>
        <v/>
      </c>
      <c r="C183" s="56">
        <f>VLOOKUP(A183,PersonalConsumption!A:B,2,)</f>
        <v/>
      </c>
      <c r="D183" s="56">
        <f>VLOOKUP(A183,PrivateInvestment!A:B,2,)</f>
        <v/>
      </c>
      <c r="E183" s="56">
        <f>VLOOKUP(A183,Exports!A:B,2,)</f>
        <v/>
      </c>
      <c r="F183" s="56">
        <f>VLOOKUP(A183,Imports!A:B,2,)</f>
        <v/>
      </c>
      <c r="G183" s="56">
        <f>VLOOKUP(A183,Government!A:B,2,)</f>
        <v/>
      </c>
      <c r="H183" s="32">
        <f>Table58[[#This Row],[Personal Consumption]]/Table58[[#This Row],[GDP]]</f>
        <v/>
      </c>
      <c r="I183" s="32">
        <f>Table58[[#This Row],[Private Investment]]/Table58[[#This Row],[GDP]]</f>
        <v/>
      </c>
      <c r="J183" s="32">
        <f>Table58[[#This Row],[Exports]]/Table58[[#This Row],[GDP]]</f>
        <v/>
      </c>
      <c r="K183" s="32">
        <f>-Table58[[#This Row],[Imports]]/Table58[[#This Row],[GDP]]</f>
        <v/>
      </c>
      <c r="L183" s="32">
        <f>Table58[[#This Row],[Government]]/Table58[[#This Row],[GDP]]</f>
        <v/>
      </c>
      <c r="N183" s="51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0" t="n">
        <v>33420</v>
      </c>
      <c r="B184" s="56">
        <f>VLOOKUP(A184,'U.S. GDP'!A:B,2,)</f>
        <v/>
      </c>
      <c r="C184" s="56">
        <f>VLOOKUP(A184,PersonalConsumption!A:B,2,)</f>
        <v/>
      </c>
      <c r="D184" s="56">
        <f>VLOOKUP(A184,PrivateInvestment!A:B,2,)</f>
        <v/>
      </c>
      <c r="E184" s="56">
        <f>VLOOKUP(A184,Exports!A:B,2,)</f>
        <v/>
      </c>
      <c r="F184" s="56">
        <f>VLOOKUP(A184,Imports!A:B,2,)</f>
        <v/>
      </c>
      <c r="G184" s="56">
        <f>VLOOKUP(A184,Government!A:B,2,)</f>
        <v/>
      </c>
      <c r="H184" s="32">
        <f>Table58[[#This Row],[Personal Consumption]]/Table58[[#This Row],[GDP]]</f>
        <v/>
      </c>
      <c r="I184" s="32">
        <f>Table58[[#This Row],[Private Investment]]/Table58[[#This Row],[GDP]]</f>
        <v/>
      </c>
      <c r="J184" s="32">
        <f>Table58[[#This Row],[Exports]]/Table58[[#This Row],[GDP]]</f>
        <v/>
      </c>
      <c r="K184" s="32">
        <f>-Table58[[#This Row],[Imports]]/Table58[[#This Row],[GDP]]</f>
        <v/>
      </c>
      <c r="L184" s="32">
        <f>Table58[[#This Row],[Government]]/Table58[[#This Row],[GDP]]</f>
        <v/>
      </c>
      <c r="N184" s="51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0" t="n">
        <v>33512</v>
      </c>
      <c r="B185" s="56">
        <f>VLOOKUP(A185,'U.S. GDP'!A:B,2,)</f>
        <v/>
      </c>
      <c r="C185" s="56">
        <f>VLOOKUP(A185,PersonalConsumption!A:B,2,)</f>
        <v/>
      </c>
      <c r="D185" s="56">
        <f>VLOOKUP(A185,PrivateInvestment!A:B,2,)</f>
        <v/>
      </c>
      <c r="E185" s="56">
        <f>VLOOKUP(A185,Exports!A:B,2,)</f>
        <v/>
      </c>
      <c r="F185" s="56">
        <f>VLOOKUP(A185,Imports!A:B,2,)</f>
        <v/>
      </c>
      <c r="G185" s="56">
        <f>VLOOKUP(A185,Government!A:B,2,)</f>
        <v/>
      </c>
      <c r="H185" s="32">
        <f>Table58[[#This Row],[Personal Consumption]]/Table58[[#This Row],[GDP]]</f>
        <v/>
      </c>
      <c r="I185" s="32">
        <f>Table58[[#This Row],[Private Investment]]/Table58[[#This Row],[GDP]]</f>
        <v/>
      </c>
      <c r="J185" s="32">
        <f>Table58[[#This Row],[Exports]]/Table58[[#This Row],[GDP]]</f>
        <v/>
      </c>
      <c r="K185" s="32">
        <f>-Table58[[#This Row],[Imports]]/Table58[[#This Row],[GDP]]</f>
        <v/>
      </c>
      <c r="L185" s="32">
        <f>Table58[[#This Row],[Government]]/Table58[[#This Row],[GDP]]</f>
        <v/>
      </c>
      <c r="N185" s="51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0" t="n">
        <v>33604</v>
      </c>
      <c r="B186" s="56">
        <f>VLOOKUP(A186,'U.S. GDP'!A:B,2,)</f>
        <v/>
      </c>
      <c r="C186" s="56">
        <f>VLOOKUP(A186,PersonalConsumption!A:B,2,)</f>
        <v/>
      </c>
      <c r="D186" s="56">
        <f>VLOOKUP(A186,PrivateInvestment!A:B,2,)</f>
        <v/>
      </c>
      <c r="E186" s="56">
        <f>VLOOKUP(A186,Exports!A:B,2,)</f>
        <v/>
      </c>
      <c r="F186" s="56">
        <f>VLOOKUP(A186,Imports!A:B,2,)</f>
        <v/>
      </c>
      <c r="G186" s="56">
        <f>VLOOKUP(A186,Government!A:B,2,)</f>
        <v/>
      </c>
      <c r="H186" s="32">
        <f>Table58[[#This Row],[Personal Consumption]]/Table58[[#This Row],[GDP]]</f>
        <v/>
      </c>
      <c r="I186" s="32">
        <f>Table58[[#This Row],[Private Investment]]/Table58[[#This Row],[GDP]]</f>
        <v/>
      </c>
      <c r="J186" s="32">
        <f>Table58[[#This Row],[Exports]]/Table58[[#This Row],[GDP]]</f>
        <v/>
      </c>
      <c r="K186" s="32">
        <f>-Table58[[#This Row],[Imports]]/Table58[[#This Row],[GDP]]</f>
        <v/>
      </c>
      <c r="L186" s="32">
        <f>Table58[[#This Row],[Government]]/Table58[[#This Row],[GDP]]</f>
        <v/>
      </c>
      <c r="N186" s="51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0" t="n">
        <v>33695</v>
      </c>
      <c r="B187" s="56">
        <f>VLOOKUP(A187,'U.S. GDP'!A:B,2,)</f>
        <v/>
      </c>
      <c r="C187" s="56">
        <f>VLOOKUP(A187,PersonalConsumption!A:B,2,)</f>
        <v/>
      </c>
      <c r="D187" s="56">
        <f>VLOOKUP(A187,PrivateInvestment!A:B,2,)</f>
        <v/>
      </c>
      <c r="E187" s="56">
        <f>VLOOKUP(A187,Exports!A:B,2,)</f>
        <v/>
      </c>
      <c r="F187" s="56">
        <f>VLOOKUP(A187,Imports!A:B,2,)</f>
        <v/>
      </c>
      <c r="G187" s="56">
        <f>VLOOKUP(A187,Government!A:B,2,)</f>
        <v/>
      </c>
      <c r="H187" s="32">
        <f>Table58[[#This Row],[Personal Consumption]]/Table58[[#This Row],[GDP]]</f>
        <v/>
      </c>
      <c r="I187" s="32">
        <f>Table58[[#This Row],[Private Investment]]/Table58[[#This Row],[GDP]]</f>
        <v/>
      </c>
      <c r="J187" s="32">
        <f>Table58[[#This Row],[Exports]]/Table58[[#This Row],[GDP]]</f>
        <v/>
      </c>
      <c r="K187" s="32">
        <f>-Table58[[#This Row],[Imports]]/Table58[[#This Row],[GDP]]</f>
        <v/>
      </c>
      <c r="L187" s="32">
        <f>Table58[[#This Row],[Government]]/Table58[[#This Row],[GDP]]</f>
        <v/>
      </c>
      <c r="N187" s="51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0" t="n">
        <v>33786</v>
      </c>
      <c r="B188" s="56">
        <f>VLOOKUP(A188,'U.S. GDP'!A:B,2,)</f>
        <v/>
      </c>
      <c r="C188" s="56">
        <f>VLOOKUP(A188,PersonalConsumption!A:B,2,)</f>
        <v/>
      </c>
      <c r="D188" s="56">
        <f>VLOOKUP(A188,PrivateInvestment!A:B,2,)</f>
        <v/>
      </c>
      <c r="E188" s="56">
        <f>VLOOKUP(A188,Exports!A:B,2,)</f>
        <v/>
      </c>
      <c r="F188" s="56">
        <f>VLOOKUP(A188,Imports!A:B,2,)</f>
        <v/>
      </c>
      <c r="G188" s="56">
        <f>VLOOKUP(A188,Government!A:B,2,)</f>
        <v/>
      </c>
      <c r="H188" s="32">
        <f>Table58[[#This Row],[Personal Consumption]]/Table58[[#This Row],[GDP]]</f>
        <v/>
      </c>
      <c r="I188" s="32">
        <f>Table58[[#This Row],[Private Investment]]/Table58[[#This Row],[GDP]]</f>
        <v/>
      </c>
      <c r="J188" s="32">
        <f>Table58[[#This Row],[Exports]]/Table58[[#This Row],[GDP]]</f>
        <v/>
      </c>
      <c r="K188" s="32">
        <f>-Table58[[#This Row],[Imports]]/Table58[[#This Row],[GDP]]</f>
        <v/>
      </c>
      <c r="L188" s="32">
        <f>Table58[[#This Row],[Government]]/Table58[[#This Row],[GDP]]</f>
        <v/>
      </c>
      <c r="N188" s="51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0" t="n">
        <v>33878</v>
      </c>
      <c r="B189" s="56">
        <f>VLOOKUP(A189,'U.S. GDP'!A:B,2,)</f>
        <v/>
      </c>
      <c r="C189" s="56">
        <f>VLOOKUP(A189,PersonalConsumption!A:B,2,)</f>
        <v/>
      </c>
      <c r="D189" s="56">
        <f>VLOOKUP(A189,PrivateInvestment!A:B,2,)</f>
        <v/>
      </c>
      <c r="E189" s="56">
        <f>VLOOKUP(A189,Exports!A:B,2,)</f>
        <v/>
      </c>
      <c r="F189" s="56">
        <f>VLOOKUP(A189,Imports!A:B,2,)</f>
        <v/>
      </c>
      <c r="G189" s="56">
        <f>VLOOKUP(A189,Government!A:B,2,)</f>
        <v/>
      </c>
      <c r="H189" s="32">
        <f>Table58[[#This Row],[Personal Consumption]]/Table58[[#This Row],[GDP]]</f>
        <v/>
      </c>
      <c r="I189" s="32">
        <f>Table58[[#This Row],[Private Investment]]/Table58[[#This Row],[GDP]]</f>
        <v/>
      </c>
      <c r="J189" s="32">
        <f>Table58[[#This Row],[Exports]]/Table58[[#This Row],[GDP]]</f>
        <v/>
      </c>
      <c r="K189" s="32">
        <f>-Table58[[#This Row],[Imports]]/Table58[[#This Row],[GDP]]</f>
        <v/>
      </c>
      <c r="L189" s="32">
        <f>Table58[[#This Row],[Government]]/Table58[[#This Row],[GDP]]</f>
        <v/>
      </c>
      <c r="N189" s="51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0" t="n">
        <v>33970</v>
      </c>
      <c r="B190" s="56">
        <f>VLOOKUP(A190,'U.S. GDP'!A:B,2,)</f>
        <v/>
      </c>
      <c r="C190" s="56">
        <f>VLOOKUP(A190,PersonalConsumption!A:B,2,)</f>
        <v/>
      </c>
      <c r="D190" s="56">
        <f>VLOOKUP(A190,PrivateInvestment!A:B,2,)</f>
        <v/>
      </c>
      <c r="E190" s="56">
        <f>VLOOKUP(A190,Exports!A:B,2,)</f>
        <v/>
      </c>
      <c r="F190" s="56">
        <f>VLOOKUP(A190,Imports!A:B,2,)</f>
        <v/>
      </c>
      <c r="G190" s="56">
        <f>VLOOKUP(A190,Government!A:B,2,)</f>
        <v/>
      </c>
      <c r="H190" s="32">
        <f>Table58[[#This Row],[Personal Consumption]]/Table58[[#This Row],[GDP]]</f>
        <v/>
      </c>
      <c r="I190" s="32">
        <f>Table58[[#This Row],[Private Investment]]/Table58[[#This Row],[GDP]]</f>
        <v/>
      </c>
      <c r="J190" s="32">
        <f>Table58[[#This Row],[Exports]]/Table58[[#This Row],[GDP]]</f>
        <v/>
      </c>
      <c r="K190" s="32">
        <f>-Table58[[#This Row],[Imports]]/Table58[[#This Row],[GDP]]</f>
        <v/>
      </c>
      <c r="L190" s="32">
        <f>Table58[[#This Row],[Government]]/Table58[[#This Row],[GDP]]</f>
        <v/>
      </c>
      <c r="N190" s="51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0" t="n">
        <v>34060</v>
      </c>
      <c r="B191" s="56">
        <f>VLOOKUP(A191,'U.S. GDP'!A:B,2,)</f>
        <v/>
      </c>
      <c r="C191" s="56">
        <f>VLOOKUP(A191,PersonalConsumption!A:B,2,)</f>
        <v/>
      </c>
      <c r="D191" s="56">
        <f>VLOOKUP(A191,PrivateInvestment!A:B,2,)</f>
        <v/>
      </c>
      <c r="E191" s="56">
        <f>VLOOKUP(A191,Exports!A:B,2,)</f>
        <v/>
      </c>
      <c r="F191" s="56">
        <f>VLOOKUP(A191,Imports!A:B,2,)</f>
        <v/>
      </c>
      <c r="G191" s="56">
        <f>VLOOKUP(A191,Government!A:B,2,)</f>
        <v/>
      </c>
      <c r="H191" s="32">
        <f>Table58[[#This Row],[Personal Consumption]]/Table58[[#This Row],[GDP]]</f>
        <v/>
      </c>
      <c r="I191" s="32">
        <f>Table58[[#This Row],[Private Investment]]/Table58[[#This Row],[GDP]]</f>
        <v/>
      </c>
      <c r="J191" s="32">
        <f>Table58[[#This Row],[Exports]]/Table58[[#This Row],[GDP]]</f>
        <v/>
      </c>
      <c r="K191" s="32">
        <f>-Table58[[#This Row],[Imports]]/Table58[[#This Row],[GDP]]</f>
        <v/>
      </c>
      <c r="L191" s="32">
        <f>Table58[[#This Row],[Government]]/Table58[[#This Row],[GDP]]</f>
        <v/>
      </c>
      <c r="N191" s="51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0" t="n">
        <v>34151</v>
      </c>
      <c r="B192" s="56">
        <f>VLOOKUP(A192,'U.S. GDP'!A:B,2,)</f>
        <v/>
      </c>
      <c r="C192" s="56">
        <f>VLOOKUP(A192,PersonalConsumption!A:B,2,)</f>
        <v/>
      </c>
      <c r="D192" s="56">
        <f>VLOOKUP(A192,PrivateInvestment!A:B,2,)</f>
        <v/>
      </c>
      <c r="E192" s="56">
        <f>VLOOKUP(A192,Exports!A:B,2,)</f>
        <v/>
      </c>
      <c r="F192" s="56">
        <f>VLOOKUP(A192,Imports!A:B,2,)</f>
        <v/>
      </c>
      <c r="G192" s="56">
        <f>VLOOKUP(A192,Government!A:B,2,)</f>
        <v/>
      </c>
      <c r="H192" s="32">
        <f>Table58[[#This Row],[Personal Consumption]]/Table58[[#This Row],[GDP]]</f>
        <v/>
      </c>
      <c r="I192" s="32">
        <f>Table58[[#This Row],[Private Investment]]/Table58[[#This Row],[GDP]]</f>
        <v/>
      </c>
      <c r="J192" s="32">
        <f>Table58[[#This Row],[Exports]]/Table58[[#This Row],[GDP]]</f>
        <v/>
      </c>
      <c r="K192" s="32">
        <f>-Table58[[#This Row],[Imports]]/Table58[[#This Row],[GDP]]</f>
        <v/>
      </c>
      <c r="L192" s="32">
        <f>Table58[[#This Row],[Government]]/Table58[[#This Row],[GDP]]</f>
        <v/>
      </c>
      <c r="N192" s="51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0" t="n">
        <v>34243</v>
      </c>
      <c r="B193" s="56">
        <f>VLOOKUP(A193,'U.S. GDP'!A:B,2,)</f>
        <v/>
      </c>
      <c r="C193" s="56">
        <f>VLOOKUP(A193,PersonalConsumption!A:B,2,)</f>
        <v/>
      </c>
      <c r="D193" s="56">
        <f>VLOOKUP(A193,PrivateInvestment!A:B,2,)</f>
        <v/>
      </c>
      <c r="E193" s="56">
        <f>VLOOKUP(A193,Exports!A:B,2,)</f>
        <v/>
      </c>
      <c r="F193" s="56">
        <f>VLOOKUP(A193,Imports!A:B,2,)</f>
        <v/>
      </c>
      <c r="G193" s="56">
        <f>VLOOKUP(A193,Government!A:B,2,)</f>
        <v/>
      </c>
      <c r="H193" s="32">
        <f>Table58[[#This Row],[Personal Consumption]]/Table58[[#This Row],[GDP]]</f>
        <v/>
      </c>
      <c r="I193" s="32">
        <f>Table58[[#This Row],[Private Investment]]/Table58[[#This Row],[GDP]]</f>
        <v/>
      </c>
      <c r="J193" s="32">
        <f>Table58[[#This Row],[Exports]]/Table58[[#This Row],[GDP]]</f>
        <v/>
      </c>
      <c r="K193" s="32">
        <f>-Table58[[#This Row],[Imports]]/Table58[[#This Row],[GDP]]</f>
        <v/>
      </c>
      <c r="L193" s="32">
        <f>Table58[[#This Row],[Government]]/Table58[[#This Row],[GDP]]</f>
        <v/>
      </c>
      <c r="N193" s="51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0" t="n">
        <v>34335</v>
      </c>
      <c r="B194" s="56">
        <f>VLOOKUP(A194,'U.S. GDP'!A:B,2,)</f>
        <v/>
      </c>
      <c r="C194" s="56">
        <f>VLOOKUP(A194,PersonalConsumption!A:B,2,)</f>
        <v/>
      </c>
      <c r="D194" s="56">
        <f>VLOOKUP(A194,PrivateInvestment!A:B,2,)</f>
        <v/>
      </c>
      <c r="E194" s="56">
        <f>VLOOKUP(A194,Exports!A:B,2,)</f>
        <v/>
      </c>
      <c r="F194" s="56">
        <f>VLOOKUP(A194,Imports!A:B,2,)</f>
        <v/>
      </c>
      <c r="G194" s="56">
        <f>VLOOKUP(A194,Government!A:B,2,)</f>
        <v/>
      </c>
      <c r="H194" s="32">
        <f>Table58[[#This Row],[Personal Consumption]]/Table58[[#This Row],[GDP]]</f>
        <v/>
      </c>
      <c r="I194" s="32">
        <f>Table58[[#This Row],[Private Investment]]/Table58[[#This Row],[GDP]]</f>
        <v/>
      </c>
      <c r="J194" s="32">
        <f>Table58[[#This Row],[Exports]]/Table58[[#This Row],[GDP]]</f>
        <v/>
      </c>
      <c r="K194" s="32">
        <f>-Table58[[#This Row],[Imports]]/Table58[[#This Row],[GDP]]</f>
        <v/>
      </c>
      <c r="L194" s="32">
        <f>Table58[[#This Row],[Government]]/Table58[[#This Row],[GDP]]</f>
        <v/>
      </c>
      <c r="N194" s="51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0" t="n">
        <v>34425</v>
      </c>
      <c r="B195" s="56">
        <f>VLOOKUP(A195,'U.S. GDP'!A:B,2,)</f>
        <v/>
      </c>
      <c r="C195" s="56">
        <f>VLOOKUP(A195,PersonalConsumption!A:B,2,)</f>
        <v/>
      </c>
      <c r="D195" s="56">
        <f>VLOOKUP(A195,PrivateInvestment!A:B,2,)</f>
        <v/>
      </c>
      <c r="E195" s="56">
        <f>VLOOKUP(A195,Exports!A:B,2,)</f>
        <v/>
      </c>
      <c r="F195" s="56">
        <f>VLOOKUP(A195,Imports!A:B,2,)</f>
        <v/>
      </c>
      <c r="G195" s="56">
        <f>VLOOKUP(A195,Government!A:B,2,)</f>
        <v/>
      </c>
      <c r="H195" s="32">
        <f>Table58[[#This Row],[Personal Consumption]]/Table58[[#This Row],[GDP]]</f>
        <v/>
      </c>
      <c r="I195" s="32">
        <f>Table58[[#This Row],[Private Investment]]/Table58[[#This Row],[GDP]]</f>
        <v/>
      </c>
      <c r="J195" s="32">
        <f>Table58[[#This Row],[Exports]]/Table58[[#This Row],[GDP]]</f>
        <v/>
      </c>
      <c r="K195" s="32">
        <f>-Table58[[#This Row],[Imports]]/Table58[[#This Row],[GDP]]</f>
        <v/>
      </c>
      <c r="L195" s="32">
        <f>Table58[[#This Row],[Government]]/Table58[[#This Row],[GDP]]</f>
        <v/>
      </c>
      <c r="N195" s="51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0" t="n">
        <v>34516</v>
      </c>
      <c r="B196" s="56">
        <f>VLOOKUP(A196,'U.S. GDP'!A:B,2,)</f>
        <v/>
      </c>
      <c r="C196" s="56">
        <f>VLOOKUP(A196,PersonalConsumption!A:B,2,)</f>
        <v/>
      </c>
      <c r="D196" s="56">
        <f>VLOOKUP(A196,PrivateInvestment!A:B,2,)</f>
        <v/>
      </c>
      <c r="E196" s="56">
        <f>VLOOKUP(A196,Exports!A:B,2,)</f>
        <v/>
      </c>
      <c r="F196" s="56">
        <f>VLOOKUP(A196,Imports!A:B,2,)</f>
        <v/>
      </c>
      <c r="G196" s="56">
        <f>VLOOKUP(A196,Government!A:B,2,)</f>
        <v/>
      </c>
      <c r="H196" s="32">
        <f>Table58[[#This Row],[Personal Consumption]]/Table58[[#This Row],[GDP]]</f>
        <v/>
      </c>
      <c r="I196" s="32">
        <f>Table58[[#This Row],[Private Investment]]/Table58[[#This Row],[GDP]]</f>
        <v/>
      </c>
      <c r="J196" s="32">
        <f>Table58[[#This Row],[Exports]]/Table58[[#This Row],[GDP]]</f>
        <v/>
      </c>
      <c r="K196" s="32">
        <f>-Table58[[#This Row],[Imports]]/Table58[[#This Row],[GDP]]</f>
        <v/>
      </c>
      <c r="L196" s="32">
        <f>Table58[[#This Row],[Government]]/Table58[[#This Row],[GDP]]</f>
        <v/>
      </c>
      <c r="N196" s="51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0" t="n">
        <v>34608</v>
      </c>
      <c r="B197" s="56">
        <f>VLOOKUP(A197,'U.S. GDP'!A:B,2,)</f>
        <v/>
      </c>
      <c r="C197" s="56">
        <f>VLOOKUP(A197,PersonalConsumption!A:B,2,)</f>
        <v/>
      </c>
      <c r="D197" s="56">
        <f>VLOOKUP(A197,PrivateInvestment!A:B,2,)</f>
        <v/>
      </c>
      <c r="E197" s="56">
        <f>VLOOKUP(A197,Exports!A:B,2,)</f>
        <v/>
      </c>
      <c r="F197" s="56">
        <f>VLOOKUP(A197,Imports!A:B,2,)</f>
        <v/>
      </c>
      <c r="G197" s="56">
        <f>VLOOKUP(A197,Government!A:B,2,)</f>
        <v/>
      </c>
      <c r="H197" s="32">
        <f>Table58[[#This Row],[Personal Consumption]]/Table58[[#This Row],[GDP]]</f>
        <v/>
      </c>
      <c r="I197" s="32">
        <f>Table58[[#This Row],[Private Investment]]/Table58[[#This Row],[GDP]]</f>
        <v/>
      </c>
      <c r="J197" s="32">
        <f>Table58[[#This Row],[Exports]]/Table58[[#This Row],[GDP]]</f>
        <v/>
      </c>
      <c r="K197" s="32">
        <f>-Table58[[#This Row],[Imports]]/Table58[[#This Row],[GDP]]</f>
        <v/>
      </c>
      <c r="L197" s="32">
        <f>Table58[[#This Row],[Government]]/Table58[[#This Row],[GDP]]</f>
        <v/>
      </c>
      <c r="N197" s="51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0" t="n">
        <v>34700</v>
      </c>
      <c r="B198" s="56">
        <f>VLOOKUP(A198,'U.S. GDP'!A:B,2,)</f>
        <v/>
      </c>
      <c r="C198" s="56">
        <f>VLOOKUP(A198,PersonalConsumption!A:B,2,)</f>
        <v/>
      </c>
      <c r="D198" s="56">
        <f>VLOOKUP(A198,PrivateInvestment!A:B,2,)</f>
        <v/>
      </c>
      <c r="E198" s="56">
        <f>VLOOKUP(A198,Exports!A:B,2,)</f>
        <v/>
      </c>
      <c r="F198" s="56">
        <f>VLOOKUP(A198,Imports!A:B,2,)</f>
        <v/>
      </c>
      <c r="G198" s="56">
        <f>VLOOKUP(A198,Government!A:B,2,)</f>
        <v/>
      </c>
      <c r="H198" s="32">
        <f>Table58[[#This Row],[Personal Consumption]]/Table58[[#This Row],[GDP]]</f>
        <v/>
      </c>
      <c r="I198" s="32">
        <f>Table58[[#This Row],[Private Investment]]/Table58[[#This Row],[GDP]]</f>
        <v/>
      </c>
      <c r="J198" s="32">
        <f>Table58[[#This Row],[Exports]]/Table58[[#This Row],[GDP]]</f>
        <v/>
      </c>
      <c r="K198" s="32">
        <f>-Table58[[#This Row],[Imports]]/Table58[[#This Row],[GDP]]</f>
        <v/>
      </c>
      <c r="L198" s="32">
        <f>Table58[[#This Row],[Government]]/Table58[[#This Row],[GDP]]</f>
        <v/>
      </c>
      <c r="N198" s="51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0" t="n">
        <v>34790</v>
      </c>
      <c r="B199" s="56">
        <f>VLOOKUP(A199,'U.S. GDP'!A:B,2,)</f>
        <v/>
      </c>
      <c r="C199" s="56">
        <f>VLOOKUP(A199,PersonalConsumption!A:B,2,)</f>
        <v/>
      </c>
      <c r="D199" s="56">
        <f>VLOOKUP(A199,PrivateInvestment!A:B,2,)</f>
        <v/>
      </c>
      <c r="E199" s="56">
        <f>VLOOKUP(A199,Exports!A:B,2,)</f>
        <v/>
      </c>
      <c r="F199" s="56">
        <f>VLOOKUP(A199,Imports!A:B,2,)</f>
        <v/>
      </c>
      <c r="G199" s="56">
        <f>VLOOKUP(A199,Government!A:B,2,)</f>
        <v/>
      </c>
      <c r="H199" s="32">
        <f>Table58[[#This Row],[Personal Consumption]]/Table58[[#This Row],[GDP]]</f>
        <v/>
      </c>
      <c r="I199" s="32">
        <f>Table58[[#This Row],[Private Investment]]/Table58[[#This Row],[GDP]]</f>
        <v/>
      </c>
      <c r="J199" s="32">
        <f>Table58[[#This Row],[Exports]]/Table58[[#This Row],[GDP]]</f>
        <v/>
      </c>
      <c r="K199" s="32">
        <f>-Table58[[#This Row],[Imports]]/Table58[[#This Row],[GDP]]</f>
        <v/>
      </c>
      <c r="L199" s="32">
        <f>Table58[[#This Row],[Government]]/Table58[[#This Row],[GDP]]</f>
        <v/>
      </c>
      <c r="N199" s="51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0" t="n">
        <v>34881</v>
      </c>
      <c r="B200" s="56">
        <f>VLOOKUP(A200,'U.S. GDP'!A:B,2,)</f>
        <v/>
      </c>
      <c r="C200" s="56">
        <f>VLOOKUP(A200,PersonalConsumption!A:B,2,)</f>
        <v/>
      </c>
      <c r="D200" s="56">
        <f>VLOOKUP(A200,PrivateInvestment!A:B,2,)</f>
        <v/>
      </c>
      <c r="E200" s="56">
        <f>VLOOKUP(A200,Exports!A:B,2,)</f>
        <v/>
      </c>
      <c r="F200" s="56">
        <f>VLOOKUP(A200,Imports!A:B,2,)</f>
        <v/>
      </c>
      <c r="G200" s="56">
        <f>VLOOKUP(A200,Government!A:B,2,)</f>
        <v/>
      </c>
      <c r="H200" s="32">
        <f>Table58[[#This Row],[Personal Consumption]]/Table58[[#This Row],[GDP]]</f>
        <v/>
      </c>
      <c r="I200" s="32">
        <f>Table58[[#This Row],[Private Investment]]/Table58[[#This Row],[GDP]]</f>
        <v/>
      </c>
      <c r="J200" s="32">
        <f>Table58[[#This Row],[Exports]]/Table58[[#This Row],[GDP]]</f>
        <v/>
      </c>
      <c r="K200" s="32">
        <f>-Table58[[#This Row],[Imports]]/Table58[[#This Row],[GDP]]</f>
        <v/>
      </c>
      <c r="L200" s="32">
        <f>Table58[[#This Row],[Government]]/Table58[[#This Row],[GDP]]</f>
        <v/>
      </c>
      <c r="N200" s="51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0" t="n">
        <v>34973</v>
      </c>
      <c r="B201" s="56">
        <f>VLOOKUP(A201,'U.S. GDP'!A:B,2,)</f>
        <v/>
      </c>
      <c r="C201" s="56">
        <f>VLOOKUP(A201,PersonalConsumption!A:B,2,)</f>
        <v/>
      </c>
      <c r="D201" s="56">
        <f>VLOOKUP(A201,PrivateInvestment!A:B,2,)</f>
        <v/>
      </c>
      <c r="E201" s="56">
        <f>VLOOKUP(A201,Exports!A:B,2,)</f>
        <v/>
      </c>
      <c r="F201" s="56">
        <f>VLOOKUP(A201,Imports!A:B,2,)</f>
        <v/>
      </c>
      <c r="G201" s="56">
        <f>VLOOKUP(A201,Government!A:B,2,)</f>
        <v/>
      </c>
      <c r="H201" s="32">
        <f>Table58[[#This Row],[Personal Consumption]]/Table58[[#This Row],[GDP]]</f>
        <v/>
      </c>
      <c r="I201" s="32">
        <f>Table58[[#This Row],[Private Investment]]/Table58[[#This Row],[GDP]]</f>
        <v/>
      </c>
      <c r="J201" s="32">
        <f>Table58[[#This Row],[Exports]]/Table58[[#This Row],[GDP]]</f>
        <v/>
      </c>
      <c r="K201" s="32">
        <f>-Table58[[#This Row],[Imports]]/Table58[[#This Row],[GDP]]</f>
        <v/>
      </c>
      <c r="L201" s="32">
        <f>Table58[[#This Row],[Government]]/Table58[[#This Row],[GDP]]</f>
        <v/>
      </c>
      <c r="N201" s="51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0" t="n">
        <v>35065</v>
      </c>
      <c r="B202" s="56">
        <f>VLOOKUP(A202,'U.S. GDP'!A:B,2,)</f>
        <v/>
      </c>
      <c r="C202" s="56">
        <f>VLOOKUP(A202,PersonalConsumption!A:B,2,)</f>
        <v/>
      </c>
      <c r="D202" s="56">
        <f>VLOOKUP(A202,PrivateInvestment!A:B,2,)</f>
        <v/>
      </c>
      <c r="E202" s="56">
        <f>VLOOKUP(A202,Exports!A:B,2,)</f>
        <v/>
      </c>
      <c r="F202" s="56">
        <f>VLOOKUP(A202,Imports!A:B,2,)</f>
        <v/>
      </c>
      <c r="G202" s="56">
        <f>VLOOKUP(A202,Government!A:B,2,)</f>
        <v/>
      </c>
      <c r="H202" s="32">
        <f>Table58[[#This Row],[Personal Consumption]]/Table58[[#This Row],[GDP]]</f>
        <v/>
      </c>
      <c r="I202" s="32">
        <f>Table58[[#This Row],[Private Investment]]/Table58[[#This Row],[GDP]]</f>
        <v/>
      </c>
      <c r="J202" s="32">
        <f>Table58[[#This Row],[Exports]]/Table58[[#This Row],[GDP]]</f>
        <v/>
      </c>
      <c r="K202" s="32">
        <f>-Table58[[#This Row],[Imports]]/Table58[[#This Row],[GDP]]</f>
        <v/>
      </c>
      <c r="L202" s="32">
        <f>Table58[[#This Row],[Government]]/Table58[[#This Row],[GDP]]</f>
        <v/>
      </c>
      <c r="N202" s="51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0" t="n">
        <v>35156</v>
      </c>
      <c r="B203" s="56">
        <f>VLOOKUP(A203,'U.S. GDP'!A:B,2,)</f>
        <v/>
      </c>
      <c r="C203" s="56">
        <f>VLOOKUP(A203,PersonalConsumption!A:B,2,)</f>
        <v/>
      </c>
      <c r="D203" s="56">
        <f>VLOOKUP(A203,PrivateInvestment!A:B,2,)</f>
        <v/>
      </c>
      <c r="E203" s="56">
        <f>VLOOKUP(A203,Exports!A:B,2,)</f>
        <v/>
      </c>
      <c r="F203" s="56">
        <f>VLOOKUP(A203,Imports!A:B,2,)</f>
        <v/>
      </c>
      <c r="G203" s="56">
        <f>VLOOKUP(A203,Government!A:B,2,)</f>
        <v/>
      </c>
      <c r="H203" s="32">
        <f>Table58[[#This Row],[Personal Consumption]]/Table58[[#This Row],[GDP]]</f>
        <v/>
      </c>
      <c r="I203" s="32">
        <f>Table58[[#This Row],[Private Investment]]/Table58[[#This Row],[GDP]]</f>
        <v/>
      </c>
      <c r="J203" s="32">
        <f>Table58[[#This Row],[Exports]]/Table58[[#This Row],[GDP]]</f>
        <v/>
      </c>
      <c r="K203" s="32">
        <f>-Table58[[#This Row],[Imports]]/Table58[[#This Row],[GDP]]</f>
        <v/>
      </c>
      <c r="L203" s="32">
        <f>Table58[[#This Row],[Government]]/Table58[[#This Row],[GDP]]</f>
        <v/>
      </c>
      <c r="N203" s="51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0" t="n">
        <v>35247</v>
      </c>
      <c r="B204" s="56">
        <f>VLOOKUP(A204,'U.S. GDP'!A:B,2,)</f>
        <v/>
      </c>
      <c r="C204" s="56">
        <f>VLOOKUP(A204,PersonalConsumption!A:B,2,)</f>
        <v/>
      </c>
      <c r="D204" s="56">
        <f>VLOOKUP(A204,PrivateInvestment!A:B,2,)</f>
        <v/>
      </c>
      <c r="E204" s="56">
        <f>VLOOKUP(A204,Exports!A:B,2,)</f>
        <v/>
      </c>
      <c r="F204" s="56">
        <f>VLOOKUP(A204,Imports!A:B,2,)</f>
        <v/>
      </c>
      <c r="G204" s="56">
        <f>VLOOKUP(A204,Government!A:B,2,)</f>
        <v/>
      </c>
      <c r="H204" s="32">
        <f>Table58[[#This Row],[Personal Consumption]]/Table58[[#This Row],[GDP]]</f>
        <v/>
      </c>
      <c r="I204" s="32">
        <f>Table58[[#This Row],[Private Investment]]/Table58[[#This Row],[GDP]]</f>
        <v/>
      </c>
      <c r="J204" s="32">
        <f>Table58[[#This Row],[Exports]]/Table58[[#This Row],[GDP]]</f>
        <v/>
      </c>
      <c r="K204" s="32">
        <f>-Table58[[#This Row],[Imports]]/Table58[[#This Row],[GDP]]</f>
        <v/>
      </c>
      <c r="L204" s="32">
        <f>Table58[[#This Row],[Government]]/Table58[[#This Row],[GDP]]</f>
        <v/>
      </c>
      <c r="N204" s="51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0" t="n">
        <v>35339</v>
      </c>
      <c r="B205" s="56">
        <f>VLOOKUP(A205,'U.S. GDP'!A:B,2,)</f>
        <v/>
      </c>
      <c r="C205" s="56">
        <f>VLOOKUP(A205,PersonalConsumption!A:B,2,)</f>
        <v/>
      </c>
      <c r="D205" s="56">
        <f>VLOOKUP(A205,PrivateInvestment!A:B,2,)</f>
        <v/>
      </c>
      <c r="E205" s="56">
        <f>VLOOKUP(A205,Exports!A:B,2,)</f>
        <v/>
      </c>
      <c r="F205" s="56">
        <f>VLOOKUP(A205,Imports!A:B,2,)</f>
        <v/>
      </c>
      <c r="G205" s="56">
        <f>VLOOKUP(A205,Government!A:B,2,)</f>
        <v/>
      </c>
      <c r="H205" s="32">
        <f>Table58[[#This Row],[Personal Consumption]]/Table58[[#This Row],[GDP]]</f>
        <v/>
      </c>
      <c r="I205" s="32">
        <f>Table58[[#This Row],[Private Investment]]/Table58[[#This Row],[GDP]]</f>
        <v/>
      </c>
      <c r="J205" s="32">
        <f>Table58[[#This Row],[Exports]]/Table58[[#This Row],[GDP]]</f>
        <v/>
      </c>
      <c r="K205" s="32">
        <f>-Table58[[#This Row],[Imports]]/Table58[[#This Row],[GDP]]</f>
        <v/>
      </c>
      <c r="L205" s="32">
        <f>Table58[[#This Row],[Government]]/Table58[[#This Row],[GDP]]</f>
        <v/>
      </c>
      <c r="N205" s="51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0" t="n">
        <v>35431</v>
      </c>
      <c r="B206" s="56">
        <f>VLOOKUP(A206,'U.S. GDP'!A:B,2,)</f>
        <v/>
      </c>
      <c r="C206" s="56">
        <f>VLOOKUP(A206,PersonalConsumption!A:B,2,)</f>
        <v/>
      </c>
      <c r="D206" s="56">
        <f>VLOOKUP(A206,PrivateInvestment!A:B,2,)</f>
        <v/>
      </c>
      <c r="E206" s="56">
        <f>VLOOKUP(A206,Exports!A:B,2,)</f>
        <v/>
      </c>
      <c r="F206" s="56">
        <f>VLOOKUP(A206,Imports!A:B,2,)</f>
        <v/>
      </c>
      <c r="G206" s="56">
        <f>VLOOKUP(A206,Government!A:B,2,)</f>
        <v/>
      </c>
      <c r="H206" s="32">
        <f>Table58[[#This Row],[Personal Consumption]]/Table58[[#This Row],[GDP]]</f>
        <v/>
      </c>
      <c r="I206" s="32">
        <f>Table58[[#This Row],[Private Investment]]/Table58[[#This Row],[GDP]]</f>
        <v/>
      </c>
      <c r="J206" s="32">
        <f>Table58[[#This Row],[Exports]]/Table58[[#This Row],[GDP]]</f>
        <v/>
      </c>
      <c r="K206" s="32">
        <f>-Table58[[#This Row],[Imports]]/Table58[[#This Row],[GDP]]</f>
        <v/>
      </c>
      <c r="L206" s="32">
        <f>Table58[[#This Row],[Government]]/Table58[[#This Row],[GDP]]</f>
        <v/>
      </c>
      <c r="N206" s="51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0" t="n">
        <v>35521</v>
      </c>
      <c r="B207" s="56">
        <f>VLOOKUP(A207,'U.S. GDP'!A:B,2,)</f>
        <v/>
      </c>
      <c r="C207" s="56">
        <f>VLOOKUP(A207,PersonalConsumption!A:B,2,)</f>
        <v/>
      </c>
      <c r="D207" s="56">
        <f>VLOOKUP(A207,PrivateInvestment!A:B,2,)</f>
        <v/>
      </c>
      <c r="E207" s="56">
        <f>VLOOKUP(A207,Exports!A:B,2,)</f>
        <v/>
      </c>
      <c r="F207" s="56">
        <f>VLOOKUP(A207,Imports!A:B,2,)</f>
        <v/>
      </c>
      <c r="G207" s="56">
        <f>VLOOKUP(A207,Government!A:B,2,)</f>
        <v/>
      </c>
      <c r="H207" s="32">
        <f>Table58[[#This Row],[Personal Consumption]]/Table58[[#This Row],[GDP]]</f>
        <v/>
      </c>
      <c r="I207" s="32">
        <f>Table58[[#This Row],[Private Investment]]/Table58[[#This Row],[GDP]]</f>
        <v/>
      </c>
      <c r="J207" s="32">
        <f>Table58[[#This Row],[Exports]]/Table58[[#This Row],[GDP]]</f>
        <v/>
      </c>
      <c r="K207" s="32">
        <f>-Table58[[#This Row],[Imports]]/Table58[[#This Row],[GDP]]</f>
        <v/>
      </c>
      <c r="L207" s="32">
        <f>Table58[[#This Row],[Government]]/Table58[[#This Row],[GDP]]</f>
        <v/>
      </c>
      <c r="N207" s="51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0" t="n">
        <v>35612</v>
      </c>
      <c r="B208" s="56">
        <f>VLOOKUP(A208,'U.S. GDP'!A:B,2,)</f>
        <v/>
      </c>
      <c r="C208" s="56">
        <f>VLOOKUP(A208,PersonalConsumption!A:B,2,)</f>
        <v/>
      </c>
      <c r="D208" s="56">
        <f>VLOOKUP(A208,PrivateInvestment!A:B,2,)</f>
        <v/>
      </c>
      <c r="E208" s="56">
        <f>VLOOKUP(A208,Exports!A:B,2,)</f>
        <v/>
      </c>
      <c r="F208" s="56">
        <f>VLOOKUP(A208,Imports!A:B,2,)</f>
        <v/>
      </c>
      <c r="G208" s="56">
        <f>VLOOKUP(A208,Government!A:B,2,)</f>
        <v/>
      </c>
      <c r="H208" s="32">
        <f>Table58[[#This Row],[Personal Consumption]]/Table58[[#This Row],[GDP]]</f>
        <v/>
      </c>
      <c r="I208" s="32">
        <f>Table58[[#This Row],[Private Investment]]/Table58[[#This Row],[GDP]]</f>
        <v/>
      </c>
      <c r="J208" s="32">
        <f>Table58[[#This Row],[Exports]]/Table58[[#This Row],[GDP]]</f>
        <v/>
      </c>
      <c r="K208" s="32">
        <f>-Table58[[#This Row],[Imports]]/Table58[[#This Row],[GDP]]</f>
        <v/>
      </c>
      <c r="L208" s="32">
        <f>Table58[[#This Row],[Government]]/Table58[[#This Row],[GDP]]</f>
        <v/>
      </c>
      <c r="N208" s="51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0" t="n">
        <v>35704</v>
      </c>
      <c r="B209" s="56">
        <f>VLOOKUP(A209,'U.S. GDP'!A:B,2,)</f>
        <v/>
      </c>
      <c r="C209" s="56">
        <f>VLOOKUP(A209,PersonalConsumption!A:B,2,)</f>
        <v/>
      </c>
      <c r="D209" s="56">
        <f>VLOOKUP(A209,PrivateInvestment!A:B,2,)</f>
        <v/>
      </c>
      <c r="E209" s="56">
        <f>VLOOKUP(A209,Exports!A:B,2,)</f>
        <v/>
      </c>
      <c r="F209" s="56">
        <f>VLOOKUP(A209,Imports!A:B,2,)</f>
        <v/>
      </c>
      <c r="G209" s="56">
        <f>VLOOKUP(A209,Government!A:B,2,)</f>
        <v/>
      </c>
      <c r="H209" s="32">
        <f>Table58[[#This Row],[Personal Consumption]]/Table58[[#This Row],[GDP]]</f>
        <v/>
      </c>
      <c r="I209" s="32">
        <f>Table58[[#This Row],[Private Investment]]/Table58[[#This Row],[GDP]]</f>
        <v/>
      </c>
      <c r="J209" s="32">
        <f>Table58[[#This Row],[Exports]]/Table58[[#This Row],[GDP]]</f>
        <v/>
      </c>
      <c r="K209" s="32">
        <f>-Table58[[#This Row],[Imports]]/Table58[[#This Row],[GDP]]</f>
        <v/>
      </c>
      <c r="L209" s="32">
        <f>Table58[[#This Row],[Government]]/Table58[[#This Row],[GDP]]</f>
        <v/>
      </c>
      <c r="N209" s="51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0" t="n">
        <v>35796</v>
      </c>
      <c r="B210" s="56">
        <f>VLOOKUP(A210,'U.S. GDP'!A:B,2,)</f>
        <v/>
      </c>
      <c r="C210" s="56">
        <f>VLOOKUP(A210,PersonalConsumption!A:B,2,)</f>
        <v/>
      </c>
      <c r="D210" s="56">
        <f>VLOOKUP(A210,PrivateInvestment!A:B,2,)</f>
        <v/>
      </c>
      <c r="E210" s="56">
        <f>VLOOKUP(A210,Exports!A:B,2,)</f>
        <v/>
      </c>
      <c r="F210" s="56">
        <f>VLOOKUP(A210,Imports!A:B,2,)</f>
        <v/>
      </c>
      <c r="G210" s="56">
        <f>VLOOKUP(A210,Government!A:B,2,)</f>
        <v/>
      </c>
      <c r="H210" s="32">
        <f>Table58[[#This Row],[Personal Consumption]]/Table58[[#This Row],[GDP]]</f>
        <v/>
      </c>
      <c r="I210" s="32">
        <f>Table58[[#This Row],[Private Investment]]/Table58[[#This Row],[GDP]]</f>
        <v/>
      </c>
      <c r="J210" s="32">
        <f>Table58[[#This Row],[Exports]]/Table58[[#This Row],[GDP]]</f>
        <v/>
      </c>
      <c r="K210" s="32">
        <f>-Table58[[#This Row],[Imports]]/Table58[[#This Row],[GDP]]</f>
        <v/>
      </c>
      <c r="L210" s="32">
        <f>Table58[[#This Row],[Government]]/Table58[[#This Row],[GDP]]</f>
        <v/>
      </c>
      <c r="N210" s="51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0" t="n">
        <v>35886</v>
      </c>
      <c r="B211" s="56">
        <f>VLOOKUP(A211,'U.S. GDP'!A:B,2,)</f>
        <v/>
      </c>
      <c r="C211" s="56">
        <f>VLOOKUP(A211,PersonalConsumption!A:B,2,)</f>
        <v/>
      </c>
      <c r="D211" s="56">
        <f>VLOOKUP(A211,PrivateInvestment!A:B,2,)</f>
        <v/>
      </c>
      <c r="E211" s="56">
        <f>VLOOKUP(A211,Exports!A:B,2,)</f>
        <v/>
      </c>
      <c r="F211" s="56">
        <f>VLOOKUP(A211,Imports!A:B,2,)</f>
        <v/>
      </c>
      <c r="G211" s="56">
        <f>VLOOKUP(A211,Government!A:B,2,)</f>
        <v/>
      </c>
      <c r="H211" s="32">
        <f>Table58[[#This Row],[Personal Consumption]]/Table58[[#This Row],[GDP]]</f>
        <v/>
      </c>
      <c r="I211" s="32">
        <f>Table58[[#This Row],[Private Investment]]/Table58[[#This Row],[GDP]]</f>
        <v/>
      </c>
      <c r="J211" s="32">
        <f>Table58[[#This Row],[Exports]]/Table58[[#This Row],[GDP]]</f>
        <v/>
      </c>
      <c r="K211" s="32">
        <f>-Table58[[#This Row],[Imports]]/Table58[[#This Row],[GDP]]</f>
        <v/>
      </c>
      <c r="L211" s="32">
        <f>Table58[[#This Row],[Government]]/Table58[[#This Row],[GDP]]</f>
        <v/>
      </c>
      <c r="N211" s="51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0" t="n">
        <v>35977</v>
      </c>
      <c r="B212" s="56">
        <f>VLOOKUP(A212,'U.S. GDP'!A:B,2,)</f>
        <v/>
      </c>
      <c r="C212" s="56">
        <f>VLOOKUP(A212,PersonalConsumption!A:B,2,)</f>
        <v/>
      </c>
      <c r="D212" s="56">
        <f>VLOOKUP(A212,PrivateInvestment!A:B,2,)</f>
        <v/>
      </c>
      <c r="E212" s="56">
        <f>VLOOKUP(A212,Exports!A:B,2,)</f>
        <v/>
      </c>
      <c r="F212" s="56">
        <f>VLOOKUP(A212,Imports!A:B,2,)</f>
        <v/>
      </c>
      <c r="G212" s="56">
        <f>VLOOKUP(A212,Government!A:B,2,)</f>
        <v/>
      </c>
      <c r="H212" s="32">
        <f>Table58[[#This Row],[Personal Consumption]]/Table58[[#This Row],[GDP]]</f>
        <v/>
      </c>
      <c r="I212" s="32">
        <f>Table58[[#This Row],[Private Investment]]/Table58[[#This Row],[GDP]]</f>
        <v/>
      </c>
      <c r="J212" s="32">
        <f>Table58[[#This Row],[Exports]]/Table58[[#This Row],[GDP]]</f>
        <v/>
      </c>
      <c r="K212" s="32">
        <f>-Table58[[#This Row],[Imports]]/Table58[[#This Row],[GDP]]</f>
        <v/>
      </c>
      <c r="L212" s="32">
        <f>Table58[[#This Row],[Government]]/Table58[[#This Row],[GDP]]</f>
        <v/>
      </c>
      <c r="N212" s="51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0" t="n">
        <v>36069</v>
      </c>
      <c r="B213" s="56">
        <f>VLOOKUP(A213,'U.S. GDP'!A:B,2,)</f>
        <v/>
      </c>
      <c r="C213" s="56">
        <f>VLOOKUP(A213,PersonalConsumption!A:B,2,)</f>
        <v/>
      </c>
      <c r="D213" s="56">
        <f>VLOOKUP(A213,PrivateInvestment!A:B,2,)</f>
        <v/>
      </c>
      <c r="E213" s="56">
        <f>VLOOKUP(A213,Exports!A:B,2,)</f>
        <v/>
      </c>
      <c r="F213" s="56">
        <f>VLOOKUP(A213,Imports!A:B,2,)</f>
        <v/>
      </c>
      <c r="G213" s="56">
        <f>VLOOKUP(A213,Government!A:B,2,)</f>
        <v/>
      </c>
      <c r="H213" s="32">
        <f>Table58[[#This Row],[Personal Consumption]]/Table58[[#This Row],[GDP]]</f>
        <v/>
      </c>
      <c r="I213" s="32">
        <f>Table58[[#This Row],[Private Investment]]/Table58[[#This Row],[GDP]]</f>
        <v/>
      </c>
      <c r="J213" s="32">
        <f>Table58[[#This Row],[Exports]]/Table58[[#This Row],[GDP]]</f>
        <v/>
      </c>
      <c r="K213" s="32">
        <f>-Table58[[#This Row],[Imports]]/Table58[[#This Row],[GDP]]</f>
        <v/>
      </c>
      <c r="L213" s="32">
        <f>Table58[[#This Row],[Government]]/Table58[[#This Row],[GDP]]</f>
        <v/>
      </c>
      <c r="N213" s="51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0" t="n">
        <v>36161</v>
      </c>
      <c r="B214" s="56">
        <f>VLOOKUP(A214,'U.S. GDP'!A:B,2,)</f>
        <v/>
      </c>
      <c r="C214" s="56">
        <f>VLOOKUP(A214,PersonalConsumption!A:B,2,)</f>
        <v/>
      </c>
      <c r="D214" s="56">
        <f>VLOOKUP(A214,PrivateInvestment!A:B,2,)</f>
        <v/>
      </c>
      <c r="E214" s="56">
        <f>VLOOKUP(A214,Exports!A:B,2,)</f>
        <v/>
      </c>
      <c r="F214" s="56">
        <f>VLOOKUP(A214,Imports!A:B,2,)</f>
        <v/>
      </c>
      <c r="G214" s="56">
        <f>VLOOKUP(A214,Government!A:B,2,)</f>
        <v/>
      </c>
      <c r="H214" s="32">
        <f>Table58[[#This Row],[Personal Consumption]]/Table58[[#This Row],[GDP]]</f>
        <v/>
      </c>
      <c r="I214" s="32">
        <f>Table58[[#This Row],[Private Investment]]/Table58[[#This Row],[GDP]]</f>
        <v/>
      </c>
      <c r="J214" s="32">
        <f>Table58[[#This Row],[Exports]]/Table58[[#This Row],[GDP]]</f>
        <v/>
      </c>
      <c r="K214" s="32">
        <f>-Table58[[#This Row],[Imports]]/Table58[[#This Row],[GDP]]</f>
        <v/>
      </c>
      <c r="L214" s="32">
        <f>Table58[[#This Row],[Government]]/Table58[[#This Row],[GDP]]</f>
        <v/>
      </c>
      <c r="N214" s="51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0" t="n">
        <v>36251</v>
      </c>
      <c r="B215" s="56">
        <f>VLOOKUP(A215,'U.S. GDP'!A:B,2,)</f>
        <v/>
      </c>
      <c r="C215" s="56">
        <f>VLOOKUP(A215,PersonalConsumption!A:B,2,)</f>
        <v/>
      </c>
      <c r="D215" s="56">
        <f>VLOOKUP(A215,PrivateInvestment!A:B,2,)</f>
        <v/>
      </c>
      <c r="E215" s="56">
        <f>VLOOKUP(A215,Exports!A:B,2,)</f>
        <v/>
      </c>
      <c r="F215" s="56">
        <f>VLOOKUP(A215,Imports!A:B,2,)</f>
        <v/>
      </c>
      <c r="G215" s="56">
        <f>VLOOKUP(A215,Government!A:B,2,)</f>
        <v/>
      </c>
      <c r="H215" s="32">
        <f>Table58[[#This Row],[Personal Consumption]]/Table58[[#This Row],[GDP]]</f>
        <v/>
      </c>
      <c r="I215" s="32">
        <f>Table58[[#This Row],[Private Investment]]/Table58[[#This Row],[GDP]]</f>
        <v/>
      </c>
      <c r="J215" s="32">
        <f>Table58[[#This Row],[Exports]]/Table58[[#This Row],[GDP]]</f>
        <v/>
      </c>
      <c r="K215" s="32">
        <f>-Table58[[#This Row],[Imports]]/Table58[[#This Row],[GDP]]</f>
        <v/>
      </c>
      <c r="L215" s="32">
        <f>Table58[[#This Row],[Government]]/Table58[[#This Row],[GDP]]</f>
        <v/>
      </c>
      <c r="N215" s="51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0" t="n">
        <v>36342</v>
      </c>
      <c r="B216" s="56">
        <f>VLOOKUP(A216,'U.S. GDP'!A:B,2,)</f>
        <v/>
      </c>
      <c r="C216" s="56">
        <f>VLOOKUP(A216,PersonalConsumption!A:B,2,)</f>
        <v/>
      </c>
      <c r="D216" s="56">
        <f>VLOOKUP(A216,PrivateInvestment!A:B,2,)</f>
        <v/>
      </c>
      <c r="E216" s="56">
        <f>VLOOKUP(A216,Exports!A:B,2,)</f>
        <v/>
      </c>
      <c r="F216" s="56">
        <f>VLOOKUP(A216,Imports!A:B,2,)</f>
        <v/>
      </c>
      <c r="G216" s="56">
        <f>VLOOKUP(A216,Government!A:B,2,)</f>
        <v/>
      </c>
      <c r="H216" s="32">
        <f>Table58[[#This Row],[Personal Consumption]]/Table58[[#This Row],[GDP]]</f>
        <v/>
      </c>
      <c r="I216" s="32">
        <f>Table58[[#This Row],[Private Investment]]/Table58[[#This Row],[GDP]]</f>
        <v/>
      </c>
      <c r="J216" s="32">
        <f>Table58[[#This Row],[Exports]]/Table58[[#This Row],[GDP]]</f>
        <v/>
      </c>
      <c r="K216" s="32">
        <f>-Table58[[#This Row],[Imports]]/Table58[[#This Row],[GDP]]</f>
        <v/>
      </c>
      <c r="L216" s="32">
        <f>Table58[[#This Row],[Government]]/Table58[[#This Row],[GDP]]</f>
        <v/>
      </c>
      <c r="N216" s="51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0" t="n">
        <v>36434</v>
      </c>
      <c r="B217" s="56">
        <f>VLOOKUP(A217,'U.S. GDP'!A:B,2,)</f>
        <v/>
      </c>
      <c r="C217" s="56">
        <f>VLOOKUP(A217,PersonalConsumption!A:B,2,)</f>
        <v/>
      </c>
      <c r="D217" s="56">
        <f>VLOOKUP(A217,PrivateInvestment!A:B,2,)</f>
        <v/>
      </c>
      <c r="E217" s="56">
        <f>VLOOKUP(A217,Exports!A:B,2,)</f>
        <v/>
      </c>
      <c r="F217" s="56">
        <f>VLOOKUP(A217,Imports!A:B,2,)</f>
        <v/>
      </c>
      <c r="G217" s="56">
        <f>VLOOKUP(A217,Government!A:B,2,)</f>
        <v/>
      </c>
      <c r="H217" s="32">
        <f>Table58[[#This Row],[Personal Consumption]]/Table58[[#This Row],[GDP]]</f>
        <v/>
      </c>
      <c r="I217" s="32">
        <f>Table58[[#This Row],[Private Investment]]/Table58[[#This Row],[GDP]]</f>
        <v/>
      </c>
      <c r="J217" s="32">
        <f>Table58[[#This Row],[Exports]]/Table58[[#This Row],[GDP]]</f>
        <v/>
      </c>
      <c r="K217" s="32">
        <f>-Table58[[#This Row],[Imports]]/Table58[[#This Row],[GDP]]</f>
        <v/>
      </c>
      <c r="L217" s="32">
        <f>Table58[[#This Row],[Government]]/Table58[[#This Row],[GDP]]</f>
        <v/>
      </c>
      <c r="N217" s="51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0" t="n">
        <v>36526</v>
      </c>
      <c r="B218" s="56">
        <f>VLOOKUP(A218,'U.S. GDP'!A:B,2,)</f>
        <v/>
      </c>
      <c r="C218" s="56">
        <f>VLOOKUP(A218,PersonalConsumption!A:B,2,)</f>
        <v/>
      </c>
      <c r="D218" s="56">
        <f>VLOOKUP(A218,PrivateInvestment!A:B,2,)</f>
        <v/>
      </c>
      <c r="E218" s="56">
        <f>VLOOKUP(A218,Exports!A:B,2,)</f>
        <v/>
      </c>
      <c r="F218" s="56">
        <f>VLOOKUP(A218,Imports!A:B,2,)</f>
        <v/>
      </c>
      <c r="G218" s="56">
        <f>VLOOKUP(A218,Government!A:B,2,)</f>
        <v/>
      </c>
      <c r="H218" s="32">
        <f>Table58[[#This Row],[Personal Consumption]]/Table58[[#This Row],[GDP]]</f>
        <v/>
      </c>
      <c r="I218" s="32">
        <f>Table58[[#This Row],[Private Investment]]/Table58[[#This Row],[GDP]]</f>
        <v/>
      </c>
      <c r="J218" s="32">
        <f>Table58[[#This Row],[Exports]]/Table58[[#This Row],[GDP]]</f>
        <v/>
      </c>
      <c r="K218" s="32">
        <f>-Table58[[#This Row],[Imports]]/Table58[[#This Row],[GDP]]</f>
        <v/>
      </c>
      <c r="L218" s="32">
        <f>Table58[[#This Row],[Government]]/Table58[[#This Row],[GDP]]</f>
        <v/>
      </c>
      <c r="N218" s="51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0" t="n">
        <v>36617</v>
      </c>
      <c r="B219" s="56">
        <f>VLOOKUP(A219,'U.S. GDP'!A:B,2,)</f>
        <v/>
      </c>
      <c r="C219" s="56">
        <f>VLOOKUP(A219,PersonalConsumption!A:B,2,)</f>
        <v/>
      </c>
      <c r="D219" s="56">
        <f>VLOOKUP(A219,PrivateInvestment!A:B,2,)</f>
        <v/>
      </c>
      <c r="E219" s="56">
        <f>VLOOKUP(A219,Exports!A:B,2,)</f>
        <v/>
      </c>
      <c r="F219" s="56">
        <f>VLOOKUP(A219,Imports!A:B,2,)</f>
        <v/>
      </c>
      <c r="G219" s="56">
        <f>VLOOKUP(A219,Government!A:B,2,)</f>
        <v/>
      </c>
      <c r="H219" s="32">
        <f>Table58[[#This Row],[Personal Consumption]]/Table58[[#This Row],[GDP]]</f>
        <v/>
      </c>
      <c r="I219" s="32">
        <f>Table58[[#This Row],[Private Investment]]/Table58[[#This Row],[GDP]]</f>
        <v/>
      </c>
      <c r="J219" s="32">
        <f>Table58[[#This Row],[Exports]]/Table58[[#This Row],[GDP]]</f>
        <v/>
      </c>
      <c r="K219" s="32">
        <f>-Table58[[#This Row],[Imports]]/Table58[[#This Row],[GDP]]</f>
        <v/>
      </c>
      <c r="L219" s="32">
        <f>Table58[[#This Row],[Government]]/Table58[[#This Row],[GDP]]</f>
        <v/>
      </c>
      <c r="N219" s="51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0" t="n">
        <v>36708</v>
      </c>
      <c r="B220" s="56">
        <f>VLOOKUP(A220,'U.S. GDP'!A:B,2,)</f>
        <v/>
      </c>
      <c r="C220" s="56">
        <f>VLOOKUP(A220,PersonalConsumption!A:B,2,)</f>
        <v/>
      </c>
      <c r="D220" s="56">
        <f>VLOOKUP(A220,PrivateInvestment!A:B,2,)</f>
        <v/>
      </c>
      <c r="E220" s="56">
        <f>VLOOKUP(A220,Exports!A:B,2,)</f>
        <v/>
      </c>
      <c r="F220" s="56">
        <f>VLOOKUP(A220,Imports!A:B,2,)</f>
        <v/>
      </c>
      <c r="G220" s="56">
        <f>VLOOKUP(A220,Government!A:B,2,)</f>
        <v/>
      </c>
      <c r="H220" s="32">
        <f>Table58[[#This Row],[Personal Consumption]]/Table58[[#This Row],[GDP]]</f>
        <v/>
      </c>
      <c r="I220" s="32">
        <f>Table58[[#This Row],[Private Investment]]/Table58[[#This Row],[GDP]]</f>
        <v/>
      </c>
      <c r="J220" s="32">
        <f>Table58[[#This Row],[Exports]]/Table58[[#This Row],[GDP]]</f>
        <v/>
      </c>
      <c r="K220" s="32">
        <f>-Table58[[#This Row],[Imports]]/Table58[[#This Row],[GDP]]</f>
        <v/>
      </c>
      <c r="L220" s="32">
        <f>Table58[[#This Row],[Government]]/Table58[[#This Row],[GDP]]</f>
        <v/>
      </c>
      <c r="N220" s="51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0" t="n">
        <v>36800</v>
      </c>
      <c r="B221" s="56">
        <f>VLOOKUP(A221,'U.S. GDP'!A:B,2,)</f>
        <v/>
      </c>
      <c r="C221" s="56">
        <f>VLOOKUP(A221,PersonalConsumption!A:B,2,)</f>
        <v/>
      </c>
      <c r="D221" s="56">
        <f>VLOOKUP(A221,PrivateInvestment!A:B,2,)</f>
        <v/>
      </c>
      <c r="E221" s="56">
        <f>VLOOKUP(A221,Exports!A:B,2,)</f>
        <v/>
      </c>
      <c r="F221" s="56">
        <f>VLOOKUP(A221,Imports!A:B,2,)</f>
        <v/>
      </c>
      <c r="G221" s="56">
        <f>VLOOKUP(A221,Government!A:B,2,)</f>
        <v/>
      </c>
      <c r="H221" s="32">
        <f>Table58[[#This Row],[Personal Consumption]]/Table58[[#This Row],[GDP]]</f>
        <v/>
      </c>
      <c r="I221" s="32">
        <f>Table58[[#This Row],[Private Investment]]/Table58[[#This Row],[GDP]]</f>
        <v/>
      </c>
      <c r="J221" s="32">
        <f>Table58[[#This Row],[Exports]]/Table58[[#This Row],[GDP]]</f>
        <v/>
      </c>
      <c r="K221" s="32">
        <f>-Table58[[#This Row],[Imports]]/Table58[[#This Row],[GDP]]</f>
        <v/>
      </c>
      <c r="L221" s="32">
        <f>Table58[[#This Row],[Government]]/Table58[[#This Row],[GDP]]</f>
        <v/>
      </c>
      <c r="N221" s="51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0" t="n">
        <v>36892</v>
      </c>
      <c r="B222" s="56">
        <f>VLOOKUP(A222,'U.S. GDP'!A:B,2,)</f>
        <v/>
      </c>
      <c r="C222" s="56">
        <f>VLOOKUP(A222,PersonalConsumption!A:B,2,)</f>
        <v/>
      </c>
      <c r="D222" s="56">
        <f>VLOOKUP(A222,PrivateInvestment!A:B,2,)</f>
        <v/>
      </c>
      <c r="E222" s="56">
        <f>VLOOKUP(A222,Exports!A:B,2,)</f>
        <v/>
      </c>
      <c r="F222" s="56">
        <f>VLOOKUP(A222,Imports!A:B,2,)</f>
        <v/>
      </c>
      <c r="G222" s="56">
        <f>VLOOKUP(A222,Government!A:B,2,)</f>
        <v/>
      </c>
      <c r="H222" s="32">
        <f>Table58[[#This Row],[Personal Consumption]]/Table58[[#This Row],[GDP]]</f>
        <v/>
      </c>
      <c r="I222" s="32">
        <f>Table58[[#This Row],[Private Investment]]/Table58[[#This Row],[GDP]]</f>
        <v/>
      </c>
      <c r="J222" s="32">
        <f>Table58[[#This Row],[Exports]]/Table58[[#This Row],[GDP]]</f>
        <v/>
      </c>
      <c r="K222" s="32">
        <f>-Table58[[#This Row],[Imports]]/Table58[[#This Row],[GDP]]</f>
        <v/>
      </c>
      <c r="L222" s="32">
        <f>Table58[[#This Row],[Government]]/Table58[[#This Row],[GDP]]</f>
        <v/>
      </c>
      <c r="N222" s="51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0" t="n">
        <v>36982</v>
      </c>
      <c r="B223" s="56">
        <f>VLOOKUP(A223,'U.S. GDP'!A:B,2,)</f>
        <v/>
      </c>
      <c r="C223" s="56">
        <f>VLOOKUP(A223,PersonalConsumption!A:B,2,)</f>
        <v/>
      </c>
      <c r="D223" s="56">
        <f>VLOOKUP(A223,PrivateInvestment!A:B,2,)</f>
        <v/>
      </c>
      <c r="E223" s="56">
        <f>VLOOKUP(A223,Exports!A:B,2,)</f>
        <v/>
      </c>
      <c r="F223" s="56">
        <f>VLOOKUP(A223,Imports!A:B,2,)</f>
        <v/>
      </c>
      <c r="G223" s="56">
        <f>VLOOKUP(A223,Government!A:B,2,)</f>
        <v/>
      </c>
      <c r="H223" s="32">
        <f>Table58[[#This Row],[Personal Consumption]]/Table58[[#This Row],[GDP]]</f>
        <v/>
      </c>
      <c r="I223" s="32">
        <f>Table58[[#This Row],[Private Investment]]/Table58[[#This Row],[GDP]]</f>
        <v/>
      </c>
      <c r="J223" s="32">
        <f>Table58[[#This Row],[Exports]]/Table58[[#This Row],[GDP]]</f>
        <v/>
      </c>
      <c r="K223" s="32">
        <f>-Table58[[#This Row],[Imports]]/Table58[[#This Row],[GDP]]</f>
        <v/>
      </c>
      <c r="L223" s="32">
        <f>Table58[[#This Row],[Government]]/Table58[[#This Row],[GDP]]</f>
        <v/>
      </c>
      <c r="N223" s="51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0" t="n">
        <v>37073</v>
      </c>
      <c r="B224" s="56">
        <f>VLOOKUP(A224,'U.S. GDP'!A:B,2,)</f>
        <v/>
      </c>
      <c r="C224" s="56">
        <f>VLOOKUP(A224,PersonalConsumption!A:B,2,)</f>
        <v/>
      </c>
      <c r="D224" s="56">
        <f>VLOOKUP(A224,PrivateInvestment!A:B,2,)</f>
        <v/>
      </c>
      <c r="E224" s="56">
        <f>VLOOKUP(A224,Exports!A:B,2,)</f>
        <v/>
      </c>
      <c r="F224" s="56">
        <f>VLOOKUP(A224,Imports!A:B,2,)</f>
        <v/>
      </c>
      <c r="G224" s="56">
        <f>VLOOKUP(A224,Government!A:B,2,)</f>
        <v/>
      </c>
      <c r="H224" s="32">
        <f>Table58[[#This Row],[Personal Consumption]]/Table58[[#This Row],[GDP]]</f>
        <v/>
      </c>
      <c r="I224" s="32">
        <f>Table58[[#This Row],[Private Investment]]/Table58[[#This Row],[GDP]]</f>
        <v/>
      </c>
      <c r="J224" s="32">
        <f>Table58[[#This Row],[Exports]]/Table58[[#This Row],[GDP]]</f>
        <v/>
      </c>
      <c r="K224" s="32">
        <f>-Table58[[#This Row],[Imports]]/Table58[[#This Row],[GDP]]</f>
        <v/>
      </c>
      <c r="L224" s="32">
        <f>Table58[[#This Row],[Government]]/Table58[[#This Row],[GDP]]</f>
        <v/>
      </c>
      <c r="N224" s="51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0" t="n">
        <v>37165</v>
      </c>
      <c r="B225" s="56">
        <f>VLOOKUP(A225,'U.S. GDP'!A:B,2,)</f>
        <v/>
      </c>
      <c r="C225" s="56">
        <f>VLOOKUP(A225,PersonalConsumption!A:B,2,)</f>
        <v/>
      </c>
      <c r="D225" s="56">
        <f>VLOOKUP(A225,PrivateInvestment!A:B,2,)</f>
        <v/>
      </c>
      <c r="E225" s="56">
        <f>VLOOKUP(A225,Exports!A:B,2,)</f>
        <v/>
      </c>
      <c r="F225" s="56">
        <f>VLOOKUP(A225,Imports!A:B,2,)</f>
        <v/>
      </c>
      <c r="G225" s="56">
        <f>VLOOKUP(A225,Government!A:B,2,)</f>
        <v/>
      </c>
      <c r="H225" s="32">
        <f>Table58[[#This Row],[Personal Consumption]]/Table58[[#This Row],[GDP]]</f>
        <v/>
      </c>
      <c r="I225" s="32">
        <f>Table58[[#This Row],[Private Investment]]/Table58[[#This Row],[GDP]]</f>
        <v/>
      </c>
      <c r="J225" s="32">
        <f>Table58[[#This Row],[Exports]]/Table58[[#This Row],[GDP]]</f>
        <v/>
      </c>
      <c r="K225" s="32">
        <f>-Table58[[#This Row],[Imports]]/Table58[[#This Row],[GDP]]</f>
        <v/>
      </c>
      <c r="L225" s="32">
        <f>Table58[[#This Row],[Government]]/Table58[[#This Row],[GDP]]</f>
        <v/>
      </c>
      <c r="N225" s="51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0" t="n">
        <v>37257</v>
      </c>
      <c r="B226" s="56">
        <f>VLOOKUP(A226,'U.S. GDP'!A:B,2,)</f>
        <v/>
      </c>
      <c r="C226" s="56">
        <f>VLOOKUP(A226,PersonalConsumption!A:B,2,)</f>
        <v/>
      </c>
      <c r="D226" s="56">
        <f>VLOOKUP(A226,PrivateInvestment!A:B,2,)</f>
        <v/>
      </c>
      <c r="E226" s="56">
        <f>VLOOKUP(A226,Exports!A:B,2,)</f>
        <v/>
      </c>
      <c r="F226" s="56">
        <f>VLOOKUP(A226,Imports!A:B,2,)</f>
        <v/>
      </c>
      <c r="G226" s="56">
        <f>VLOOKUP(A226,Government!A:B,2,)</f>
        <v/>
      </c>
      <c r="H226" s="32">
        <f>Table58[[#This Row],[Personal Consumption]]/Table58[[#This Row],[GDP]]</f>
        <v/>
      </c>
      <c r="I226" s="32">
        <f>Table58[[#This Row],[Private Investment]]/Table58[[#This Row],[GDP]]</f>
        <v/>
      </c>
      <c r="J226" s="32">
        <f>Table58[[#This Row],[Exports]]/Table58[[#This Row],[GDP]]</f>
        <v/>
      </c>
      <c r="K226" s="32">
        <f>-Table58[[#This Row],[Imports]]/Table58[[#This Row],[GDP]]</f>
        <v/>
      </c>
      <c r="L226" s="32">
        <f>Table58[[#This Row],[Government]]/Table58[[#This Row],[GDP]]</f>
        <v/>
      </c>
      <c r="N226" s="51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0" t="n">
        <v>37347</v>
      </c>
      <c r="B227" s="56">
        <f>VLOOKUP(A227,'U.S. GDP'!A:B,2,)</f>
        <v/>
      </c>
      <c r="C227" s="56">
        <f>VLOOKUP(A227,PersonalConsumption!A:B,2,)</f>
        <v/>
      </c>
      <c r="D227" s="56">
        <f>VLOOKUP(A227,PrivateInvestment!A:B,2,)</f>
        <v/>
      </c>
      <c r="E227" s="56">
        <f>VLOOKUP(A227,Exports!A:B,2,)</f>
        <v/>
      </c>
      <c r="F227" s="56">
        <f>VLOOKUP(A227,Imports!A:B,2,)</f>
        <v/>
      </c>
      <c r="G227" s="56">
        <f>VLOOKUP(A227,Government!A:B,2,)</f>
        <v/>
      </c>
      <c r="H227" s="32">
        <f>Table58[[#This Row],[Personal Consumption]]/Table58[[#This Row],[GDP]]</f>
        <v/>
      </c>
      <c r="I227" s="32">
        <f>Table58[[#This Row],[Private Investment]]/Table58[[#This Row],[GDP]]</f>
        <v/>
      </c>
      <c r="J227" s="32">
        <f>Table58[[#This Row],[Exports]]/Table58[[#This Row],[GDP]]</f>
        <v/>
      </c>
      <c r="K227" s="32">
        <f>-Table58[[#This Row],[Imports]]/Table58[[#This Row],[GDP]]</f>
        <v/>
      </c>
      <c r="L227" s="32">
        <f>Table58[[#This Row],[Government]]/Table58[[#This Row],[GDP]]</f>
        <v/>
      </c>
      <c r="N227" s="51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0" t="n">
        <v>37438</v>
      </c>
      <c r="B228" s="56">
        <f>VLOOKUP(A228,'U.S. GDP'!A:B,2,)</f>
        <v/>
      </c>
      <c r="C228" s="56">
        <f>VLOOKUP(A228,PersonalConsumption!A:B,2,)</f>
        <v/>
      </c>
      <c r="D228" s="56">
        <f>VLOOKUP(A228,PrivateInvestment!A:B,2,)</f>
        <v/>
      </c>
      <c r="E228" s="56">
        <f>VLOOKUP(A228,Exports!A:B,2,)</f>
        <v/>
      </c>
      <c r="F228" s="56">
        <f>VLOOKUP(A228,Imports!A:B,2,)</f>
        <v/>
      </c>
      <c r="G228" s="56">
        <f>VLOOKUP(A228,Government!A:B,2,)</f>
        <v/>
      </c>
      <c r="H228" s="32">
        <f>Table58[[#This Row],[Personal Consumption]]/Table58[[#This Row],[GDP]]</f>
        <v/>
      </c>
      <c r="I228" s="32">
        <f>Table58[[#This Row],[Private Investment]]/Table58[[#This Row],[GDP]]</f>
        <v/>
      </c>
      <c r="J228" s="32">
        <f>Table58[[#This Row],[Exports]]/Table58[[#This Row],[GDP]]</f>
        <v/>
      </c>
      <c r="K228" s="32">
        <f>-Table58[[#This Row],[Imports]]/Table58[[#This Row],[GDP]]</f>
        <v/>
      </c>
      <c r="L228" s="32">
        <f>Table58[[#This Row],[Government]]/Table58[[#This Row],[GDP]]</f>
        <v/>
      </c>
      <c r="N228" s="51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0" t="n">
        <v>37530</v>
      </c>
      <c r="B229" s="56">
        <f>VLOOKUP(A229,'U.S. GDP'!A:B,2,)</f>
        <v/>
      </c>
      <c r="C229" s="56">
        <f>VLOOKUP(A229,PersonalConsumption!A:B,2,)</f>
        <v/>
      </c>
      <c r="D229" s="56">
        <f>VLOOKUP(A229,PrivateInvestment!A:B,2,)</f>
        <v/>
      </c>
      <c r="E229" s="56">
        <f>VLOOKUP(A229,Exports!A:B,2,)</f>
        <v/>
      </c>
      <c r="F229" s="56">
        <f>VLOOKUP(A229,Imports!A:B,2,)</f>
        <v/>
      </c>
      <c r="G229" s="56">
        <f>VLOOKUP(A229,Government!A:B,2,)</f>
        <v/>
      </c>
      <c r="H229" s="32">
        <f>Table58[[#This Row],[Personal Consumption]]/Table58[[#This Row],[GDP]]</f>
        <v/>
      </c>
      <c r="I229" s="32">
        <f>Table58[[#This Row],[Private Investment]]/Table58[[#This Row],[GDP]]</f>
        <v/>
      </c>
      <c r="J229" s="32">
        <f>Table58[[#This Row],[Exports]]/Table58[[#This Row],[GDP]]</f>
        <v/>
      </c>
      <c r="K229" s="32">
        <f>-Table58[[#This Row],[Imports]]/Table58[[#This Row],[GDP]]</f>
        <v/>
      </c>
      <c r="L229" s="32">
        <f>Table58[[#This Row],[Government]]/Table58[[#This Row],[GDP]]</f>
        <v/>
      </c>
      <c r="N229" s="51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0" t="n">
        <v>37622</v>
      </c>
      <c r="B230" s="56">
        <f>VLOOKUP(A230,'U.S. GDP'!A:B,2,)</f>
        <v/>
      </c>
      <c r="C230" s="56">
        <f>VLOOKUP(A230,PersonalConsumption!A:B,2,)</f>
        <v/>
      </c>
      <c r="D230" s="56">
        <f>VLOOKUP(A230,PrivateInvestment!A:B,2,)</f>
        <v/>
      </c>
      <c r="E230" s="56">
        <f>VLOOKUP(A230,Exports!A:B,2,)</f>
        <v/>
      </c>
      <c r="F230" s="56">
        <f>VLOOKUP(A230,Imports!A:B,2,)</f>
        <v/>
      </c>
      <c r="G230" s="56">
        <f>VLOOKUP(A230,Government!A:B,2,)</f>
        <v/>
      </c>
      <c r="H230" s="32">
        <f>Table58[[#This Row],[Personal Consumption]]/Table58[[#This Row],[GDP]]</f>
        <v/>
      </c>
      <c r="I230" s="32">
        <f>Table58[[#This Row],[Private Investment]]/Table58[[#This Row],[GDP]]</f>
        <v/>
      </c>
      <c r="J230" s="32">
        <f>Table58[[#This Row],[Exports]]/Table58[[#This Row],[GDP]]</f>
        <v/>
      </c>
      <c r="K230" s="32">
        <f>-Table58[[#This Row],[Imports]]/Table58[[#This Row],[GDP]]</f>
        <v/>
      </c>
      <c r="L230" s="32">
        <f>Table58[[#This Row],[Government]]/Table58[[#This Row],[GDP]]</f>
        <v/>
      </c>
      <c r="N230" s="51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0" t="n">
        <v>37712</v>
      </c>
      <c r="B231" s="56">
        <f>VLOOKUP(A231,'U.S. GDP'!A:B,2,)</f>
        <v/>
      </c>
      <c r="C231" s="56">
        <f>VLOOKUP(A231,PersonalConsumption!A:B,2,)</f>
        <v/>
      </c>
      <c r="D231" s="56">
        <f>VLOOKUP(A231,PrivateInvestment!A:B,2,)</f>
        <v/>
      </c>
      <c r="E231" s="56">
        <f>VLOOKUP(A231,Exports!A:B,2,)</f>
        <v/>
      </c>
      <c r="F231" s="56">
        <f>VLOOKUP(A231,Imports!A:B,2,)</f>
        <v/>
      </c>
      <c r="G231" s="56">
        <f>VLOOKUP(A231,Government!A:B,2,)</f>
        <v/>
      </c>
      <c r="H231" s="32">
        <f>Table58[[#This Row],[Personal Consumption]]/Table58[[#This Row],[GDP]]</f>
        <v/>
      </c>
      <c r="I231" s="32">
        <f>Table58[[#This Row],[Private Investment]]/Table58[[#This Row],[GDP]]</f>
        <v/>
      </c>
      <c r="J231" s="32">
        <f>Table58[[#This Row],[Exports]]/Table58[[#This Row],[GDP]]</f>
        <v/>
      </c>
      <c r="K231" s="32">
        <f>-Table58[[#This Row],[Imports]]/Table58[[#This Row],[GDP]]</f>
        <v/>
      </c>
      <c r="L231" s="32">
        <f>Table58[[#This Row],[Government]]/Table58[[#This Row],[GDP]]</f>
        <v/>
      </c>
      <c r="N231" s="51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0" t="n">
        <v>37803</v>
      </c>
      <c r="B232" s="56">
        <f>VLOOKUP(A232,'U.S. GDP'!A:B,2,)</f>
        <v/>
      </c>
      <c r="C232" s="56">
        <f>VLOOKUP(A232,PersonalConsumption!A:B,2,)</f>
        <v/>
      </c>
      <c r="D232" s="56">
        <f>VLOOKUP(A232,PrivateInvestment!A:B,2,)</f>
        <v/>
      </c>
      <c r="E232" s="56">
        <f>VLOOKUP(A232,Exports!A:B,2,)</f>
        <v/>
      </c>
      <c r="F232" s="56">
        <f>VLOOKUP(A232,Imports!A:B,2,)</f>
        <v/>
      </c>
      <c r="G232" s="56">
        <f>VLOOKUP(A232,Government!A:B,2,)</f>
        <v/>
      </c>
      <c r="H232" s="32">
        <f>Table58[[#This Row],[Personal Consumption]]/Table58[[#This Row],[GDP]]</f>
        <v/>
      </c>
      <c r="I232" s="32">
        <f>Table58[[#This Row],[Private Investment]]/Table58[[#This Row],[GDP]]</f>
        <v/>
      </c>
      <c r="J232" s="32">
        <f>Table58[[#This Row],[Exports]]/Table58[[#This Row],[GDP]]</f>
        <v/>
      </c>
      <c r="K232" s="32">
        <f>-Table58[[#This Row],[Imports]]/Table58[[#This Row],[GDP]]</f>
        <v/>
      </c>
      <c r="L232" s="32">
        <f>Table58[[#This Row],[Government]]/Table58[[#This Row],[GDP]]</f>
        <v/>
      </c>
      <c r="N232" s="51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0" t="n">
        <v>37895</v>
      </c>
      <c r="B233" s="56">
        <f>VLOOKUP(A233,'U.S. GDP'!A:B,2,)</f>
        <v/>
      </c>
      <c r="C233" s="56">
        <f>VLOOKUP(A233,PersonalConsumption!A:B,2,)</f>
        <v/>
      </c>
      <c r="D233" s="56">
        <f>VLOOKUP(A233,PrivateInvestment!A:B,2,)</f>
        <v/>
      </c>
      <c r="E233" s="56">
        <f>VLOOKUP(A233,Exports!A:B,2,)</f>
        <v/>
      </c>
      <c r="F233" s="56">
        <f>VLOOKUP(A233,Imports!A:B,2,)</f>
        <v/>
      </c>
      <c r="G233" s="56">
        <f>VLOOKUP(A233,Government!A:B,2,)</f>
        <v/>
      </c>
      <c r="H233" s="32">
        <f>Table58[[#This Row],[Personal Consumption]]/Table58[[#This Row],[GDP]]</f>
        <v/>
      </c>
      <c r="I233" s="32">
        <f>Table58[[#This Row],[Private Investment]]/Table58[[#This Row],[GDP]]</f>
        <v/>
      </c>
      <c r="J233" s="32">
        <f>Table58[[#This Row],[Exports]]/Table58[[#This Row],[GDP]]</f>
        <v/>
      </c>
      <c r="K233" s="32">
        <f>-Table58[[#This Row],[Imports]]/Table58[[#This Row],[GDP]]</f>
        <v/>
      </c>
      <c r="L233" s="32">
        <f>Table58[[#This Row],[Government]]/Table58[[#This Row],[GDP]]</f>
        <v/>
      </c>
      <c r="N233" s="51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0" t="n">
        <v>37987</v>
      </c>
      <c r="B234" s="56">
        <f>VLOOKUP(A234,'U.S. GDP'!A:B,2,)</f>
        <v/>
      </c>
      <c r="C234" s="56">
        <f>VLOOKUP(A234,PersonalConsumption!A:B,2,)</f>
        <v/>
      </c>
      <c r="D234" s="56">
        <f>VLOOKUP(A234,PrivateInvestment!A:B,2,)</f>
        <v/>
      </c>
      <c r="E234" s="56">
        <f>VLOOKUP(A234,Exports!A:B,2,)</f>
        <v/>
      </c>
      <c r="F234" s="56">
        <f>VLOOKUP(A234,Imports!A:B,2,)</f>
        <v/>
      </c>
      <c r="G234" s="56">
        <f>VLOOKUP(A234,Government!A:B,2,)</f>
        <v/>
      </c>
      <c r="H234" s="32">
        <f>Table58[[#This Row],[Personal Consumption]]/Table58[[#This Row],[GDP]]</f>
        <v/>
      </c>
      <c r="I234" s="32">
        <f>Table58[[#This Row],[Private Investment]]/Table58[[#This Row],[GDP]]</f>
        <v/>
      </c>
      <c r="J234" s="32">
        <f>Table58[[#This Row],[Exports]]/Table58[[#This Row],[GDP]]</f>
        <v/>
      </c>
      <c r="K234" s="32">
        <f>-Table58[[#This Row],[Imports]]/Table58[[#This Row],[GDP]]</f>
        <v/>
      </c>
      <c r="L234" s="32">
        <f>Table58[[#This Row],[Government]]/Table58[[#This Row],[GDP]]</f>
        <v/>
      </c>
      <c r="N234" s="51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0" t="n">
        <v>38078</v>
      </c>
      <c r="B235" s="56">
        <f>VLOOKUP(A235,'U.S. GDP'!A:B,2,)</f>
        <v/>
      </c>
      <c r="C235" s="56">
        <f>VLOOKUP(A235,PersonalConsumption!A:B,2,)</f>
        <v/>
      </c>
      <c r="D235" s="56">
        <f>VLOOKUP(A235,PrivateInvestment!A:B,2,)</f>
        <v/>
      </c>
      <c r="E235" s="56">
        <f>VLOOKUP(A235,Exports!A:B,2,)</f>
        <v/>
      </c>
      <c r="F235" s="56">
        <f>VLOOKUP(A235,Imports!A:B,2,)</f>
        <v/>
      </c>
      <c r="G235" s="56">
        <f>VLOOKUP(A235,Government!A:B,2,)</f>
        <v/>
      </c>
      <c r="H235" s="32">
        <f>Table58[[#This Row],[Personal Consumption]]/Table58[[#This Row],[GDP]]</f>
        <v/>
      </c>
      <c r="I235" s="32">
        <f>Table58[[#This Row],[Private Investment]]/Table58[[#This Row],[GDP]]</f>
        <v/>
      </c>
      <c r="J235" s="32">
        <f>Table58[[#This Row],[Exports]]/Table58[[#This Row],[GDP]]</f>
        <v/>
      </c>
      <c r="K235" s="32">
        <f>-Table58[[#This Row],[Imports]]/Table58[[#This Row],[GDP]]</f>
        <v/>
      </c>
      <c r="L235" s="32">
        <f>Table58[[#This Row],[Government]]/Table58[[#This Row],[GDP]]</f>
        <v/>
      </c>
      <c r="N235" s="51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0" t="n">
        <v>38169</v>
      </c>
      <c r="B236" s="56">
        <f>VLOOKUP(A236,'U.S. GDP'!A:B,2,)</f>
        <v/>
      </c>
      <c r="C236" s="56">
        <f>VLOOKUP(A236,PersonalConsumption!A:B,2,)</f>
        <v/>
      </c>
      <c r="D236" s="56">
        <f>VLOOKUP(A236,PrivateInvestment!A:B,2,)</f>
        <v/>
      </c>
      <c r="E236" s="56">
        <f>VLOOKUP(A236,Exports!A:B,2,)</f>
        <v/>
      </c>
      <c r="F236" s="56">
        <f>VLOOKUP(A236,Imports!A:B,2,)</f>
        <v/>
      </c>
      <c r="G236" s="56">
        <f>VLOOKUP(A236,Government!A:B,2,)</f>
        <v/>
      </c>
      <c r="H236" s="32">
        <f>Table58[[#This Row],[Personal Consumption]]/Table58[[#This Row],[GDP]]</f>
        <v/>
      </c>
      <c r="I236" s="32">
        <f>Table58[[#This Row],[Private Investment]]/Table58[[#This Row],[GDP]]</f>
        <v/>
      </c>
      <c r="J236" s="32">
        <f>Table58[[#This Row],[Exports]]/Table58[[#This Row],[GDP]]</f>
        <v/>
      </c>
      <c r="K236" s="32">
        <f>-Table58[[#This Row],[Imports]]/Table58[[#This Row],[GDP]]</f>
        <v/>
      </c>
      <c r="L236" s="32">
        <f>Table58[[#This Row],[Government]]/Table58[[#This Row],[GDP]]</f>
        <v/>
      </c>
      <c r="N236" s="51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0" t="n">
        <v>38261</v>
      </c>
      <c r="B237" s="56">
        <f>VLOOKUP(A237,'U.S. GDP'!A:B,2,)</f>
        <v/>
      </c>
      <c r="C237" s="56">
        <f>VLOOKUP(A237,PersonalConsumption!A:B,2,)</f>
        <v/>
      </c>
      <c r="D237" s="56">
        <f>VLOOKUP(A237,PrivateInvestment!A:B,2,)</f>
        <v/>
      </c>
      <c r="E237" s="56">
        <f>VLOOKUP(A237,Exports!A:B,2,)</f>
        <v/>
      </c>
      <c r="F237" s="56">
        <f>VLOOKUP(A237,Imports!A:B,2,)</f>
        <v/>
      </c>
      <c r="G237" s="56">
        <f>VLOOKUP(A237,Government!A:B,2,)</f>
        <v/>
      </c>
      <c r="H237" s="32">
        <f>Table58[[#This Row],[Personal Consumption]]/Table58[[#This Row],[GDP]]</f>
        <v/>
      </c>
      <c r="I237" s="32">
        <f>Table58[[#This Row],[Private Investment]]/Table58[[#This Row],[GDP]]</f>
        <v/>
      </c>
      <c r="J237" s="32">
        <f>Table58[[#This Row],[Exports]]/Table58[[#This Row],[GDP]]</f>
        <v/>
      </c>
      <c r="K237" s="32">
        <f>-Table58[[#This Row],[Imports]]/Table58[[#This Row],[GDP]]</f>
        <v/>
      </c>
      <c r="L237" s="32">
        <f>Table58[[#This Row],[Government]]/Table58[[#This Row],[GDP]]</f>
        <v/>
      </c>
      <c r="N237" s="51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0" t="n">
        <v>38353</v>
      </c>
      <c r="B238" s="56">
        <f>VLOOKUP(A238,'U.S. GDP'!A:B,2,)</f>
        <v/>
      </c>
      <c r="C238" s="56">
        <f>VLOOKUP(A238,PersonalConsumption!A:B,2,)</f>
        <v/>
      </c>
      <c r="D238" s="56">
        <f>VLOOKUP(A238,PrivateInvestment!A:B,2,)</f>
        <v/>
      </c>
      <c r="E238" s="56">
        <f>VLOOKUP(A238,Exports!A:B,2,)</f>
        <v/>
      </c>
      <c r="F238" s="56">
        <f>VLOOKUP(A238,Imports!A:B,2,)</f>
        <v/>
      </c>
      <c r="G238" s="56">
        <f>VLOOKUP(A238,Government!A:B,2,)</f>
        <v/>
      </c>
      <c r="H238" s="32">
        <f>Table58[[#This Row],[Personal Consumption]]/Table58[[#This Row],[GDP]]</f>
        <v/>
      </c>
      <c r="I238" s="32">
        <f>Table58[[#This Row],[Private Investment]]/Table58[[#This Row],[GDP]]</f>
        <v/>
      </c>
      <c r="J238" s="32">
        <f>Table58[[#This Row],[Exports]]/Table58[[#This Row],[GDP]]</f>
        <v/>
      </c>
      <c r="K238" s="32">
        <f>-Table58[[#This Row],[Imports]]/Table58[[#This Row],[GDP]]</f>
        <v/>
      </c>
      <c r="L238" s="32">
        <f>Table58[[#This Row],[Government]]/Table58[[#This Row],[GDP]]</f>
        <v/>
      </c>
      <c r="N238" s="51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0" t="n">
        <v>38443</v>
      </c>
      <c r="B239" s="56">
        <f>VLOOKUP(A239,'U.S. GDP'!A:B,2,)</f>
        <v/>
      </c>
      <c r="C239" s="56">
        <f>VLOOKUP(A239,PersonalConsumption!A:B,2,)</f>
        <v/>
      </c>
      <c r="D239" s="56">
        <f>VLOOKUP(A239,PrivateInvestment!A:B,2,)</f>
        <v/>
      </c>
      <c r="E239" s="56">
        <f>VLOOKUP(A239,Exports!A:B,2,)</f>
        <v/>
      </c>
      <c r="F239" s="56">
        <f>VLOOKUP(A239,Imports!A:B,2,)</f>
        <v/>
      </c>
      <c r="G239" s="56">
        <f>VLOOKUP(A239,Government!A:B,2,)</f>
        <v/>
      </c>
      <c r="H239" s="32">
        <f>Table58[[#This Row],[Personal Consumption]]/Table58[[#This Row],[GDP]]</f>
        <v/>
      </c>
      <c r="I239" s="32">
        <f>Table58[[#This Row],[Private Investment]]/Table58[[#This Row],[GDP]]</f>
        <v/>
      </c>
      <c r="J239" s="32">
        <f>Table58[[#This Row],[Exports]]/Table58[[#This Row],[GDP]]</f>
        <v/>
      </c>
      <c r="K239" s="32">
        <f>-Table58[[#This Row],[Imports]]/Table58[[#This Row],[GDP]]</f>
        <v/>
      </c>
      <c r="L239" s="32">
        <f>Table58[[#This Row],[Government]]/Table58[[#This Row],[GDP]]</f>
        <v/>
      </c>
      <c r="N239" s="51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0" t="n">
        <v>38534</v>
      </c>
      <c r="B240" s="56">
        <f>VLOOKUP(A240,'U.S. GDP'!A:B,2,)</f>
        <v/>
      </c>
      <c r="C240" s="56">
        <f>VLOOKUP(A240,PersonalConsumption!A:B,2,)</f>
        <v/>
      </c>
      <c r="D240" s="56">
        <f>VLOOKUP(A240,PrivateInvestment!A:B,2,)</f>
        <v/>
      </c>
      <c r="E240" s="56">
        <f>VLOOKUP(A240,Exports!A:B,2,)</f>
        <v/>
      </c>
      <c r="F240" s="56">
        <f>VLOOKUP(A240,Imports!A:B,2,)</f>
        <v/>
      </c>
      <c r="G240" s="56">
        <f>VLOOKUP(A240,Government!A:B,2,)</f>
        <v/>
      </c>
      <c r="H240" s="32">
        <f>Table58[[#This Row],[Personal Consumption]]/Table58[[#This Row],[GDP]]</f>
        <v/>
      </c>
      <c r="I240" s="32">
        <f>Table58[[#This Row],[Private Investment]]/Table58[[#This Row],[GDP]]</f>
        <v/>
      </c>
      <c r="J240" s="32">
        <f>Table58[[#This Row],[Exports]]/Table58[[#This Row],[GDP]]</f>
        <v/>
      </c>
      <c r="K240" s="32">
        <f>-Table58[[#This Row],[Imports]]/Table58[[#This Row],[GDP]]</f>
        <v/>
      </c>
      <c r="L240" s="32">
        <f>Table58[[#This Row],[Government]]/Table58[[#This Row],[GDP]]</f>
        <v/>
      </c>
      <c r="N240" s="51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0" t="n">
        <v>38626</v>
      </c>
      <c r="B241" s="56">
        <f>VLOOKUP(A241,'U.S. GDP'!A:B,2,)</f>
        <v/>
      </c>
      <c r="C241" s="56">
        <f>VLOOKUP(A241,PersonalConsumption!A:B,2,)</f>
        <v/>
      </c>
      <c r="D241" s="56">
        <f>VLOOKUP(A241,PrivateInvestment!A:B,2,)</f>
        <v/>
      </c>
      <c r="E241" s="56">
        <f>VLOOKUP(A241,Exports!A:B,2,)</f>
        <v/>
      </c>
      <c r="F241" s="56">
        <f>VLOOKUP(A241,Imports!A:B,2,)</f>
        <v/>
      </c>
      <c r="G241" s="56">
        <f>VLOOKUP(A241,Government!A:B,2,)</f>
        <v/>
      </c>
      <c r="H241" s="32">
        <f>Table58[[#This Row],[Personal Consumption]]/Table58[[#This Row],[GDP]]</f>
        <v/>
      </c>
      <c r="I241" s="32">
        <f>Table58[[#This Row],[Private Investment]]/Table58[[#This Row],[GDP]]</f>
        <v/>
      </c>
      <c r="J241" s="32">
        <f>Table58[[#This Row],[Exports]]/Table58[[#This Row],[GDP]]</f>
        <v/>
      </c>
      <c r="K241" s="32">
        <f>-Table58[[#This Row],[Imports]]/Table58[[#This Row],[GDP]]</f>
        <v/>
      </c>
      <c r="L241" s="32">
        <f>Table58[[#This Row],[Government]]/Table58[[#This Row],[GDP]]</f>
        <v/>
      </c>
      <c r="N241" s="51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0" t="n">
        <v>38718</v>
      </c>
      <c r="B242" s="56">
        <f>VLOOKUP(A242,'U.S. GDP'!A:B,2,)</f>
        <v/>
      </c>
      <c r="C242" s="56">
        <f>VLOOKUP(A242,PersonalConsumption!A:B,2,)</f>
        <v/>
      </c>
      <c r="D242" s="56">
        <f>VLOOKUP(A242,PrivateInvestment!A:B,2,)</f>
        <v/>
      </c>
      <c r="E242" s="56">
        <f>VLOOKUP(A242,Exports!A:B,2,)</f>
        <v/>
      </c>
      <c r="F242" s="56">
        <f>VLOOKUP(A242,Imports!A:B,2,)</f>
        <v/>
      </c>
      <c r="G242" s="56">
        <f>VLOOKUP(A242,Government!A:B,2,)</f>
        <v/>
      </c>
      <c r="H242" s="32">
        <f>Table58[[#This Row],[Personal Consumption]]/Table58[[#This Row],[GDP]]</f>
        <v/>
      </c>
      <c r="I242" s="32">
        <f>Table58[[#This Row],[Private Investment]]/Table58[[#This Row],[GDP]]</f>
        <v/>
      </c>
      <c r="J242" s="32">
        <f>Table58[[#This Row],[Exports]]/Table58[[#This Row],[GDP]]</f>
        <v/>
      </c>
      <c r="K242" s="32">
        <f>-Table58[[#This Row],[Imports]]/Table58[[#This Row],[GDP]]</f>
        <v/>
      </c>
      <c r="L242" s="32">
        <f>Table58[[#This Row],[Government]]/Table58[[#This Row],[GDP]]</f>
        <v/>
      </c>
      <c r="N242" s="51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0" t="n">
        <v>38808</v>
      </c>
      <c r="B243" s="56">
        <f>VLOOKUP(A243,'U.S. GDP'!A:B,2,)</f>
        <v/>
      </c>
      <c r="C243" s="56">
        <f>VLOOKUP(A243,PersonalConsumption!A:B,2,)</f>
        <v/>
      </c>
      <c r="D243" s="56">
        <f>VLOOKUP(A243,PrivateInvestment!A:B,2,)</f>
        <v/>
      </c>
      <c r="E243" s="56">
        <f>VLOOKUP(A243,Exports!A:B,2,)</f>
        <v/>
      </c>
      <c r="F243" s="56">
        <f>VLOOKUP(A243,Imports!A:B,2,)</f>
        <v/>
      </c>
      <c r="G243" s="56">
        <f>VLOOKUP(A243,Government!A:B,2,)</f>
        <v/>
      </c>
      <c r="H243" s="32">
        <f>Table58[[#This Row],[Personal Consumption]]/Table58[[#This Row],[GDP]]</f>
        <v/>
      </c>
      <c r="I243" s="32">
        <f>Table58[[#This Row],[Private Investment]]/Table58[[#This Row],[GDP]]</f>
        <v/>
      </c>
      <c r="J243" s="32">
        <f>Table58[[#This Row],[Exports]]/Table58[[#This Row],[GDP]]</f>
        <v/>
      </c>
      <c r="K243" s="32">
        <f>-Table58[[#This Row],[Imports]]/Table58[[#This Row],[GDP]]</f>
        <v/>
      </c>
      <c r="L243" s="32">
        <f>Table58[[#This Row],[Government]]/Table58[[#This Row],[GDP]]</f>
        <v/>
      </c>
      <c r="N243" s="51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0" t="n">
        <v>38899</v>
      </c>
      <c r="B244" s="56">
        <f>VLOOKUP(A244,'U.S. GDP'!A:B,2,)</f>
        <v/>
      </c>
      <c r="C244" s="56">
        <f>VLOOKUP(A244,PersonalConsumption!A:B,2,)</f>
        <v/>
      </c>
      <c r="D244" s="56">
        <f>VLOOKUP(A244,PrivateInvestment!A:B,2,)</f>
        <v/>
      </c>
      <c r="E244" s="56">
        <f>VLOOKUP(A244,Exports!A:B,2,)</f>
        <v/>
      </c>
      <c r="F244" s="56">
        <f>VLOOKUP(A244,Imports!A:B,2,)</f>
        <v/>
      </c>
      <c r="G244" s="56">
        <f>VLOOKUP(A244,Government!A:B,2,)</f>
        <v/>
      </c>
      <c r="H244" s="32">
        <f>Table58[[#This Row],[Personal Consumption]]/Table58[[#This Row],[GDP]]</f>
        <v/>
      </c>
      <c r="I244" s="32">
        <f>Table58[[#This Row],[Private Investment]]/Table58[[#This Row],[GDP]]</f>
        <v/>
      </c>
      <c r="J244" s="32">
        <f>Table58[[#This Row],[Exports]]/Table58[[#This Row],[GDP]]</f>
        <v/>
      </c>
      <c r="K244" s="32">
        <f>-Table58[[#This Row],[Imports]]/Table58[[#This Row],[GDP]]</f>
        <v/>
      </c>
      <c r="L244" s="32">
        <f>Table58[[#This Row],[Government]]/Table58[[#This Row],[GDP]]</f>
        <v/>
      </c>
      <c r="N244" s="51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0" t="n">
        <v>38991</v>
      </c>
      <c r="B245" s="56">
        <f>VLOOKUP(A245,'U.S. GDP'!A:B,2,)</f>
        <v/>
      </c>
      <c r="C245" s="56">
        <f>VLOOKUP(A245,PersonalConsumption!A:B,2,)</f>
        <v/>
      </c>
      <c r="D245" s="56">
        <f>VLOOKUP(A245,PrivateInvestment!A:B,2,)</f>
        <v/>
      </c>
      <c r="E245" s="56">
        <f>VLOOKUP(A245,Exports!A:B,2,)</f>
        <v/>
      </c>
      <c r="F245" s="56">
        <f>VLOOKUP(A245,Imports!A:B,2,)</f>
        <v/>
      </c>
      <c r="G245" s="56">
        <f>VLOOKUP(A245,Government!A:B,2,)</f>
        <v/>
      </c>
      <c r="H245" s="32">
        <f>Table58[[#This Row],[Personal Consumption]]/Table58[[#This Row],[GDP]]</f>
        <v/>
      </c>
      <c r="I245" s="32">
        <f>Table58[[#This Row],[Private Investment]]/Table58[[#This Row],[GDP]]</f>
        <v/>
      </c>
      <c r="J245" s="32">
        <f>Table58[[#This Row],[Exports]]/Table58[[#This Row],[GDP]]</f>
        <v/>
      </c>
      <c r="K245" s="32">
        <f>-Table58[[#This Row],[Imports]]/Table58[[#This Row],[GDP]]</f>
        <v/>
      </c>
      <c r="L245" s="32">
        <f>Table58[[#This Row],[Government]]/Table58[[#This Row],[GDP]]</f>
        <v/>
      </c>
      <c r="N245" s="51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0" t="n">
        <v>39083</v>
      </c>
      <c r="B246" s="56">
        <f>VLOOKUP(A246,'U.S. GDP'!A:B,2,)</f>
        <v/>
      </c>
      <c r="C246" s="56">
        <f>VLOOKUP(A246,PersonalConsumption!A:B,2,)</f>
        <v/>
      </c>
      <c r="D246" s="56">
        <f>VLOOKUP(A246,PrivateInvestment!A:B,2,)</f>
        <v/>
      </c>
      <c r="E246" s="56">
        <f>VLOOKUP(A246,Exports!A:B,2,)</f>
        <v/>
      </c>
      <c r="F246" s="56">
        <f>VLOOKUP(A246,Imports!A:B,2,)</f>
        <v/>
      </c>
      <c r="G246" s="56">
        <f>VLOOKUP(A246,Government!A:B,2,)</f>
        <v/>
      </c>
      <c r="H246" s="32">
        <f>Table58[[#This Row],[Personal Consumption]]/Table58[[#This Row],[GDP]]</f>
        <v/>
      </c>
      <c r="I246" s="32">
        <f>Table58[[#This Row],[Private Investment]]/Table58[[#This Row],[GDP]]</f>
        <v/>
      </c>
      <c r="J246" s="32">
        <f>Table58[[#This Row],[Exports]]/Table58[[#This Row],[GDP]]</f>
        <v/>
      </c>
      <c r="K246" s="32">
        <f>-Table58[[#This Row],[Imports]]/Table58[[#This Row],[GDP]]</f>
        <v/>
      </c>
      <c r="L246" s="32">
        <f>Table58[[#This Row],[Government]]/Table58[[#This Row],[GDP]]</f>
        <v/>
      </c>
      <c r="N246" s="51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0" t="n">
        <v>39173</v>
      </c>
      <c r="B247" s="56">
        <f>VLOOKUP(A247,'U.S. GDP'!A:B,2,)</f>
        <v/>
      </c>
      <c r="C247" s="56">
        <f>VLOOKUP(A247,PersonalConsumption!A:B,2,)</f>
        <v/>
      </c>
      <c r="D247" s="56">
        <f>VLOOKUP(A247,PrivateInvestment!A:B,2,)</f>
        <v/>
      </c>
      <c r="E247" s="56">
        <f>VLOOKUP(A247,Exports!A:B,2,)</f>
        <v/>
      </c>
      <c r="F247" s="56">
        <f>VLOOKUP(A247,Imports!A:B,2,)</f>
        <v/>
      </c>
      <c r="G247" s="56">
        <f>VLOOKUP(A247,Government!A:B,2,)</f>
        <v/>
      </c>
      <c r="H247" s="32">
        <f>Table58[[#This Row],[Personal Consumption]]/Table58[[#This Row],[GDP]]</f>
        <v/>
      </c>
      <c r="I247" s="32">
        <f>Table58[[#This Row],[Private Investment]]/Table58[[#This Row],[GDP]]</f>
        <v/>
      </c>
      <c r="J247" s="32">
        <f>Table58[[#This Row],[Exports]]/Table58[[#This Row],[GDP]]</f>
        <v/>
      </c>
      <c r="K247" s="32">
        <f>-Table58[[#This Row],[Imports]]/Table58[[#This Row],[GDP]]</f>
        <v/>
      </c>
      <c r="L247" s="32">
        <f>Table58[[#This Row],[Government]]/Table58[[#This Row],[GDP]]</f>
        <v/>
      </c>
      <c r="N247" s="51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0" t="n">
        <v>39264</v>
      </c>
      <c r="B248" s="56">
        <f>VLOOKUP(A248,'U.S. GDP'!A:B,2,)</f>
        <v/>
      </c>
      <c r="C248" s="56">
        <f>VLOOKUP(A248,PersonalConsumption!A:B,2,)</f>
        <v/>
      </c>
      <c r="D248" s="56">
        <f>VLOOKUP(A248,PrivateInvestment!A:B,2,)</f>
        <v/>
      </c>
      <c r="E248" s="56">
        <f>VLOOKUP(A248,Exports!A:B,2,)</f>
        <v/>
      </c>
      <c r="F248" s="56">
        <f>VLOOKUP(A248,Imports!A:B,2,)</f>
        <v/>
      </c>
      <c r="G248" s="56">
        <f>VLOOKUP(A248,Government!A:B,2,)</f>
        <v/>
      </c>
      <c r="H248" s="32">
        <f>Table58[[#This Row],[Personal Consumption]]/Table58[[#This Row],[GDP]]</f>
        <v/>
      </c>
      <c r="I248" s="32">
        <f>Table58[[#This Row],[Private Investment]]/Table58[[#This Row],[GDP]]</f>
        <v/>
      </c>
      <c r="J248" s="32">
        <f>Table58[[#This Row],[Exports]]/Table58[[#This Row],[GDP]]</f>
        <v/>
      </c>
      <c r="K248" s="32">
        <f>-Table58[[#This Row],[Imports]]/Table58[[#This Row],[GDP]]</f>
        <v/>
      </c>
      <c r="L248" s="32">
        <f>Table58[[#This Row],[Government]]/Table58[[#This Row],[GDP]]</f>
        <v/>
      </c>
      <c r="N248" s="51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0" t="n">
        <v>39356</v>
      </c>
      <c r="B249" s="56">
        <f>VLOOKUP(A249,'U.S. GDP'!A:B,2,)</f>
        <v/>
      </c>
      <c r="C249" s="56">
        <f>VLOOKUP(A249,PersonalConsumption!A:B,2,)</f>
        <v/>
      </c>
      <c r="D249" s="56">
        <f>VLOOKUP(A249,PrivateInvestment!A:B,2,)</f>
        <v/>
      </c>
      <c r="E249" s="56">
        <f>VLOOKUP(A249,Exports!A:B,2,)</f>
        <v/>
      </c>
      <c r="F249" s="56">
        <f>VLOOKUP(A249,Imports!A:B,2,)</f>
        <v/>
      </c>
      <c r="G249" s="56">
        <f>VLOOKUP(A249,Government!A:B,2,)</f>
        <v/>
      </c>
      <c r="H249" s="32">
        <f>Table58[[#This Row],[Personal Consumption]]/Table58[[#This Row],[GDP]]</f>
        <v/>
      </c>
      <c r="I249" s="32">
        <f>Table58[[#This Row],[Private Investment]]/Table58[[#This Row],[GDP]]</f>
        <v/>
      </c>
      <c r="J249" s="32">
        <f>Table58[[#This Row],[Exports]]/Table58[[#This Row],[GDP]]</f>
        <v/>
      </c>
      <c r="K249" s="32">
        <f>-Table58[[#This Row],[Imports]]/Table58[[#This Row],[GDP]]</f>
        <v/>
      </c>
      <c r="L249" s="32">
        <f>Table58[[#This Row],[Government]]/Table58[[#This Row],[GDP]]</f>
        <v/>
      </c>
      <c r="N249" s="51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0" t="n">
        <v>39448</v>
      </c>
      <c r="B250" s="56">
        <f>VLOOKUP(A250,'U.S. GDP'!A:B,2,)</f>
        <v/>
      </c>
      <c r="C250" s="56">
        <f>VLOOKUP(A250,PersonalConsumption!A:B,2,)</f>
        <v/>
      </c>
      <c r="D250" s="56">
        <f>VLOOKUP(A250,PrivateInvestment!A:B,2,)</f>
        <v/>
      </c>
      <c r="E250" s="56">
        <f>VLOOKUP(A250,Exports!A:B,2,)</f>
        <v/>
      </c>
      <c r="F250" s="56">
        <f>VLOOKUP(A250,Imports!A:B,2,)</f>
        <v/>
      </c>
      <c r="G250" s="56">
        <f>VLOOKUP(A250,Government!A:B,2,)</f>
        <v/>
      </c>
      <c r="H250" s="32">
        <f>Table58[[#This Row],[Personal Consumption]]/Table58[[#This Row],[GDP]]</f>
        <v/>
      </c>
      <c r="I250" s="32">
        <f>Table58[[#This Row],[Private Investment]]/Table58[[#This Row],[GDP]]</f>
        <v/>
      </c>
      <c r="J250" s="32">
        <f>Table58[[#This Row],[Exports]]/Table58[[#This Row],[GDP]]</f>
        <v/>
      </c>
      <c r="K250" s="32">
        <f>-Table58[[#This Row],[Imports]]/Table58[[#This Row],[GDP]]</f>
        <v/>
      </c>
      <c r="L250" s="32">
        <f>Table58[[#This Row],[Government]]/Table58[[#This Row],[GDP]]</f>
        <v/>
      </c>
      <c r="N250" s="51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0" t="n">
        <v>39539</v>
      </c>
      <c r="B251" s="56">
        <f>VLOOKUP(A251,'U.S. GDP'!A:B,2,)</f>
        <v/>
      </c>
      <c r="C251" s="56">
        <f>VLOOKUP(A251,PersonalConsumption!A:B,2,)</f>
        <v/>
      </c>
      <c r="D251" s="56">
        <f>VLOOKUP(A251,PrivateInvestment!A:B,2,)</f>
        <v/>
      </c>
      <c r="E251" s="56">
        <f>VLOOKUP(A251,Exports!A:B,2,)</f>
        <v/>
      </c>
      <c r="F251" s="56">
        <f>VLOOKUP(A251,Imports!A:B,2,)</f>
        <v/>
      </c>
      <c r="G251" s="56">
        <f>VLOOKUP(A251,Government!A:B,2,)</f>
        <v/>
      </c>
      <c r="H251" s="32">
        <f>Table58[[#This Row],[Personal Consumption]]/Table58[[#This Row],[GDP]]</f>
        <v/>
      </c>
      <c r="I251" s="32">
        <f>Table58[[#This Row],[Private Investment]]/Table58[[#This Row],[GDP]]</f>
        <v/>
      </c>
      <c r="J251" s="32">
        <f>Table58[[#This Row],[Exports]]/Table58[[#This Row],[GDP]]</f>
        <v/>
      </c>
      <c r="K251" s="32">
        <f>-Table58[[#This Row],[Imports]]/Table58[[#This Row],[GDP]]</f>
        <v/>
      </c>
      <c r="L251" s="32">
        <f>Table58[[#This Row],[Government]]/Table58[[#This Row],[GDP]]</f>
        <v/>
      </c>
      <c r="N251" s="51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0" t="n">
        <v>39630</v>
      </c>
      <c r="B252" s="56">
        <f>VLOOKUP(A252,'U.S. GDP'!A:B,2,)</f>
        <v/>
      </c>
      <c r="C252" s="56">
        <f>VLOOKUP(A252,PersonalConsumption!A:B,2,)</f>
        <v/>
      </c>
      <c r="D252" s="56">
        <f>VLOOKUP(A252,PrivateInvestment!A:B,2,)</f>
        <v/>
      </c>
      <c r="E252" s="56">
        <f>VLOOKUP(A252,Exports!A:B,2,)</f>
        <v/>
      </c>
      <c r="F252" s="56">
        <f>VLOOKUP(A252,Imports!A:B,2,)</f>
        <v/>
      </c>
      <c r="G252" s="56">
        <f>VLOOKUP(A252,Government!A:B,2,)</f>
        <v/>
      </c>
      <c r="H252" s="32">
        <f>Table58[[#This Row],[Personal Consumption]]/Table58[[#This Row],[GDP]]</f>
        <v/>
      </c>
      <c r="I252" s="32">
        <f>Table58[[#This Row],[Private Investment]]/Table58[[#This Row],[GDP]]</f>
        <v/>
      </c>
      <c r="J252" s="32">
        <f>Table58[[#This Row],[Exports]]/Table58[[#This Row],[GDP]]</f>
        <v/>
      </c>
      <c r="K252" s="32">
        <f>-Table58[[#This Row],[Imports]]/Table58[[#This Row],[GDP]]</f>
        <v/>
      </c>
      <c r="L252" s="32">
        <f>Table58[[#This Row],[Government]]/Table58[[#This Row],[GDP]]</f>
        <v/>
      </c>
      <c r="N252" s="51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0" t="n">
        <v>39722</v>
      </c>
      <c r="B253" s="56">
        <f>VLOOKUP(A253,'U.S. GDP'!A:B,2,)</f>
        <v/>
      </c>
      <c r="C253" s="56">
        <f>VLOOKUP(A253,PersonalConsumption!A:B,2,)</f>
        <v/>
      </c>
      <c r="D253" s="56">
        <f>VLOOKUP(A253,PrivateInvestment!A:B,2,)</f>
        <v/>
      </c>
      <c r="E253" s="56">
        <f>VLOOKUP(A253,Exports!A:B,2,)</f>
        <v/>
      </c>
      <c r="F253" s="56">
        <f>VLOOKUP(A253,Imports!A:B,2,)</f>
        <v/>
      </c>
      <c r="G253" s="56">
        <f>VLOOKUP(A253,Government!A:B,2,)</f>
        <v/>
      </c>
      <c r="H253" s="32">
        <f>Table58[[#This Row],[Personal Consumption]]/Table58[[#This Row],[GDP]]</f>
        <v/>
      </c>
      <c r="I253" s="32">
        <f>Table58[[#This Row],[Private Investment]]/Table58[[#This Row],[GDP]]</f>
        <v/>
      </c>
      <c r="J253" s="32">
        <f>Table58[[#This Row],[Exports]]/Table58[[#This Row],[GDP]]</f>
        <v/>
      </c>
      <c r="K253" s="32">
        <f>-Table58[[#This Row],[Imports]]/Table58[[#This Row],[GDP]]</f>
        <v/>
      </c>
      <c r="L253" s="32">
        <f>Table58[[#This Row],[Government]]/Table58[[#This Row],[GDP]]</f>
        <v/>
      </c>
      <c r="N253" s="51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0" t="n">
        <v>39814</v>
      </c>
      <c r="B254" s="56">
        <f>VLOOKUP(A254,'U.S. GDP'!A:B,2,)</f>
        <v/>
      </c>
      <c r="C254" s="56">
        <f>VLOOKUP(A254,PersonalConsumption!A:B,2,)</f>
        <v/>
      </c>
      <c r="D254" s="56">
        <f>VLOOKUP(A254,PrivateInvestment!A:B,2,)</f>
        <v/>
      </c>
      <c r="E254" s="56">
        <f>VLOOKUP(A254,Exports!A:B,2,)</f>
        <v/>
      </c>
      <c r="F254" s="56">
        <f>VLOOKUP(A254,Imports!A:B,2,)</f>
        <v/>
      </c>
      <c r="G254" s="56">
        <f>VLOOKUP(A254,Government!A:B,2,)</f>
        <v/>
      </c>
      <c r="H254" s="32">
        <f>Table58[[#This Row],[Personal Consumption]]/Table58[[#This Row],[GDP]]</f>
        <v/>
      </c>
      <c r="I254" s="32">
        <f>Table58[[#This Row],[Private Investment]]/Table58[[#This Row],[GDP]]</f>
        <v/>
      </c>
      <c r="J254" s="32">
        <f>Table58[[#This Row],[Exports]]/Table58[[#This Row],[GDP]]</f>
        <v/>
      </c>
      <c r="K254" s="32">
        <f>-Table58[[#This Row],[Imports]]/Table58[[#This Row],[GDP]]</f>
        <v/>
      </c>
      <c r="L254" s="32">
        <f>Table58[[#This Row],[Government]]/Table58[[#This Row],[GDP]]</f>
        <v/>
      </c>
      <c r="N254" s="51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0" t="n">
        <v>39904</v>
      </c>
      <c r="B255" s="56">
        <f>VLOOKUP(A255,'U.S. GDP'!A:B,2,)</f>
        <v/>
      </c>
      <c r="C255" s="56">
        <f>VLOOKUP(A255,PersonalConsumption!A:B,2,)</f>
        <v/>
      </c>
      <c r="D255" s="56">
        <f>VLOOKUP(A255,PrivateInvestment!A:B,2,)</f>
        <v/>
      </c>
      <c r="E255" s="56">
        <f>VLOOKUP(A255,Exports!A:B,2,)</f>
        <v/>
      </c>
      <c r="F255" s="56">
        <f>VLOOKUP(A255,Imports!A:B,2,)</f>
        <v/>
      </c>
      <c r="G255" s="56">
        <f>VLOOKUP(A255,Government!A:B,2,)</f>
        <v/>
      </c>
      <c r="H255" s="32">
        <f>Table58[[#This Row],[Personal Consumption]]/Table58[[#This Row],[GDP]]</f>
        <v/>
      </c>
      <c r="I255" s="32">
        <f>Table58[[#This Row],[Private Investment]]/Table58[[#This Row],[GDP]]</f>
        <v/>
      </c>
      <c r="J255" s="32">
        <f>Table58[[#This Row],[Exports]]/Table58[[#This Row],[GDP]]</f>
        <v/>
      </c>
      <c r="K255" s="32">
        <f>-Table58[[#This Row],[Imports]]/Table58[[#This Row],[GDP]]</f>
        <v/>
      </c>
      <c r="L255" s="32">
        <f>Table58[[#This Row],[Government]]/Table58[[#This Row],[GDP]]</f>
        <v/>
      </c>
      <c r="N255" s="51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0" t="n">
        <v>39995</v>
      </c>
      <c r="B256" s="56">
        <f>VLOOKUP(A256,'U.S. GDP'!A:B,2,)</f>
        <v/>
      </c>
      <c r="C256" s="56">
        <f>VLOOKUP(A256,PersonalConsumption!A:B,2,)</f>
        <v/>
      </c>
      <c r="D256" s="56">
        <f>VLOOKUP(A256,PrivateInvestment!A:B,2,)</f>
        <v/>
      </c>
      <c r="E256" s="56">
        <f>VLOOKUP(A256,Exports!A:B,2,)</f>
        <v/>
      </c>
      <c r="F256" s="56">
        <f>VLOOKUP(A256,Imports!A:B,2,)</f>
        <v/>
      </c>
      <c r="G256" s="56">
        <f>VLOOKUP(A256,Government!A:B,2,)</f>
        <v/>
      </c>
      <c r="H256" s="32">
        <f>Table58[[#This Row],[Personal Consumption]]/Table58[[#This Row],[GDP]]</f>
        <v/>
      </c>
      <c r="I256" s="32">
        <f>Table58[[#This Row],[Private Investment]]/Table58[[#This Row],[GDP]]</f>
        <v/>
      </c>
      <c r="J256" s="32">
        <f>Table58[[#This Row],[Exports]]/Table58[[#This Row],[GDP]]</f>
        <v/>
      </c>
      <c r="K256" s="32">
        <f>-Table58[[#This Row],[Imports]]/Table58[[#This Row],[GDP]]</f>
        <v/>
      </c>
      <c r="L256" s="32">
        <f>Table58[[#This Row],[Government]]/Table58[[#This Row],[GDP]]</f>
        <v/>
      </c>
      <c r="N256" s="51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0" t="n">
        <v>40087</v>
      </c>
      <c r="B257" s="56">
        <f>VLOOKUP(A257,'U.S. GDP'!A:B,2,)</f>
        <v/>
      </c>
      <c r="C257" s="56">
        <f>VLOOKUP(A257,PersonalConsumption!A:B,2,)</f>
        <v/>
      </c>
      <c r="D257" s="56">
        <f>VLOOKUP(A257,PrivateInvestment!A:B,2,)</f>
        <v/>
      </c>
      <c r="E257" s="56">
        <f>VLOOKUP(A257,Exports!A:B,2,)</f>
        <v/>
      </c>
      <c r="F257" s="56">
        <f>VLOOKUP(A257,Imports!A:B,2,)</f>
        <v/>
      </c>
      <c r="G257" s="56">
        <f>VLOOKUP(A257,Government!A:B,2,)</f>
        <v/>
      </c>
      <c r="H257" s="32">
        <f>Table58[[#This Row],[Personal Consumption]]/Table58[[#This Row],[GDP]]</f>
        <v/>
      </c>
      <c r="I257" s="32">
        <f>Table58[[#This Row],[Private Investment]]/Table58[[#This Row],[GDP]]</f>
        <v/>
      </c>
      <c r="J257" s="32">
        <f>Table58[[#This Row],[Exports]]/Table58[[#This Row],[GDP]]</f>
        <v/>
      </c>
      <c r="K257" s="32">
        <f>-Table58[[#This Row],[Imports]]/Table58[[#This Row],[GDP]]</f>
        <v/>
      </c>
      <c r="L257" s="32">
        <f>Table58[[#This Row],[Government]]/Table58[[#This Row],[GDP]]</f>
        <v/>
      </c>
      <c r="N257" s="51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0" t="n">
        <v>40179</v>
      </c>
      <c r="B258" s="56">
        <f>VLOOKUP(A258,'U.S. GDP'!A:B,2,)</f>
        <v/>
      </c>
      <c r="C258" s="56">
        <f>VLOOKUP(A258,PersonalConsumption!A:B,2,)</f>
        <v/>
      </c>
      <c r="D258" s="56">
        <f>VLOOKUP(A258,PrivateInvestment!A:B,2,)</f>
        <v/>
      </c>
      <c r="E258" s="56">
        <f>VLOOKUP(A258,Exports!A:B,2,)</f>
        <v/>
      </c>
      <c r="F258" s="56">
        <f>VLOOKUP(A258,Imports!A:B,2,)</f>
        <v/>
      </c>
      <c r="G258" s="56">
        <f>VLOOKUP(A258,Government!A:B,2,)</f>
        <v/>
      </c>
      <c r="H258" s="32">
        <f>Table58[[#This Row],[Personal Consumption]]/Table58[[#This Row],[GDP]]</f>
        <v/>
      </c>
      <c r="I258" s="32">
        <f>Table58[[#This Row],[Private Investment]]/Table58[[#This Row],[GDP]]</f>
        <v/>
      </c>
      <c r="J258" s="32">
        <f>Table58[[#This Row],[Exports]]/Table58[[#This Row],[GDP]]</f>
        <v/>
      </c>
      <c r="K258" s="32">
        <f>-Table58[[#This Row],[Imports]]/Table58[[#This Row],[GDP]]</f>
        <v/>
      </c>
      <c r="L258" s="32">
        <f>Table58[[#This Row],[Government]]/Table58[[#This Row],[GDP]]</f>
        <v/>
      </c>
      <c r="N258" s="51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0" t="n">
        <v>40269</v>
      </c>
      <c r="B259" s="56">
        <f>VLOOKUP(A259,'U.S. GDP'!A:B,2,)</f>
        <v/>
      </c>
      <c r="C259" s="56">
        <f>VLOOKUP(A259,PersonalConsumption!A:B,2,)</f>
        <v/>
      </c>
      <c r="D259" s="56">
        <f>VLOOKUP(A259,PrivateInvestment!A:B,2,)</f>
        <v/>
      </c>
      <c r="E259" s="56">
        <f>VLOOKUP(A259,Exports!A:B,2,)</f>
        <v/>
      </c>
      <c r="F259" s="56">
        <f>VLOOKUP(A259,Imports!A:B,2,)</f>
        <v/>
      </c>
      <c r="G259" s="56">
        <f>VLOOKUP(A259,Government!A:B,2,)</f>
        <v/>
      </c>
      <c r="H259" s="32">
        <f>Table58[[#This Row],[Personal Consumption]]/Table58[[#This Row],[GDP]]</f>
        <v/>
      </c>
      <c r="I259" s="32">
        <f>Table58[[#This Row],[Private Investment]]/Table58[[#This Row],[GDP]]</f>
        <v/>
      </c>
      <c r="J259" s="32">
        <f>Table58[[#This Row],[Exports]]/Table58[[#This Row],[GDP]]</f>
        <v/>
      </c>
      <c r="K259" s="32">
        <f>-Table58[[#This Row],[Imports]]/Table58[[#This Row],[GDP]]</f>
        <v/>
      </c>
      <c r="L259" s="32">
        <f>Table58[[#This Row],[Government]]/Table58[[#This Row],[GDP]]</f>
        <v/>
      </c>
      <c r="N259" s="51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0" t="n">
        <v>40360</v>
      </c>
      <c r="B260" s="56">
        <f>VLOOKUP(A260,'U.S. GDP'!A:B,2,)</f>
        <v/>
      </c>
      <c r="C260" s="56">
        <f>VLOOKUP(A260,PersonalConsumption!A:B,2,)</f>
        <v/>
      </c>
      <c r="D260" s="56">
        <f>VLOOKUP(A260,PrivateInvestment!A:B,2,)</f>
        <v/>
      </c>
      <c r="E260" s="56">
        <f>VLOOKUP(A260,Exports!A:B,2,)</f>
        <v/>
      </c>
      <c r="F260" s="56">
        <f>VLOOKUP(A260,Imports!A:B,2,)</f>
        <v/>
      </c>
      <c r="G260" s="56">
        <f>VLOOKUP(A260,Government!A:B,2,)</f>
        <v/>
      </c>
      <c r="H260" s="32">
        <f>Table58[[#This Row],[Personal Consumption]]/Table58[[#This Row],[GDP]]</f>
        <v/>
      </c>
      <c r="I260" s="32">
        <f>Table58[[#This Row],[Private Investment]]/Table58[[#This Row],[GDP]]</f>
        <v/>
      </c>
      <c r="J260" s="32">
        <f>Table58[[#This Row],[Exports]]/Table58[[#This Row],[GDP]]</f>
        <v/>
      </c>
      <c r="K260" s="32">
        <f>-Table58[[#This Row],[Imports]]/Table58[[#This Row],[GDP]]</f>
        <v/>
      </c>
      <c r="L260" s="32">
        <f>Table58[[#This Row],[Government]]/Table58[[#This Row],[GDP]]</f>
        <v/>
      </c>
      <c r="N260" s="51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0" t="n">
        <v>40452</v>
      </c>
      <c r="B261" s="56">
        <f>VLOOKUP(A261,'U.S. GDP'!A:B,2,)</f>
        <v/>
      </c>
      <c r="C261" s="56">
        <f>VLOOKUP(A261,PersonalConsumption!A:B,2,)</f>
        <v/>
      </c>
      <c r="D261" s="56">
        <f>VLOOKUP(A261,PrivateInvestment!A:B,2,)</f>
        <v/>
      </c>
      <c r="E261" s="56">
        <f>VLOOKUP(A261,Exports!A:B,2,)</f>
        <v/>
      </c>
      <c r="F261" s="56">
        <f>VLOOKUP(A261,Imports!A:B,2,)</f>
        <v/>
      </c>
      <c r="G261" s="56">
        <f>VLOOKUP(A261,Government!A:B,2,)</f>
        <v/>
      </c>
      <c r="H261" s="32">
        <f>Table58[[#This Row],[Personal Consumption]]/Table58[[#This Row],[GDP]]</f>
        <v/>
      </c>
      <c r="I261" s="32">
        <f>Table58[[#This Row],[Private Investment]]/Table58[[#This Row],[GDP]]</f>
        <v/>
      </c>
      <c r="J261" s="32">
        <f>Table58[[#This Row],[Exports]]/Table58[[#This Row],[GDP]]</f>
        <v/>
      </c>
      <c r="K261" s="32">
        <f>-Table58[[#This Row],[Imports]]/Table58[[#This Row],[GDP]]</f>
        <v/>
      </c>
      <c r="L261" s="32">
        <f>Table58[[#This Row],[Government]]/Table58[[#This Row],[GDP]]</f>
        <v/>
      </c>
      <c r="N261" s="51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0" t="n">
        <v>40544</v>
      </c>
      <c r="B262" s="56">
        <f>VLOOKUP(A262,'U.S. GDP'!A:B,2,)</f>
        <v/>
      </c>
      <c r="C262" s="56">
        <f>VLOOKUP(A262,PersonalConsumption!A:B,2,)</f>
        <v/>
      </c>
      <c r="D262" s="56">
        <f>VLOOKUP(A262,PrivateInvestment!A:B,2,)</f>
        <v/>
      </c>
      <c r="E262" s="56">
        <f>VLOOKUP(A262,Exports!A:B,2,)</f>
        <v/>
      </c>
      <c r="F262" s="56">
        <f>VLOOKUP(A262,Imports!A:B,2,)</f>
        <v/>
      </c>
      <c r="G262" s="56">
        <f>VLOOKUP(A262,Government!A:B,2,)</f>
        <v/>
      </c>
      <c r="H262" s="32">
        <f>Table58[[#This Row],[Personal Consumption]]/Table58[[#This Row],[GDP]]</f>
        <v/>
      </c>
      <c r="I262" s="32">
        <f>Table58[[#This Row],[Private Investment]]/Table58[[#This Row],[GDP]]</f>
        <v/>
      </c>
      <c r="J262" s="32">
        <f>Table58[[#This Row],[Exports]]/Table58[[#This Row],[GDP]]</f>
        <v/>
      </c>
      <c r="K262" s="32">
        <f>-Table58[[#This Row],[Imports]]/Table58[[#This Row],[GDP]]</f>
        <v/>
      </c>
      <c r="L262" s="32">
        <f>Table58[[#This Row],[Government]]/Table58[[#This Row],[GDP]]</f>
        <v/>
      </c>
      <c r="N262" s="51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0" t="n">
        <v>40634</v>
      </c>
      <c r="B263" s="56">
        <f>VLOOKUP(A263,'U.S. GDP'!A:B,2,)</f>
        <v/>
      </c>
      <c r="C263" s="56">
        <f>VLOOKUP(A263,PersonalConsumption!A:B,2,)</f>
        <v/>
      </c>
      <c r="D263" s="56">
        <f>VLOOKUP(A263,PrivateInvestment!A:B,2,)</f>
        <v/>
      </c>
      <c r="E263" s="56">
        <f>VLOOKUP(A263,Exports!A:B,2,)</f>
        <v/>
      </c>
      <c r="F263" s="56">
        <f>VLOOKUP(A263,Imports!A:B,2,)</f>
        <v/>
      </c>
      <c r="G263" s="56">
        <f>VLOOKUP(A263,Government!A:B,2,)</f>
        <v/>
      </c>
      <c r="H263" s="32">
        <f>Table58[[#This Row],[Personal Consumption]]/Table58[[#This Row],[GDP]]</f>
        <v/>
      </c>
      <c r="I263" s="32">
        <f>Table58[[#This Row],[Private Investment]]/Table58[[#This Row],[GDP]]</f>
        <v/>
      </c>
      <c r="J263" s="32">
        <f>Table58[[#This Row],[Exports]]/Table58[[#This Row],[GDP]]</f>
        <v/>
      </c>
      <c r="K263" s="32">
        <f>-Table58[[#This Row],[Imports]]/Table58[[#This Row],[GDP]]</f>
        <v/>
      </c>
      <c r="L263" s="32">
        <f>Table58[[#This Row],[Government]]/Table58[[#This Row],[GDP]]</f>
        <v/>
      </c>
      <c r="N263" s="51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0" t="n">
        <v>40725</v>
      </c>
      <c r="B264" s="56">
        <f>VLOOKUP(A264,'U.S. GDP'!A:B,2,)</f>
        <v/>
      </c>
      <c r="C264" s="56">
        <f>VLOOKUP(A264,PersonalConsumption!A:B,2,)</f>
        <v/>
      </c>
      <c r="D264" s="56">
        <f>VLOOKUP(A264,PrivateInvestment!A:B,2,)</f>
        <v/>
      </c>
      <c r="E264" s="56">
        <f>VLOOKUP(A264,Exports!A:B,2,)</f>
        <v/>
      </c>
      <c r="F264" s="56">
        <f>VLOOKUP(A264,Imports!A:B,2,)</f>
        <v/>
      </c>
      <c r="G264" s="56">
        <f>VLOOKUP(A264,Government!A:B,2,)</f>
        <v/>
      </c>
      <c r="H264" s="32">
        <f>Table58[[#This Row],[Personal Consumption]]/Table58[[#This Row],[GDP]]</f>
        <v/>
      </c>
      <c r="I264" s="32">
        <f>Table58[[#This Row],[Private Investment]]/Table58[[#This Row],[GDP]]</f>
        <v/>
      </c>
      <c r="J264" s="32">
        <f>Table58[[#This Row],[Exports]]/Table58[[#This Row],[GDP]]</f>
        <v/>
      </c>
      <c r="K264" s="32">
        <f>-Table58[[#This Row],[Imports]]/Table58[[#This Row],[GDP]]</f>
        <v/>
      </c>
      <c r="L264" s="32">
        <f>Table58[[#This Row],[Government]]/Table58[[#This Row],[GDP]]</f>
        <v/>
      </c>
      <c r="N264" s="51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0" t="n">
        <v>40817</v>
      </c>
      <c r="B265" s="56">
        <f>VLOOKUP(A265,'U.S. GDP'!A:B,2,)</f>
        <v/>
      </c>
      <c r="C265" s="56">
        <f>VLOOKUP(A265,PersonalConsumption!A:B,2,)</f>
        <v/>
      </c>
      <c r="D265" s="56">
        <f>VLOOKUP(A265,PrivateInvestment!A:B,2,)</f>
        <v/>
      </c>
      <c r="E265" s="56">
        <f>VLOOKUP(A265,Exports!A:B,2,)</f>
        <v/>
      </c>
      <c r="F265" s="56">
        <f>VLOOKUP(A265,Imports!A:B,2,)</f>
        <v/>
      </c>
      <c r="G265" s="56">
        <f>VLOOKUP(A265,Government!A:B,2,)</f>
        <v/>
      </c>
      <c r="H265" s="32">
        <f>Table58[[#This Row],[Personal Consumption]]/Table58[[#This Row],[GDP]]</f>
        <v/>
      </c>
      <c r="I265" s="32">
        <f>Table58[[#This Row],[Private Investment]]/Table58[[#This Row],[GDP]]</f>
        <v/>
      </c>
      <c r="J265" s="32">
        <f>Table58[[#This Row],[Exports]]/Table58[[#This Row],[GDP]]</f>
        <v/>
      </c>
      <c r="K265" s="32">
        <f>-Table58[[#This Row],[Imports]]/Table58[[#This Row],[GDP]]</f>
        <v/>
      </c>
      <c r="L265" s="32">
        <f>Table58[[#This Row],[Government]]/Table58[[#This Row],[GDP]]</f>
        <v/>
      </c>
      <c r="N265" s="51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0" t="n">
        <v>40909</v>
      </c>
      <c r="B266" s="56">
        <f>VLOOKUP(A266,'U.S. GDP'!A:B,2,)</f>
        <v/>
      </c>
      <c r="C266" s="56">
        <f>VLOOKUP(A266,PersonalConsumption!A:B,2,)</f>
        <v/>
      </c>
      <c r="D266" s="56">
        <f>VLOOKUP(A266,PrivateInvestment!A:B,2,)</f>
        <v/>
      </c>
      <c r="E266" s="56">
        <f>VLOOKUP(A266,Exports!A:B,2,)</f>
        <v/>
      </c>
      <c r="F266" s="56">
        <f>VLOOKUP(A266,Imports!A:B,2,)</f>
        <v/>
      </c>
      <c r="G266" s="56">
        <f>VLOOKUP(A266,Government!A:B,2,)</f>
        <v/>
      </c>
      <c r="H266" s="32">
        <f>Table58[[#This Row],[Personal Consumption]]/Table58[[#This Row],[GDP]]</f>
        <v/>
      </c>
      <c r="I266" s="32">
        <f>Table58[[#This Row],[Private Investment]]/Table58[[#This Row],[GDP]]</f>
        <v/>
      </c>
      <c r="J266" s="32">
        <f>Table58[[#This Row],[Exports]]/Table58[[#This Row],[GDP]]</f>
        <v/>
      </c>
      <c r="K266" s="32">
        <f>-Table58[[#This Row],[Imports]]/Table58[[#This Row],[GDP]]</f>
        <v/>
      </c>
      <c r="L266" s="32">
        <f>Table58[[#This Row],[Government]]/Table58[[#This Row],[GDP]]</f>
        <v/>
      </c>
      <c r="N266" s="51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0" t="n">
        <v>41000</v>
      </c>
      <c r="B267" s="56">
        <f>VLOOKUP(A267,'U.S. GDP'!A:B,2,)</f>
        <v/>
      </c>
      <c r="C267" s="56">
        <f>VLOOKUP(A267,PersonalConsumption!A:B,2,)</f>
        <v/>
      </c>
      <c r="D267" s="56">
        <f>VLOOKUP(A267,PrivateInvestment!A:B,2,)</f>
        <v/>
      </c>
      <c r="E267" s="56">
        <f>VLOOKUP(A267,Exports!A:B,2,)</f>
        <v/>
      </c>
      <c r="F267" s="56">
        <f>VLOOKUP(A267,Imports!A:B,2,)</f>
        <v/>
      </c>
      <c r="G267" s="56">
        <f>VLOOKUP(A267,Government!A:B,2,)</f>
        <v/>
      </c>
      <c r="H267" s="32">
        <f>Table58[[#This Row],[Personal Consumption]]/Table58[[#This Row],[GDP]]</f>
        <v/>
      </c>
      <c r="I267" s="32">
        <f>Table58[[#This Row],[Private Investment]]/Table58[[#This Row],[GDP]]</f>
        <v/>
      </c>
      <c r="J267" s="32">
        <f>Table58[[#This Row],[Exports]]/Table58[[#This Row],[GDP]]</f>
        <v/>
      </c>
      <c r="K267" s="32">
        <f>-Table58[[#This Row],[Imports]]/Table58[[#This Row],[GDP]]</f>
        <v/>
      </c>
      <c r="L267" s="32">
        <f>Table58[[#This Row],[Government]]/Table58[[#This Row],[GDP]]</f>
        <v/>
      </c>
      <c r="N267" s="51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0" t="n">
        <v>41091</v>
      </c>
      <c r="B268" s="56">
        <f>VLOOKUP(A268,'U.S. GDP'!A:B,2,)</f>
        <v/>
      </c>
      <c r="C268" s="56">
        <f>VLOOKUP(A268,PersonalConsumption!A:B,2,)</f>
        <v/>
      </c>
      <c r="D268" s="56">
        <f>VLOOKUP(A268,PrivateInvestment!A:B,2,)</f>
        <v/>
      </c>
      <c r="E268" s="56">
        <f>VLOOKUP(A268,Exports!A:B,2,)</f>
        <v/>
      </c>
      <c r="F268" s="56">
        <f>VLOOKUP(A268,Imports!A:B,2,)</f>
        <v/>
      </c>
      <c r="G268" s="56">
        <f>VLOOKUP(A268,Government!A:B,2,)</f>
        <v/>
      </c>
      <c r="H268" s="32">
        <f>Table58[[#This Row],[Personal Consumption]]/Table58[[#This Row],[GDP]]</f>
        <v/>
      </c>
      <c r="I268" s="32">
        <f>Table58[[#This Row],[Private Investment]]/Table58[[#This Row],[GDP]]</f>
        <v/>
      </c>
      <c r="J268" s="32">
        <f>Table58[[#This Row],[Exports]]/Table58[[#This Row],[GDP]]</f>
        <v/>
      </c>
      <c r="K268" s="32">
        <f>-Table58[[#This Row],[Imports]]/Table58[[#This Row],[GDP]]</f>
        <v/>
      </c>
      <c r="L268" s="32">
        <f>Table58[[#This Row],[Government]]/Table58[[#This Row],[GDP]]</f>
        <v/>
      </c>
      <c r="N268" s="51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0" t="n">
        <v>41183</v>
      </c>
      <c r="B269" s="56">
        <f>VLOOKUP(A269,'U.S. GDP'!A:B,2,)</f>
        <v/>
      </c>
      <c r="C269" s="56">
        <f>VLOOKUP(A269,PersonalConsumption!A:B,2,)</f>
        <v/>
      </c>
      <c r="D269" s="56">
        <f>VLOOKUP(A269,PrivateInvestment!A:B,2,)</f>
        <v/>
      </c>
      <c r="E269" s="56">
        <f>VLOOKUP(A269,Exports!A:B,2,)</f>
        <v/>
      </c>
      <c r="F269" s="56">
        <f>VLOOKUP(A269,Imports!A:B,2,)</f>
        <v/>
      </c>
      <c r="G269" s="56">
        <f>VLOOKUP(A269,Government!A:B,2,)</f>
        <v/>
      </c>
      <c r="H269" s="32">
        <f>Table58[[#This Row],[Personal Consumption]]/Table58[[#This Row],[GDP]]</f>
        <v/>
      </c>
      <c r="I269" s="32">
        <f>Table58[[#This Row],[Private Investment]]/Table58[[#This Row],[GDP]]</f>
        <v/>
      </c>
      <c r="J269" s="32">
        <f>Table58[[#This Row],[Exports]]/Table58[[#This Row],[GDP]]</f>
        <v/>
      </c>
      <c r="K269" s="32">
        <f>-Table58[[#This Row],[Imports]]/Table58[[#This Row],[GDP]]</f>
        <v/>
      </c>
      <c r="L269" s="32">
        <f>Table58[[#This Row],[Government]]/Table58[[#This Row],[GDP]]</f>
        <v/>
      </c>
      <c r="N269" s="51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0" t="n">
        <v>41275</v>
      </c>
      <c r="B270" s="56">
        <f>VLOOKUP(A270,'U.S. GDP'!A:B,2,)</f>
        <v/>
      </c>
      <c r="C270" s="56">
        <f>VLOOKUP(A270,PersonalConsumption!A:B,2,)</f>
        <v/>
      </c>
      <c r="D270" s="56">
        <f>VLOOKUP(A270,PrivateInvestment!A:B,2,)</f>
        <v/>
      </c>
      <c r="E270" s="56">
        <f>VLOOKUP(A270,Exports!A:B,2,)</f>
        <v/>
      </c>
      <c r="F270" s="56">
        <f>VLOOKUP(A270,Imports!A:B,2,)</f>
        <v/>
      </c>
      <c r="G270" s="56">
        <f>VLOOKUP(A270,Government!A:B,2,)</f>
        <v/>
      </c>
      <c r="H270" s="32">
        <f>Table58[[#This Row],[Personal Consumption]]/Table58[[#This Row],[GDP]]</f>
        <v/>
      </c>
      <c r="I270" s="32">
        <f>Table58[[#This Row],[Private Investment]]/Table58[[#This Row],[GDP]]</f>
        <v/>
      </c>
      <c r="J270" s="32">
        <f>Table58[[#This Row],[Exports]]/Table58[[#This Row],[GDP]]</f>
        <v/>
      </c>
      <c r="K270" s="32">
        <f>-Table58[[#This Row],[Imports]]/Table58[[#This Row],[GDP]]</f>
        <v/>
      </c>
      <c r="L270" s="32">
        <f>Table58[[#This Row],[Government]]/Table58[[#This Row],[GDP]]</f>
        <v/>
      </c>
      <c r="N270" s="51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0" t="n">
        <v>41365</v>
      </c>
      <c r="B271" s="56">
        <f>VLOOKUP(A271,'U.S. GDP'!A:B,2,)</f>
        <v/>
      </c>
      <c r="C271" s="56">
        <f>VLOOKUP(A271,PersonalConsumption!A:B,2,)</f>
        <v/>
      </c>
      <c r="D271" s="56">
        <f>VLOOKUP(A271,PrivateInvestment!A:B,2,)</f>
        <v/>
      </c>
      <c r="E271" s="56">
        <f>VLOOKUP(A271,Exports!A:B,2,)</f>
        <v/>
      </c>
      <c r="F271" s="56">
        <f>VLOOKUP(A271,Imports!A:B,2,)</f>
        <v/>
      </c>
      <c r="G271" s="56">
        <f>VLOOKUP(A271,Government!A:B,2,)</f>
        <v/>
      </c>
      <c r="H271" s="32">
        <f>Table58[[#This Row],[Personal Consumption]]/Table58[[#This Row],[GDP]]</f>
        <v/>
      </c>
      <c r="I271" s="32">
        <f>Table58[[#This Row],[Private Investment]]/Table58[[#This Row],[GDP]]</f>
        <v/>
      </c>
      <c r="J271" s="32">
        <f>Table58[[#This Row],[Exports]]/Table58[[#This Row],[GDP]]</f>
        <v/>
      </c>
      <c r="K271" s="32">
        <f>-Table58[[#This Row],[Imports]]/Table58[[#This Row],[GDP]]</f>
        <v/>
      </c>
      <c r="L271" s="32">
        <f>Table58[[#This Row],[Government]]/Table58[[#This Row],[GDP]]</f>
        <v/>
      </c>
      <c r="N271" s="51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0" t="n">
        <v>41456</v>
      </c>
      <c r="B272" s="56">
        <f>VLOOKUP(A272,'U.S. GDP'!A:B,2,)</f>
        <v/>
      </c>
      <c r="C272" s="56">
        <f>VLOOKUP(A272,PersonalConsumption!A:B,2,)</f>
        <v/>
      </c>
      <c r="D272" s="56">
        <f>VLOOKUP(A272,PrivateInvestment!A:B,2,)</f>
        <v/>
      </c>
      <c r="E272" s="56">
        <f>VLOOKUP(A272,Exports!A:B,2,)</f>
        <v/>
      </c>
      <c r="F272" s="56">
        <f>VLOOKUP(A272,Imports!A:B,2,)</f>
        <v/>
      </c>
      <c r="G272" s="56">
        <f>VLOOKUP(A272,Government!A:B,2,)</f>
        <v/>
      </c>
      <c r="H272" s="32">
        <f>Table58[[#This Row],[Personal Consumption]]/Table58[[#This Row],[GDP]]</f>
        <v/>
      </c>
      <c r="I272" s="32">
        <f>Table58[[#This Row],[Private Investment]]/Table58[[#This Row],[GDP]]</f>
        <v/>
      </c>
      <c r="J272" s="32">
        <f>Table58[[#This Row],[Exports]]/Table58[[#This Row],[GDP]]</f>
        <v/>
      </c>
      <c r="K272" s="32">
        <f>-Table58[[#This Row],[Imports]]/Table58[[#This Row],[GDP]]</f>
        <v/>
      </c>
      <c r="L272" s="32">
        <f>Table58[[#This Row],[Government]]/Table58[[#This Row],[GDP]]</f>
        <v/>
      </c>
      <c r="N272" s="51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0" t="n">
        <v>41548</v>
      </c>
      <c r="B273" s="56">
        <f>VLOOKUP(A273,'U.S. GDP'!A:B,2,)</f>
        <v/>
      </c>
      <c r="C273" s="56">
        <f>VLOOKUP(A273,PersonalConsumption!A:B,2,)</f>
        <v/>
      </c>
      <c r="D273" s="56">
        <f>VLOOKUP(A273,PrivateInvestment!A:B,2,)</f>
        <v/>
      </c>
      <c r="E273" s="56">
        <f>VLOOKUP(A273,Exports!A:B,2,)</f>
        <v/>
      </c>
      <c r="F273" s="56">
        <f>VLOOKUP(A273,Imports!A:B,2,)</f>
        <v/>
      </c>
      <c r="G273" s="56">
        <f>VLOOKUP(A273,Government!A:B,2,)</f>
        <v/>
      </c>
      <c r="H273" s="32">
        <f>Table58[[#This Row],[Personal Consumption]]/Table58[[#This Row],[GDP]]</f>
        <v/>
      </c>
      <c r="I273" s="32">
        <f>Table58[[#This Row],[Private Investment]]/Table58[[#This Row],[GDP]]</f>
        <v/>
      </c>
      <c r="J273" s="32">
        <f>Table58[[#This Row],[Exports]]/Table58[[#This Row],[GDP]]</f>
        <v/>
      </c>
      <c r="K273" s="32">
        <f>-Table58[[#This Row],[Imports]]/Table58[[#This Row],[GDP]]</f>
        <v/>
      </c>
      <c r="L273" s="32">
        <f>Table58[[#This Row],[Government]]/Table58[[#This Row],[GDP]]</f>
        <v/>
      </c>
      <c r="N273" s="51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0" t="n">
        <v>41640</v>
      </c>
      <c r="B274" s="56">
        <f>VLOOKUP(A274,'U.S. GDP'!A:B,2,)</f>
        <v/>
      </c>
      <c r="C274" s="56">
        <f>VLOOKUP(A274,PersonalConsumption!A:B,2,)</f>
        <v/>
      </c>
      <c r="D274" s="56">
        <f>VLOOKUP(A274,PrivateInvestment!A:B,2,)</f>
        <v/>
      </c>
      <c r="E274" s="56">
        <f>VLOOKUP(A274,Exports!A:B,2,)</f>
        <v/>
      </c>
      <c r="F274" s="56">
        <f>VLOOKUP(A274,Imports!A:B,2,)</f>
        <v/>
      </c>
      <c r="G274" s="56">
        <f>VLOOKUP(A274,Government!A:B,2,)</f>
        <v/>
      </c>
      <c r="H274" s="32">
        <f>Table58[[#This Row],[Personal Consumption]]/Table58[[#This Row],[GDP]]</f>
        <v/>
      </c>
      <c r="I274" s="32">
        <f>Table58[[#This Row],[Private Investment]]/Table58[[#This Row],[GDP]]</f>
        <v/>
      </c>
      <c r="J274" s="32">
        <f>Table58[[#This Row],[Exports]]/Table58[[#This Row],[GDP]]</f>
        <v/>
      </c>
      <c r="K274" s="32">
        <f>-Table58[[#This Row],[Imports]]/Table58[[#This Row],[GDP]]</f>
        <v/>
      </c>
      <c r="L274" s="32">
        <f>Table58[[#This Row],[Government]]/Table58[[#This Row],[GDP]]</f>
        <v/>
      </c>
      <c r="N274" s="51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0" t="n">
        <v>41730</v>
      </c>
      <c r="B275" s="56">
        <f>VLOOKUP(A275,'U.S. GDP'!A:B,2,)</f>
        <v/>
      </c>
      <c r="C275" s="56">
        <f>VLOOKUP(A275,PersonalConsumption!A:B,2,)</f>
        <v/>
      </c>
      <c r="D275" s="56">
        <f>VLOOKUP(A275,PrivateInvestment!A:B,2,)</f>
        <v/>
      </c>
      <c r="E275" s="56">
        <f>VLOOKUP(A275,Exports!A:B,2,)</f>
        <v/>
      </c>
      <c r="F275" s="56">
        <f>VLOOKUP(A275,Imports!A:B,2,)</f>
        <v/>
      </c>
      <c r="G275" s="56">
        <f>VLOOKUP(A275,Government!A:B,2,)</f>
        <v/>
      </c>
      <c r="H275" s="32">
        <f>Table58[[#This Row],[Personal Consumption]]/Table58[[#This Row],[GDP]]</f>
        <v/>
      </c>
      <c r="I275" s="32">
        <f>Table58[[#This Row],[Private Investment]]/Table58[[#This Row],[GDP]]</f>
        <v/>
      </c>
      <c r="J275" s="32">
        <f>Table58[[#This Row],[Exports]]/Table58[[#This Row],[GDP]]</f>
        <v/>
      </c>
      <c r="K275" s="32">
        <f>-Table58[[#This Row],[Imports]]/Table58[[#This Row],[GDP]]</f>
        <v/>
      </c>
      <c r="L275" s="32">
        <f>Table58[[#This Row],[Government]]/Table58[[#This Row],[GDP]]</f>
        <v/>
      </c>
      <c r="N275" s="51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0" t="n">
        <v>41821</v>
      </c>
      <c r="B276" s="56">
        <f>VLOOKUP(A276,'U.S. GDP'!A:B,2,)</f>
        <v/>
      </c>
      <c r="C276" s="56">
        <f>VLOOKUP(A276,PersonalConsumption!A:B,2,)</f>
        <v/>
      </c>
      <c r="D276" s="56">
        <f>VLOOKUP(A276,PrivateInvestment!A:B,2,)</f>
        <v/>
      </c>
      <c r="E276" s="56">
        <f>VLOOKUP(A276,Exports!A:B,2,)</f>
        <v/>
      </c>
      <c r="F276" s="56">
        <f>VLOOKUP(A276,Imports!A:B,2,)</f>
        <v/>
      </c>
      <c r="G276" s="56">
        <f>VLOOKUP(A276,Government!A:B,2,)</f>
        <v/>
      </c>
      <c r="H276" s="32">
        <f>Table58[[#This Row],[Personal Consumption]]/Table58[[#This Row],[GDP]]</f>
        <v/>
      </c>
      <c r="I276" s="32">
        <f>Table58[[#This Row],[Private Investment]]/Table58[[#This Row],[GDP]]</f>
        <v/>
      </c>
      <c r="J276" s="32">
        <f>Table58[[#This Row],[Exports]]/Table58[[#This Row],[GDP]]</f>
        <v/>
      </c>
      <c r="K276" s="32">
        <f>-Table58[[#This Row],[Imports]]/Table58[[#This Row],[GDP]]</f>
        <v/>
      </c>
      <c r="L276" s="32">
        <f>Table58[[#This Row],[Government]]/Table58[[#This Row],[GDP]]</f>
        <v/>
      </c>
      <c r="N276" s="51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0" t="n">
        <v>41913</v>
      </c>
      <c r="B277" s="56">
        <f>VLOOKUP(A277,'U.S. GDP'!A:B,2,)</f>
        <v/>
      </c>
      <c r="C277" s="56">
        <f>VLOOKUP(A277,PersonalConsumption!A:B,2,)</f>
        <v/>
      </c>
      <c r="D277" s="56">
        <f>VLOOKUP(A277,PrivateInvestment!A:B,2,)</f>
        <v/>
      </c>
      <c r="E277" s="56">
        <f>VLOOKUP(A277,Exports!A:B,2,)</f>
        <v/>
      </c>
      <c r="F277" s="56">
        <f>VLOOKUP(A277,Imports!A:B,2,)</f>
        <v/>
      </c>
      <c r="G277" s="56">
        <f>VLOOKUP(A277,Government!A:B,2,)</f>
        <v/>
      </c>
      <c r="H277" s="32">
        <f>Table58[[#This Row],[Personal Consumption]]/Table58[[#This Row],[GDP]]</f>
        <v/>
      </c>
      <c r="I277" s="32">
        <f>Table58[[#This Row],[Private Investment]]/Table58[[#This Row],[GDP]]</f>
        <v/>
      </c>
      <c r="J277" s="32">
        <f>Table58[[#This Row],[Exports]]/Table58[[#This Row],[GDP]]</f>
        <v/>
      </c>
      <c r="K277" s="32">
        <f>-Table58[[#This Row],[Imports]]/Table58[[#This Row],[GDP]]</f>
        <v/>
      </c>
      <c r="L277" s="32">
        <f>Table58[[#This Row],[Government]]/Table58[[#This Row],[GDP]]</f>
        <v/>
      </c>
      <c r="N277" s="51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0" t="n">
        <v>42005</v>
      </c>
      <c r="B278" s="56">
        <f>VLOOKUP(A278,'U.S. GDP'!A:B,2,)</f>
        <v/>
      </c>
      <c r="C278" s="56">
        <f>VLOOKUP(A278,PersonalConsumption!A:B,2,)</f>
        <v/>
      </c>
      <c r="D278" s="56">
        <f>VLOOKUP(A278,PrivateInvestment!A:B,2,)</f>
        <v/>
      </c>
      <c r="E278" s="56">
        <f>VLOOKUP(A278,Exports!A:B,2,)</f>
        <v/>
      </c>
      <c r="F278" s="56">
        <f>VLOOKUP(A278,Imports!A:B,2,)</f>
        <v/>
      </c>
      <c r="G278" s="56">
        <f>VLOOKUP(A278,Government!A:B,2,)</f>
        <v/>
      </c>
      <c r="H278" s="32">
        <f>Table58[[#This Row],[Personal Consumption]]/Table58[[#This Row],[GDP]]</f>
        <v/>
      </c>
      <c r="I278" s="32">
        <f>Table58[[#This Row],[Private Investment]]/Table58[[#This Row],[GDP]]</f>
        <v/>
      </c>
      <c r="J278" s="32">
        <f>Table58[[#This Row],[Exports]]/Table58[[#This Row],[GDP]]</f>
        <v/>
      </c>
      <c r="K278" s="32">
        <f>-Table58[[#This Row],[Imports]]/Table58[[#This Row],[GDP]]</f>
        <v/>
      </c>
      <c r="L278" s="32">
        <f>Table58[[#This Row],[Government]]/Table58[[#This Row],[GDP]]</f>
        <v/>
      </c>
      <c r="N278" s="51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0" t="n">
        <v>42095</v>
      </c>
      <c r="B279" s="56">
        <f>VLOOKUP(A279,'U.S. GDP'!A:B,2,)</f>
        <v/>
      </c>
      <c r="C279" s="56">
        <f>VLOOKUP(A279,PersonalConsumption!A:B,2,)</f>
        <v/>
      </c>
      <c r="D279" s="56">
        <f>VLOOKUP(A279,PrivateInvestment!A:B,2,)</f>
        <v/>
      </c>
      <c r="E279" s="56">
        <f>VLOOKUP(A279,Exports!A:B,2,)</f>
        <v/>
      </c>
      <c r="F279" s="56">
        <f>VLOOKUP(A279,Imports!A:B,2,)</f>
        <v/>
      </c>
      <c r="G279" s="56">
        <f>VLOOKUP(A279,Government!A:B,2,)</f>
        <v/>
      </c>
      <c r="H279" s="32">
        <f>Table58[[#This Row],[Personal Consumption]]/Table58[[#This Row],[GDP]]</f>
        <v/>
      </c>
      <c r="I279" s="32">
        <f>Table58[[#This Row],[Private Investment]]/Table58[[#This Row],[GDP]]</f>
        <v/>
      </c>
      <c r="J279" s="32">
        <f>Table58[[#This Row],[Exports]]/Table58[[#This Row],[GDP]]</f>
        <v/>
      </c>
      <c r="K279" s="32">
        <f>-Table58[[#This Row],[Imports]]/Table58[[#This Row],[GDP]]</f>
        <v/>
      </c>
      <c r="L279" s="32">
        <f>Table58[[#This Row],[Government]]/Table58[[#This Row],[GDP]]</f>
        <v/>
      </c>
      <c r="N279" s="51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0" t="n">
        <v>42186</v>
      </c>
      <c r="B280" s="56">
        <f>VLOOKUP(A280,'U.S. GDP'!A:B,2,)</f>
        <v/>
      </c>
      <c r="C280" s="56">
        <f>VLOOKUP(A280,PersonalConsumption!A:B,2,)</f>
        <v/>
      </c>
      <c r="D280" s="56">
        <f>VLOOKUP(A280,PrivateInvestment!A:B,2,)</f>
        <v/>
      </c>
      <c r="E280" s="56">
        <f>VLOOKUP(A280,Exports!A:B,2,)</f>
        <v/>
      </c>
      <c r="F280" s="56">
        <f>VLOOKUP(A280,Imports!A:B,2,)</f>
        <v/>
      </c>
      <c r="G280" s="56">
        <f>VLOOKUP(A280,Government!A:B,2,)</f>
        <v/>
      </c>
      <c r="H280" s="32">
        <f>Table58[[#This Row],[Personal Consumption]]/Table58[[#This Row],[GDP]]</f>
        <v/>
      </c>
      <c r="I280" s="32">
        <f>Table58[[#This Row],[Private Investment]]/Table58[[#This Row],[GDP]]</f>
        <v/>
      </c>
      <c r="J280" s="32">
        <f>Table58[[#This Row],[Exports]]/Table58[[#This Row],[GDP]]</f>
        <v/>
      </c>
      <c r="K280" s="32">
        <f>-Table58[[#This Row],[Imports]]/Table58[[#This Row],[GDP]]</f>
        <v/>
      </c>
      <c r="L280" s="32">
        <f>Table58[[#This Row],[Government]]/Table58[[#This Row],[GDP]]</f>
        <v/>
      </c>
      <c r="N280" s="51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0" t="n">
        <v>42278</v>
      </c>
      <c r="B281" s="56">
        <f>VLOOKUP(A281,'U.S. GDP'!A:B,2,)</f>
        <v/>
      </c>
      <c r="C281" s="56">
        <f>VLOOKUP(A281,PersonalConsumption!A:B,2,)</f>
        <v/>
      </c>
      <c r="D281" s="56">
        <f>VLOOKUP(A281,PrivateInvestment!A:B,2,)</f>
        <v/>
      </c>
      <c r="E281" s="56">
        <f>VLOOKUP(A281,Exports!A:B,2,)</f>
        <v/>
      </c>
      <c r="F281" s="56">
        <f>VLOOKUP(A281,Imports!A:B,2,)</f>
        <v/>
      </c>
      <c r="G281" s="41">
        <f>VLOOKUP(A281,Government!A:B,2,)</f>
        <v/>
      </c>
      <c r="H281" s="32">
        <f>Table58[[#This Row],[Personal Consumption]]/Table58[[#This Row],[GDP]]</f>
        <v/>
      </c>
      <c r="I281" s="32">
        <f>Table58[[#This Row],[Private Investment]]/Table58[[#This Row],[GDP]]</f>
        <v/>
      </c>
      <c r="J281" s="32">
        <f>Table58[[#This Row],[Exports]]/Table58[[#This Row],[GDP]]</f>
        <v/>
      </c>
      <c r="K281" s="32">
        <f>-Table58[[#This Row],[Imports]]/Table58[[#This Row],[GDP]]</f>
        <v/>
      </c>
      <c r="L281" s="32">
        <f>Table58[[#This Row],[Government]]/Table58[[#This Row],[GDP]]</f>
        <v/>
      </c>
      <c r="N281" s="51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0" t="n">
        <v>42370</v>
      </c>
      <c r="B282" s="56">
        <f>VLOOKUP(A282,'U.S. GDP'!A:B,2,)</f>
        <v/>
      </c>
      <c r="C282" s="56">
        <f>VLOOKUP(A282,PersonalConsumption!A:B,2,)</f>
        <v/>
      </c>
      <c r="D282" s="56">
        <f>VLOOKUP(A282,PrivateInvestment!A:B,2,)</f>
        <v/>
      </c>
      <c r="E282" s="56">
        <f>VLOOKUP(A282,Exports!A:B,2,)</f>
        <v/>
      </c>
      <c r="F282" s="56">
        <f>VLOOKUP(A282,Imports!A:B,2,)</f>
        <v/>
      </c>
      <c r="G282" s="41">
        <f>VLOOKUP(A282,Government!A:B,2,)</f>
        <v/>
      </c>
      <c r="H282" s="32">
        <f>Table58[[#This Row],[Personal Consumption]]/Table58[[#This Row],[GDP]]</f>
        <v/>
      </c>
      <c r="I282" s="32">
        <f>Table58[[#This Row],[Private Investment]]/Table58[[#This Row],[GDP]]</f>
        <v/>
      </c>
      <c r="J282" s="32">
        <f>Table58[[#This Row],[Exports]]/Table58[[#This Row],[GDP]]</f>
        <v/>
      </c>
      <c r="K282" s="32">
        <f>-Table58[[#This Row],[Imports]]/Table58[[#This Row],[GDP]]</f>
        <v/>
      </c>
      <c r="L282" s="32">
        <f>Table58[[#This Row],[Government]]/Table58[[#This Row],[GDP]]</f>
        <v/>
      </c>
      <c r="N282" s="51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0" t="n">
        <v>42461</v>
      </c>
      <c r="B283" s="56">
        <f>VLOOKUP(A283,'U.S. GDP'!A:B,2,)</f>
        <v/>
      </c>
      <c r="C283" s="56">
        <f>VLOOKUP(A283,PersonalConsumption!A:B,2,)</f>
        <v/>
      </c>
      <c r="D283" s="56">
        <f>VLOOKUP(A283,PrivateInvestment!A:B,2,)</f>
        <v/>
      </c>
      <c r="E283" s="56">
        <f>VLOOKUP(A283,Exports!A:B,2,)</f>
        <v/>
      </c>
      <c r="F283" s="56">
        <f>VLOOKUP(A283,Imports!A:B,2,)</f>
        <v/>
      </c>
      <c r="G283" s="41">
        <f>VLOOKUP(A283,Government!A:B,2,)</f>
        <v/>
      </c>
      <c r="H283" s="32">
        <f>Table58[[#This Row],[Personal Consumption]]/Table58[[#This Row],[GDP]]</f>
        <v/>
      </c>
      <c r="I283" s="32">
        <f>Table58[[#This Row],[Private Investment]]/Table58[[#This Row],[GDP]]</f>
        <v/>
      </c>
      <c r="J283" s="32">
        <f>Table58[[#This Row],[Exports]]/Table58[[#This Row],[GDP]]</f>
        <v/>
      </c>
      <c r="K283" s="32">
        <f>-Table58[[#This Row],[Imports]]/Table58[[#This Row],[GDP]]</f>
        <v/>
      </c>
      <c r="L283" s="32">
        <f>Table58[[#This Row],[Government]]/Table58[[#This Row],[GDP]]</f>
        <v/>
      </c>
      <c r="N283" s="51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0" t="n">
        <v>42552</v>
      </c>
      <c r="B284" s="56">
        <f>VLOOKUP(A284,'U.S. GDP'!A:B,2,)</f>
        <v/>
      </c>
      <c r="C284" s="56">
        <f>VLOOKUP(A284,PersonalConsumption!A:B,2,)</f>
        <v/>
      </c>
      <c r="D284" s="56">
        <f>VLOOKUP(A284,PrivateInvestment!A:B,2,)</f>
        <v/>
      </c>
      <c r="E284" s="56">
        <f>VLOOKUP(A284,Exports!A:B,2,)</f>
        <v/>
      </c>
      <c r="F284" s="56">
        <f>VLOOKUP(A284,Imports!A:B,2,)</f>
        <v/>
      </c>
      <c r="G284" s="41">
        <f>VLOOKUP(A284,Government!A:B,2,)</f>
        <v/>
      </c>
      <c r="H284" s="32">
        <f>Table58[[#This Row],[Personal Consumption]]/Table58[[#This Row],[GDP]]</f>
        <v/>
      </c>
      <c r="I284" s="32">
        <f>Table58[[#This Row],[Private Investment]]/Table58[[#This Row],[GDP]]</f>
        <v/>
      </c>
      <c r="J284" s="32">
        <f>Table58[[#This Row],[Exports]]/Table58[[#This Row],[GDP]]</f>
        <v/>
      </c>
      <c r="K284" s="32">
        <f>-Table58[[#This Row],[Imports]]/Table58[[#This Row],[GDP]]</f>
        <v/>
      </c>
      <c r="L284" s="32">
        <f>Table58[[#This Row],[Government]]/Table58[[#This Row],[GDP]]</f>
        <v/>
      </c>
      <c r="N284" s="51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0" t="n">
        <v>42644</v>
      </c>
      <c r="B285" s="56">
        <f>VLOOKUP(A285,'U.S. GDP'!A:B,2,)</f>
        <v/>
      </c>
      <c r="C285" s="56">
        <f>VLOOKUP(A285,PersonalConsumption!A:B,2,)</f>
        <v/>
      </c>
      <c r="D285" s="56">
        <f>VLOOKUP(A285,PrivateInvestment!A:B,2,)</f>
        <v/>
      </c>
      <c r="E285" s="56">
        <f>VLOOKUP(A285,Exports!A:B,2,)</f>
        <v/>
      </c>
      <c r="F285" s="56">
        <f>VLOOKUP(A285,Imports!A:B,2,)</f>
        <v/>
      </c>
      <c r="G285" s="41">
        <f>VLOOKUP(A285,Government!A:B,2,)</f>
        <v/>
      </c>
      <c r="H285" s="32">
        <f>Table58[[#This Row],[Personal Consumption]]/Table58[[#This Row],[GDP]]</f>
        <v/>
      </c>
      <c r="I285" s="32">
        <f>Table58[[#This Row],[Private Investment]]/Table58[[#This Row],[GDP]]</f>
        <v/>
      </c>
      <c r="J285" s="32">
        <f>Table58[[#This Row],[Exports]]/Table58[[#This Row],[GDP]]</f>
        <v/>
      </c>
      <c r="K285" s="32">
        <f>-Table58[[#This Row],[Imports]]/Table58[[#This Row],[GDP]]</f>
        <v/>
      </c>
      <c r="L285" s="32">
        <f>Table58[[#This Row],[Government]]/Table58[[#This Row],[GDP]]</f>
        <v/>
      </c>
      <c r="N285" s="51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0" t="n">
        <v>42736</v>
      </c>
      <c r="B286" s="56">
        <f>VLOOKUP(A286,'U.S. GDP'!A:B,2,)</f>
        <v/>
      </c>
      <c r="C286" s="56">
        <f>VLOOKUP(A286,PersonalConsumption!A:B,2,)</f>
        <v/>
      </c>
      <c r="D286" s="56">
        <f>VLOOKUP(A286,PrivateInvestment!A:B,2,)</f>
        <v/>
      </c>
      <c r="E286" s="56">
        <f>VLOOKUP(A286,Exports!A:B,2,)</f>
        <v/>
      </c>
      <c r="F286" s="56">
        <f>VLOOKUP(A286,Imports!A:B,2,)</f>
        <v/>
      </c>
      <c r="G286" s="41">
        <f>VLOOKUP(A286,Government!A:B,2,)</f>
        <v/>
      </c>
      <c r="H286" s="32">
        <f>Table58[[#This Row],[Personal Consumption]]/Table58[[#This Row],[GDP]]</f>
        <v/>
      </c>
      <c r="I286" s="32">
        <f>Table58[[#This Row],[Private Investment]]/Table58[[#This Row],[GDP]]</f>
        <v/>
      </c>
      <c r="J286" s="32">
        <f>Table58[[#This Row],[Exports]]/Table58[[#This Row],[GDP]]</f>
        <v/>
      </c>
      <c r="K286" s="32">
        <f>-Table58[[#This Row],[Imports]]/Table58[[#This Row],[GDP]]</f>
        <v/>
      </c>
      <c r="L286" s="32">
        <f>Table58[[#This Row],[Government]]/Table58[[#This Row],[GDP]]</f>
        <v/>
      </c>
      <c r="N286" s="51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0" t="n">
        <v>42826</v>
      </c>
      <c r="B287" s="56">
        <f>VLOOKUP(A287,'U.S. GDP'!A:B,2,)</f>
        <v/>
      </c>
      <c r="C287" s="56">
        <f>VLOOKUP(A287,PersonalConsumption!A:B,2,)</f>
        <v/>
      </c>
      <c r="D287" s="56">
        <f>VLOOKUP(A287,PrivateInvestment!A:B,2,)</f>
        <v/>
      </c>
      <c r="E287" s="56">
        <f>VLOOKUP(A287,Exports!A:B,2,)</f>
        <v/>
      </c>
      <c r="F287" s="56">
        <f>VLOOKUP(A287,Imports!A:B,2,)</f>
        <v/>
      </c>
      <c r="G287" s="41">
        <f>VLOOKUP(A287,Government!A:B,2,)</f>
        <v/>
      </c>
      <c r="H287" s="32">
        <f>Table58[[#This Row],[Personal Consumption]]/Table58[[#This Row],[GDP]]</f>
        <v/>
      </c>
      <c r="I287" s="32">
        <f>Table58[[#This Row],[Private Investment]]/Table58[[#This Row],[GDP]]</f>
        <v/>
      </c>
      <c r="J287" s="32">
        <f>Table58[[#This Row],[Exports]]/Table58[[#This Row],[GDP]]</f>
        <v/>
      </c>
      <c r="K287" s="32">
        <f>-Table58[[#This Row],[Imports]]/Table58[[#This Row],[GDP]]</f>
        <v/>
      </c>
      <c r="L287" s="32">
        <f>Table58[[#This Row],[Government]]/Table58[[#This Row],[GDP]]</f>
        <v/>
      </c>
      <c r="N287" s="51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0" t="n">
        <v>42917</v>
      </c>
      <c r="B288" s="56">
        <f>VLOOKUP(A288,'U.S. GDP'!A:B,2,)</f>
        <v/>
      </c>
      <c r="C288" s="56">
        <f>VLOOKUP(A288,PersonalConsumption!A:B,2,)</f>
        <v/>
      </c>
      <c r="D288" s="56">
        <f>VLOOKUP(A288,PrivateInvestment!A:B,2,)</f>
        <v/>
      </c>
      <c r="E288" s="56">
        <f>VLOOKUP(A288,Exports!A:B,2,)</f>
        <v/>
      </c>
      <c r="F288" s="56">
        <f>VLOOKUP(A288,Imports!A:B,2,)</f>
        <v/>
      </c>
      <c r="G288" s="41">
        <f>VLOOKUP(A288,Government!A:B,2,)</f>
        <v/>
      </c>
      <c r="H288" s="32">
        <f>Table58[[#This Row],[Personal Consumption]]/Table58[[#This Row],[GDP]]</f>
        <v/>
      </c>
      <c r="I288" s="32">
        <f>Table58[[#This Row],[Private Investment]]/Table58[[#This Row],[GDP]]</f>
        <v/>
      </c>
      <c r="J288" s="32">
        <f>Table58[[#This Row],[Exports]]/Table58[[#This Row],[GDP]]</f>
        <v/>
      </c>
      <c r="K288" s="32">
        <f>-Table58[[#This Row],[Imports]]/Table58[[#This Row],[GDP]]</f>
        <v/>
      </c>
      <c r="L288" s="32">
        <f>Table58[[#This Row],[Government]]/Table58[[#This Row],[GDP]]</f>
        <v/>
      </c>
      <c r="N288" s="51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0" t="n">
        <v>43009</v>
      </c>
      <c r="B289" s="56">
        <f>VLOOKUP(A289,'U.S. GDP'!A:B,2,)</f>
        <v/>
      </c>
      <c r="C289" s="56">
        <f>VLOOKUP(A289,PersonalConsumption!A:B,2,)</f>
        <v/>
      </c>
      <c r="D289" s="56">
        <f>VLOOKUP(A289,PrivateInvestment!A:B,2,)</f>
        <v/>
      </c>
      <c r="E289" s="56">
        <f>VLOOKUP(A289,Exports!A:B,2,)</f>
        <v/>
      </c>
      <c r="F289" s="56">
        <f>VLOOKUP(A289,Imports!A:B,2,)</f>
        <v/>
      </c>
      <c r="G289" s="41">
        <f>VLOOKUP(A289,Government!A:B,2,)</f>
        <v/>
      </c>
      <c r="H289" s="32">
        <f>Table58[[#This Row],[Personal Consumption]]/Table58[[#This Row],[GDP]]</f>
        <v/>
      </c>
      <c r="I289" s="32">
        <f>Table58[[#This Row],[Private Investment]]/Table58[[#This Row],[GDP]]</f>
        <v/>
      </c>
      <c r="J289" s="32">
        <f>Table58[[#This Row],[Exports]]/Table58[[#This Row],[GDP]]</f>
        <v/>
      </c>
      <c r="K289" s="32">
        <f>-Table58[[#This Row],[Imports]]/Table58[[#This Row],[GDP]]</f>
        <v/>
      </c>
      <c r="L289" s="32">
        <f>Table58[[#This Row],[Government]]/Table58[[#This Row],[GDP]]</f>
        <v/>
      </c>
      <c r="N289" s="51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0" t="n">
        <v>43101</v>
      </c>
      <c r="B290" s="56">
        <f>VLOOKUP(A290,'U.S. GDP'!A:B,2,)</f>
        <v/>
      </c>
      <c r="C290" s="56">
        <f>VLOOKUP(A290,PersonalConsumption!A:B,2,)</f>
        <v/>
      </c>
      <c r="D290" s="56">
        <f>VLOOKUP(A290,PrivateInvestment!A:B,2,)</f>
        <v/>
      </c>
      <c r="E290" s="56">
        <f>VLOOKUP(A290,Exports!A:B,2,)</f>
        <v/>
      </c>
      <c r="F290" s="56">
        <f>VLOOKUP(A290,Imports!A:B,2,)</f>
        <v/>
      </c>
      <c r="G290" s="41">
        <f>VLOOKUP(A290,Government!A:B,2,)</f>
        <v/>
      </c>
      <c r="H290" s="32">
        <f>Table58[[#This Row],[Personal Consumption]]/Table58[[#This Row],[GDP]]</f>
        <v/>
      </c>
      <c r="I290" s="32">
        <f>Table58[[#This Row],[Private Investment]]/Table58[[#This Row],[GDP]]</f>
        <v/>
      </c>
      <c r="J290" s="32">
        <f>Table58[[#This Row],[Exports]]/Table58[[#This Row],[GDP]]</f>
        <v/>
      </c>
      <c r="K290" s="32">
        <f>-Table58[[#This Row],[Imports]]/Table58[[#This Row],[GDP]]</f>
        <v/>
      </c>
      <c r="L290" s="32">
        <f>Table58[[#This Row],[Government]]/Table58[[#This Row],[GDP]]</f>
        <v/>
      </c>
      <c r="N290" s="51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0" t="n">
        <v>43191</v>
      </c>
      <c r="B291" s="56">
        <f>VLOOKUP(A291,'U.S. GDP'!A:B,2,)</f>
        <v/>
      </c>
      <c r="C291" s="56">
        <f>VLOOKUP(A291,PersonalConsumption!A:B,2,)</f>
        <v/>
      </c>
      <c r="D291" s="56">
        <f>VLOOKUP(A291,PrivateInvestment!A:B,2,)</f>
        <v/>
      </c>
      <c r="E291" s="56">
        <f>VLOOKUP(A291,Exports!A:B,2,)</f>
        <v/>
      </c>
      <c r="F291" s="56">
        <f>VLOOKUP(A291,Imports!A:B,2,)</f>
        <v/>
      </c>
      <c r="G291" s="41">
        <f>VLOOKUP(A291,Government!A:B,2,)</f>
        <v/>
      </c>
      <c r="H291" s="32">
        <f>Table58[[#This Row],[Personal Consumption]]/Table58[[#This Row],[GDP]]</f>
        <v/>
      </c>
      <c r="I291" s="32">
        <f>Table58[[#This Row],[Private Investment]]/Table58[[#This Row],[GDP]]</f>
        <v/>
      </c>
      <c r="J291" s="32">
        <f>Table58[[#This Row],[Exports]]/Table58[[#This Row],[GDP]]</f>
        <v/>
      </c>
      <c r="K291" s="32">
        <f>-Table58[[#This Row],[Imports]]/Table58[[#This Row],[GDP]]</f>
        <v/>
      </c>
      <c r="L291" s="32">
        <f>Table58[[#This Row],[Government]]/Table58[[#This Row],[GDP]]</f>
        <v/>
      </c>
      <c r="N291" s="51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0" t="n">
        <v>43282</v>
      </c>
      <c r="B292" s="56">
        <f>VLOOKUP(A292,'U.S. GDP'!A:B,2,)</f>
        <v/>
      </c>
      <c r="C292" s="56">
        <f>VLOOKUP(A292,PersonalConsumption!A:B,2,)</f>
        <v/>
      </c>
      <c r="D292" s="56">
        <f>VLOOKUP(A292,PrivateInvestment!A:B,2,)</f>
        <v/>
      </c>
      <c r="E292" s="41">
        <f>VLOOKUP(A292,Exports!A:B,2,)</f>
        <v/>
      </c>
      <c r="F292" s="56">
        <f>VLOOKUP(A292,Imports!A:B,2,)</f>
        <v/>
      </c>
      <c r="G292" s="41">
        <f>VLOOKUP(A292,Government!A:B,2,)</f>
        <v/>
      </c>
      <c r="H292" s="32">
        <f>Table58[[#This Row],[Personal Consumption]]/Table58[[#This Row],[GDP]]</f>
        <v/>
      </c>
      <c r="I292" s="32">
        <f>Table58[[#This Row],[Private Investment]]/Table58[[#This Row],[GDP]]</f>
        <v/>
      </c>
      <c r="J292" s="32">
        <f>Table58[[#This Row],[Exports]]/Table58[[#This Row],[GDP]]</f>
        <v/>
      </c>
      <c r="K292" s="32">
        <f>-Table58[[#This Row],[Imports]]/Table58[[#This Row],[GDP]]</f>
        <v/>
      </c>
      <c r="L292" s="32">
        <f>Table58[[#This Row],[Government]]/Table58[[#This Row],[GDP]]</f>
        <v/>
      </c>
      <c r="N292" s="51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0" t="n">
        <v>43374</v>
      </c>
      <c r="B293" s="56">
        <f>VLOOKUP(A293,'U.S. GDP'!A:B,2,)</f>
        <v/>
      </c>
      <c r="C293" s="56">
        <f>VLOOKUP(A293,PersonalConsumption!A:B,2,)</f>
        <v/>
      </c>
      <c r="D293" s="56">
        <f>VLOOKUP(A293,PrivateInvestment!A:B,2,)</f>
        <v/>
      </c>
      <c r="E293" s="56">
        <f>VLOOKUP(A293,Exports!A:B,2,)</f>
        <v/>
      </c>
      <c r="F293" s="56">
        <f>VLOOKUP(A293,Imports!A:B,2,)</f>
        <v/>
      </c>
      <c r="G293" s="41">
        <f>VLOOKUP(A293,Government!A:B,2,)</f>
        <v/>
      </c>
      <c r="H293" s="32">
        <f>Table58[[#This Row],[Personal Consumption]]/Table58[[#This Row],[GDP]]</f>
        <v/>
      </c>
      <c r="I293" s="32">
        <f>Table58[[#This Row],[Private Investment]]/Table58[[#This Row],[GDP]]</f>
        <v/>
      </c>
      <c r="J293" s="32">
        <f>Table58[[#This Row],[Exports]]/Table58[[#This Row],[GDP]]</f>
        <v/>
      </c>
      <c r="K293" s="32">
        <f>-Table58[[#This Row],[Imports]]/Table58[[#This Row],[GDP]]</f>
        <v/>
      </c>
      <c r="L293" s="32">
        <f>Table58[[#This Row],[Government]]/Table58[[#This Row],[GDP]]</f>
        <v/>
      </c>
      <c r="N293" s="51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0" t="n">
        <v>43466</v>
      </c>
      <c r="B294" s="56">
        <f>VLOOKUP(A294,'U.S. GDP'!A:B,2,)</f>
        <v/>
      </c>
      <c r="C294" s="56">
        <f>VLOOKUP(A294,PersonalConsumption!A:B,2,)</f>
        <v/>
      </c>
      <c r="D294" s="56">
        <f>VLOOKUP(A294,PrivateInvestment!A:B,2,)</f>
        <v/>
      </c>
      <c r="E294" s="41">
        <f>VLOOKUP(A294,Exports!A:B,2,)</f>
        <v/>
      </c>
      <c r="F294" s="56">
        <f>VLOOKUP(A294,Imports!A:B,2,)</f>
        <v/>
      </c>
      <c r="G294" s="41">
        <f>VLOOKUP(A294,Government!A:B,2,)</f>
        <v/>
      </c>
      <c r="H294" s="32">
        <f>Table58[[#This Row],[Personal Consumption]]/Table58[[#This Row],[GDP]]</f>
        <v/>
      </c>
      <c r="I294" s="32">
        <f>Table58[[#This Row],[Private Investment]]/Table58[[#This Row],[GDP]]</f>
        <v/>
      </c>
      <c r="J294" s="32">
        <f>Table58[[#This Row],[Exports]]/Table58[[#This Row],[GDP]]</f>
        <v/>
      </c>
      <c r="K294" s="32">
        <f>-Table58[[#This Row],[Imports]]/Table58[[#This Row],[GDP]]</f>
        <v/>
      </c>
      <c r="L294" s="32">
        <f>Table58[[#This Row],[Government]]/Table58[[#This Row],[GDP]]</f>
        <v/>
      </c>
      <c r="N294" s="51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0" t="n">
        <v>43556</v>
      </c>
      <c r="B295" s="56">
        <f>VLOOKUP(A295,'U.S. GDP'!A:B,2,)</f>
        <v/>
      </c>
      <c r="C295" s="56">
        <f>VLOOKUP(A295,PersonalConsumption!A:B,2,)</f>
        <v/>
      </c>
      <c r="D295" s="56">
        <f>VLOOKUP(A295,PrivateInvestment!A:B,2,)</f>
        <v/>
      </c>
      <c r="E295" s="56">
        <f>VLOOKUP(A295,Exports!A:B,2,)</f>
        <v/>
      </c>
      <c r="F295" s="56">
        <f>VLOOKUP(A295,Imports!A:B,2,)</f>
        <v/>
      </c>
      <c r="G295" s="41">
        <f>VLOOKUP(A295,Government!A:B,2,)</f>
        <v/>
      </c>
      <c r="H295" s="32">
        <f>Table58[[#This Row],[Personal Consumption]]/Table58[[#This Row],[GDP]]</f>
        <v/>
      </c>
      <c r="I295" s="32">
        <f>Table58[[#This Row],[Private Investment]]/Table58[[#This Row],[GDP]]</f>
        <v/>
      </c>
      <c r="J295" s="32">
        <f>Table58[[#This Row],[Exports]]/Table58[[#This Row],[GDP]]</f>
        <v/>
      </c>
      <c r="K295" s="32">
        <f>-Table58[[#This Row],[Imports]]/Table58[[#This Row],[GDP]]</f>
        <v/>
      </c>
      <c r="L295" s="32">
        <f>Table58[[#This Row],[Government]]/Table58[[#This Row],[GDP]]</f>
        <v/>
      </c>
      <c r="N295" s="51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0" t="n">
        <v>43647</v>
      </c>
      <c r="B296" s="56">
        <f>VLOOKUP(A296,'U.S. GDP'!A:B,2,)</f>
        <v/>
      </c>
      <c r="C296" s="56">
        <f>VLOOKUP(A296,PersonalConsumption!A:B,2,)</f>
        <v/>
      </c>
      <c r="D296" s="56">
        <f>VLOOKUP(A296,PrivateInvestment!A:B,2,)</f>
        <v/>
      </c>
      <c r="E296" s="41">
        <f>VLOOKUP(A296,Exports!A:B,2,)</f>
        <v/>
      </c>
      <c r="F296" s="56">
        <f>VLOOKUP(A296,Imports!A:B,2,)</f>
        <v/>
      </c>
      <c r="G296" s="41">
        <f>VLOOKUP(A296,Government!A:B,2,)</f>
        <v/>
      </c>
      <c r="H296" s="32">
        <f>Table58[[#This Row],[Personal Consumption]]/Table58[[#This Row],[GDP]]</f>
        <v/>
      </c>
      <c r="I296" s="32">
        <f>Table58[[#This Row],[Private Investment]]/Table58[[#This Row],[GDP]]</f>
        <v/>
      </c>
      <c r="J296" s="32">
        <f>Table58[[#This Row],[Exports]]/Table58[[#This Row],[GDP]]</f>
        <v/>
      </c>
      <c r="K296" s="32">
        <f>-Table58[[#This Row],[Imports]]/Table58[[#This Row],[GDP]]</f>
        <v/>
      </c>
      <c r="L296" s="32">
        <f>Table58[[#This Row],[Government]]/Table58[[#This Row],[GDP]]</f>
        <v/>
      </c>
      <c r="N296" s="51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0" t="n">
        <v>43739</v>
      </c>
      <c r="B297" s="56">
        <f>VLOOKUP(A297,'U.S. GDP'!A:B,2,)</f>
        <v/>
      </c>
      <c r="C297" s="56">
        <f>VLOOKUP(A297,PersonalConsumption!A:B,2,)</f>
        <v/>
      </c>
      <c r="D297" s="56">
        <f>VLOOKUP(A297,PrivateInvestment!A:B,2,)</f>
        <v/>
      </c>
      <c r="E297" s="56">
        <f>VLOOKUP(A297,Exports!A:B,2,)</f>
        <v/>
      </c>
      <c r="F297" s="56">
        <f>VLOOKUP(A297,Imports!A:B,2,)</f>
        <v/>
      </c>
      <c r="G297" s="41">
        <f>VLOOKUP(A297,Government!A:B,2,)</f>
        <v/>
      </c>
      <c r="H297" s="32">
        <f>Table58[[#This Row],[Personal Consumption]]/Table58[[#This Row],[GDP]]</f>
        <v/>
      </c>
      <c r="I297" s="32">
        <f>Table58[[#This Row],[Private Investment]]/Table58[[#This Row],[GDP]]</f>
        <v/>
      </c>
      <c r="J297" s="32">
        <f>Table58[[#This Row],[Exports]]/Table58[[#This Row],[GDP]]</f>
        <v/>
      </c>
      <c r="K297" s="32">
        <f>-Table58[[#This Row],[Imports]]/Table58[[#This Row],[GDP]]</f>
        <v/>
      </c>
      <c r="L297" s="32">
        <f>Table58[[#This Row],[Government]]/Table58[[#This Row],[GDP]]</f>
        <v/>
      </c>
      <c r="N297" s="51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0" t="n">
        <v>43831</v>
      </c>
      <c r="B298" s="56">
        <f>VLOOKUP(A298,'U.S. GDP'!A:B,2,)</f>
        <v/>
      </c>
      <c r="C298" s="56">
        <f>VLOOKUP(A298,PersonalConsumption!A:B,2,)</f>
        <v/>
      </c>
      <c r="D298" s="56">
        <f>VLOOKUP(A298,PrivateInvestment!A:B,2,)</f>
        <v/>
      </c>
      <c r="E298" s="41">
        <f>VLOOKUP(A298,Exports!A:B,2,)</f>
        <v/>
      </c>
      <c r="F298" s="56">
        <f>VLOOKUP(A298,Imports!A:B,2,)</f>
        <v/>
      </c>
      <c r="G298" s="41">
        <f>VLOOKUP(A298,Government!A:B,2,)</f>
        <v/>
      </c>
      <c r="H298" s="32">
        <f>Table58[[#This Row],[Personal Consumption]]/Table58[[#This Row],[GDP]]</f>
        <v/>
      </c>
      <c r="I298" s="32">
        <f>Table58[[#This Row],[Private Investment]]/Table58[[#This Row],[GDP]]</f>
        <v/>
      </c>
      <c r="J298" s="32">
        <f>Table58[[#This Row],[Exports]]/Table58[[#This Row],[GDP]]</f>
        <v/>
      </c>
      <c r="K298" s="32">
        <f>-Table58[[#This Row],[Imports]]/Table58[[#This Row],[GDP]]</f>
        <v/>
      </c>
      <c r="L298" s="32">
        <f>Table58[[#This Row],[Government]]/Table58[[#This Row],[GDP]]</f>
        <v/>
      </c>
      <c r="N298" s="51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0" t="n">
        <v>43922</v>
      </c>
      <c r="B299" s="56">
        <f>VLOOKUP(A299,'U.S. GDP'!A:B,2,)</f>
        <v/>
      </c>
      <c r="C299" s="56">
        <f>VLOOKUP(A299,PersonalConsumption!A:B,2,)</f>
        <v/>
      </c>
      <c r="D299" s="56">
        <f>VLOOKUP(A299,PrivateInvestment!A:B,2,)</f>
        <v/>
      </c>
      <c r="E299" s="56">
        <f>VLOOKUP(A299,Exports!A:B,2,)</f>
        <v/>
      </c>
      <c r="F299" s="56">
        <f>VLOOKUP(A299,Imports!A:B,2,)</f>
        <v/>
      </c>
      <c r="G299" s="41">
        <f>VLOOKUP(A299,Government!A:B,2,)</f>
        <v/>
      </c>
      <c r="H299" s="32">
        <f>Table58[[#This Row],[Personal Consumption]]/Table58[[#This Row],[GDP]]</f>
        <v/>
      </c>
      <c r="I299" s="32">
        <f>Table58[[#This Row],[Private Investment]]/Table58[[#This Row],[GDP]]</f>
        <v/>
      </c>
      <c r="J299" s="32">
        <f>Table58[[#This Row],[Exports]]/Table58[[#This Row],[GDP]]</f>
        <v/>
      </c>
      <c r="K299" s="32">
        <f>-Table58[[#This Row],[Imports]]/Table58[[#This Row],[GDP]]</f>
        <v/>
      </c>
      <c r="L299" s="32">
        <f>Table58[[#This Row],[Government]]/Table58[[#This Row],[GDP]]</f>
        <v/>
      </c>
      <c r="N299" s="51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0" t="n">
        <v>44013</v>
      </c>
      <c r="B300" s="56">
        <f>VLOOKUP(A300,'U.S. GDP'!A:B,2,)</f>
        <v/>
      </c>
      <c r="C300" s="56">
        <f>VLOOKUP(A300,PersonalConsumption!A:B,2,)</f>
        <v/>
      </c>
      <c r="D300" s="56">
        <f>VLOOKUP(A300,PrivateInvestment!A:B,2,)</f>
        <v/>
      </c>
      <c r="E300" s="41">
        <f>VLOOKUP(A300,Exports!A:B,2,)</f>
        <v/>
      </c>
      <c r="F300" s="56">
        <f>VLOOKUP(A300,Imports!A:B,2,)</f>
        <v/>
      </c>
      <c r="G300" s="41">
        <f>VLOOKUP(A300,Government!A:B,2,)</f>
        <v/>
      </c>
      <c r="H300" s="32">
        <f>Table58[[#This Row],[Personal Consumption]]/Table58[[#This Row],[GDP]]</f>
        <v/>
      </c>
      <c r="I300" s="32">
        <f>Table58[[#This Row],[Private Investment]]/Table58[[#This Row],[GDP]]</f>
        <v/>
      </c>
      <c r="J300" s="32">
        <f>Table58[[#This Row],[Exports]]/Table58[[#This Row],[GDP]]</f>
        <v/>
      </c>
      <c r="K300" s="32">
        <f>-Table58[[#This Row],[Imports]]/Table58[[#This Row],[GDP]]</f>
        <v/>
      </c>
      <c r="L300" s="32">
        <f>Table58[[#This Row],[Government]]/Table58[[#This Row],[GDP]]</f>
        <v/>
      </c>
      <c r="N300" s="51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0" t="n">
        <v>44105</v>
      </c>
      <c r="B301" s="56">
        <f>VLOOKUP(A301,'U.S. GDP'!A:B,2,)</f>
        <v/>
      </c>
      <c r="C301" s="56">
        <f>VLOOKUP(A301,PersonalConsumption!A:B,2,)</f>
        <v/>
      </c>
      <c r="D301" s="56">
        <f>VLOOKUP(A301,PrivateInvestment!A:B,2,)</f>
        <v/>
      </c>
      <c r="E301" s="56">
        <f>VLOOKUP(A301,Exports!A:B,2,)</f>
        <v/>
      </c>
      <c r="F301" s="56">
        <f>VLOOKUP(A301,Imports!A:B,2,)</f>
        <v/>
      </c>
      <c r="G301" s="41">
        <f>VLOOKUP(A301,Government!A:B,2,)</f>
        <v/>
      </c>
      <c r="H301" s="32">
        <f>Table58[[#This Row],[Personal Consumption]]/Table58[[#This Row],[GDP]]</f>
        <v/>
      </c>
      <c r="I301" s="32">
        <f>Table58[[#This Row],[Private Investment]]/Table58[[#This Row],[GDP]]</f>
        <v/>
      </c>
      <c r="J301" s="32">
        <f>Table58[[#This Row],[Exports]]/Table58[[#This Row],[GDP]]</f>
        <v/>
      </c>
      <c r="K301" s="32">
        <f>-Table58[[#This Row],[Imports]]/Table58[[#This Row],[GDP]]</f>
        <v/>
      </c>
      <c r="L301" s="32">
        <f>Table58[[#This Row],[Government]]/Table58[[#This Row],[GDP]]</f>
        <v/>
      </c>
      <c r="N301" s="51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0" t="n">
        <v>44197</v>
      </c>
      <c r="B302" s="56">
        <f>VLOOKUP(A302,'U.S. GDP'!A:B,2,)</f>
        <v/>
      </c>
      <c r="C302" s="56">
        <f>VLOOKUP(A302,PersonalConsumption!A:B,2,)</f>
        <v/>
      </c>
      <c r="D302" s="56">
        <f>VLOOKUP(A302,PrivateInvestment!A:B,2,)</f>
        <v/>
      </c>
      <c r="E302" s="41">
        <f>VLOOKUP(A302,Exports!A:B,2,)</f>
        <v/>
      </c>
      <c r="F302" s="56">
        <f>VLOOKUP(A302,Imports!A:B,2,)</f>
        <v/>
      </c>
      <c r="G302" s="41">
        <f>VLOOKUP(A302,Government!A:B,2,)</f>
        <v/>
      </c>
      <c r="H302" s="32">
        <f>Table58[[#This Row],[Personal Consumption]]/Table58[[#This Row],[GDP]]</f>
        <v/>
      </c>
      <c r="I302" s="32">
        <f>Table58[[#This Row],[Private Investment]]/Table58[[#This Row],[GDP]]</f>
        <v/>
      </c>
      <c r="J302" s="32">
        <f>Table58[[#This Row],[Exports]]/Table58[[#This Row],[GDP]]</f>
        <v/>
      </c>
      <c r="K302" s="32">
        <f>-Table58[[#This Row],[Imports]]/Table58[[#This Row],[GDP]]</f>
        <v/>
      </c>
      <c r="L302" s="32">
        <f>Table58[[#This Row],[Government]]/Table58[[#This Row],[GDP]]</f>
        <v/>
      </c>
      <c r="N302" s="51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0" t="n">
        <v>44287</v>
      </c>
      <c r="B303" s="56">
        <f>VLOOKUP(A303,'U.S. GDP'!A:B,2,)</f>
        <v/>
      </c>
      <c r="C303" s="56">
        <f>VLOOKUP(A303,PersonalConsumption!A:B,2,)</f>
        <v/>
      </c>
      <c r="D303" s="56">
        <f>VLOOKUP(A303,PrivateInvestment!A:B,2,)</f>
        <v/>
      </c>
      <c r="E303" s="56">
        <f>VLOOKUP(A303,Exports!A:B,2,)</f>
        <v/>
      </c>
      <c r="F303" s="56">
        <f>VLOOKUP(A303,Imports!A:B,2,)</f>
        <v/>
      </c>
      <c r="G303" s="41">
        <f>VLOOKUP(A303,Government!A:B,2,)</f>
        <v/>
      </c>
      <c r="H303" s="32">
        <f>Table58[[#This Row],[Personal Consumption]]/Table58[[#This Row],[GDP]]</f>
        <v/>
      </c>
      <c r="I303" s="32">
        <f>Table58[[#This Row],[Private Investment]]/Table58[[#This Row],[GDP]]</f>
        <v/>
      </c>
      <c r="J303" s="32">
        <f>Table58[[#This Row],[Exports]]/Table58[[#This Row],[GDP]]</f>
        <v/>
      </c>
      <c r="K303" s="32">
        <f>-Table58[[#This Row],[Imports]]/Table58[[#This Row],[GDP]]</f>
        <v/>
      </c>
      <c r="L303" s="32">
        <f>Table58[[#This Row],[Government]]/Table58[[#This Row],[GDP]]</f>
        <v/>
      </c>
      <c r="N303" s="51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0" t="n">
        <v>44378</v>
      </c>
      <c r="B304" s="56">
        <f>VLOOKUP(A304,'U.S. GDP'!A:B,2,)</f>
        <v/>
      </c>
      <c r="C304" s="56">
        <f>VLOOKUP(A304,PersonalConsumption!A:B,2,)</f>
        <v/>
      </c>
      <c r="D304" s="56">
        <f>VLOOKUP(A304,PrivateInvestment!A:B,2,)</f>
        <v/>
      </c>
      <c r="E304" s="41">
        <f>VLOOKUP(A304,Exports!A:B,2,)</f>
        <v/>
      </c>
      <c r="F304" s="56">
        <f>VLOOKUP(A304,Imports!A:B,2,)</f>
        <v/>
      </c>
      <c r="G304" s="41">
        <f>VLOOKUP(A304,Government!A:B,2,)</f>
        <v/>
      </c>
      <c r="H304" s="32">
        <f>Table58[[#This Row],[Personal Consumption]]/Table58[[#This Row],[GDP]]</f>
        <v/>
      </c>
      <c r="I304" s="32">
        <f>Table58[[#This Row],[Private Investment]]/Table58[[#This Row],[GDP]]</f>
        <v/>
      </c>
      <c r="J304" s="32">
        <f>Table58[[#This Row],[Exports]]/Table58[[#This Row],[GDP]]</f>
        <v/>
      </c>
      <c r="K304" s="32">
        <f>-Table58[[#This Row],[Imports]]/Table58[[#This Row],[GDP]]</f>
        <v/>
      </c>
      <c r="L304" s="32">
        <f>Table58[[#This Row],[Government]]/Table58[[#This Row],[GDP]]</f>
        <v/>
      </c>
      <c r="N304" s="51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0" t="n">
        <v>44470</v>
      </c>
      <c r="B305" s="56">
        <f>VLOOKUP(A305,'U.S. GDP'!A:B,2,)</f>
        <v/>
      </c>
      <c r="C305" s="56">
        <f>VLOOKUP(A305,PersonalConsumption!A:B,2,)</f>
        <v/>
      </c>
      <c r="D305" s="56">
        <f>VLOOKUP(A305,PrivateInvestment!A:B,2,)</f>
        <v/>
      </c>
      <c r="E305" s="56">
        <f>VLOOKUP(A305,Exports!A:B,2,)</f>
        <v/>
      </c>
      <c r="F305" s="56">
        <f>VLOOKUP(A305,Imports!A:B,2,)</f>
        <v/>
      </c>
      <c r="G305" s="41">
        <f>VLOOKUP(A305,Government!A:B,2,)</f>
        <v/>
      </c>
      <c r="H305" s="32">
        <f>Table58[[#This Row],[Personal Consumption]]/Table58[[#This Row],[GDP]]</f>
        <v/>
      </c>
      <c r="I305" s="32">
        <f>Table58[[#This Row],[Private Investment]]/Table58[[#This Row],[GDP]]</f>
        <v/>
      </c>
      <c r="J305" s="32">
        <f>Table58[[#This Row],[Exports]]/Table58[[#This Row],[GDP]]</f>
        <v/>
      </c>
      <c r="K305" s="32">
        <f>-Table58[[#This Row],[Imports]]/Table58[[#This Row],[GDP]]</f>
        <v/>
      </c>
      <c r="L305" s="32">
        <f>Table58[[#This Row],[Government]]/Table58[[#This Row],[GDP]]</f>
        <v/>
      </c>
      <c r="N305" s="51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0" t="n">
        <v>44562</v>
      </c>
      <c r="B306" s="56">
        <f>VLOOKUP(A306,'U.S. GDP'!A:B,2,)</f>
        <v/>
      </c>
      <c r="C306" s="56">
        <f>VLOOKUP(A306,PersonalConsumption!A:B,2,)</f>
        <v/>
      </c>
      <c r="D306" s="56">
        <f>VLOOKUP(A306,PrivateInvestment!A:B,2,)</f>
        <v/>
      </c>
      <c r="E306" s="56">
        <f>VLOOKUP(A306,Exports!A:B,2,)</f>
        <v/>
      </c>
      <c r="F306" s="56">
        <f>VLOOKUP(A306,Imports!A:B,2,)</f>
        <v/>
      </c>
      <c r="G306" s="41">
        <f>VLOOKUP(A306,Government!A:B,2,)</f>
        <v/>
      </c>
      <c r="H306" s="32">
        <f>Table58[[#This Row],[Personal Consumption]]/Table58[[#This Row],[GDP]]</f>
        <v/>
      </c>
      <c r="I306" s="32">
        <f>Table58[[#This Row],[Private Investment]]/Table58[[#This Row],[GDP]]</f>
        <v/>
      </c>
      <c r="J306" s="32">
        <f>Table58[[#This Row],[Exports]]/Table58[[#This Row],[GDP]]</f>
        <v/>
      </c>
      <c r="K306" s="32">
        <f>-Table58[[#This Row],[Imports]]/Table58[[#This Row],[GDP]]</f>
        <v/>
      </c>
      <c r="L306" s="32">
        <f>Table58[[#This Row],[Government]]/Table58[[#This Row],[GDP]]</f>
        <v/>
      </c>
      <c r="N306" s="51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0" t="n">
        <v>44652</v>
      </c>
      <c r="B307" s="56">
        <f>VLOOKUP(A307,'U.S. GDP'!A:B,2,)</f>
        <v/>
      </c>
      <c r="C307" s="56">
        <f>VLOOKUP(A307,PersonalConsumption!A:B,2,)</f>
        <v/>
      </c>
      <c r="D307" s="56">
        <f>VLOOKUP(A307,PrivateInvestment!A:B,2,)</f>
        <v/>
      </c>
      <c r="E307" s="56">
        <f>VLOOKUP(A307,Exports!A:B,2,)</f>
        <v/>
      </c>
      <c r="F307" s="56">
        <f>VLOOKUP(A307,Imports!A:B,2,)</f>
        <v/>
      </c>
      <c r="G307" s="41">
        <f>VLOOKUP(A307,Government!A:B,2,)</f>
        <v/>
      </c>
      <c r="H307" s="32">
        <f>Table58[[#This Row],[Personal Consumption]]/Table58[[#This Row],[GDP]]</f>
        <v/>
      </c>
      <c r="I307" s="32">
        <f>Table58[[#This Row],[Private Investment]]/Table58[[#This Row],[GDP]]</f>
        <v/>
      </c>
      <c r="J307" s="32">
        <f>Table58[[#This Row],[Exports]]/Table58[[#This Row],[GDP]]</f>
        <v/>
      </c>
      <c r="K307" s="32">
        <f>-Table58[[#This Row],[Imports]]/Table58[[#This Row],[GDP]]</f>
        <v/>
      </c>
      <c r="L307" s="32">
        <f>Table58[[#This Row],[Government]]/Table58[[#This Row],[GDP]]</f>
        <v/>
      </c>
      <c r="N307" s="51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0" t="n">
        <v>44743</v>
      </c>
      <c r="B308" s="56">
        <f>VLOOKUP(A308,'U.S. GDP'!A:B,2,)</f>
        <v/>
      </c>
      <c r="C308" s="56">
        <f>VLOOKUP(A308,PersonalConsumption!A:B,2,)</f>
        <v/>
      </c>
      <c r="D308" s="56">
        <f>VLOOKUP(A308,PrivateInvestment!A:B,2,)</f>
        <v/>
      </c>
      <c r="E308" s="41">
        <f>VLOOKUP(A308,Exports!A:B,2,)</f>
        <v/>
      </c>
      <c r="F308" s="56">
        <f>VLOOKUP(A308,Imports!A:B,2,)</f>
        <v/>
      </c>
      <c r="G308" s="41">
        <f>VLOOKUP(A308,Government!A:B,2,)</f>
        <v/>
      </c>
      <c r="H308" s="32">
        <f>Table58[[#This Row],[Personal Consumption]]/Table58[[#This Row],[GDP]]</f>
        <v/>
      </c>
      <c r="I308" s="32">
        <f>Table58[[#This Row],[Private Investment]]/Table58[[#This Row],[GDP]]</f>
        <v/>
      </c>
      <c r="J308" s="32">
        <f>Table58[[#This Row],[Exports]]/Table58[[#This Row],[GDP]]</f>
        <v/>
      </c>
      <c r="K308" s="32">
        <f>-Table58[[#This Row],[Imports]]/Table58[[#This Row],[GDP]]</f>
        <v/>
      </c>
      <c r="L308" s="32">
        <f>Table58[[#This Row],[Government]]/Table58[[#This Row],[GDP]]</f>
        <v/>
      </c>
      <c r="N308" s="51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  <row r="309">
      <c r="A309" s="40" t="n">
        <v>44835</v>
      </c>
      <c r="B309" s="56">
        <f>VLOOKUP(A309,'U.S. GDP'!A:B,2,)</f>
        <v/>
      </c>
      <c r="C309" s="56">
        <f>VLOOKUP(A309,PersonalConsumption!A:B,2,)</f>
        <v/>
      </c>
      <c r="D309" s="56">
        <f>VLOOKUP(A309,PrivateInvestment!A:B,2,)</f>
        <v/>
      </c>
      <c r="E309" s="56">
        <f>VLOOKUP(A309,Exports!A:B,2,)</f>
        <v/>
      </c>
      <c r="F309" s="56">
        <f>VLOOKUP(A309,Imports!A:B,2,)</f>
        <v/>
      </c>
      <c r="G309" s="41">
        <f>VLOOKUP(A309,Government!A:B,2,)</f>
        <v/>
      </c>
      <c r="H309" s="32">
        <f>Table58[[#This Row],[Personal Consumption]]/Table58[[#This Row],[GDP]]</f>
        <v/>
      </c>
      <c r="I309" s="32">
        <f>Table58[[#This Row],[Private Investment]]/Table58[[#This Row],[GDP]]</f>
        <v/>
      </c>
      <c r="J309" s="32">
        <f>Table58[[#This Row],[Exports]]/Table58[[#This Row],[GDP]]</f>
        <v/>
      </c>
      <c r="K309" s="32">
        <f>-Table58[[#This Row],[Imports]]/Table58[[#This Row],[GDP]]</f>
        <v/>
      </c>
      <c r="L309" s="32">
        <f>Table58[[#This Row],[Government]]/Table58[[#This Row],[GDP]]</f>
        <v/>
      </c>
      <c r="N309" s="51">
        <f>SUM(Table58[[#This Row],[PC%]:[G%]])</f>
        <v/>
      </c>
      <c r="O309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9"/>
  <sheetViews>
    <sheetView zoomScale="70" zoomScaleNormal="70" workbookViewId="0">
      <pane ySplit="5" topLeftCell="A261" activePane="bottomLeft" state="frozen"/>
      <selection pane="bottomLeft" activeCell="AG272" sqref="AG272"/>
    </sheetView>
  </sheetViews>
  <sheetFormatPr baseColWidth="8" defaultColWidth="10.9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</cols>
  <sheetData>
    <row r="1" ht="16" customHeight="1" s="89">
      <c r="A1" s="65" t="inlineStr">
        <is>
          <t>PCECC96</t>
        </is>
      </c>
      <c r="B1" s="61" t="n"/>
      <c r="C1" s="18" t="n"/>
      <c r="D1" s="19" t="n"/>
      <c r="E1" s="19" t="n"/>
      <c r="F1" s="76" t="n"/>
      <c r="G1" s="76" t="n"/>
      <c r="H1" s="76" t="n"/>
      <c r="I1" s="76" t="n"/>
      <c r="J1" s="76" t="n"/>
      <c r="K1" s="76" t="n"/>
      <c r="L1" s="83" t="inlineStr">
        <is>
          <t>https://fred.stlouisfed.org/series/PCECC96</t>
        </is>
      </c>
      <c r="M1" s="76" t="n"/>
      <c r="N1" s="76" t="n"/>
      <c r="O1" s="76" t="n"/>
    </row>
    <row r="2">
      <c r="A2" s="21" t="inlineStr">
        <is>
          <t>Real Personal Consumption Expenditures (PCECC96)</t>
        </is>
      </c>
      <c r="B2" s="63" t="n"/>
      <c r="C2" s="18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9"/>
  <sheetViews>
    <sheetView zoomScale="80" zoomScaleNormal="80" workbookViewId="0">
      <pane ySplit="5" topLeftCell="A248" activePane="bottomLeft" state="frozen"/>
      <selection activeCell="B1" sqref="B1"/>
      <selection pane="bottomLeft" activeCell="B1" sqref="B1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  <col width="10.81640625" customWidth="1" style="89" min="6" max="18"/>
  </cols>
  <sheetData>
    <row r="1">
      <c r="A1" s="62" t="inlineStr">
        <is>
          <t>GPDIC1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3" t="inlineStr">
        <is>
          <t>https://fred.stlouisfed.org/series/GPDIC1</t>
        </is>
      </c>
      <c r="M1" s="76" t="n"/>
      <c r="N1" s="76" t="n"/>
      <c r="O1" s="76" t="n"/>
    </row>
    <row r="2">
      <c r="A2" s="43" t="inlineStr">
        <is>
          <t>Real Gross Private Domestic Investment (GPDIC1)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9"/>
  <sheetViews>
    <sheetView zoomScaleNormal="100" workbookViewId="0">
      <pane ySplit="5" topLeftCell="A264" activePane="bottomLeft" state="frozen"/>
      <selection pane="bottomLeft" activeCell="A299" sqref="A299:E309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  <col width="10.81640625" customWidth="1" style="89" min="6" max="18"/>
  </cols>
  <sheetData>
    <row r="1">
      <c r="A1" s="62" t="inlineStr">
        <is>
          <t>EXPGSC1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3" t="inlineStr">
        <is>
          <t>https://fred.stlouisfed.org/series/EXPGSC1</t>
        </is>
      </c>
      <c r="M1" s="76" t="n"/>
      <c r="N1" s="76" t="n"/>
      <c r="O1" s="76" t="n"/>
    </row>
    <row r="2">
      <c r="A2" s="43" t="inlineStr">
        <is>
          <t>Real Exports of Goods and Services (EXPGSC1)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9"/>
  <sheetViews>
    <sheetView zoomScale="80" zoomScaleNormal="80" workbookViewId="0">
      <pane ySplit="5" topLeftCell="A276" activePane="bottomLeft" state="frozen"/>
      <selection pane="bottomLeft" activeCell="A295" sqref="A295:E309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  <col width="10.81640625" customWidth="1" style="89" min="6" max="18"/>
  </cols>
  <sheetData>
    <row r="1">
      <c r="A1" s="62" t="inlineStr">
        <is>
          <t>IMPGSC1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3" t="inlineStr">
        <is>
          <t>https://fred.stlouisfed.org/series/IMPGSC1</t>
        </is>
      </c>
      <c r="M1" s="76" t="n"/>
      <c r="N1" s="76" t="n"/>
      <c r="O1" s="76" t="n"/>
    </row>
    <row r="2">
      <c r="A2" s="43" t="inlineStr">
        <is>
          <t xml:space="preserve">Real Imports of Goods and Services 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9"/>
  <sheetViews>
    <sheetView zoomScale="90" zoomScaleNormal="90" workbookViewId="0">
      <pane ySplit="5" topLeftCell="A280" activePane="bottomLeft" state="frozen"/>
      <selection pane="bottomLeft" activeCell="AD280" sqref="AD280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  <col width="10.81640625" customWidth="1" style="89" min="6" max="18"/>
  </cols>
  <sheetData>
    <row r="1">
      <c r="A1" s="62" t="inlineStr">
        <is>
          <t>GCEC1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3" t="inlineStr">
        <is>
          <t>https://fred.stlouisfed.org/series/GCEC1</t>
        </is>
      </c>
      <c r="M1" s="76" t="n"/>
      <c r="N1" s="76" t="n"/>
      <c r="O1" s="76" t="n"/>
    </row>
    <row r="2">
      <c r="A2" s="43" t="inlineStr">
        <is>
          <t>Government Consumption Expenditures and Gross Investment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9"/>
  <sheetViews>
    <sheetView zoomScale="80" zoomScaleNormal="80" workbookViewId="0">
      <pane ySplit="5" topLeftCell="A279" activePane="bottomLeft" state="frozen"/>
      <selection pane="bottomLeft" activeCell="L314" sqref="L314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  <col width="10.81640625" customWidth="1" style="89" min="6" max="18"/>
  </cols>
  <sheetData>
    <row r="1">
      <c r="A1" s="67" t="inlineStr">
        <is>
          <t>GDPCTPI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3" t="inlineStr">
        <is>
          <t>https://fred.stlouisfed.org/series/GDPCTPI</t>
        </is>
      </c>
      <c r="M1" s="76" t="n"/>
      <c r="N1" s="76" t="n"/>
      <c r="O1" s="76" t="n"/>
    </row>
    <row r="2">
      <c r="A2" s="43" t="inlineStr">
        <is>
          <t xml:space="preserve">Gross Domestic Product: Chain-type Price Index 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9"/>
  <sheetViews>
    <sheetView zoomScale="110" zoomScaleNormal="110" workbookViewId="0">
      <pane ySplit="5" topLeftCell="A288" activePane="bottomLeft" state="frozen"/>
      <selection activeCell="I311" sqref="I311"/>
      <selection pane="bottomLeft" activeCell="M317" sqref="M317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  <col width="10.81640625" customWidth="1" style="89" min="6" max="18"/>
  </cols>
  <sheetData>
    <row r="1">
      <c r="A1" s="67" t="inlineStr">
        <is>
          <t>JCXFE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3" t="inlineStr">
        <is>
          <t>https://fred.stlouisfed.org/series/JCXFE</t>
        </is>
      </c>
      <c r="M1" s="76" t="n"/>
      <c r="N1" s="76" t="n"/>
      <c r="O1" s="76" t="n"/>
    </row>
    <row r="2">
      <c r="A2" s="43" t="inlineStr">
        <is>
          <t>Personal Consumption Expenditures: Chain-type Price Index Less Food and Energy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 t="n"/>
      <c r="C6" s="31" t="n"/>
      <c r="D6" s="31" t="n"/>
      <c r="E6" s="31" t="n"/>
    </row>
    <row r="7">
      <c r="A7" s="30" t="n">
        <v>17258</v>
      </c>
      <c r="B7" s="56" t="n"/>
      <c r="C7" s="32" t="n"/>
      <c r="D7" s="31" t="n"/>
      <c r="E7" s="31" t="n"/>
    </row>
    <row r="8">
      <c r="A8" s="30" t="n">
        <v>17349</v>
      </c>
      <c r="B8" s="56" t="n"/>
      <c r="C8" s="32" t="n"/>
      <c r="D8" s="31" t="n"/>
      <c r="E8" s="31" t="n"/>
    </row>
    <row r="9">
      <c r="A9" s="30" t="n">
        <v>17441</v>
      </c>
      <c r="B9" s="56" t="n"/>
      <c r="C9" s="32" t="n"/>
      <c r="D9" s="31" t="n"/>
      <c r="E9" s="31" t="n"/>
    </row>
    <row r="10">
      <c r="A10" s="30" t="n">
        <v>17533</v>
      </c>
      <c r="B10" s="56" t="n"/>
      <c r="C10" s="32" t="n"/>
      <c r="D10" s="31" t="n"/>
      <c r="E10" s="31" t="n"/>
    </row>
    <row r="11">
      <c r="A11" s="30" t="n">
        <v>17624</v>
      </c>
      <c r="B11" s="56" t="n"/>
      <c r="C11" s="32" t="n"/>
      <c r="D11" s="31" t="n"/>
      <c r="E11" s="31" t="n"/>
    </row>
    <row r="12">
      <c r="A12" s="30" t="n">
        <v>17715</v>
      </c>
      <c r="B12" s="56" t="n"/>
      <c r="C12" s="32" t="n"/>
      <c r="D12" s="31" t="n"/>
      <c r="E12" s="31" t="n"/>
    </row>
    <row r="13">
      <c r="A13" s="30" t="n">
        <v>17807</v>
      </c>
      <c r="B13" s="56" t="n"/>
      <c r="C13" s="32" t="n"/>
      <c r="D13" s="31" t="n"/>
      <c r="E13" s="31" t="n"/>
    </row>
    <row r="14">
      <c r="A14" s="30" t="n">
        <v>17899</v>
      </c>
      <c r="B14" s="56" t="n"/>
      <c r="C14" s="32" t="n"/>
      <c r="D14" s="31" t="n"/>
      <c r="E14" s="31" t="n"/>
    </row>
    <row r="15">
      <c r="A15" s="30" t="n">
        <v>17989</v>
      </c>
      <c r="B15" s="56" t="n"/>
      <c r="C15" s="32" t="n"/>
      <c r="D15" s="31" t="n"/>
      <c r="E15" s="31" t="n"/>
    </row>
    <row r="16">
      <c r="A16" s="30" t="n">
        <v>18080</v>
      </c>
      <c r="B16" s="56" t="n"/>
      <c r="C16" s="32" t="n"/>
      <c r="D16" s="31" t="n"/>
      <c r="E16" s="31" t="n"/>
    </row>
    <row r="17">
      <c r="A17" s="30" t="n">
        <v>18172</v>
      </c>
      <c r="B17" s="56" t="n"/>
      <c r="C17" s="32" t="n"/>
      <c r="D17" s="31" t="n"/>
      <c r="E17" s="31" t="n"/>
    </row>
    <row r="18">
      <c r="A18" s="30" t="n">
        <v>18264</v>
      </c>
      <c r="B18" s="56" t="n"/>
      <c r="C18" s="32" t="n"/>
      <c r="D18" s="31" t="n"/>
      <c r="E18" s="31" t="n"/>
    </row>
    <row r="19">
      <c r="A19" s="30" t="n">
        <v>18354</v>
      </c>
      <c r="B19" s="56" t="n"/>
      <c r="C19" s="32" t="n"/>
      <c r="D19" s="31" t="n"/>
      <c r="E19" s="31" t="n"/>
    </row>
    <row r="20">
      <c r="A20" s="30" t="n">
        <v>18445</v>
      </c>
      <c r="B20" s="56" t="n"/>
      <c r="C20" s="32" t="n"/>
      <c r="D20" s="31" t="n"/>
      <c r="E20" s="31" t="n"/>
    </row>
    <row r="21">
      <c r="A21" s="30" t="n">
        <v>18537</v>
      </c>
      <c r="B21" s="56" t="n"/>
      <c r="C21" s="32" t="n"/>
      <c r="D21" s="31" t="n"/>
      <c r="E21" s="31" t="n"/>
    </row>
    <row r="22">
      <c r="A22" s="30" t="n">
        <v>18629</v>
      </c>
      <c r="B22" s="56" t="n"/>
      <c r="C22" s="32" t="n"/>
      <c r="D22" s="31" t="n"/>
      <c r="E22" s="31" t="n"/>
    </row>
    <row r="23">
      <c r="A23" s="30" t="n">
        <v>18719</v>
      </c>
      <c r="B23" s="56" t="n"/>
      <c r="C23" s="32" t="n"/>
      <c r="D23" s="31" t="n"/>
      <c r="E23" s="31" t="n"/>
    </row>
    <row r="24">
      <c r="A24" s="30" t="n">
        <v>18810</v>
      </c>
      <c r="B24" s="56" t="n"/>
      <c r="C24" s="32" t="n"/>
      <c r="D24" s="31" t="n"/>
      <c r="E24" s="31" t="n"/>
    </row>
    <row r="25">
      <c r="A25" s="30" t="n">
        <v>18902</v>
      </c>
      <c r="B25" s="56" t="n"/>
      <c r="C25" s="32" t="n"/>
      <c r="D25" s="31" t="n"/>
      <c r="E25" s="31" t="n"/>
    </row>
    <row r="26">
      <c r="A26" s="30" t="n">
        <v>18994</v>
      </c>
      <c r="B26" s="56" t="n"/>
      <c r="C26" s="32" t="n"/>
      <c r="D26" s="31" t="n"/>
      <c r="E26" s="31" t="n"/>
    </row>
    <row r="27">
      <c r="A27" s="30" t="n">
        <v>19085</v>
      </c>
      <c r="B27" s="56" t="n"/>
      <c r="C27" s="32" t="n"/>
      <c r="D27" s="31" t="n"/>
      <c r="E27" s="31" t="n"/>
    </row>
    <row r="28">
      <c r="A28" s="30" t="n">
        <v>19176</v>
      </c>
      <c r="B28" s="56" t="n"/>
      <c r="C28" s="32" t="n"/>
      <c r="D28" s="31" t="n"/>
      <c r="E28" s="31" t="n"/>
    </row>
    <row r="29">
      <c r="A29" s="30" t="n">
        <v>19268</v>
      </c>
      <c r="B29" s="56" t="n"/>
      <c r="C29" s="32" t="n"/>
      <c r="D29" s="31" t="n"/>
      <c r="E29" s="31" t="n"/>
    </row>
    <row r="30">
      <c r="A30" s="30" t="n">
        <v>19360</v>
      </c>
      <c r="B30" s="56" t="n"/>
      <c r="C30" s="32" t="n"/>
      <c r="D30" s="31" t="n"/>
      <c r="E30" s="31" t="n"/>
    </row>
    <row r="31">
      <c r="A31" s="30" t="n">
        <v>19450</v>
      </c>
      <c r="B31" s="56" t="n"/>
      <c r="C31" s="32" t="n"/>
      <c r="D31" s="31" t="n"/>
      <c r="E31" s="31" t="n"/>
    </row>
    <row r="32">
      <c r="A32" s="30" t="n">
        <v>19541</v>
      </c>
      <c r="B32" s="56" t="n"/>
      <c r="C32" s="32" t="n"/>
      <c r="D32" s="31" t="n"/>
      <c r="E32" s="31" t="n"/>
    </row>
    <row r="33">
      <c r="A33" s="30" t="n">
        <v>19633</v>
      </c>
      <c r="B33" s="56" t="n"/>
      <c r="C33" s="32" t="n"/>
      <c r="D33" s="31" t="n"/>
      <c r="E33" s="31" t="n"/>
    </row>
    <row r="34">
      <c r="A34" s="30" t="n">
        <v>19725</v>
      </c>
      <c r="B34" s="56" t="n"/>
      <c r="C34" s="32" t="n"/>
      <c r="D34" s="31" t="n"/>
      <c r="E34" s="31" t="n"/>
    </row>
    <row r="35">
      <c r="A35" s="30" t="n">
        <v>19815</v>
      </c>
      <c r="B35" s="56" t="n"/>
      <c r="C35" s="32" t="n"/>
      <c r="D35" s="31" t="n"/>
      <c r="E35" s="31" t="n"/>
    </row>
    <row r="36">
      <c r="A36" s="30" t="n">
        <v>19906</v>
      </c>
      <c r="B36" s="56" t="n"/>
      <c r="C36" s="32" t="n"/>
      <c r="D36" s="31" t="n"/>
      <c r="E36" s="31" t="n"/>
    </row>
    <row r="37">
      <c r="A37" s="30" t="n">
        <v>19998</v>
      </c>
      <c r="B37" s="56" t="n"/>
      <c r="C37" s="32" t="n"/>
      <c r="D37" s="31" t="n"/>
      <c r="E37" s="31" t="n"/>
    </row>
    <row r="38">
      <c r="A38" s="30" t="n">
        <v>20090</v>
      </c>
      <c r="B38" s="56" t="n"/>
      <c r="C38" s="32" t="n"/>
      <c r="D38" s="31" t="n"/>
      <c r="E38" s="31" t="n"/>
    </row>
    <row r="39">
      <c r="A39" s="30" t="n">
        <v>20180</v>
      </c>
      <c r="B39" s="56" t="n"/>
      <c r="C39" s="32" t="n"/>
      <c r="D39" s="31" t="n"/>
      <c r="E39" s="31" t="n"/>
    </row>
    <row r="40">
      <c r="A40" s="30" t="n">
        <v>20271</v>
      </c>
      <c r="B40" s="56" t="n"/>
      <c r="C40" s="32" t="n"/>
      <c r="D40" s="31" t="n"/>
      <c r="E40" s="31" t="n"/>
    </row>
    <row r="41">
      <c r="A41" s="30" t="n">
        <v>20363</v>
      </c>
      <c r="B41" s="56" t="n"/>
      <c r="C41" s="32" t="n"/>
      <c r="D41" s="31" t="n"/>
      <c r="E41" s="31" t="n"/>
    </row>
    <row r="42">
      <c r="A42" s="30" t="n">
        <v>20455</v>
      </c>
      <c r="B42" s="56" t="n"/>
      <c r="C42" s="32" t="n"/>
      <c r="D42" s="31" t="n"/>
      <c r="E42" s="31" t="n"/>
    </row>
    <row r="43">
      <c r="A43" s="30" t="n">
        <v>20546</v>
      </c>
      <c r="B43" s="56" t="n"/>
      <c r="C43" s="32" t="n"/>
      <c r="D43" s="31" t="n"/>
      <c r="E43" s="31" t="n"/>
    </row>
    <row r="44">
      <c r="A44" s="30" t="n">
        <v>20637</v>
      </c>
      <c r="B44" s="56" t="n"/>
      <c r="C44" s="32" t="n"/>
      <c r="D44" s="31" t="n"/>
      <c r="E44" s="31" t="n"/>
    </row>
    <row r="45">
      <c r="A45" s="30" t="n">
        <v>20729</v>
      </c>
      <c r="B45" s="56" t="n"/>
      <c r="C45" s="32" t="n"/>
      <c r="D45" s="31" t="n"/>
      <c r="E45" s="31" t="n"/>
    </row>
    <row r="46">
      <c r="A46" s="30" t="n">
        <v>20821</v>
      </c>
      <c r="B46" s="56" t="n"/>
      <c r="C46" s="32" t="n"/>
      <c r="D46" s="31" t="n"/>
      <c r="E46" s="31" t="n"/>
    </row>
    <row r="47">
      <c r="A47" s="30" t="n">
        <v>20911</v>
      </c>
      <c r="B47" s="56" t="n"/>
      <c r="C47" s="32" t="n"/>
      <c r="D47" s="31" t="n"/>
      <c r="E47" s="31" t="n"/>
    </row>
    <row r="48">
      <c r="A48" s="30" t="n">
        <v>21002</v>
      </c>
      <c r="B48" s="56" t="n"/>
      <c r="C48" s="32" t="n"/>
      <c r="D48" s="31" t="n"/>
      <c r="E48" s="31" t="n"/>
    </row>
    <row r="49">
      <c r="A49" s="30" t="n">
        <v>21094</v>
      </c>
      <c r="B49" s="56" t="n"/>
      <c r="C49" s="32" t="n"/>
      <c r="D49" s="31" t="n"/>
      <c r="E49" s="31" t="n"/>
    </row>
    <row r="50">
      <c r="A50" s="30" t="n">
        <v>21186</v>
      </c>
      <c r="B50" s="56" t="n"/>
      <c r="C50" s="32" t="n"/>
      <c r="D50" s="31" t="n"/>
      <c r="E50" s="31" t="n"/>
    </row>
    <row r="51">
      <c r="A51" s="30" t="n">
        <v>21276</v>
      </c>
      <c r="B51" s="56" t="n"/>
      <c r="C51" s="32" t="n"/>
      <c r="D51" s="31" t="n"/>
      <c r="E51" s="31" t="n"/>
    </row>
    <row r="52">
      <c r="A52" s="30" t="n">
        <v>21367</v>
      </c>
      <c r="B52" s="56" t="n"/>
      <c r="C52" s="32" t="n"/>
      <c r="D52" s="31" t="n"/>
      <c r="E52" s="31" t="n"/>
    </row>
    <row r="53">
      <c r="A53" s="30" t="n">
        <v>21459</v>
      </c>
      <c r="B53" s="56" t="n"/>
      <c r="C53" s="32" t="n"/>
      <c r="D53" s="31" t="n"/>
      <c r="E53" s="31" t="n"/>
    </row>
    <row r="54">
      <c r="A54" s="30" t="n">
        <v>21551</v>
      </c>
      <c r="B54" s="56">
        <f>VLOOKUP(A54,Database!A:L,MATCH($A$1,Database!$A$1:$L$1,),)</f>
        <v/>
      </c>
      <c r="C54" s="32" t="n"/>
      <c r="D54" s="31" t="n"/>
      <c r="E54" s="31" t="n"/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 t="n"/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 t="n"/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 t="n"/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309"/>
  <sheetViews>
    <sheetView zoomScaleNormal="100" workbookViewId="0">
      <pane ySplit="5" topLeftCell="A276" activePane="bottomLeft" state="frozen"/>
      <selection activeCell="B1" sqref="B1"/>
      <selection pane="bottomLeft" activeCell="B1" sqref="B1"/>
    </sheetView>
  </sheetViews>
  <sheetFormatPr baseColWidth="8" defaultColWidth="10.81640625" defaultRowHeight="14.5"/>
  <cols>
    <col width="16.1796875" customWidth="1" style="89" min="1" max="1"/>
    <col width="14.1796875" customWidth="1" style="89" min="2" max="2"/>
    <col width="16" customWidth="1" style="89" min="3" max="3"/>
    <col width="14.453125" customWidth="1" style="89" min="4" max="4"/>
    <col width="15.1796875" customWidth="1" style="89" min="5" max="5"/>
    <col width="10.81640625" customWidth="1" style="89" min="6" max="18"/>
  </cols>
  <sheetData>
    <row r="1">
      <c r="A1" s="67" t="inlineStr">
        <is>
          <t>A072RC1Q156SBEA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6" t="inlineStr">
        <is>
          <t>https://fred.stlouisfed.org/series/A072RC1Q156SBEA</t>
        </is>
      </c>
      <c r="M1" s="76" t="n"/>
      <c r="N1" s="76" t="n"/>
      <c r="O1" s="76" t="n"/>
    </row>
    <row r="2">
      <c r="A2" s="43" t="inlineStr">
        <is>
          <t>Personal Saving as % of Disposable Personal Income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3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 t="n"/>
      <c r="C6" s="31" t="n"/>
      <c r="D6" s="31" t="n"/>
      <c r="E6" s="31" t="n"/>
    </row>
    <row r="7">
      <c r="A7" s="30" t="n">
        <v>17258</v>
      </c>
      <c r="B7" s="56" t="n"/>
      <c r="C7" s="32" t="n"/>
      <c r="D7" s="31" t="n"/>
      <c r="E7" s="31" t="n"/>
    </row>
    <row r="8">
      <c r="A8" s="30" t="n">
        <v>17349</v>
      </c>
      <c r="B8" s="56" t="n"/>
      <c r="C8" s="32" t="n"/>
      <c r="D8" s="31" t="n"/>
      <c r="E8" s="31" t="n"/>
    </row>
    <row r="9">
      <c r="A9" s="30" t="n">
        <v>17441</v>
      </c>
      <c r="B9" s="56" t="n"/>
      <c r="C9" s="32" t="n"/>
      <c r="D9" s="31" t="n"/>
      <c r="E9" s="31" t="n"/>
    </row>
    <row r="10">
      <c r="A10" s="30" t="n">
        <v>17533</v>
      </c>
      <c r="B10" s="56" t="n"/>
      <c r="C10" s="32" t="n"/>
      <c r="D10" s="31" t="n"/>
      <c r="E10" s="31" t="n"/>
    </row>
    <row r="11">
      <c r="A11" s="30" t="n">
        <v>17624</v>
      </c>
      <c r="B11" s="56" t="n"/>
      <c r="C11" s="32" t="n"/>
      <c r="D11" s="31" t="n"/>
      <c r="E11" s="31" t="n"/>
    </row>
    <row r="12">
      <c r="A12" s="30" t="n">
        <v>17715</v>
      </c>
      <c r="B12" s="56" t="n"/>
      <c r="C12" s="32" t="n"/>
      <c r="D12" s="31" t="n"/>
      <c r="E12" s="31" t="n"/>
    </row>
    <row r="13">
      <c r="A13" s="30" t="n">
        <v>17807</v>
      </c>
      <c r="B13" s="56" t="n"/>
      <c r="C13" s="32" t="n"/>
      <c r="D13" s="31" t="n"/>
      <c r="E13" s="31" t="n"/>
    </row>
    <row r="14">
      <c r="A14" s="30" t="n">
        <v>17899</v>
      </c>
      <c r="B14" s="56" t="n"/>
      <c r="C14" s="32" t="n"/>
      <c r="D14" s="31" t="n"/>
      <c r="E14" s="31" t="n"/>
    </row>
    <row r="15">
      <c r="A15" s="30" t="n">
        <v>17989</v>
      </c>
      <c r="B15" s="56" t="n"/>
      <c r="C15" s="32" t="n"/>
      <c r="D15" s="31" t="n"/>
      <c r="E15" s="31" t="n"/>
    </row>
    <row r="16">
      <c r="A16" s="30" t="n">
        <v>18080</v>
      </c>
      <c r="B16" s="56" t="n"/>
      <c r="C16" s="32" t="n"/>
      <c r="D16" s="31" t="n"/>
      <c r="E16" s="31" t="n"/>
    </row>
    <row r="17">
      <c r="A17" s="30" t="n">
        <v>18172</v>
      </c>
      <c r="B17" s="56" t="n"/>
      <c r="C17" s="32" t="n"/>
      <c r="D17" s="31" t="n"/>
      <c r="E17" s="31" t="n"/>
    </row>
    <row r="18">
      <c r="A18" s="30" t="n">
        <v>18264</v>
      </c>
      <c r="B18" s="56" t="n"/>
      <c r="C18" s="32" t="n"/>
      <c r="D18" s="31" t="n"/>
      <c r="E18" s="31" t="n"/>
    </row>
    <row r="19">
      <c r="A19" s="30" t="n">
        <v>18354</v>
      </c>
      <c r="B19" s="56" t="n"/>
      <c r="C19" s="32" t="n"/>
      <c r="D19" s="31" t="n"/>
      <c r="E19" s="31" t="n"/>
    </row>
    <row r="20">
      <c r="A20" s="30" t="n">
        <v>18445</v>
      </c>
      <c r="B20" s="56" t="n"/>
      <c r="C20" s="32" t="n"/>
      <c r="D20" s="31" t="n"/>
      <c r="E20" s="31" t="n"/>
    </row>
    <row r="21">
      <c r="A21" s="30" t="n">
        <v>18537</v>
      </c>
      <c r="B21" s="56" t="n"/>
      <c r="C21" s="32" t="n"/>
      <c r="D21" s="31" t="n"/>
      <c r="E21" s="31" t="n"/>
    </row>
    <row r="22">
      <c r="A22" s="30" t="n">
        <v>18629</v>
      </c>
      <c r="B22" s="56" t="n"/>
      <c r="C22" s="32" t="n"/>
      <c r="D22" s="31" t="n"/>
      <c r="E22" s="31" t="n"/>
    </row>
    <row r="23">
      <c r="A23" s="30" t="n">
        <v>18719</v>
      </c>
      <c r="B23" s="56" t="n"/>
      <c r="C23" s="32" t="n"/>
      <c r="D23" s="31" t="n"/>
      <c r="E23" s="31" t="n"/>
    </row>
    <row r="24">
      <c r="A24" s="30" t="n">
        <v>18810</v>
      </c>
      <c r="B24" s="56" t="n"/>
      <c r="C24" s="32" t="n"/>
      <c r="D24" s="31" t="n"/>
      <c r="E24" s="31" t="n"/>
    </row>
    <row r="25">
      <c r="A25" s="30" t="n">
        <v>18902</v>
      </c>
      <c r="B25" s="56" t="n"/>
      <c r="C25" s="32" t="n"/>
      <c r="D25" s="31" t="n"/>
      <c r="E25" s="31" t="n"/>
    </row>
    <row r="26">
      <c r="A26" s="30" t="n">
        <v>18994</v>
      </c>
      <c r="B26" s="56" t="n"/>
      <c r="C26" s="32" t="n"/>
      <c r="D26" s="31" t="n"/>
      <c r="E26" s="31" t="n"/>
    </row>
    <row r="27">
      <c r="A27" s="30" t="n">
        <v>19085</v>
      </c>
      <c r="B27" s="56" t="n"/>
      <c r="C27" s="32" t="n"/>
      <c r="D27" s="31" t="n"/>
      <c r="E27" s="31" t="n"/>
    </row>
    <row r="28">
      <c r="A28" s="30" t="n">
        <v>19176</v>
      </c>
      <c r="B28" s="56" t="n"/>
      <c r="C28" s="32" t="n"/>
      <c r="D28" s="31" t="n"/>
      <c r="E28" s="31" t="n"/>
    </row>
    <row r="29">
      <c r="A29" s="30" t="n">
        <v>19268</v>
      </c>
      <c r="B29" s="56" t="n"/>
      <c r="C29" s="32" t="n"/>
      <c r="D29" s="31" t="n"/>
      <c r="E29" s="31" t="n"/>
    </row>
    <row r="30">
      <c r="A30" s="30" t="n">
        <v>19360</v>
      </c>
      <c r="B30" s="56" t="n"/>
      <c r="C30" s="32" t="n"/>
      <c r="D30" s="31" t="n"/>
      <c r="E30" s="31" t="n"/>
    </row>
    <row r="31">
      <c r="A31" s="30" t="n">
        <v>19450</v>
      </c>
      <c r="B31" s="56" t="n"/>
      <c r="C31" s="32" t="n"/>
      <c r="D31" s="31" t="n"/>
      <c r="E31" s="31" t="n"/>
    </row>
    <row r="32">
      <c r="A32" s="30" t="n">
        <v>19541</v>
      </c>
      <c r="B32" s="56" t="n"/>
      <c r="C32" s="32" t="n"/>
      <c r="D32" s="31" t="n"/>
      <c r="E32" s="31" t="n"/>
    </row>
    <row r="33">
      <c r="A33" s="30" t="n">
        <v>19633</v>
      </c>
      <c r="B33" s="56" t="n"/>
      <c r="C33" s="32" t="n"/>
      <c r="D33" s="31" t="n"/>
      <c r="E33" s="31" t="n"/>
    </row>
    <row r="34">
      <c r="A34" s="30" t="n">
        <v>19725</v>
      </c>
      <c r="B34" s="56" t="n"/>
      <c r="C34" s="32" t="n"/>
      <c r="D34" s="31" t="n"/>
      <c r="E34" s="31" t="n"/>
    </row>
    <row r="35">
      <c r="A35" s="30" t="n">
        <v>19815</v>
      </c>
      <c r="B35" s="56" t="n"/>
      <c r="C35" s="32" t="n"/>
      <c r="D35" s="31" t="n"/>
      <c r="E35" s="31" t="n"/>
    </row>
    <row r="36">
      <c r="A36" s="30" t="n">
        <v>19906</v>
      </c>
      <c r="B36" s="56" t="n"/>
      <c r="C36" s="32" t="n"/>
      <c r="D36" s="31" t="n"/>
      <c r="E36" s="31" t="n"/>
    </row>
    <row r="37">
      <c r="A37" s="30" t="n">
        <v>19998</v>
      </c>
      <c r="B37" s="56" t="n"/>
      <c r="C37" s="32" t="n"/>
      <c r="D37" s="31" t="n"/>
      <c r="E37" s="31" t="n"/>
    </row>
    <row r="38">
      <c r="A38" s="30" t="n">
        <v>20090</v>
      </c>
      <c r="B38" s="56" t="n"/>
      <c r="C38" s="32" t="n"/>
      <c r="D38" s="31" t="n"/>
      <c r="E38" s="31" t="n"/>
    </row>
    <row r="39">
      <c r="A39" s="30" t="n">
        <v>20180</v>
      </c>
      <c r="B39" s="56" t="n"/>
      <c r="C39" s="32" t="n"/>
      <c r="D39" s="31" t="n"/>
      <c r="E39" s="31" t="n"/>
    </row>
    <row r="40">
      <c r="A40" s="30" t="n">
        <v>20271</v>
      </c>
      <c r="B40" s="56" t="n"/>
      <c r="C40" s="32" t="n"/>
      <c r="D40" s="31" t="n"/>
      <c r="E40" s="31" t="n"/>
    </row>
    <row r="41">
      <c r="A41" s="30" t="n">
        <v>20363</v>
      </c>
      <c r="B41" s="56" t="n"/>
      <c r="C41" s="32" t="n"/>
      <c r="D41" s="31" t="n"/>
      <c r="E41" s="31" t="n"/>
    </row>
    <row r="42">
      <c r="A42" s="30" t="n">
        <v>20455</v>
      </c>
      <c r="B42" s="56" t="n"/>
      <c r="C42" s="32" t="n"/>
      <c r="D42" s="31" t="n"/>
      <c r="E42" s="31" t="n"/>
    </row>
    <row r="43">
      <c r="A43" s="30" t="n">
        <v>20546</v>
      </c>
      <c r="B43" s="56" t="n"/>
      <c r="C43" s="32" t="n"/>
      <c r="D43" s="31" t="n"/>
      <c r="E43" s="31" t="n"/>
    </row>
    <row r="44">
      <c r="A44" s="30" t="n">
        <v>20637</v>
      </c>
      <c r="B44" s="56" t="n"/>
      <c r="C44" s="32" t="n"/>
      <c r="D44" s="31" t="n"/>
      <c r="E44" s="31" t="n"/>
    </row>
    <row r="45">
      <c r="A45" s="30" t="n">
        <v>20729</v>
      </c>
      <c r="B45" s="56" t="n"/>
      <c r="C45" s="32" t="n"/>
      <c r="D45" s="31" t="n"/>
      <c r="E45" s="31" t="n"/>
    </row>
    <row r="46">
      <c r="A46" s="30" t="n">
        <v>20821</v>
      </c>
      <c r="B46" s="56" t="n"/>
      <c r="C46" s="32" t="n"/>
      <c r="D46" s="31" t="n"/>
      <c r="E46" s="31" t="n"/>
    </row>
    <row r="47">
      <c r="A47" s="30" t="n">
        <v>20911</v>
      </c>
      <c r="B47" s="56" t="n"/>
      <c r="C47" s="32" t="n"/>
      <c r="D47" s="31" t="n"/>
      <c r="E47" s="31" t="n"/>
    </row>
    <row r="48">
      <c r="A48" s="30" t="n">
        <v>21002</v>
      </c>
      <c r="B48" s="56" t="n"/>
      <c r="C48" s="32" t="n"/>
      <c r="D48" s="31" t="n"/>
      <c r="E48" s="31" t="n"/>
    </row>
    <row r="49">
      <c r="A49" s="30" t="n">
        <v>21094</v>
      </c>
      <c r="B49" s="56" t="n"/>
      <c r="C49" s="32" t="n"/>
      <c r="D49" s="31" t="n"/>
      <c r="E49" s="31" t="n"/>
    </row>
    <row r="50">
      <c r="A50" s="30" t="n">
        <v>21186</v>
      </c>
      <c r="B50" s="56" t="n"/>
      <c r="C50" s="32" t="n"/>
      <c r="D50" s="31" t="n"/>
      <c r="E50" s="31" t="n"/>
    </row>
    <row r="51">
      <c r="A51" s="30" t="n">
        <v>21276</v>
      </c>
      <c r="B51" s="56" t="n"/>
      <c r="C51" s="32" t="n"/>
      <c r="D51" s="31" t="n"/>
      <c r="E51" s="31" t="n"/>
    </row>
    <row r="52">
      <c r="A52" s="30" t="n">
        <v>21367</v>
      </c>
      <c r="B52" s="56" t="n"/>
      <c r="C52" s="32" t="n"/>
      <c r="D52" s="31" t="n"/>
      <c r="E52" s="31" t="n"/>
    </row>
    <row r="53">
      <c r="A53" s="30" t="n">
        <v>21459</v>
      </c>
      <c r="B53" s="56" t="n"/>
      <c r="C53" s="32" t="n"/>
      <c r="D53" s="31" t="n"/>
      <c r="E53" s="31" t="n"/>
    </row>
    <row r="54">
      <c r="A54" s="30" t="n">
        <v>21551</v>
      </c>
      <c r="B54" s="56">
        <f>VLOOKUP(A54,Database!A:L,MATCH($A$1,Database!$A$1:$L$1,),)</f>
        <v/>
      </c>
      <c r="C54" s="32" t="n"/>
      <c r="D54" s="31" t="n"/>
      <c r="E54" s="31" t="n"/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 t="n"/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 t="n"/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 t="n"/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2023-02-11T02:01:02Z</dcterms:modified>
  <cp:lastModifiedBy>Mark Mukherjee</cp:lastModifiedBy>
</cp:coreProperties>
</file>